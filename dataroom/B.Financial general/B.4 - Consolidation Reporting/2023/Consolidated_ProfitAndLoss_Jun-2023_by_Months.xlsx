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3\"/>
    </mc:Choice>
  </mc:AlternateContent>
  <xr:revisionPtr revIDLastSave="0" documentId="13_ncr:40009_{E5437FA2-93AE-4BD2-856B-514009A8C81B}" xr6:coauthVersionLast="47" xr6:coauthVersionMax="47" xr10:uidLastSave="{00000000-0000-0000-0000-000000000000}"/>
  <bookViews>
    <workbookView xWindow="-28920" yWindow="-120" windowWidth="29040" windowHeight="15840"/>
  </bookViews>
  <sheets>
    <sheet name="PGPLConsoli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0" i="1" l="1"/>
  <c r="F170" i="1"/>
  <c r="E170" i="1"/>
  <c r="D170" i="1"/>
  <c r="C170" i="1"/>
  <c r="B170" i="1"/>
  <c r="H169" i="1"/>
  <c r="H168" i="1"/>
  <c r="H170" i="1" s="1"/>
  <c r="H167" i="1"/>
  <c r="H166" i="1"/>
  <c r="H165" i="1"/>
  <c r="G162" i="1"/>
  <c r="F162" i="1"/>
  <c r="E162" i="1"/>
  <c r="D162" i="1"/>
  <c r="C162" i="1"/>
  <c r="B162" i="1"/>
  <c r="H161" i="1"/>
  <c r="H162" i="1" s="1"/>
  <c r="G159" i="1"/>
  <c r="F159" i="1"/>
  <c r="E159" i="1"/>
  <c r="D159" i="1"/>
  <c r="C159" i="1"/>
  <c r="B159" i="1"/>
  <c r="H158" i="1"/>
  <c r="H157" i="1"/>
  <c r="H159" i="1" s="1"/>
  <c r="G155" i="1"/>
  <c r="F155" i="1"/>
  <c r="E155" i="1"/>
  <c r="D155" i="1"/>
  <c r="C155" i="1"/>
  <c r="B155" i="1"/>
  <c r="H154" i="1"/>
  <c r="H153" i="1"/>
  <c r="H155" i="1" s="1"/>
  <c r="G151" i="1"/>
  <c r="F151" i="1"/>
  <c r="F163" i="1" s="1"/>
  <c r="E151" i="1"/>
  <c r="D151" i="1"/>
  <c r="C151" i="1"/>
  <c r="B151" i="1"/>
  <c r="B163" i="1" s="1"/>
  <c r="H150" i="1"/>
  <c r="H151" i="1" s="1"/>
  <c r="G145" i="1"/>
  <c r="F145" i="1"/>
  <c r="E145" i="1"/>
  <c r="D145" i="1"/>
  <c r="C145" i="1"/>
  <c r="B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G81" i="1"/>
  <c r="G82" i="1" s="1"/>
  <c r="F81" i="1"/>
  <c r="F82" i="1" s="1"/>
  <c r="E81" i="1"/>
  <c r="E82" i="1" s="1"/>
  <c r="D81" i="1"/>
  <c r="D82" i="1" s="1"/>
  <c r="C81" i="1"/>
  <c r="C82" i="1" s="1"/>
  <c r="B81" i="1"/>
  <c r="B82" i="1" s="1"/>
  <c r="H80" i="1"/>
  <c r="H79" i="1"/>
  <c r="H78" i="1"/>
  <c r="H77" i="1"/>
  <c r="G73" i="1"/>
  <c r="F73" i="1"/>
  <c r="E73" i="1"/>
  <c r="D73" i="1"/>
  <c r="C73" i="1"/>
  <c r="B73" i="1"/>
  <c r="H72" i="1"/>
  <c r="H71" i="1"/>
  <c r="H70" i="1"/>
  <c r="H69" i="1"/>
  <c r="H68" i="1"/>
  <c r="H67" i="1"/>
  <c r="H66" i="1"/>
  <c r="H65" i="1"/>
  <c r="H64" i="1"/>
  <c r="G62" i="1"/>
  <c r="F62" i="1"/>
  <c r="E62" i="1"/>
  <c r="E74" i="1" s="1"/>
  <c r="D62" i="1"/>
  <c r="C62" i="1"/>
  <c r="B62" i="1"/>
  <c r="H61" i="1"/>
  <c r="H60" i="1"/>
  <c r="H59" i="1"/>
  <c r="H58" i="1"/>
  <c r="H57" i="1"/>
  <c r="H56" i="1"/>
  <c r="H55" i="1"/>
  <c r="H54" i="1"/>
  <c r="H53" i="1"/>
  <c r="G47" i="1"/>
  <c r="F47" i="1"/>
  <c r="E47" i="1"/>
  <c r="D47" i="1"/>
  <c r="C47" i="1"/>
  <c r="B47" i="1"/>
  <c r="H46" i="1"/>
  <c r="H45" i="1"/>
  <c r="H44" i="1"/>
  <c r="G42" i="1"/>
  <c r="G48" i="1" s="1"/>
  <c r="F42" i="1"/>
  <c r="F48" i="1" s="1"/>
  <c r="E42" i="1"/>
  <c r="D42" i="1"/>
  <c r="C42" i="1"/>
  <c r="C48" i="1" s="1"/>
  <c r="B42" i="1"/>
  <c r="B48" i="1" s="1"/>
  <c r="H41" i="1"/>
  <c r="H40" i="1"/>
  <c r="H39" i="1"/>
  <c r="H38" i="1"/>
  <c r="H37" i="1"/>
  <c r="H36" i="1"/>
  <c r="G32" i="1"/>
  <c r="F32" i="1"/>
  <c r="E32" i="1"/>
  <c r="D32" i="1"/>
  <c r="C32" i="1"/>
  <c r="B32" i="1"/>
  <c r="H31" i="1"/>
  <c r="H30" i="1"/>
  <c r="H29" i="1"/>
  <c r="H28" i="1"/>
  <c r="H27" i="1"/>
  <c r="H26" i="1"/>
  <c r="H25" i="1"/>
  <c r="H24" i="1"/>
  <c r="G22" i="1"/>
  <c r="F22" i="1"/>
  <c r="F33" i="1" s="1"/>
  <c r="E22" i="1"/>
  <c r="E33" i="1" s="1"/>
  <c r="D22" i="1"/>
  <c r="C22" i="1"/>
  <c r="B22" i="1"/>
  <c r="H21" i="1"/>
  <c r="H20" i="1"/>
  <c r="H19" i="1"/>
  <c r="H18" i="1"/>
  <c r="H17" i="1"/>
  <c r="H16" i="1"/>
  <c r="H15" i="1"/>
  <c r="H14" i="1"/>
  <c r="H13" i="1"/>
  <c r="H12" i="1"/>
  <c r="H11" i="1"/>
  <c r="F74" i="1" l="1"/>
  <c r="F146" i="1" s="1"/>
  <c r="D33" i="1"/>
  <c r="G74" i="1"/>
  <c r="G146" i="1" s="1"/>
  <c r="H73" i="1"/>
  <c r="F49" i="1"/>
  <c r="F147" i="1" s="1"/>
  <c r="F171" i="1" s="1"/>
  <c r="C74" i="1"/>
  <c r="C146" i="1" s="1"/>
  <c r="G163" i="1"/>
  <c r="C33" i="1"/>
  <c r="C49" i="1" s="1"/>
  <c r="C147" i="1" s="1"/>
  <c r="D163" i="1"/>
  <c r="G33" i="1"/>
  <c r="E48" i="1"/>
  <c r="E49" i="1" s="1"/>
  <c r="H22" i="1"/>
  <c r="H33" i="1" s="1"/>
  <c r="G49" i="1"/>
  <c r="D48" i="1"/>
  <c r="D49" i="1" s="1"/>
  <c r="B74" i="1"/>
  <c r="B146" i="1" s="1"/>
  <c r="C163" i="1"/>
  <c r="H32" i="1"/>
  <c r="D74" i="1"/>
  <c r="E163" i="1"/>
  <c r="B33" i="1"/>
  <c r="B49" i="1" s="1"/>
  <c r="E146" i="1"/>
  <c r="H145" i="1"/>
  <c r="H42" i="1"/>
  <c r="H47" i="1"/>
  <c r="H62" i="1"/>
  <c r="H81" i="1"/>
  <c r="H82" i="1" s="1"/>
  <c r="D146" i="1"/>
  <c r="H163" i="1"/>
  <c r="E147" i="1" l="1"/>
  <c r="E171" i="1" s="1"/>
  <c r="G147" i="1"/>
  <c r="G171" i="1" s="1"/>
  <c r="B147" i="1"/>
  <c r="B171" i="1" s="1"/>
  <c r="H74" i="1"/>
  <c r="H146" i="1" s="1"/>
  <c r="D147" i="1"/>
  <c r="D171" i="1" s="1"/>
  <c r="H48" i="1"/>
  <c r="H49" i="1" s="1"/>
  <c r="H147" i="1" s="1"/>
  <c r="H171" i="1" s="1"/>
  <c r="C171" i="1"/>
</calcChain>
</file>

<file path=xl/sharedStrings.xml><?xml version="1.0" encoding="utf-8"?>
<sst xmlns="http://schemas.openxmlformats.org/spreadsheetml/2006/main" count="185" uniqueCount="179">
  <si>
    <t>Firma (Consolidated)</t>
  </si>
  <si>
    <t>PG P+L Consolidated</t>
  </si>
  <si>
    <t>From Jan 2023 to Jun 2023</t>
  </si>
  <si>
    <t>Financial Row</t>
  </si>
  <si>
    <t>Jan 2023</t>
  </si>
  <si>
    <t>Feb 2023</t>
  </si>
  <si>
    <t>Mrz 2023</t>
  </si>
  <si>
    <t>Apr 2023</t>
  </si>
  <si>
    <t>Mai 2023</t>
  </si>
  <si>
    <t>Jun 2023</t>
  </si>
  <si>
    <t>Total</t>
  </si>
  <si>
    <t> </t>
  </si>
  <si>
    <t>Amount (Book 1)</t>
  </si>
  <si>
    <t>Net profit/loss for the year</t>
  </si>
  <si>
    <t>EBIT</t>
  </si>
  <si>
    <t>Gross profit</t>
  </si>
  <si>
    <t>Operating income</t>
  </si>
  <si>
    <t>1. Revenue</t>
  </si>
  <si>
    <t>473600 - Cash discounts granted, Standard VAT</t>
  </si>
  <si>
    <t>477200 - Discounts granted §13b - Third country</t>
  </si>
  <si>
    <t>477000 - Rebates granted</t>
  </si>
  <si>
    <t>477100 - Rebates granted §13b- EU-nation</t>
  </si>
  <si>
    <t>479000 - Rebates granted, Standard VAT</t>
  </si>
  <si>
    <t>433800 - Rev. from services tax. in a 3.country, not subject  dom tax</t>
  </si>
  <si>
    <t>440010 - Revenue Goods - standard VAT</t>
  </si>
  <si>
    <t>440000 - Revenue Services- standard VAT</t>
  </si>
  <si>
    <t>433600 - Revenue from oth serv. taxable in anoth EU cntry</t>
  </si>
  <si>
    <t>433700 - Revenue from services, recipient bears the tax liability</t>
  </si>
  <si>
    <t>474000 - Volume discounts granted</t>
  </si>
  <si>
    <t>Total Revenue</t>
  </si>
  <si>
    <t>4. Other operating income</t>
  </si>
  <si>
    <t>494700 - Alloc. other non-cash benefits from provi. of car, Std VAT</t>
  </si>
  <si>
    <t>494800 - Allocated other non-cash benefits, Standard VAT</t>
  </si>
  <si>
    <t>494900 - Allocated other non-cash benefits, no VAT</t>
  </si>
  <si>
    <t>490000 - Income from disposal of fixed assets</t>
  </si>
  <si>
    <t>483900 - Other infrequent income</t>
  </si>
  <si>
    <t>484000 - Realized Foreign Exchange Gain</t>
  </si>
  <si>
    <t>454000 - Revenue infrastructure standard VAT</t>
  </si>
  <si>
    <t>484700 - Rounding Gain/Loss</t>
  </si>
  <si>
    <t>Total Other operating income</t>
  </si>
  <si>
    <t>Total Operating income</t>
  </si>
  <si>
    <t>5. Cost of materials</t>
  </si>
  <si>
    <t>a) Cost of raw materials, consum, supplies and purchased merch.</t>
  </si>
  <si>
    <t>573000 - Cash discounts received</t>
  </si>
  <si>
    <t>520000 - Cost of merchandise</t>
  </si>
  <si>
    <t>540000 - Cost of merchandise, Standard input tax</t>
  </si>
  <si>
    <t>581300 - Invoice PO price variance goods third country</t>
  </si>
  <si>
    <t>581000 - Invoice PO price variance red. rate</t>
  </si>
  <si>
    <t>580010 - Invoice PO price variance standard rate</t>
  </si>
  <si>
    <t>Total Cost of raw materials, consum, supplies and purchased merch.</t>
  </si>
  <si>
    <t>b) Cost of purchased services</t>
  </si>
  <si>
    <t>592300 - Other serv. supplied by contr. anoth EU cntry, Std input tax</t>
  </si>
  <si>
    <t>590000 - Purchased services standard input tax</t>
  </si>
  <si>
    <t>590100 - Third Party Services §13b EU-Country - Service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</si>
  <si>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</si>
  <si>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</si>
  <si>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</si>
  <si>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</si>
  <si>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</si>
  <si>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b) Social security, post-employ, and other employee benft costs</t>
  </si>
  <si>
    <t>612000 - Contributions to occupational health and safety agency</t>
  </si>
  <si>
    <t>614000 - Cost of old age pensions</t>
  </si>
  <si>
    <t>615000 - Pension funds</t>
  </si>
  <si>
    <t>614900 - Post-employment benefit costs for shareholder managers</t>
  </si>
  <si>
    <t>610000 - Social security, post-employ. and oth employee benefit costs</t>
  </si>
  <si>
    <t>611000 - Statutory social security expenses</t>
  </si>
  <si>
    <t>612500 - Voluntary contributions to prof association</t>
  </si>
  <si>
    <t>613000 - Voluntary social benefits not subject to wage tax</t>
  </si>
  <si>
    <t>616500 - company medical officer, occupational safety</t>
  </si>
  <si>
    <t>Total Social security, post-employ, and other employee benft costs</t>
  </si>
  <si>
    <t>a) Wages and salaries</t>
  </si>
  <si>
    <t>606900 - Flat-rate tax on other benefits (e.g. travel allowances)</t>
  </si>
  <si>
    <t>660700 - HCM Marketing</t>
  </si>
  <si>
    <t>607200 - Non-cash benefits and services provided to employees</t>
  </si>
  <si>
    <t>602300 - Profit-sharing salary management</t>
  </si>
  <si>
    <t>602000 - Salaries</t>
  </si>
  <si>
    <t>602400 - Salaries - target bonus</t>
  </si>
  <si>
    <t>600500 - Staff acquisition</t>
  </si>
  <si>
    <t>602200 - Vacation pay -provision-</t>
  </si>
  <si>
    <t>606000 - Voluntary social benefits subject to wage tax</t>
  </si>
  <si>
    <t>Total Wages and salaries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</si>
  <si>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</si>
  <si>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</si>
  <si>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</si>
  <si>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</si>
  <si>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622000 - Depr. of tangible fixed assets (excl. Depr. of vehicles)</t>
  </si>
  <si>
    <t>622200 - Depreciation of motor vehicles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</si>
  <si>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</si>
  <si>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</si>
  <si>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</si>
  <si>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</si>
  <si>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660000 - Advertising costs</t>
  </si>
  <si>
    <t>656300 - Bike leasing</t>
  </si>
  <si>
    <t>683000 - Bookkeeping costs</t>
  </si>
  <si>
    <t>633000 - Cleaning</t>
  </si>
  <si>
    <t>642000 - Contributions</t>
  </si>
  <si>
    <t>663000 - Corporate hospitality expenses</t>
  </si>
  <si>
    <t>688100 - Currency Exchange Losses</t>
  </si>
  <si>
    <t>688000 - Currency translation losses</t>
  </si>
  <si>
    <t>666800 - Employee mileage reimbursement</t>
  </si>
  <si>
    <t>665000 - Employee travel expenses</t>
  </si>
  <si>
    <t>665100 - Employee travel expenses 7% input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</si>
  <si>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</si>
  <si>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</si>
  <si>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</si>
  <si>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</si>
  <si>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665200 - Employee travel expenses, standard tax</t>
  </si>
  <si>
    <t>664000 - Entertainment expenses</t>
  </si>
  <si>
    <t>683700 - Expenses for temp. transfer of rights(licences, concessions)</t>
  </si>
  <si>
    <t>681000 - Fax and Internet costs</t>
  </si>
  <si>
    <t>632500 - Gas, electricity, water</t>
  </si>
  <si>
    <t>662000 - Gifts, non-deductible, without s. 37b EStG</t>
  </si>
  <si>
    <t>649500 - Hardware and software maintenance expenses</t>
  </si>
  <si>
    <t>685500 - Incidental monetary transaction costs</t>
  </si>
  <si>
    <t>640000 - Insurance premiums</t>
  </si>
  <si>
    <t>682500 - Legal and consulting costs</t>
  </si>
  <si>
    <t>633500 - Maintenance of operating premises</t>
  </si>
  <si>
    <t>660400 - Marketing material</t>
  </si>
  <si>
    <t>682000 - Newspapers, books</t>
  </si>
  <si>
    <t>664400 - Non-deductible entertainment expenses</t>
  </si>
  <si>
    <t>630500 - Occupancy costs</t>
  </si>
  <si>
    <t>681500 - Office supplies</t>
  </si>
  <si>
    <t>656000 - Operating leases (motor vehicles)</t>
  </si>
  <si>
    <t>684000 - Operating leases (mov. assets)</t>
  </si>
  <si>
    <t>696900 - Other infrequent expenses</t>
  </si>
  <si>
    <t>685000 - Other operating supplies</t>
  </si>
  <si>
    <t>649000 - Other repairs and maintenance</t>
  </si>
  <si>
    <t>682700 - Period-end closing and audit costs</t>
  </si>
  <si>
    <t>680000 - Postage</t>
  </si>
  <si>
    <t>696000 - Prior-period expenses if not extraordinary</t>
  </si>
  <si>
    <t>631000 - Rent (immovable property)</t>
  </si>
  <si>
    <t>683500 - Rent of fixtures and fittings (movable assets)</t>
  </si>
  <si>
    <t>646000 - Repairs and maintenance of technical equipment and machinery</t>
  </si>
  <si>
    <t>699400 - Selling expenses</t>
  </si>
  <si>
    <t>664300 - Small gifts</t>
  </si>
  <si>
    <t>680500 - Telephone</t>
  </si>
  <si>
    <t>678000 - Third-party services (distribution)</t>
  </si>
  <si>
    <t>660100 - Trade fare costs</t>
  </si>
  <si>
    <t>682100 - Training costs</t>
  </si>
  <si>
    <t>669900 - Travel costs liability adjustment account</t>
  </si>
  <si>
    <t>650035 - Vehicle Expenses KA-FS 5712/2 BMW 740d xDrive Limousine</t>
  </si>
  <si>
    <t>650033 - Vehicle expenses  KA-MW 8801 Mazda CX30</t>
  </si>
  <si>
    <t>650036 - Vehicle expenses KA-B 9884 Skodia Fabia</t>
  </si>
  <si>
    <t>650021 - Vehicle expenses KA-EW 1155 Skoda KODIAQ Drive 2.0 TDI</t>
  </si>
  <si>
    <t>650017 - Vehicle expenses KA-JM 1075 Skoda Superb</t>
  </si>
  <si>
    <t>650037 - Vehicle expenses KA-JR 1240 Audi Q3 Sportsback 45 TFSI</t>
  </si>
  <si>
    <t>650014 - Vehicle expenses KA-KS 1186 Mercedes GLA</t>
  </si>
  <si>
    <t>650012 - Vehicle expenses KA-M 3390 Tesla</t>
  </si>
  <si>
    <t>650042 - Vehicle expenses KA-MA 8090 Skoda Octavia Combi 2.0 TDI</t>
  </si>
  <si>
    <t>650034 - Vehicle expenses KA-MP 1019 KIA Xceed 1.4 T-GDI</t>
  </si>
  <si>
    <t>650011 - Vehicle expenses KA-S 2730 Skoda Octavia</t>
  </si>
  <si>
    <t>681600 - data processing demand</t>
  </si>
  <si>
    <t>Total Other operating expenses</t>
  </si>
  <si>
    <t>Total Operating expenses (except cost of materials)</t>
  </si>
  <si>
    <t>Total EBIT</t>
  </si>
  <si>
    <t>Financial result</t>
  </si>
  <si>
    <t>9. Income from long-term equity investments</t>
  </si>
  <si>
    <t>700100 - Income from long-term equity investments</t>
  </si>
  <si>
    <t>Total Income from long-term equity investments</t>
  </si>
  <si>
    <t>10. Income from other securities and long-term loans</t>
  </si>
  <si>
    <t>701100 - Income from long-term loans</t>
  </si>
  <si>
    <t>701000 - Income from other securities and long-term loans</t>
  </si>
  <si>
    <t>Total Income from other securities and long-term loans</t>
  </si>
  <si>
    <t>11. Other interest and similar income</t>
  </si>
  <si>
    <t>730800 - Interest expenses, section 233a AO, section 4(5b) EStG</t>
  </si>
  <si>
    <t>710000 - Other interest and similar income</t>
  </si>
  <si>
    <t>Total Other interest and similar income</t>
  </si>
  <si>
    <t>13. Interest and similar expenses</t>
  </si>
  <si>
    <t>736000 - Interest cost included in additions to pension provisions</t>
  </si>
  <si>
    <t>Total Interest and similar expenses</t>
  </si>
  <si>
    <t>Total Financial result</t>
  </si>
  <si>
    <t>14. Taxes on income</t>
  </si>
  <si>
    <t>763300 - Allow. solidarity surcharge on w/h tax invest. income, 25%</t>
  </si>
  <si>
    <t>760000 - Corporate income tax</t>
  </si>
  <si>
    <t>760800 - Solidarity surcharge</t>
  </si>
  <si>
    <t>761000 - Trade tax</t>
  </si>
  <si>
    <t>763000 - Withholding tax on investment income, 25%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</si>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</sst>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0" fontId="21" fillId="0" borderId="10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0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0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1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72.5" bestFit="1" customWidth="1"/>
    <col min="2" max="8" width="15.83203125" bestFit="1" customWidth="1"/>
  </cols>
  <sheetData>
    <row r="1" spans="1:8" ht="15.75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2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</row>
    <row r="6" spans="1:8" x14ac:dyDescent="0.2">
      <c r="A6" s="5" t="s">
        <v>13</v>
      </c>
      <c r="B6" s="6"/>
      <c r="C6" s="6"/>
      <c r="D6" s="6"/>
      <c r="E6" s="6"/>
      <c r="F6" s="6"/>
      <c r="G6" s="6"/>
      <c r="H6" s="6"/>
    </row>
    <row r="7" spans="1:8" x14ac:dyDescent="0.2">
      <c r="A7" s="7" t="s">
        <v>14</v>
      </c>
      <c r="B7" s="6"/>
      <c r="C7" s="6"/>
      <c r="D7" s="6"/>
      <c r="E7" s="6"/>
      <c r="F7" s="6"/>
      <c r="G7" s="6"/>
      <c r="H7" s="6"/>
    </row>
    <row r="8" spans="1:8" x14ac:dyDescent="0.2">
      <c r="A8" s="8" t="s">
        <v>15</v>
      </c>
      <c r="B8" s="6"/>
      <c r="C8" s="6"/>
      <c r="D8" s="6"/>
      <c r="E8" s="6"/>
      <c r="F8" s="6"/>
      <c r="G8" s="6"/>
      <c r="H8" s="6"/>
    </row>
    <row r="9" spans="1:8" x14ac:dyDescent="0.2">
      <c r="A9" s="9" t="s">
        <v>16</v>
      </c>
      <c r="B9" s="6"/>
      <c r="C9" s="6"/>
      <c r="D9" s="6"/>
      <c r="E9" s="6"/>
      <c r="F9" s="6"/>
      <c r="G9" s="6"/>
      <c r="H9" s="6"/>
    </row>
    <row r="10" spans="1:8" x14ac:dyDescent="0.2">
      <c r="A10" s="10" t="s">
        <v>17</v>
      </c>
      <c r="B10" s="6"/>
      <c r="C10" s="6"/>
      <c r="D10" s="6"/>
      <c r="E10" s="6"/>
      <c r="F10" s="6"/>
      <c r="G10" s="6"/>
      <c r="H10" s="6"/>
    </row>
    <row r="11" spans="1:8" x14ac:dyDescent="0.2">
      <c r="A11" s="11" t="s">
        <v>18</v>
      </c>
      <c r="B11" s="12">
        <v>0</v>
      </c>
      <c r="C11" s="12">
        <v>0</v>
      </c>
      <c r="D11" s="12">
        <v>0</v>
      </c>
      <c r="E11" s="12">
        <v>-406.41</v>
      </c>
      <c r="F11" s="12">
        <v>-915.43</v>
      </c>
      <c r="G11" s="12">
        <v>-2300.13</v>
      </c>
      <c r="H11" s="12">
        <f t="shared" ref="H11:H21" si="0">SUM(B11:G11)</f>
        <v>-3621.9700000000003</v>
      </c>
    </row>
    <row r="12" spans="1:8" x14ac:dyDescent="0.2">
      <c r="A12" s="11" t="s">
        <v>19</v>
      </c>
      <c r="B12" s="12">
        <v>0</v>
      </c>
      <c r="C12" s="12">
        <v>0</v>
      </c>
      <c r="D12" s="12">
        <v>0</v>
      </c>
      <c r="E12" s="12">
        <v>0</v>
      </c>
      <c r="F12" s="12">
        <v>-10516.25</v>
      </c>
      <c r="G12" s="12">
        <v>0</v>
      </c>
      <c r="H12" s="12">
        <f t="shared" si="0"/>
        <v>-10516.25</v>
      </c>
    </row>
    <row r="13" spans="1:8" x14ac:dyDescent="0.2">
      <c r="A13" s="11" t="s">
        <v>20</v>
      </c>
      <c r="B13" s="12">
        <v>0</v>
      </c>
      <c r="C13" s="12">
        <v>0</v>
      </c>
      <c r="D13" s="12">
        <v>0</v>
      </c>
      <c r="E13" s="12">
        <v>-5784.94</v>
      </c>
      <c r="F13" s="12">
        <v>5784.94</v>
      </c>
      <c r="G13" s="12">
        <v>12888.55</v>
      </c>
      <c r="H13" s="12">
        <f t="shared" si="0"/>
        <v>12888.55</v>
      </c>
    </row>
    <row r="14" spans="1:8" x14ac:dyDescent="0.2">
      <c r="A14" s="11" t="s">
        <v>21</v>
      </c>
      <c r="B14" s="12">
        <v>-39.549999999999997</v>
      </c>
      <c r="C14" s="12">
        <v>-39.549999999999997</v>
      </c>
      <c r="D14" s="12">
        <v>-39.57</v>
      </c>
      <c r="E14" s="12">
        <v>-40.74</v>
      </c>
      <c r="F14" s="12">
        <v>-40.74</v>
      </c>
      <c r="G14" s="12">
        <v>-40.74</v>
      </c>
      <c r="H14" s="12">
        <f t="shared" si="0"/>
        <v>-240.89000000000001</v>
      </c>
    </row>
    <row r="15" spans="1:8" x14ac:dyDescent="0.2">
      <c r="A15" s="11" t="s">
        <v>22</v>
      </c>
      <c r="B15" s="12">
        <v>-5635.11</v>
      </c>
      <c r="C15" s="12">
        <v>-6047.84</v>
      </c>
      <c r="D15" s="12">
        <v>-5671.53</v>
      </c>
      <c r="E15" s="12">
        <v>0</v>
      </c>
      <c r="F15" s="12">
        <v>-20220.38</v>
      </c>
      <c r="G15" s="12">
        <v>-31563.9</v>
      </c>
      <c r="H15" s="12">
        <f t="shared" si="0"/>
        <v>-69138.760000000009</v>
      </c>
    </row>
    <row r="16" spans="1:8" x14ac:dyDescent="0.2">
      <c r="A16" s="11" t="s">
        <v>23</v>
      </c>
      <c r="B16" s="12">
        <v>75445.753637999995</v>
      </c>
      <c r="C16" s="12">
        <v>2579.726588</v>
      </c>
      <c r="D16" s="12">
        <v>-172615.58496199999</v>
      </c>
      <c r="E16" s="12">
        <v>-78113.485656999997</v>
      </c>
      <c r="F16" s="12">
        <v>-20461.628939999999</v>
      </c>
      <c r="G16" s="12">
        <v>126685.21</v>
      </c>
      <c r="H16" s="12">
        <f t="shared" si="0"/>
        <v>-66480.00933299998</v>
      </c>
    </row>
    <row r="17" spans="1:8" x14ac:dyDescent="0.2">
      <c r="A17" s="11" t="s">
        <v>24</v>
      </c>
      <c r="B17" s="12">
        <v>208679.0095593</v>
      </c>
      <c r="C17" s="12">
        <v>151585.31169408001</v>
      </c>
      <c r="D17" s="12">
        <v>163376.47658508</v>
      </c>
      <c r="E17" s="12">
        <v>136952.62541154001</v>
      </c>
      <c r="F17" s="12">
        <v>169216.31055147</v>
      </c>
      <c r="G17" s="12">
        <v>204900.42326208</v>
      </c>
      <c r="H17" s="12">
        <f t="shared" si="0"/>
        <v>1034710.1570635501</v>
      </c>
    </row>
    <row r="18" spans="1:8" x14ac:dyDescent="0.2">
      <c r="A18" s="11" t="s">
        <v>25</v>
      </c>
      <c r="B18" s="12">
        <v>1313449.1315568499</v>
      </c>
      <c r="C18" s="12">
        <v>1332077.31379789</v>
      </c>
      <c r="D18" s="12">
        <v>2013568.46424284</v>
      </c>
      <c r="E18" s="12">
        <v>1414819.8374761101</v>
      </c>
      <c r="F18" s="12">
        <v>1549098.5111428001</v>
      </c>
      <c r="G18" s="12">
        <v>1048459.2</v>
      </c>
      <c r="H18" s="12">
        <f t="shared" si="0"/>
        <v>8671472.4582164902</v>
      </c>
    </row>
    <row r="19" spans="1:8" x14ac:dyDescent="0.2">
      <c r="A19" s="11" t="s">
        <v>26</v>
      </c>
      <c r="B19" s="12">
        <v>21560</v>
      </c>
      <c r="C19" s="12">
        <v>29212.69</v>
      </c>
      <c r="D19" s="12">
        <v>32185.19</v>
      </c>
      <c r="E19" s="12">
        <v>28048.400000000001</v>
      </c>
      <c r="F19" s="12">
        <v>32764</v>
      </c>
      <c r="G19" s="12">
        <v>23177</v>
      </c>
      <c r="H19" s="12">
        <f t="shared" si="0"/>
        <v>166947.28</v>
      </c>
    </row>
    <row r="20" spans="1:8" x14ac:dyDescent="0.2">
      <c r="A20" s="11" t="s">
        <v>27</v>
      </c>
      <c r="B20" s="12">
        <v>145972.81</v>
      </c>
      <c r="C20" s="12">
        <v>250811.51999999999</v>
      </c>
      <c r="D20" s="12">
        <v>267677.45</v>
      </c>
      <c r="E20" s="12">
        <v>211796.64</v>
      </c>
      <c r="F20" s="12">
        <v>168202.66</v>
      </c>
      <c r="G20" s="12">
        <v>456272.48</v>
      </c>
      <c r="H20" s="12">
        <f t="shared" si="0"/>
        <v>1500733.56</v>
      </c>
    </row>
    <row r="21" spans="1:8" x14ac:dyDescent="0.2">
      <c r="A21" s="11" t="s">
        <v>28</v>
      </c>
      <c r="B21" s="12">
        <v>-4000</v>
      </c>
      <c r="C21" s="12">
        <v>-6000</v>
      </c>
      <c r="D21" s="12">
        <v>-7000</v>
      </c>
      <c r="E21" s="12">
        <v>-5500</v>
      </c>
      <c r="F21" s="12">
        <v>-5500</v>
      </c>
      <c r="G21" s="12">
        <v>-5000</v>
      </c>
      <c r="H21" s="12">
        <f t="shared" si="0"/>
        <v>-33000</v>
      </c>
    </row>
    <row r="22" spans="1:8" x14ac:dyDescent="0.2">
      <c r="A22" s="13" t="s">
        <v>29</v>
      </c>
      <c r="B22" s="14">
        <f t="shared" ref="B22:H22" si="1">SUM(B11:B21)</f>
        <v>1755432.0447541499</v>
      </c>
      <c r="C22" s="14">
        <f t="shared" si="1"/>
        <v>1754179.1720799699</v>
      </c>
      <c r="D22" s="14">
        <f t="shared" si="1"/>
        <v>2291480.89586592</v>
      </c>
      <c r="E22" s="14">
        <f t="shared" si="1"/>
        <v>1701771.9272306501</v>
      </c>
      <c r="F22" s="14">
        <f t="shared" si="1"/>
        <v>1867411.9927542701</v>
      </c>
      <c r="G22" s="14">
        <f t="shared" si="1"/>
        <v>1833478.0932620799</v>
      </c>
      <c r="H22" s="14">
        <f t="shared" si="1"/>
        <v>11203754.12594704</v>
      </c>
    </row>
    <row r="23" spans="1:8" x14ac:dyDescent="0.2">
      <c r="A23" s="10" t="s">
        <v>30</v>
      </c>
      <c r="B23" s="6"/>
      <c r="C23" s="6"/>
      <c r="D23" s="6"/>
      <c r="E23" s="6"/>
      <c r="F23" s="6"/>
      <c r="G23" s="6"/>
      <c r="H23" s="6"/>
    </row>
    <row r="24" spans="1:8" x14ac:dyDescent="0.2">
      <c r="A24" s="11" t="s">
        <v>31</v>
      </c>
      <c r="B24" s="12">
        <v>7180.27</v>
      </c>
      <c r="C24" s="12">
        <v>7180.27</v>
      </c>
      <c r="D24" s="12">
        <v>7180.27</v>
      </c>
      <c r="E24" s="12">
        <v>7180.27</v>
      </c>
      <c r="F24" s="12">
        <v>6860.18</v>
      </c>
      <c r="G24" s="12">
        <v>7180.27</v>
      </c>
      <c r="H24" s="12">
        <f t="shared" ref="H24:H31" si="2">SUM(B24:G24)</f>
        <v>42761.53</v>
      </c>
    </row>
    <row r="25" spans="1:8" x14ac:dyDescent="0.2">
      <c r="A25" s="11" t="s">
        <v>32</v>
      </c>
      <c r="B25" s="12">
        <v>79.83</v>
      </c>
      <c r="C25" s="12">
        <v>94.96</v>
      </c>
      <c r="D25" s="12">
        <v>102.52</v>
      </c>
      <c r="E25" s="12">
        <v>163.88</v>
      </c>
      <c r="F25" s="12">
        <v>163.88</v>
      </c>
      <c r="G25" s="12">
        <v>163.88</v>
      </c>
      <c r="H25" s="12">
        <f t="shared" si="2"/>
        <v>768.94999999999993</v>
      </c>
    </row>
    <row r="26" spans="1:8" x14ac:dyDescent="0.2">
      <c r="A26" s="11" t="s">
        <v>33</v>
      </c>
      <c r="B26" s="12">
        <v>0</v>
      </c>
      <c r="C26" s="12">
        <v>0</v>
      </c>
      <c r="D26" s="12">
        <v>0</v>
      </c>
      <c r="E26" s="12">
        <v>0</v>
      </c>
      <c r="F26" s="12">
        <v>647.58000000000004</v>
      </c>
      <c r="G26" s="12">
        <v>0</v>
      </c>
      <c r="H26" s="12">
        <f t="shared" si="2"/>
        <v>647.58000000000004</v>
      </c>
    </row>
    <row r="27" spans="1:8" x14ac:dyDescent="0.2">
      <c r="A27" s="11" t="s">
        <v>34</v>
      </c>
      <c r="B27" s="12">
        <v>0</v>
      </c>
      <c r="C27" s="12">
        <v>0</v>
      </c>
      <c r="D27" s="12">
        <v>0</v>
      </c>
      <c r="E27" s="12">
        <v>5413.13</v>
      </c>
      <c r="F27" s="12">
        <v>0</v>
      </c>
      <c r="G27" s="12">
        <v>0</v>
      </c>
      <c r="H27" s="12">
        <f t="shared" si="2"/>
        <v>5413.13</v>
      </c>
    </row>
    <row r="28" spans="1:8" x14ac:dyDescent="0.2">
      <c r="A28" s="11" t="s">
        <v>35</v>
      </c>
      <c r="B28" s="12">
        <v>0</v>
      </c>
      <c r="C28" s="12">
        <v>115.94216335</v>
      </c>
      <c r="D28" s="12">
        <v>0</v>
      </c>
      <c r="E28" s="12">
        <v>0</v>
      </c>
      <c r="F28" s="12">
        <v>0</v>
      </c>
      <c r="G28" s="12">
        <v>0</v>
      </c>
      <c r="H28" s="12">
        <f t="shared" si="2"/>
        <v>115.94216335</v>
      </c>
    </row>
    <row r="29" spans="1:8" x14ac:dyDescent="0.2">
      <c r="A29" s="11" t="s">
        <v>36</v>
      </c>
      <c r="B29" s="12">
        <v>0</v>
      </c>
      <c r="C29" s="12">
        <v>0</v>
      </c>
      <c r="D29" s="12">
        <v>-0.02</v>
      </c>
      <c r="E29" s="12">
        <v>203.37</v>
      </c>
      <c r="F29" s="12">
        <v>0</v>
      </c>
      <c r="G29" s="12">
        <v>4245.63</v>
      </c>
      <c r="H29" s="12">
        <f t="shared" si="2"/>
        <v>4448.9800000000005</v>
      </c>
    </row>
    <row r="30" spans="1:8" x14ac:dyDescent="0.2">
      <c r="A30" s="11" t="s">
        <v>37</v>
      </c>
      <c r="B30" s="12">
        <v>4700</v>
      </c>
      <c r="C30" s="12">
        <v>4700</v>
      </c>
      <c r="D30" s="12">
        <v>4700</v>
      </c>
      <c r="E30" s="12">
        <v>0</v>
      </c>
      <c r="F30" s="12">
        <v>0</v>
      </c>
      <c r="G30" s="12">
        <v>0</v>
      </c>
      <c r="H30" s="12">
        <f t="shared" si="2"/>
        <v>14100</v>
      </c>
    </row>
    <row r="31" spans="1:8" x14ac:dyDescent="0.2">
      <c r="A31" s="11" t="s">
        <v>38</v>
      </c>
      <c r="B31" s="12">
        <v>0</v>
      </c>
      <c r="C31" s="12">
        <v>0.01</v>
      </c>
      <c r="D31" s="12">
        <v>0.01</v>
      </c>
      <c r="E31" s="12">
        <v>0</v>
      </c>
      <c r="F31" s="12">
        <v>0</v>
      </c>
      <c r="G31" s="12">
        <v>-0.03</v>
      </c>
      <c r="H31" s="12">
        <f t="shared" si="2"/>
        <v>-9.9999999999999985E-3</v>
      </c>
    </row>
    <row r="32" spans="1:8" x14ac:dyDescent="0.2">
      <c r="A32" s="13" t="s">
        <v>39</v>
      </c>
      <c r="B32" s="14">
        <f t="shared" ref="B32:H32" si="3">SUM(B24:B31)</f>
        <v>11960.1</v>
      </c>
      <c r="C32" s="14">
        <f t="shared" si="3"/>
        <v>12091.18216335</v>
      </c>
      <c r="D32" s="14">
        <f t="shared" si="3"/>
        <v>11982.78</v>
      </c>
      <c r="E32" s="14">
        <f t="shared" si="3"/>
        <v>12960.650000000001</v>
      </c>
      <c r="F32" s="14">
        <f t="shared" si="3"/>
        <v>7671.64</v>
      </c>
      <c r="G32" s="14">
        <f t="shared" si="3"/>
        <v>11589.75</v>
      </c>
      <c r="H32" s="14">
        <f t="shared" si="3"/>
        <v>68256.102163350006</v>
      </c>
    </row>
    <row r="33" spans="1:8" x14ac:dyDescent="0.2">
      <c r="A33" s="15" t="s">
        <v>40</v>
      </c>
      <c r="B33" s="14">
        <f t="shared" ref="B33:H33" si="4">B22+0+0+B32</f>
        <v>1767392.14475415</v>
      </c>
      <c r="C33" s="14">
        <f t="shared" si="4"/>
        <v>1766270.3542433199</v>
      </c>
      <c r="D33" s="14">
        <f t="shared" si="4"/>
        <v>2303463.6758659198</v>
      </c>
      <c r="E33" s="14">
        <f t="shared" si="4"/>
        <v>1714732.57723065</v>
      </c>
      <c r="F33" s="14">
        <f t="shared" si="4"/>
        <v>1875083.63275427</v>
      </c>
      <c r="G33" s="14">
        <f t="shared" si="4"/>
        <v>1845067.8432620799</v>
      </c>
      <c r="H33" s="14">
        <f t="shared" si="4"/>
        <v>11272010.22811039</v>
      </c>
    </row>
    <row r="34" spans="1:8" x14ac:dyDescent="0.2">
      <c r="A34" s="9" t="s">
        <v>41</v>
      </c>
      <c r="B34" s="6"/>
      <c r="C34" s="6"/>
      <c r="D34" s="6"/>
      <c r="E34" s="6"/>
      <c r="F34" s="6"/>
      <c r="G34" s="6"/>
      <c r="H34" s="6"/>
    </row>
    <row r="35" spans="1:8" x14ac:dyDescent="0.2">
      <c r="A35" s="10" t="s">
        <v>42</v>
      </c>
      <c r="B35" s="6"/>
      <c r="C35" s="6"/>
      <c r="D35" s="6"/>
      <c r="E35" s="6"/>
      <c r="F35" s="6"/>
      <c r="G35" s="6"/>
      <c r="H35" s="6"/>
    </row>
    <row r="36" spans="1:8" x14ac:dyDescent="0.2">
      <c r="A36" s="11" t="s">
        <v>43</v>
      </c>
      <c r="B36" s="12">
        <v>0</v>
      </c>
      <c r="C36" s="12">
        <v>0</v>
      </c>
      <c r="D36" s="12">
        <v>191.8</v>
      </c>
      <c r="E36" s="12">
        <v>0</v>
      </c>
      <c r="F36" s="12">
        <v>0</v>
      </c>
      <c r="G36" s="12">
        <v>0</v>
      </c>
      <c r="H36" s="12">
        <f t="shared" ref="H36:H41" si="5">SUM(B36:G36)</f>
        <v>191.8</v>
      </c>
    </row>
    <row r="37" spans="1:8" x14ac:dyDescent="0.2">
      <c r="A37" s="11" t="s">
        <v>44</v>
      </c>
      <c r="B37" s="12">
        <v>0</v>
      </c>
      <c r="C37" s="12">
        <v>0</v>
      </c>
      <c r="D37" s="12">
        <v>0</v>
      </c>
      <c r="E37" s="12">
        <v>0</v>
      </c>
      <c r="F37" s="12">
        <v>-30540.833778</v>
      </c>
      <c r="G37" s="12">
        <v>0</v>
      </c>
      <c r="H37" s="12">
        <f t="shared" si="5"/>
        <v>-30540.833778</v>
      </c>
    </row>
    <row r="38" spans="1:8" x14ac:dyDescent="0.2">
      <c r="A38" s="11" t="s">
        <v>45</v>
      </c>
      <c r="B38" s="12">
        <v>-2151.5</v>
      </c>
      <c r="C38" s="12">
        <v>-24168</v>
      </c>
      <c r="D38" s="12">
        <v>-154450.23228299999</v>
      </c>
      <c r="E38" s="12">
        <v>-7527.5</v>
      </c>
      <c r="F38" s="12">
        <v>-19833.93</v>
      </c>
      <c r="G38" s="12">
        <v>0</v>
      </c>
      <c r="H38" s="12">
        <f t="shared" si="5"/>
        <v>-208131.16228299998</v>
      </c>
    </row>
    <row r="39" spans="1:8" x14ac:dyDescent="0.2">
      <c r="A39" s="11" t="s">
        <v>46</v>
      </c>
      <c r="B39" s="12">
        <v>-0.11</v>
      </c>
      <c r="C39" s="12">
        <v>0.01</v>
      </c>
      <c r="D39" s="12">
        <v>-0.02</v>
      </c>
      <c r="E39" s="12">
        <v>-0.08</v>
      </c>
      <c r="F39" s="12">
        <v>0</v>
      </c>
      <c r="G39" s="12">
        <v>0</v>
      </c>
      <c r="H39" s="12">
        <f t="shared" si="5"/>
        <v>-0.2</v>
      </c>
    </row>
    <row r="40" spans="1:8" x14ac:dyDescent="0.2">
      <c r="A40" s="11" t="s">
        <v>47</v>
      </c>
      <c r="B40" s="12">
        <v>0.02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f t="shared" si="5"/>
        <v>0.02</v>
      </c>
    </row>
    <row r="41" spans="1:8" x14ac:dyDescent="0.2">
      <c r="A41" s="11" t="s">
        <v>48</v>
      </c>
      <c r="B41" s="12">
        <v>0.11</v>
      </c>
      <c r="C41" s="12">
        <v>-0.1</v>
      </c>
      <c r="D41" s="12">
        <v>0</v>
      </c>
      <c r="E41" s="12">
        <v>0</v>
      </c>
      <c r="F41" s="12">
        <v>-0.01</v>
      </c>
      <c r="G41" s="12">
        <v>-0.01</v>
      </c>
      <c r="H41" s="12">
        <f t="shared" si="5"/>
        <v>-1.0000000000000005E-2</v>
      </c>
    </row>
    <row r="42" spans="1:8" x14ac:dyDescent="0.2">
      <c r="A42" s="13" t="s">
        <v>49</v>
      </c>
      <c r="B42" s="14">
        <f t="shared" ref="B42:H42" si="6">SUM(B36:B41)</f>
        <v>-2151.48</v>
      </c>
      <c r="C42" s="14">
        <f t="shared" si="6"/>
        <v>-24168.09</v>
      </c>
      <c r="D42" s="14">
        <f t="shared" si="6"/>
        <v>-154258.45228299999</v>
      </c>
      <c r="E42" s="14">
        <f t="shared" si="6"/>
        <v>-7527.58</v>
      </c>
      <c r="F42" s="14">
        <f t="shared" si="6"/>
        <v>-50374.773778000002</v>
      </c>
      <c r="G42" s="14">
        <f t="shared" si="6"/>
        <v>-0.01</v>
      </c>
      <c r="H42" s="14">
        <f t="shared" si="6"/>
        <v>-238480.38606100003</v>
      </c>
    </row>
    <row r="43" spans="1:8" x14ac:dyDescent="0.2">
      <c r="A43" s="10" t="s">
        <v>50</v>
      </c>
      <c r="B43" s="6"/>
      <c r="C43" s="6"/>
      <c r="D43" s="6"/>
      <c r="E43" s="6"/>
      <c r="F43" s="6"/>
      <c r="G43" s="6"/>
      <c r="H43" s="6"/>
    </row>
    <row r="44" spans="1:8" x14ac:dyDescent="0.2">
      <c r="A44" s="11" t="s">
        <v>51</v>
      </c>
      <c r="B44" s="12">
        <v>-40492.300000000003</v>
      </c>
      <c r="C44" s="12">
        <v>-46901.27</v>
      </c>
      <c r="D44" s="12">
        <v>-73425.009999999995</v>
      </c>
      <c r="E44" s="12">
        <v>-34648.839999999997</v>
      </c>
      <c r="F44" s="12">
        <v>-99310.59</v>
      </c>
      <c r="G44" s="12">
        <v>-63620.81</v>
      </c>
      <c r="H44" s="12">
        <f>SUM(B44:G44)</f>
        <v>-358398.82</v>
      </c>
    </row>
    <row r="45" spans="1:8" x14ac:dyDescent="0.2">
      <c r="A45" s="11" t="s">
        <v>52</v>
      </c>
      <c r="B45" s="12">
        <v>-147055.22463000001</v>
      </c>
      <c r="C45" s="12">
        <v>-123798.330224</v>
      </c>
      <c r="D45" s="12">
        <v>-38590.032675000002</v>
      </c>
      <c r="E45" s="12">
        <v>-52920.456525000001</v>
      </c>
      <c r="F45" s="12">
        <v>-68057.292914000005</v>
      </c>
      <c r="G45" s="12">
        <v>-94256.663996000003</v>
      </c>
      <c r="H45" s="12">
        <f>SUM(B45:G45)</f>
        <v>-524678.00096400001</v>
      </c>
    </row>
    <row r="46" spans="1:8" x14ac:dyDescent="0.2">
      <c r="A46" s="11" t="s">
        <v>53</v>
      </c>
      <c r="B46" s="12">
        <v>-63846</v>
      </c>
      <c r="C46" s="12">
        <v>-80389.86</v>
      </c>
      <c r="D46" s="12">
        <v>-49224</v>
      </c>
      <c r="E46" s="12">
        <v>-43755.29</v>
      </c>
      <c r="F46" s="12">
        <v>-81245.61</v>
      </c>
      <c r="G46" s="12">
        <v>-92642</v>
      </c>
      <c r="H46" s="12">
        <f>SUM(B46:G46)</f>
        <v>-411102.76</v>
      </c>
    </row>
    <row r="47" spans="1:8" x14ac:dyDescent="0.2">
      <c r="A47" s="13" t="s">
        <v>54</v>
      </c>
      <c r="B47" s="14">
        <f t="shared" ref="B47:H47" si="7">SUM(B44:B46)</f>
        <v>-251393.52463</v>
      </c>
      <c r="C47" s="14">
        <f t="shared" si="7"/>
        <v>-251089.46022399998</v>
      </c>
      <c r="D47" s="14">
        <f t="shared" si="7"/>
        <v>-161239.042675</v>
      </c>
      <c r="E47" s="14">
        <f t="shared" si="7"/>
        <v>-131324.58652499999</v>
      </c>
      <c r="F47" s="14">
        <f t="shared" si="7"/>
        <v>-248613.492914</v>
      </c>
      <c r="G47" s="14">
        <f t="shared" si="7"/>
        <v>-250519.47399600002</v>
      </c>
      <c r="H47" s="14">
        <f t="shared" si="7"/>
        <v>-1294179.580964</v>
      </c>
    </row>
    <row r="48" spans="1:8" x14ac:dyDescent="0.2">
      <c r="A48" s="15" t="s">
        <v>55</v>
      </c>
      <c r="B48" s="14">
        <f t="shared" ref="B48:H48" si="8">B42+B47</f>
        <v>-253545.00463000001</v>
      </c>
      <c r="C48" s="14">
        <f t="shared" si="8"/>
        <v>-275257.55022400001</v>
      </c>
      <c r="D48" s="14">
        <f t="shared" si="8"/>
        <v>-315497.49495800002</v>
      </c>
      <c r="E48" s="14">
        <f t="shared" si="8"/>
        <v>-138852.16652499998</v>
      </c>
      <c r="F48" s="14">
        <f t="shared" si="8"/>
        <v>-298988.26669199998</v>
      </c>
      <c r="G48" s="14">
        <f t="shared" si="8"/>
        <v>-250519.48399600002</v>
      </c>
      <c r="H48" s="14">
        <f t="shared" si="8"/>
        <v>-1532659.9670249999</v>
      </c>
    </row>
    <row r="49" spans="1:8" x14ac:dyDescent="0.2">
      <c r="A49" s="16" t="s">
        <v>56</v>
      </c>
      <c r="B49" s="14">
        <f t="shared" ref="B49:H49" si="9">B33+B48</f>
        <v>1513847.1401241499</v>
      </c>
      <c r="C49" s="14">
        <f t="shared" si="9"/>
        <v>1491012.8040193198</v>
      </c>
      <c r="D49" s="14">
        <f t="shared" si="9"/>
        <v>1987966.1809079198</v>
      </c>
      <c r="E49" s="14">
        <f t="shared" si="9"/>
        <v>1575880.41070565</v>
      </c>
      <c r="F49" s="14">
        <f t="shared" si="9"/>
        <v>1576095.36606227</v>
      </c>
      <c r="G49" s="14">
        <f t="shared" si="9"/>
        <v>1594548.35926608</v>
      </c>
      <c r="H49" s="14">
        <f t="shared" si="9"/>
        <v>9739350.2610853892</v>
      </c>
    </row>
    <row r="50" spans="1:8" x14ac:dyDescent="0.2">
      <c r="A50" s="8" t="s">
        <v>57</v>
      </c>
      <c r="B50" s="6"/>
      <c r="C50" s="6"/>
      <c r="D50" s="6"/>
      <c r="E50" s="6"/>
      <c r="F50" s="6"/>
      <c r="G50" s="6"/>
      <c r="H50" s="6"/>
    </row>
    <row r="51" spans="1:8" x14ac:dyDescent="0.2">
      <c r="A51" s="9" t="s">
        <v>58</v>
      </c>
      <c r="B51" s="6"/>
      <c r="C51" s="6"/>
      <c r="D51" s="6"/>
      <c r="E51" s="6"/>
      <c r="F51" s="6"/>
      <c r="G51" s="6"/>
      <c r="H51" s="6"/>
    </row>
    <row r="52" spans="1:8" x14ac:dyDescent="0.2">
      <c r="A52" s="10" t="s">
        <v>59</v>
      </c>
      <c r="B52" s="6"/>
      <c r="C52" s="6"/>
      <c r="D52" s="6"/>
      <c r="E52" s="6"/>
      <c r="F52" s="6"/>
      <c r="G52" s="6"/>
      <c r="H52" s="6"/>
    </row>
    <row r="53" spans="1:8" x14ac:dyDescent="0.2">
      <c r="A53" s="11" t="s">
        <v>60</v>
      </c>
      <c r="B53" s="12">
        <v>-6660.2556096999997</v>
      </c>
      <c r="C53" s="12">
        <v>-1330.2467698</v>
      </c>
      <c r="D53" s="12">
        <v>-1237.88673365</v>
      </c>
      <c r="E53" s="12">
        <v>-14977.383182199999</v>
      </c>
      <c r="F53" s="12">
        <v>-2437.2774727999999</v>
      </c>
      <c r="G53" s="12">
        <v>-93</v>
      </c>
      <c r="H53" s="12">
        <f t="shared" ref="H53:H61" si="10">SUM(B53:G53)</f>
        <v>-26736.049768149998</v>
      </c>
    </row>
    <row r="54" spans="1:8" x14ac:dyDescent="0.2">
      <c r="A54" s="11" t="s">
        <v>61</v>
      </c>
      <c r="B54" s="12">
        <v>-2081.04</v>
      </c>
      <c r="C54" s="12">
        <v>-2186.65</v>
      </c>
      <c r="D54" s="12">
        <v>-2184.8200000000002</v>
      </c>
      <c r="E54" s="12">
        <v>-2347.59</v>
      </c>
      <c r="F54" s="12">
        <v>-2316.7399999999998</v>
      </c>
      <c r="G54" s="12">
        <v>-2432.88</v>
      </c>
      <c r="H54" s="12">
        <f t="shared" si="10"/>
        <v>-13549.720000000001</v>
      </c>
    </row>
    <row r="55" spans="1:8" x14ac:dyDescent="0.2">
      <c r="A55" s="11" t="s">
        <v>62</v>
      </c>
      <c r="B55" s="12">
        <v>-8742.9699999999993</v>
      </c>
      <c r="C55" s="12">
        <v>-8745.35</v>
      </c>
      <c r="D55" s="12">
        <v>-8787.92</v>
      </c>
      <c r="E55" s="12">
        <v>-8876.23</v>
      </c>
      <c r="F55" s="12">
        <v>-9839.75</v>
      </c>
      <c r="G55" s="12">
        <v>-10183.35</v>
      </c>
      <c r="H55" s="12">
        <f t="shared" si="10"/>
        <v>-55175.57</v>
      </c>
    </row>
    <row r="56" spans="1:8" x14ac:dyDescent="0.2">
      <c r="A56" s="11" t="s">
        <v>63</v>
      </c>
      <c r="B56" s="12">
        <v>-333.67</v>
      </c>
      <c r="C56" s="12">
        <v>-333.67</v>
      </c>
      <c r="D56" s="12">
        <v>-333.67</v>
      </c>
      <c r="E56" s="12">
        <v>-333.67</v>
      </c>
      <c r="F56" s="12">
        <v>-333.67</v>
      </c>
      <c r="G56" s="12">
        <v>-333.67</v>
      </c>
      <c r="H56" s="12">
        <f t="shared" si="10"/>
        <v>-2002.0200000000002</v>
      </c>
    </row>
    <row r="57" spans="1:8" x14ac:dyDescent="0.2">
      <c r="A57" s="11" t="s">
        <v>64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-1000</v>
      </c>
      <c r="H57" s="12">
        <f t="shared" si="10"/>
        <v>-1000</v>
      </c>
    </row>
    <row r="58" spans="1:8" x14ac:dyDescent="0.2">
      <c r="A58" s="11" t="s">
        <v>65</v>
      </c>
      <c r="B58" s="12">
        <v>-132374.09693589999</v>
      </c>
      <c r="C58" s="12">
        <v>-134501.47258840001</v>
      </c>
      <c r="D58" s="12">
        <v>25779.886021720002</v>
      </c>
      <c r="E58" s="12">
        <v>-157802.90952232</v>
      </c>
      <c r="F58" s="12">
        <v>-157179.79366056001</v>
      </c>
      <c r="G58" s="12">
        <v>-177364.22453024</v>
      </c>
      <c r="H58" s="12">
        <f t="shared" si="10"/>
        <v>-733442.61121569993</v>
      </c>
    </row>
    <row r="59" spans="1:8" x14ac:dyDescent="0.2">
      <c r="A59" s="11" t="s">
        <v>66</v>
      </c>
      <c r="B59" s="12">
        <v>0</v>
      </c>
      <c r="C59" s="12">
        <v>0</v>
      </c>
      <c r="D59" s="12">
        <v>0</v>
      </c>
      <c r="E59" s="12">
        <v>-719.54</v>
      </c>
      <c r="F59" s="12">
        <v>-359.77</v>
      </c>
      <c r="G59" s="12">
        <v>0</v>
      </c>
      <c r="H59" s="12">
        <f t="shared" si="10"/>
        <v>-1079.31</v>
      </c>
    </row>
    <row r="60" spans="1:8" x14ac:dyDescent="0.2">
      <c r="A60" s="11" t="s">
        <v>67</v>
      </c>
      <c r="B60" s="12">
        <v>-5494.03</v>
      </c>
      <c r="C60" s="12">
        <v>-13146.67607299</v>
      </c>
      <c r="D60" s="12">
        <v>-14363.96543805</v>
      </c>
      <c r="E60" s="12">
        <v>-2394.5500000000002</v>
      </c>
      <c r="F60" s="12">
        <v>-2761.24</v>
      </c>
      <c r="G60" s="12">
        <v>-2053.4899999999998</v>
      </c>
      <c r="H60" s="12">
        <f t="shared" si="10"/>
        <v>-40213.951511039995</v>
      </c>
    </row>
    <row r="61" spans="1:8" x14ac:dyDescent="0.2">
      <c r="A61" s="11" t="s">
        <v>68</v>
      </c>
      <c r="B61" s="12">
        <v>-103.33</v>
      </c>
      <c r="C61" s="12">
        <v>-93.33</v>
      </c>
      <c r="D61" s="12">
        <v>-906.74</v>
      </c>
      <c r="E61" s="12">
        <v>-98.9</v>
      </c>
      <c r="F61" s="12">
        <v>-1172.02</v>
      </c>
      <c r="G61" s="12">
        <v>-98.9</v>
      </c>
      <c r="H61" s="12">
        <f t="shared" si="10"/>
        <v>-2473.2200000000003</v>
      </c>
    </row>
    <row r="62" spans="1:8" x14ac:dyDescent="0.2">
      <c r="A62" s="13" t="s">
        <v>69</v>
      </c>
      <c r="B62" s="14">
        <f t="shared" ref="B62:H62" si="11">SUM(B53:B61)</f>
        <v>-155789.39254559996</v>
      </c>
      <c r="C62" s="14">
        <f t="shared" si="11"/>
        <v>-160337.39543119</v>
      </c>
      <c r="D62" s="14">
        <f t="shared" si="11"/>
        <v>-2035.1161499799985</v>
      </c>
      <c r="E62" s="14">
        <f t="shared" si="11"/>
        <v>-187550.77270451997</v>
      </c>
      <c r="F62" s="14">
        <f t="shared" si="11"/>
        <v>-176400.26113335998</v>
      </c>
      <c r="G62" s="14">
        <f t="shared" si="11"/>
        <v>-193559.51453023998</v>
      </c>
      <c r="H62" s="14">
        <f t="shared" si="11"/>
        <v>-875672.45249488996</v>
      </c>
    </row>
    <row r="63" spans="1:8" x14ac:dyDescent="0.2">
      <c r="A63" s="10" t="s">
        <v>70</v>
      </c>
      <c r="B63" s="6"/>
      <c r="C63" s="6"/>
      <c r="D63" s="6"/>
      <c r="E63" s="6"/>
      <c r="F63" s="6"/>
      <c r="G63" s="6"/>
      <c r="H63" s="6"/>
    </row>
    <row r="64" spans="1:8" x14ac:dyDescent="0.2">
      <c r="A64" s="11" t="s">
        <v>71</v>
      </c>
      <c r="B64" s="12">
        <v>-33.11</v>
      </c>
      <c r="C64" s="12">
        <v>-33.11</v>
      </c>
      <c r="D64" s="12">
        <v>-106.21</v>
      </c>
      <c r="E64" s="12">
        <v>-33.11</v>
      </c>
      <c r="F64" s="12">
        <v>-33.11</v>
      </c>
      <c r="G64" s="12">
        <v>-33.11</v>
      </c>
      <c r="H64" s="12">
        <f t="shared" ref="H64:H72" si="12">SUM(B64:G64)</f>
        <v>-271.76000000000005</v>
      </c>
    </row>
    <row r="65" spans="1:8" x14ac:dyDescent="0.2">
      <c r="A65" s="11" t="s">
        <v>72</v>
      </c>
      <c r="B65" s="12">
        <v>0</v>
      </c>
      <c r="C65" s="12">
        <v>0</v>
      </c>
      <c r="D65" s="12">
        <v>-1196.29</v>
      </c>
      <c r="E65" s="12">
        <v>0</v>
      </c>
      <c r="F65" s="12">
        <v>-149.28</v>
      </c>
      <c r="G65" s="12">
        <v>0</v>
      </c>
      <c r="H65" s="12">
        <f t="shared" si="12"/>
        <v>-1345.57</v>
      </c>
    </row>
    <row r="66" spans="1:8" x14ac:dyDescent="0.2">
      <c r="A66" s="11" t="s">
        <v>73</v>
      </c>
      <c r="B66" s="12">
        <v>-7152.43</v>
      </c>
      <c r="C66" s="12">
        <v>-7170.43</v>
      </c>
      <c r="D66" s="12">
        <v>-7179.43</v>
      </c>
      <c r="E66" s="12">
        <v>-7252.43</v>
      </c>
      <c r="F66" s="12">
        <v>-6871.53</v>
      </c>
      <c r="G66" s="12">
        <v>-7252.43</v>
      </c>
      <c r="H66" s="12">
        <f t="shared" si="12"/>
        <v>-42878.68</v>
      </c>
    </row>
    <row r="67" spans="1:8" x14ac:dyDescent="0.2">
      <c r="A67" s="11" t="s">
        <v>74</v>
      </c>
      <c r="B67" s="12">
        <v>-46878.27</v>
      </c>
      <c r="C67" s="12">
        <v>-47804.37</v>
      </c>
      <c r="D67" s="12">
        <v>-51159.08</v>
      </c>
      <c r="E67" s="12">
        <v>-56104.45</v>
      </c>
      <c r="F67" s="12">
        <v>-53975.66</v>
      </c>
      <c r="G67" s="12">
        <v>-98745.3</v>
      </c>
      <c r="H67" s="12">
        <f t="shared" si="12"/>
        <v>-354667.13</v>
      </c>
    </row>
    <row r="68" spans="1:8" x14ac:dyDescent="0.2">
      <c r="A68" s="11" t="s">
        <v>75</v>
      </c>
      <c r="B68" s="12">
        <v>-704489.04679118004</v>
      </c>
      <c r="C68" s="12">
        <v>-715247.31511600001</v>
      </c>
      <c r="D68" s="12">
        <v>-780849.28860612004</v>
      </c>
      <c r="E68" s="12">
        <v>-830021.67861499998</v>
      </c>
      <c r="F68" s="12">
        <v>-844323.19117424998</v>
      </c>
      <c r="G68" s="12">
        <v>-845414.19653743994</v>
      </c>
      <c r="H68" s="12">
        <f t="shared" si="12"/>
        <v>-4720344.7168399896</v>
      </c>
    </row>
    <row r="69" spans="1:8" x14ac:dyDescent="0.2">
      <c r="A69" s="11" t="s">
        <v>76</v>
      </c>
      <c r="B69" s="12">
        <v>-95602.81</v>
      </c>
      <c r="C69" s="12">
        <v>-96295.2</v>
      </c>
      <c r="D69" s="12">
        <v>-107423.89</v>
      </c>
      <c r="E69" s="12">
        <v>-108031.11</v>
      </c>
      <c r="F69" s="12">
        <v>-99895.42</v>
      </c>
      <c r="G69" s="12">
        <v>-197918.03</v>
      </c>
      <c r="H69" s="12">
        <f t="shared" si="12"/>
        <v>-705166.46</v>
      </c>
    </row>
    <row r="70" spans="1:8" x14ac:dyDescent="0.2">
      <c r="A70" s="11" t="s">
        <v>77</v>
      </c>
      <c r="B70" s="12">
        <v>3842.57</v>
      </c>
      <c r="C70" s="12">
        <v>-32865.3295</v>
      </c>
      <c r="D70" s="12">
        <v>-36068.230000000003</v>
      </c>
      <c r="E70" s="12">
        <v>-7219.86</v>
      </c>
      <c r="F70" s="12">
        <v>-51532.800000000003</v>
      </c>
      <c r="G70" s="12">
        <v>-94946.21</v>
      </c>
      <c r="H70" s="12">
        <f t="shared" si="12"/>
        <v>-218789.85950000002</v>
      </c>
    </row>
    <row r="71" spans="1:8" x14ac:dyDescent="0.2">
      <c r="A71" s="11" t="s">
        <v>78</v>
      </c>
      <c r="B71" s="12">
        <v>102188.99</v>
      </c>
      <c r="C71" s="12">
        <v>11003.6</v>
      </c>
      <c r="D71" s="12">
        <v>2157.5700000000002</v>
      </c>
      <c r="E71" s="12">
        <v>863.03</v>
      </c>
      <c r="F71" s="12">
        <v>1726.05</v>
      </c>
      <c r="G71" s="12">
        <v>15966.01</v>
      </c>
      <c r="H71" s="12">
        <f t="shared" si="12"/>
        <v>133905.25000000003</v>
      </c>
    </row>
    <row r="72" spans="1:8" x14ac:dyDescent="0.2">
      <c r="A72" s="11" t="s">
        <v>79</v>
      </c>
      <c r="B72" s="12">
        <v>-1273.81</v>
      </c>
      <c r="C72" s="12">
        <v>-1192.97</v>
      </c>
      <c r="D72" s="12">
        <v>-1211.1300000000001</v>
      </c>
      <c r="E72" s="12">
        <v>-1276.8499999999999</v>
      </c>
      <c r="F72" s="12">
        <v>-1949.23</v>
      </c>
      <c r="G72" s="12">
        <v>-1789.77</v>
      </c>
      <c r="H72" s="12">
        <f t="shared" si="12"/>
        <v>-8693.76</v>
      </c>
    </row>
    <row r="73" spans="1:8" x14ac:dyDescent="0.2">
      <c r="A73" s="13" t="s">
        <v>80</v>
      </c>
      <c r="B73" s="14">
        <f t="shared" ref="B73:H73" si="13">SUM(B64:B72)</f>
        <v>-749397.91679118027</v>
      </c>
      <c r="C73" s="14">
        <f t="shared" si="13"/>
        <v>-889605.12461599999</v>
      </c>
      <c r="D73" s="14">
        <f t="shared" si="13"/>
        <v>-983035.9786061201</v>
      </c>
      <c r="E73" s="14">
        <f t="shared" si="13"/>
        <v>-1009076.4586149999</v>
      </c>
      <c r="F73" s="14">
        <f t="shared" si="13"/>
        <v>-1057004.1711742498</v>
      </c>
      <c r="G73" s="14">
        <f t="shared" si="13"/>
        <v>-1230133.0365374398</v>
      </c>
      <c r="H73" s="14">
        <f t="shared" si="13"/>
        <v>-5918252.6863399893</v>
      </c>
    </row>
    <row r="74" spans="1:8" x14ac:dyDescent="0.2">
      <c r="A74" s="15" t="s">
        <v>81</v>
      </c>
      <c r="B74" s="14">
        <f t="shared" ref="B74:H74" si="14">B62+B73</f>
        <v>-905187.30933678022</v>
      </c>
      <c r="C74" s="14">
        <f t="shared" si="14"/>
        <v>-1049942.5200471899</v>
      </c>
      <c r="D74" s="14">
        <f t="shared" si="14"/>
        <v>-985071.09475610009</v>
      </c>
      <c r="E74" s="14">
        <f t="shared" si="14"/>
        <v>-1196627.2313195199</v>
      </c>
      <c r="F74" s="14">
        <f t="shared" si="14"/>
        <v>-1233404.4323076098</v>
      </c>
      <c r="G74" s="14">
        <f t="shared" si="14"/>
        <v>-1423692.5510676797</v>
      </c>
      <c r="H74" s="14">
        <f t="shared" si="14"/>
        <v>-6793925.1388348788</v>
      </c>
    </row>
    <row r="75" spans="1:8" x14ac:dyDescent="0.2">
      <c r="A75" s="9" t="s">
        <v>82</v>
      </c>
      <c r="B75" s="6"/>
      <c r="C75" s="6"/>
      <c r="D75" s="6"/>
      <c r="E75" s="6"/>
      <c r="F75" s="6"/>
      <c r="G75" s="6"/>
      <c r="H75" s="6"/>
    </row>
    <row r="76" spans="1:8" x14ac:dyDescent="0.2">
      <c r="A76" s="10" t="s">
        <v>83</v>
      </c>
      <c r="B76" s="6"/>
      <c r="C76" s="6"/>
      <c r="D76" s="6"/>
      <c r="E76" s="6"/>
      <c r="F76" s="6"/>
      <c r="G76" s="6"/>
      <c r="H76" s="6"/>
    </row>
    <row r="77" spans="1:8" x14ac:dyDescent="0.2">
      <c r="A77" s="11" t="s">
        <v>84</v>
      </c>
      <c r="B77" s="12">
        <v>-38.89</v>
      </c>
      <c r="C77" s="12">
        <v>-38.89</v>
      </c>
      <c r="D77" s="12">
        <v>-38.89</v>
      </c>
      <c r="E77" s="12">
        <v>-38.89</v>
      </c>
      <c r="F77" s="12">
        <v>-38.89</v>
      </c>
      <c r="G77" s="12">
        <v>-38.89</v>
      </c>
      <c r="H77" s="12">
        <f>SUM(B77:G77)</f>
        <v>-233.33999999999997</v>
      </c>
    </row>
    <row r="78" spans="1:8" x14ac:dyDescent="0.2">
      <c r="A78" s="11" t="s">
        <v>85</v>
      </c>
      <c r="B78" s="12">
        <v>-3444.12</v>
      </c>
      <c r="C78" s="12">
        <v>-3507.43</v>
      </c>
      <c r="D78" s="12">
        <v>-3484.86</v>
      </c>
      <c r="E78" s="12">
        <v>-4227.6499999999996</v>
      </c>
      <c r="F78" s="12">
        <v>-4227.6499999999996</v>
      </c>
      <c r="G78" s="12">
        <v>-4265.55</v>
      </c>
      <c r="H78" s="12">
        <f>SUM(B78:G78)</f>
        <v>-23157.26</v>
      </c>
    </row>
    <row r="79" spans="1:8" x14ac:dyDescent="0.2">
      <c r="A79" s="11" t="s">
        <v>86</v>
      </c>
      <c r="B79" s="12">
        <v>-739.94</v>
      </c>
      <c r="C79" s="12">
        <v>-739.94</v>
      </c>
      <c r="D79" s="12">
        <v>-739.94</v>
      </c>
      <c r="E79" s="12">
        <v>-739.94</v>
      </c>
      <c r="F79" s="12">
        <v>-739.94</v>
      </c>
      <c r="G79" s="12">
        <v>-739.94</v>
      </c>
      <c r="H79" s="12">
        <f>SUM(B79:G79)</f>
        <v>-4439.6400000000003</v>
      </c>
    </row>
    <row r="80" spans="1:8" x14ac:dyDescent="0.2">
      <c r="A80" s="11" t="s">
        <v>87</v>
      </c>
      <c r="B80" s="12">
        <v>-1760</v>
      </c>
      <c r="C80" s="12">
        <v>-2305.81</v>
      </c>
      <c r="D80" s="12">
        <v>-8768.44</v>
      </c>
      <c r="E80" s="12">
        <v>-5256.3129546800001</v>
      </c>
      <c r="F80" s="12">
        <v>-1143.6800551199999</v>
      </c>
      <c r="G80" s="12">
        <v>-2303.7199999999998</v>
      </c>
      <c r="H80" s="12">
        <f>SUM(B80:G80)</f>
        <v>-21537.963009800002</v>
      </c>
    </row>
    <row r="81" spans="1:8" x14ac:dyDescent="0.2">
      <c r="A81" s="13" t="s">
        <v>88</v>
      </c>
      <c r="B81" s="14">
        <f t="shared" ref="B81:H81" si="15">SUM(B77:B80)</f>
        <v>-5982.95</v>
      </c>
      <c r="C81" s="14">
        <f t="shared" si="15"/>
        <v>-6592.07</v>
      </c>
      <c r="D81" s="14">
        <f t="shared" si="15"/>
        <v>-13032.130000000001</v>
      </c>
      <c r="E81" s="14">
        <f t="shared" si="15"/>
        <v>-10262.792954680001</v>
      </c>
      <c r="F81" s="14">
        <f t="shared" si="15"/>
        <v>-6150.160055119999</v>
      </c>
      <c r="G81" s="14">
        <f t="shared" si="15"/>
        <v>-7348.1</v>
      </c>
      <c r="H81" s="14">
        <f t="shared" si="15"/>
        <v>-49368.203009799996</v>
      </c>
    </row>
    <row r="82" spans="1:8" x14ac:dyDescent="0.2">
      <c r="A82" s="15" t="s">
        <v>89</v>
      </c>
      <c r="B82" s="14">
        <f t="shared" ref="B82:H82" si="16">B81+0</f>
        <v>-5982.95</v>
      </c>
      <c r="C82" s="14">
        <f t="shared" si="16"/>
        <v>-6592.07</v>
      </c>
      <c r="D82" s="14">
        <f t="shared" si="16"/>
        <v>-13032.130000000001</v>
      </c>
      <c r="E82" s="14">
        <f t="shared" si="16"/>
        <v>-10262.792954680001</v>
      </c>
      <c r="F82" s="14">
        <f t="shared" si="16"/>
        <v>-6150.160055119999</v>
      </c>
      <c r="G82" s="14">
        <f t="shared" si="16"/>
        <v>-7348.1</v>
      </c>
      <c r="H82" s="14">
        <f t="shared" si="16"/>
        <v>-49368.203009799996</v>
      </c>
    </row>
    <row r="83" spans="1:8" x14ac:dyDescent="0.2">
      <c r="A83" s="9" t="s">
        <v>90</v>
      </c>
      <c r="B83" s="6"/>
      <c r="C83" s="6"/>
      <c r="D83" s="6"/>
      <c r="E83" s="6"/>
      <c r="F83" s="6"/>
      <c r="G83" s="6"/>
      <c r="H83" s="6"/>
    </row>
    <row r="84" spans="1:8" x14ac:dyDescent="0.2">
      <c r="A84" s="17" t="s">
        <v>91</v>
      </c>
      <c r="B84" s="12">
        <v>-756.21</v>
      </c>
      <c r="C84" s="12">
        <v>-471.8</v>
      </c>
      <c r="D84" s="12">
        <v>-1762.78188</v>
      </c>
      <c r="E84" s="12">
        <v>-4800.5142594199997</v>
      </c>
      <c r="F84" s="12">
        <v>-1986.62837986</v>
      </c>
      <c r="G84" s="12">
        <v>-5902.5281640000003</v>
      </c>
      <c r="H84" s="12">
        <f t="shared" ref="H84:H115" si="17">SUM(B84:G84)</f>
        <v>-15680.462683279999</v>
      </c>
    </row>
    <row r="85" spans="1:8" x14ac:dyDescent="0.2">
      <c r="A85" s="17" t="s">
        <v>92</v>
      </c>
      <c r="B85" s="12">
        <v>-1338.71</v>
      </c>
      <c r="C85" s="12">
        <v>-1338.71</v>
      </c>
      <c r="D85" s="12">
        <v>-1831.04</v>
      </c>
      <c r="E85" s="12">
        <v>-2563.66</v>
      </c>
      <c r="F85" s="12">
        <v>-2563.66</v>
      </c>
      <c r="G85" s="12">
        <v>-2563.66</v>
      </c>
      <c r="H85" s="12">
        <f t="shared" si="17"/>
        <v>-12199.439999999999</v>
      </c>
    </row>
    <row r="86" spans="1:8" x14ac:dyDescent="0.2">
      <c r="A86" s="17" t="s">
        <v>93</v>
      </c>
      <c r="B86" s="12">
        <v>-1400</v>
      </c>
      <c r="C86" s="12">
        <v>-1400</v>
      </c>
      <c r="D86" s="12">
        <v>-1400</v>
      </c>
      <c r="E86" s="12">
        <v>-1500</v>
      </c>
      <c r="F86" s="12">
        <v>-1500</v>
      </c>
      <c r="G86" s="12">
        <v>-1807.65</v>
      </c>
      <c r="H86" s="12">
        <f t="shared" si="17"/>
        <v>-9007.65</v>
      </c>
    </row>
    <row r="87" spans="1:8" x14ac:dyDescent="0.2">
      <c r="A87" s="17" t="s">
        <v>94</v>
      </c>
      <c r="B87" s="12">
        <v>-3209.16</v>
      </c>
      <c r="C87" s="12">
        <v>-3520.46</v>
      </c>
      <c r="D87" s="12">
        <v>-3266.18</v>
      </c>
      <c r="E87" s="12">
        <v>-3762.04</v>
      </c>
      <c r="F87" s="12">
        <v>-3321.6441794799998</v>
      </c>
      <c r="G87" s="12">
        <v>-829.19</v>
      </c>
      <c r="H87" s="12">
        <f t="shared" si="17"/>
        <v>-17908.67417948</v>
      </c>
    </row>
    <row r="88" spans="1:8" x14ac:dyDescent="0.2">
      <c r="A88" s="17" t="s">
        <v>95</v>
      </c>
      <c r="B88" s="12">
        <v>-3997.6568000000002</v>
      </c>
      <c r="C88" s="12">
        <v>-4239.42</v>
      </c>
      <c r="D88" s="12">
        <v>-15129.55557067</v>
      </c>
      <c r="E88" s="12">
        <v>-3400.6107637099999</v>
      </c>
      <c r="F88" s="12">
        <v>-2352.131445</v>
      </c>
      <c r="G88" s="12">
        <v>-1826.56</v>
      </c>
      <c r="H88" s="12">
        <f t="shared" si="17"/>
        <v>-30945.934579379998</v>
      </c>
    </row>
    <row r="89" spans="1:8" x14ac:dyDescent="0.2">
      <c r="A89" s="17" t="s">
        <v>96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2">
        <v>-35.74</v>
      </c>
      <c r="H89" s="12">
        <f t="shared" si="17"/>
        <v>-35.74</v>
      </c>
    </row>
    <row r="90" spans="1:8" x14ac:dyDescent="0.2">
      <c r="A90" s="17" t="s">
        <v>97</v>
      </c>
      <c r="B90" s="12">
        <v>-10983.65</v>
      </c>
      <c r="C90" s="12">
        <v>14399.33</v>
      </c>
      <c r="D90" s="12">
        <v>-12214.25</v>
      </c>
      <c r="E90" s="12">
        <v>-7235.23</v>
      </c>
      <c r="F90" s="12">
        <v>31066.58</v>
      </c>
      <c r="G90" s="12">
        <v>-20876.5</v>
      </c>
      <c r="H90" s="12">
        <f t="shared" si="17"/>
        <v>-5843.7199999999975</v>
      </c>
    </row>
    <row r="91" spans="1:8" x14ac:dyDescent="0.2">
      <c r="A91" s="17" t="s">
        <v>98</v>
      </c>
      <c r="B91" s="12">
        <v>0</v>
      </c>
      <c r="C91" s="12">
        <v>0</v>
      </c>
      <c r="D91" s="12">
        <v>-1246.27</v>
      </c>
      <c r="E91" s="12">
        <v>0</v>
      </c>
      <c r="F91" s="12">
        <v>0</v>
      </c>
      <c r="G91" s="12">
        <v>0</v>
      </c>
      <c r="H91" s="12">
        <f t="shared" si="17"/>
        <v>-1246.27</v>
      </c>
    </row>
    <row r="92" spans="1:8" x14ac:dyDescent="0.2">
      <c r="A92" s="17" t="s">
        <v>99</v>
      </c>
      <c r="B92" s="12">
        <v>0</v>
      </c>
      <c r="C92" s="12">
        <v>-1262.46</v>
      </c>
      <c r="D92" s="12">
        <v>-1906.56</v>
      </c>
      <c r="E92" s="12">
        <v>-2391.4499999999998</v>
      </c>
      <c r="F92" s="12">
        <v>-1185.9000000000001</v>
      </c>
      <c r="G92" s="12">
        <v>-1507.5</v>
      </c>
      <c r="H92" s="12">
        <f t="shared" si="17"/>
        <v>-8253.869999999999</v>
      </c>
    </row>
    <row r="93" spans="1:8" x14ac:dyDescent="0.2">
      <c r="A93" s="17" t="s">
        <v>100</v>
      </c>
      <c r="B93" s="12">
        <v>-4635.78</v>
      </c>
      <c r="C93" s="12">
        <v>-9870.9</v>
      </c>
      <c r="D93" s="12">
        <v>-8414.48</v>
      </c>
      <c r="E93" s="12">
        <v>-11865.82</v>
      </c>
      <c r="F93" s="12">
        <v>-10409.58</v>
      </c>
      <c r="G93" s="12">
        <v>-8553.17</v>
      </c>
      <c r="H93" s="12">
        <f t="shared" si="17"/>
        <v>-53749.729999999996</v>
      </c>
    </row>
    <row r="94" spans="1:8" x14ac:dyDescent="0.2">
      <c r="A94" s="17" t="s">
        <v>101</v>
      </c>
      <c r="B94" s="12">
        <v>-7133.33</v>
      </c>
      <c r="C94" s="12">
        <v>-5063.1899999999996</v>
      </c>
      <c r="D94" s="12">
        <v>-4980.03</v>
      </c>
      <c r="E94" s="12">
        <v>-6415.45</v>
      </c>
      <c r="F94" s="12">
        <v>-5263.48</v>
      </c>
      <c r="G94" s="12">
        <v>-5705.2</v>
      </c>
      <c r="H94" s="12">
        <f t="shared" si="17"/>
        <v>-34560.68</v>
      </c>
    </row>
    <row r="95" spans="1:8" x14ac:dyDescent="0.2">
      <c r="A95" s="17" t="s">
        <v>102</v>
      </c>
      <c r="B95" s="12">
        <v>-2896.25</v>
      </c>
      <c r="C95" s="12">
        <v>-3023.17</v>
      </c>
      <c r="D95" s="12">
        <v>-1536.76</v>
      </c>
      <c r="E95" s="12">
        <v>-3769.12</v>
      </c>
      <c r="F95" s="12">
        <v>-5180.57</v>
      </c>
      <c r="G95" s="12">
        <v>-3893.11</v>
      </c>
      <c r="H95" s="12">
        <f t="shared" si="17"/>
        <v>-20298.98</v>
      </c>
    </row>
    <row r="96" spans="1:8" x14ac:dyDescent="0.2">
      <c r="A96" s="17" t="s">
        <v>103</v>
      </c>
      <c r="B96" s="12">
        <v>-4849.7700000000004</v>
      </c>
      <c r="C96" s="12">
        <v>-7913.44</v>
      </c>
      <c r="D96" s="12">
        <v>-8298.08</v>
      </c>
      <c r="E96" s="12">
        <v>-4394.32</v>
      </c>
      <c r="F96" s="12">
        <v>-6790.71</v>
      </c>
      <c r="G96" s="12">
        <v>-10336.67</v>
      </c>
      <c r="H96" s="12">
        <f t="shared" si="17"/>
        <v>-42582.99</v>
      </c>
    </row>
    <row r="97" spans="1:8" x14ac:dyDescent="0.2">
      <c r="A97" s="17" t="s">
        <v>104</v>
      </c>
      <c r="B97" s="12">
        <v>-145.44</v>
      </c>
      <c r="C97" s="12">
        <v>-246.54</v>
      </c>
      <c r="D97" s="12">
        <v>-173.93</v>
      </c>
      <c r="E97" s="12">
        <v>-3337.7507368800002</v>
      </c>
      <c r="F97" s="12">
        <v>-1028.30574379</v>
      </c>
      <c r="G97" s="12">
        <v>-2753.32229856</v>
      </c>
      <c r="H97" s="12">
        <f t="shared" si="17"/>
        <v>-7685.2887792300007</v>
      </c>
    </row>
    <row r="98" spans="1:8" x14ac:dyDescent="0.2">
      <c r="A98" s="17" t="s">
        <v>105</v>
      </c>
      <c r="B98" s="12">
        <v>-230.98949999999999</v>
      </c>
      <c r="C98" s="12">
        <v>-3942</v>
      </c>
      <c r="D98" s="12">
        <v>-4136.3999999999996</v>
      </c>
      <c r="E98" s="12">
        <v>-4324.9546799999998</v>
      </c>
      <c r="F98" s="12">
        <v>-4264.6641</v>
      </c>
      <c r="G98" s="12">
        <v>-3303.9018000000001</v>
      </c>
      <c r="H98" s="12">
        <f t="shared" si="17"/>
        <v>-20202.910080000001</v>
      </c>
    </row>
    <row r="99" spans="1:8" x14ac:dyDescent="0.2">
      <c r="A99" s="17" t="s">
        <v>106</v>
      </c>
      <c r="B99" s="12">
        <v>-5179.8437725800004</v>
      </c>
      <c r="C99" s="12">
        <v>-11837.398189060001</v>
      </c>
      <c r="D99" s="12">
        <v>-8789.5924806300009</v>
      </c>
      <c r="E99" s="12">
        <v>-9472.3057193999994</v>
      </c>
      <c r="F99" s="12">
        <v>-7035.4072119000002</v>
      </c>
      <c r="G99" s="12">
        <v>-2531.3090636799998</v>
      </c>
      <c r="H99" s="12">
        <f t="shared" si="17"/>
        <v>-44845.856437249997</v>
      </c>
    </row>
    <row r="100" spans="1:8" x14ac:dyDescent="0.2">
      <c r="A100" s="17" t="s">
        <v>107</v>
      </c>
      <c r="B100" s="12">
        <v>0</v>
      </c>
      <c r="C100" s="12">
        <v>-869.5</v>
      </c>
      <c r="D100" s="12">
        <v>-413</v>
      </c>
      <c r="E100" s="12">
        <v>-88.45</v>
      </c>
      <c r="F100" s="12">
        <v>-1614.21</v>
      </c>
      <c r="G100" s="12">
        <v>-240.17</v>
      </c>
      <c r="H100" s="12">
        <f t="shared" si="17"/>
        <v>-3225.33</v>
      </c>
    </row>
    <row r="101" spans="1:8" x14ac:dyDescent="0.2">
      <c r="A101" s="17" t="s">
        <v>108</v>
      </c>
      <c r="B101" s="12">
        <v>-4437.4399999999996</v>
      </c>
      <c r="C101" s="12">
        <v>-4862.32</v>
      </c>
      <c r="D101" s="12">
        <v>-9380.89</v>
      </c>
      <c r="E101" s="12">
        <v>-7109.81</v>
      </c>
      <c r="F101" s="12">
        <v>-6289.01</v>
      </c>
      <c r="G101" s="12">
        <v>-8166.06</v>
      </c>
      <c r="H101" s="12">
        <f t="shared" si="17"/>
        <v>-40245.53</v>
      </c>
    </row>
    <row r="102" spans="1:8" x14ac:dyDescent="0.2">
      <c r="A102" s="17" t="s">
        <v>109</v>
      </c>
      <c r="B102" s="12">
        <v>-1072.9000000000001</v>
      </c>
      <c r="C102" s="12">
        <v>-723.45</v>
      </c>
      <c r="D102" s="12">
        <v>-755.62939184000004</v>
      </c>
      <c r="E102" s="12">
        <v>-759.41465796</v>
      </c>
      <c r="F102" s="12">
        <v>-1129.95966924</v>
      </c>
      <c r="G102" s="12">
        <v>-841.23</v>
      </c>
      <c r="H102" s="12">
        <f t="shared" si="17"/>
        <v>-5282.5837190399998</v>
      </c>
    </row>
    <row r="103" spans="1:8" x14ac:dyDescent="0.2">
      <c r="A103" s="17" t="s">
        <v>110</v>
      </c>
      <c r="B103" s="12">
        <v>-9155.81</v>
      </c>
      <c r="C103" s="12">
        <v>-13843.21</v>
      </c>
      <c r="D103" s="12">
        <v>-8438.2199999999993</v>
      </c>
      <c r="E103" s="12">
        <v>-9608.6845806700003</v>
      </c>
      <c r="F103" s="12">
        <v>-10788.69</v>
      </c>
      <c r="G103" s="12">
        <v>-9821.26</v>
      </c>
      <c r="H103" s="12">
        <f t="shared" si="17"/>
        <v>-61655.874580670003</v>
      </c>
    </row>
    <row r="104" spans="1:8" x14ac:dyDescent="0.2">
      <c r="A104" s="17" t="s">
        <v>111</v>
      </c>
      <c r="B104" s="12">
        <v>0</v>
      </c>
      <c r="C104" s="12">
        <v>0</v>
      </c>
      <c r="D104" s="12">
        <v>0</v>
      </c>
      <c r="E104" s="12">
        <v>0</v>
      </c>
      <c r="F104" s="12">
        <v>-130.80000000000001</v>
      </c>
      <c r="G104" s="12">
        <v>-130.80000000000001</v>
      </c>
      <c r="H104" s="12">
        <f t="shared" si="17"/>
        <v>-261.60000000000002</v>
      </c>
    </row>
    <row r="105" spans="1:8" x14ac:dyDescent="0.2">
      <c r="A105" s="17" t="s">
        <v>112</v>
      </c>
      <c r="B105" s="12">
        <v>-1636.21</v>
      </c>
      <c r="C105" s="12">
        <v>-1477.86</v>
      </c>
      <c r="D105" s="12">
        <v>-1667.46</v>
      </c>
      <c r="E105" s="12">
        <v>-1800.92</v>
      </c>
      <c r="F105" s="12">
        <v>-1636.21</v>
      </c>
      <c r="G105" s="12">
        <v>-1583.42</v>
      </c>
      <c r="H105" s="12">
        <f t="shared" si="17"/>
        <v>-9802.08</v>
      </c>
    </row>
    <row r="106" spans="1:8" x14ac:dyDescent="0.2">
      <c r="A106" s="17" t="s">
        <v>113</v>
      </c>
      <c r="B106" s="12">
        <v>-276.01</v>
      </c>
      <c r="C106" s="12">
        <v>-420.17315000000002</v>
      </c>
      <c r="D106" s="12">
        <v>-1775.0686346</v>
      </c>
      <c r="E106" s="12">
        <v>-465.92</v>
      </c>
      <c r="F106" s="12">
        <v>-350.71</v>
      </c>
      <c r="G106" s="12">
        <v>-1791.69</v>
      </c>
      <c r="H106" s="12">
        <f t="shared" si="17"/>
        <v>-5079.5717846000007</v>
      </c>
    </row>
    <row r="107" spans="1:8" x14ac:dyDescent="0.2">
      <c r="A107" s="17" t="s">
        <v>114</v>
      </c>
      <c r="B107" s="12">
        <v>-3541.0613231500001</v>
      </c>
      <c r="C107" s="12">
        <v>-7343.3498900499999</v>
      </c>
      <c r="D107" s="12">
        <v>-1486.18875445</v>
      </c>
      <c r="E107" s="12">
        <v>-2442.4122538000001</v>
      </c>
      <c r="F107" s="12">
        <v>-1723.5819592</v>
      </c>
      <c r="G107" s="12">
        <v>-2566.6062160000001</v>
      </c>
      <c r="H107" s="12">
        <f t="shared" si="17"/>
        <v>-19103.200396650001</v>
      </c>
    </row>
    <row r="108" spans="1:8" x14ac:dyDescent="0.2">
      <c r="A108" s="17" t="s">
        <v>115</v>
      </c>
      <c r="B108" s="12">
        <v>-1016.3538</v>
      </c>
      <c r="C108" s="12">
        <v>-8927.0572800000009</v>
      </c>
      <c r="D108" s="12">
        <v>-12383.878199999999</v>
      </c>
      <c r="E108" s="12">
        <v>-12441.37765</v>
      </c>
      <c r="F108" s="12">
        <v>-16475.344582450001</v>
      </c>
      <c r="G108" s="12">
        <v>-11505.949859959999</v>
      </c>
      <c r="H108" s="12">
        <f t="shared" si="17"/>
        <v>-62749.961372409998</v>
      </c>
    </row>
    <row r="109" spans="1:8" x14ac:dyDescent="0.2">
      <c r="A109" s="17" t="s">
        <v>116</v>
      </c>
      <c r="B109" s="12">
        <v>0</v>
      </c>
      <c r="C109" s="12">
        <v>0</v>
      </c>
      <c r="D109" s="12">
        <v>0</v>
      </c>
      <c r="E109" s="12">
        <v>0</v>
      </c>
      <c r="F109" s="12">
        <v>-128.63</v>
      </c>
      <c r="G109" s="12">
        <v>0</v>
      </c>
      <c r="H109" s="12">
        <f t="shared" si="17"/>
        <v>-128.63</v>
      </c>
    </row>
    <row r="110" spans="1:8" x14ac:dyDescent="0.2">
      <c r="A110" s="17" t="s">
        <v>117</v>
      </c>
      <c r="B110" s="12">
        <v>0</v>
      </c>
      <c r="C110" s="12">
        <v>0</v>
      </c>
      <c r="D110" s="12">
        <v>-3940.24</v>
      </c>
      <c r="E110" s="12">
        <v>-5002.53</v>
      </c>
      <c r="F110" s="12">
        <v>49.42</v>
      </c>
      <c r="G110" s="12">
        <v>0</v>
      </c>
      <c r="H110" s="12">
        <f t="shared" si="17"/>
        <v>-8893.35</v>
      </c>
    </row>
    <row r="111" spans="1:8" x14ac:dyDescent="0.2">
      <c r="A111" s="17" t="s">
        <v>118</v>
      </c>
      <c r="B111" s="12">
        <v>-14</v>
      </c>
      <c r="C111" s="12">
        <v>-25.23</v>
      </c>
      <c r="D111" s="12">
        <v>-27.63</v>
      </c>
      <c r="E111" s="12">
        <v>-26.74</v>
      </c>
      <c r="F111" s="12">
        <v>-41.32</v>
      </c>
      <c r="G111" s="12">
        <v>-26.74</v>
      </c>
      <c r="H111" s="12">
        <f t="shared" si="17"/>
        <v>-161.66</v>
      </c>
    </row>
    <row r="112" spans="1:8" x14ac:dyDescent="0.2">
      <c r="A112" s="17" t="s">
        <v>119</v>
      </c>
      <c r="B112" s="12">
        <v>0</v>
      </c>
      <c r="C112" s="12">
        <v>-372.64</v>
      </c>
      <c r="D112" s="12">
        <v>-278.39924895000001</v>
      </c>
      <c r="E112" s="12">
        <v>-1841.90026008</v>
      </c>
      <c r="F112" s="12">
        <v>-1069.2188190700001</v>
      </c>
      <c r="G112" s="12">
        <v>-594.19565395999996</v>
      </c>
      <c r="H112" s="12">
        <f t="shared" si="17"/>
        <v>-4156.3539820599999</v>
      </c>
    </row>
    <row r="113" spans="1:8" x14ac:dyDescent="0.2">
      <c r="A113" s="17" t="s">
        <v>120</v>
      </c>
      <c r="B113" s="12">
        <v>0</v>
      </c>
      <c r="C113" s="12">
        <v>0</v>
      </c>
      <c r="D113" s="12">
        <v>0</v>
      </c>
      <c r="E113" s="12">
        <v>-272.25</v>
      </c>
      <c r="F113" s="12">
        <v>-63.75</v>
      </c>
      <c r="G113" s="12">
        <v>-125</v>
      </c>
      <c r="H113" s="12">
        <f t="shared" si="17"/>
        <v>-461</v>
      </c>
    </row>
    <row r="114" spans="1:8" x14ac:dyDescent="0.2">
      <c r="A114" s="17" t="s">
        <v>121</v>
      </c>
      <c r="B114" s="12">
        <v>-793.07297544000005</v>
      </c>
      <c r="C114" s="12">
        <v>-405.25511103999997</v>
      </c>
      <c r="D114" s="12">
        <v>-2423.9873764700001</v>
      </c>
      <c r="E114" s="12">
        <v>-2567.1577590299999</v>
      </c>
      <c r="F114" s="12">
        <v>-3862.02091668</v>
      </c>
      <c r="G114" s="12">
        <v>-1053.6261193600001</v>
      </c>
      <c r="H114" s="12">
        <f t="shared" si="17"/>
        <v>-11105.120258020001</v>
      </c>
    </row>
    <row r="115" spans="1:8" x14ac:dyDescent="0.2">
      <c r="A115" s="17" t="s">
        <v>122</v>
      </c>
      <c r="B115" s="12">
        <v>0</v>
      </c>
      <c r="C115" s="12">
        <v>0</v>
      </c>
      <c r="D115" s="12">
        <v>0</v>
      </c>
      <c r="E115" s="12">
        <v>-13416.81192679</v>
      </c>
      <c r="F115" s="12">
        <v>-64.723413300000004</v>
      </c>
      <c r="G115" s="12">
        <v>-310.16000000000003</v>
      </c>
      <c r="H115" s="12">
        <f t="shared" si="17"/>
        <v>-13791.69534009</v>
      </c>
    </row>
    <row r="116" spans="1:8" x14ac:dyDescent="0.2">
      <c r="A116" s="17" t="s">
        <v>123</v>
      </c>
      <c r="B116" s="12">
        <v>-12400</v>
      </c>
      <c r="C116" s="12">
        <v>-12400</v>
      </c>
      <c r="D116" s="12">
        <v>-12400</v>
      </c>
      <c r="E116" s="12">
        <v>-12400</v>
      </c>
      <c r="F116" s="12">
        <v>-12400</v>
      </c>
      <c r="G116" s="12">
        <v>-12400</v>
      </c>
      <c r="H116" s="12">
        <f t="shared" ref="H116:H147" si="18">SUM(B116:G116)</f>
        <v>-74400</v>
      </c>
    </row>
    <row r="117" spans="1:8" x14ac:dyDescent="0.2">
      <c r="A117" s="17" t="s">
        <v>124</v>
      </c>
      <c r="B117" s="12">
        <v>0</v>
      </c>
      <c r="C117" s="12">
        <v>0</v>
      </c>
      <c r="D117" s="12">
        <v>0</v>
      </c>
      <c r="E117" s="12">
        <v>0</v>
      </c>
      <c r="F117" s="12">
        <v>80011</v>
      </c>
      <c r="G117" s="12">
        <v>0</v>
      </c>
      <c r="H117" s="12">
        <f t="shared" si="18"/>
        <v>80011</v>
      </c>
    </row>
    <row r="118" spans="1:8" x14ac:dyDescent="0.2">
      <c r="A118" s="17" t="s">
        <v>125</v>
      </c>
      <c r="B118" s="12">
        <v>-975.17726911</v>
      </c>
      <c r="C118" s="12">
        <v>-791.37870614999997</v>
      </c>
      <c r="D118" s="12">
        <v>-1121.76505567</v>
      </c>
      <c r="E118" s="12">
        <v>-1130.0105692899999</v>
      </c>
      <c r="F118" s="12">
        <v>-2304.5236159199999</v>
      </c>
      <c r="G118" s="12">
        <v>0</v>
      </c>
      <c r="H118" s="12">
        <f t="shared" si="18"/>
        <v>-6322.8552161400003</v>
      </c>
    </row>
    <row r="119" spans="1:8" x14ac:dyDescent="0.2">
      <c r="A119" s="17" t="s">
        <v>126</v>
      </c>
      <c r="B119" s="12">
        <v>0</v>
      </c>
      <c r="C119" s="12">
        <v>-303.23721284999999</v>
      </c>
      <c r="D119" s="12">
        <v>0</v>
      </c>
      <c r="E119" s="12">
        <v>-1319.8</v>
      </c>
      <c r="F119" s="12">
        <v>0</v>
      </c>
      <c r="G119" s="12">
        <v>0</v>
      </c>
      <c r="H119" s="12">
        <f t="shared" si="18"/>
        <v>-1623.0372128499998</v>
      </c>
    </row>
    <row r="120" spans="1:8" x14ac:dyDescent="0.2">
      <c r="A120" s="17" t="s">
        <v>127</v>
      </c>
      <c r="B120" s="12">
        <v>0</v>
      </c>
      <c r="C120" s="12">
        <v>0</v>
      </c>
      <c r="D120" s="12">
        <v>0</v>
      </c>
      <c r="E120" s="12">
        <v>-1912.1</v>
      </c>
      <c r="F120" s="12">
        <v>0</v>
      </c>
      <c r="G120" s="12">
        <v>-616.28</v>
      </c>
      <c r="H120" s="12">
        <f t="shared" si="18"/>
        <v>-2528.38</v>
      </c>
    </row>
    <row r="121" spans="1:8" x14ac:dyDescent="0.2">
      <c r="A121" s="17" t="s">
        <v>128</v>
      </c>
      <c r="B121" s="12">
        <v>-12.9</v>
      </c>
      <c r="C121" s="12">
        <v>-120.75</v>
      </c>
      <c r="D121" s="12">
        <v>-42.01</v>
      </c>
      <c r="E121" s="12">
        <v>-29.37</v>
      </c>
      <c r="F121" s="12">
        <v>-182.13184000000001</v>
      </c>
      <c r="G121" s="12">
        <v>-93.9</v>
      </c>
      <c r="H121" s="12">
        <f t="shared" si="18"/>
        <v>-481.06183999999996</v>
      </c>
    </row>
    <row r="122" spans="1:8" x14ac:dyDescent="0.2">
      <c r="A122" s="17" t="s">
        <v>129</v>
      </c>
      <c r="B122" s="12">
        <v>0.01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f t="shared" si="18"/>
        <v>0.01</v>
      </c>
    </row>
    <row r="123" spans="1:8" x14ac:dyDescent="0.2">
      <c r="A123" s="17" t="s">
        <v>130</v>
      </c>
      <c r="B123" s="12">
        <v>-38257.06</v>
      </c>
      <c r="C123" s="12">
        <v>-42676.008009969999</v>
      </c>
      <c r="D123" s="12">
        <v>-60622.130142599999</v>
      </c>
      <c r="E123" s="12">
        <v>-47466.126707099997</v>
      </c>
      <c r="F123" s="12">
        <v>-43649.5695204</v>
      </c>
      <c r="G123" s="12">
        <v>-40675.1</v>
      </c>
      <c r="H123" s="12">
        <f t="shared" si="18"/>
        <v>-273345.99438006995</v>
      </c>
    </row>
    <row r="124" spans="1:8" x14ac:dyDescent="0.2">
      <c r="A124" s="17" t="s">
        <v>131</v>
      </c>
      <c r="B124" s="12">
        <v>-800</v>
      </c>
      <c r="C124" s="12">
        <v>-800</v>
      </c>
      <c r="D124" s="12">
        <v>-800</v>
      </c>
      <c r="E124" s="12">
        <v>-800</v>
      </c>
      <c r="F124" s="12">
        <v>-800</v>
      </c>
      <c r="G124" s="12">
        <v>-800</v>
      </c>
      <c r="H124" s="12">
        <f t="shared" si="18"/>
        <v>-4800</v>
      </c>
    </row>
    <row r="125" spans="1:8" x14ac:dyDescent="0.2">
      <c r="A125" s="17" t="s">
        <v>132</v>
      </c>
      <c r="B125" s="12">
        <v>-804.48</v>
      </c>
      <c r="C125" s="12">
        <v>645</v>
      </c>
      <c r="D125" s="12">
        <v>0</v>
      </c>
      <c r="E125" s="12">
        <v>-715</v>
      </c>
      <c r="F125" s="12">
        <v>-152.5</v>
      </c>
      <c r="G125" s="12">
        <v>625</v>
      </c>
      <c r="H125" s="12">
        <f t="shared" si="18"/>
        <v>-401.98</v>
      </c>
    </row>
    <row r="126" spans="1:8" x14ac:dyDescent="0.2">
      <c r="A126" s="17" t="s">
        <v>133</v>
      </c>
      <c r="B126" s="12">
        <v>-9072.8700000000008</v>
      </c>
      <c r="C126" s="12">
        <v>-9345.2999999999993</v>
      </c>
      <c r="D126" s="12">
        <v>-23692.27</v>
      </c>
      <c r="E126" s="12">
        <v>-8000</v>
      </c>
      <c r="F126" s="12">
        <v>-9194.2199999999993</v>
      </c>
      <c r="G126" s="12">
        <v>-22957.32</v>
      </c>
      <c r="H126" s="12">
        <f t="shared" si="18"/>
        <v>-82261.98000000001</v>
      </c>
    </row>
    <row r="127" spans="1:8" x14ac:dyDescent="0.2">
      <c r="A127" s="17" t="s">
        <v>134</v>
      </c>
      <c r="B127" s="12">
        <v>-1141.71</v>
      </c>
      <c r="C127" s="12">
        <v>-1624.34</v>
      </c>
      <c r="D127" s="12">
        <v>-2383.62</v>
      </c>
      <c r="E127" s="12">
        <v>-1170.76</v>
      </c>
      <c r="F127" s="12">
        <v>-1818.78</v>
      </c>
      <c r="G127" s="12">
        <v>-2380.86</v>
      </c>
      <c r="H127" s="12">
        <f t="shared" si="18"/>
        <v>-10520.07</v>
      </c>
    </row>
    <row r="128" spans="1:8" x14ac:dyDescent="0.2">
      <c r="A128" s="17" t="s">
        <v>135</v>
      </c>
      <c r="B128" s="12">
        <v>-2783.1539050900001</v>
      </c>
      <c r="C128" s="12">
        <v>-3061.1263580700002</v>
      </c>
      <c r="D128" s="12">
        <v>-2776.0392346799999</v>
      </c>
      <c r="E128" s="12">
        <v>-3493.1710823600001</v>
      </c>
      <c r="F128" s="12">
        <v>-2780.2964418800002</v>
      </c>
      <c r="G128" s="12">
        <v>-2896.1998342400002</v>
      </c>
      <c r="H128" s="12">
        <f t="shared" si="18"/>
        <v>-17789.98685632</v>
      </c>
    </row>
    <row r="129" spans="1:8" x14ac:dyDescent="0.2">
      <c r="A129" s="17" t="s">
        <v>136</v>
      </c>
      <c r="B129" s="12">
        <v>-65600</v>
      </c>
      <c r="C129" s="12">
        <v>-65600</v>
      </c>
      <c r="D129" s="12">
        <v>-69854</v>
      </c>
      <c r="E129" s="12">
        <v>-30584.9</v>
      </c>
      <c r="F129" s="12">
        <v>-645</v>
      </c>
      <c r="G129" s="12">
        <v>-50920</v>
      </c>
      <c r="H129" s="12">
        <f t="shared" si="18"/>
        <v>-283203.90000000002</v>
      </c>
    </row>
    <row r="130" spans="1:8" x14ac:dyDescent="0.2">
      <c r="A130" s="17" t="s">
        <v>137</v>
      </c>
      <c r="B130" s="12">
        <v>-84.85</v>
      </c>
      <c r="C130" s="12">
        <v>-76.64</v>
      </c>
      <c r="D130" s="12">
        <v>-291.08999999999997</v>
      </c>
      <c r="E130" s="12">
        <v>-82.11</v>
      </c>
      <c r="F130" s="12">
        <v>-4584.7700000000004</v>
      </c>
      <c r="G130" s="12">
        <v>-571.89</v>
      </c>
      <c r="H130" s="12">
        <f t="shared" si="18"/>
        <v>-5691.35</v>
      </c>
    </row>
    <row r="131" spans="1:8" x14ac:dyDescent="0.2">
      <c r="A131" s="17" t="s">
        <v>138</v>
      </c>
      <c r="B131" s="12">
        <v>-829.83</v>
      </c>
      <c r="C131" s="12">
        <v>-1014.75</v>
      </c>
      <c r="D131" s="12">
        <v>-2979.16</v>
      </c>
      <c r="E131" s="12">
        <v>-2523.0023999999999</v>
      </c>
      <c r="F131" s="12">
        <v>-3366.84</v>
      </c>
      <c r="G131" s="12">
        <v>-1020.35</v>
      </c>
      <c r="H131" s="12">
        <f t="shared" si="18"/>
        <v>-11733.9324</v>
      </c>
    </row>
    <row r="132" spans="1:8" x14ac:dyDescent="0.2">
      <c r="A132" s="17" t="s">
        <v>139</v>
      </c>
      <c r="B132" s="12">
        <v>0</v>
      </c>
      <c r="C132" s="12">
        <v>11.2</v>
      </c>
      <c r="D132" s="12">
        <v>-259.8</v>
      </c>
      <c r="E132" s="12">
        <v>-936.1</v>
      </c>
      <c r="F132" s="12">
        <v>0</v>
      </c>
      <c r="G132" s="12">
        <v>0</v>
      </c>
      <c r="H132" s="12">
        <f t="shared" si="18"/>
        <v>-1184.7</v>
      </c>
    </row>
    <row r="133" spans="1:8" x14ac:dyDescent="0.2">
      <c r="A133" s="17" t="s">
        <v>140</v>
      </c>
      <c r="B133" s="12">
        <v>-1681.1</v>
      </c>
      <c r="C133" s="12">
        <v>-1971.51</v>
      </c>
      <c r="D133" s="12">
        <v>-1774.57</v>
      </c>
      <c r="E133" s="12">
        <v>-2396.8200000000002</v>
      </c>
      <c r="F133" s="12">
        <v>-1588.71</v>
      </c>
      <c r="G133" s="12">
        <v>-1529.12</v>
      </c>
      <c r="H133" s="12">
        <f t="shared" si="18"/>
        <v>-10941.829999999998</v>
      </c>
    </row>
    <row r="134" spans="1:8" x14ac:dyDescent="0.2">
      <c r="A134" s="17" t="s">
        <v>141</v>
      </c>
      <c r="B134" s="12">
        <v>-321.91000000000003</v>
      </c>
      <c r="C134" s="12">
        <v>-395.38</v>
      </c>
      <c r="D134" s="12">
        <v>-390.33</v>
      </c>
      <c r="E134" s="12">
        <v>-1075.9000000000001</v>
      </c>
      <c r="F134" s="12">
        <v>-321.91000000000003</v>
      </c>
      <c r="G134" s="12">
        <v>-454.6</v>
      </c>
      <c r="H134" s="12">
        <f t="shared" si="18"/>
        <v>-2960.0299999999997</v>
      </c>
    </row>
    <row r="135" spans="1:8" x14ac:dyDescent="0.2">
      <c r="A135" s="17" t="s">
        <v>142</v>
      </c>
      <c r="B135" s="12">
        <v>-268.27</v>
      </c>
      <c r="C135" s="12">
        <v>-259.73</v>
      </c>
      <c r="D135" s="12">
        <v>-268.27</v>
      </c>
      <c r="E135" s="12">
        <v>-318.12</v>
      </c>
      <c r="F135" s="12">
        <v>-382.28</v>
      </c>
      <c r="G135" s="12">
        <v>-439.39</v>
      </c>
      <c r="H135" s="12">
        <f t="shared" si="18"/>
        <v>-1936.06</v>
      </c>
    </row>
    <row r="136" spans="1:8" x14ac:dyDescent="0.2">
      <c r="A136" s="17" t="s">
        <v>143</v>
      </c>
      <c r="B136" s="12">
        <v>-536.14</v>
      </c>
      <c r="C136" s="12">
        <v>-520.54999999999995</v>
      </c>
      <c r="D136" s="12">
        <v>-660.35</v>
      </c>
      <c r="E136" s="12">
        <v>-530.95000000000005</v>
      </c>
      <c r="F136" s="12">
        <v>-578.07000000000005</v>
      </c>
      <c r="G136" s="12">
        <v>-530.95000000000005</v>
      </c>
      <c r="H136" s="12">
        <f t="shared" si="18"/>
        <v>-3357.01</v>
      </c>
    </row>
    <row r="137" spans="1:8" x14ac:dyDescent="0.2">
      <c r="A137" s="17" t="s">
        <v>144</v>
      </c>
      <c r="B137" s="12">
        <v>-507.35</v>
      </c>
      <c r="C137" s="12">
        <v>-496.51</v>
      </c>
      <c r="D137" s="12">
        <v>-680.76</v>
      </c>
      <c r="E137" s="12">
        <v>-663.99</v>
      </c>
      <c r="F137" s="12">
        <v>-650.66999999999996</v>
      </c>
      <c r="G137" s="12">
        <v>-545.5</v>
      </c>
      <c r="H137" s="12">
        <f t="shared" si="18"/>
        <v>-3544.7799999999997</v>
      </c>
    </row>
    <row r="138" spans="1:8" x14ac:dyDescent="0.2">
      <c r="A138" s="17" t="s">
        <v>145</v>
      </c>
      <c r="B138" s="12">
        <v>-557.20000000000005</v>
      </c>
      <c r="C138" s="12">
        <v>-543.34</v>
      </c>
      <c r="D138" s="12">
        <v>-1133.75</v>
      </c>
      <c r="E138" s="12">
        <v>-1025.44</v>
      </c>
      <c r="F138" s="12">
        <v>-880.75</v>
      </c>
      <c r="G138" s="12">
        <v>-2742.66</v>
      </c>
      <c r="H138" s="12">
        <f t="shared" si="18"/>
        <v>-6883.1399999999994</v>
      </c>
    </row>
    <row r="139" spans="1:8" x14ac:dyDescent="0.2">
      <c r="A139" s="17" t="s">
        <v>146</v>
      </c>
      <c r="B139" s="12">
        <v>-519.5</v>
      </c>
      <c r="C139" s="12">
        <v>-474.26</v>
      </c>
      <c r="D139" s="12">
        <v>-498.37</v>
      </c>
      <c r="E139" s="12">
        <v>-365.41</v>
      </c>
      <c r="F139" s="12">
        <v>-667.08</v>
      </c>
      <c r="G139" s="12">
        <v>-365.41</v>
      </c>
      <c r="H139" s="12">
        <f t="shared" si="18"/>
        <v>-2890.03</v>
      </c>
    </row>
    <row r="140" spans="1:8" x14ac:dyDescent="0.2">
      <c r="A140" s="17" t="s">
        <v>147</v>
      </c>
      <c r="B140" s="12">
        <v>-374.48</v>
      </c>
      <c r="C140" s="12">
        <v>-264.89</v>
      </c>
      <c r="D140" s="12">
        <v>-293.27999999999997</v>
      </c>
      <c r="E140" s="12">
        <v>-283.81</v>
      </c>
      <c r="F140" s="12">
        <v>-293.27999999999997</v>
      </c>
      <c r="G140" s="12">
        <v>-8.81</v>
      </c>
      <c r="H140" s="12">
        <f t="shared" si="18"/>
        <v>-1518.55</v>
      </c>
    </row>
    <row r="141" spans="1:8" x14ac:dyDescent="0.2">
      <c r="A141" s="17" t="s">
        <v>148</v>
      </c>
      <c r="B141" s="12">
        <v>-616.48</v>
      </c>
      <c r="C141" s="12">
        <v>-653.55999999999995</v>
      </c>
      <c r="D141" s="12">
        <v>-496.53</v>
      </c>
      <c r="E141" s="12">
        <v>-504.94</v>
      </c>
      <c r="F141" s="12">
        <v>-527.91999999999996</v>
      </c>
      <c r="G141" s="12">
        <v>-429.39</v>
      </c>
      <c r="H141" s="12">
        <f t="shared" si="18"/>
        <v>-3228.8199999999997</v>
      </c>
    </row>
    <row r="142" spans="1:8" x14ac:dyDescent="0.2">
      <c r="A142" s="17" t="s">
        <v>149</v>
      </c>
      <c r="B142" s="12">
        <v>-361.66</v>
      </c>
      <c r="C142" s="12">
        <v>-624.88</v>
      </c>
      <c r="D142" s="12">
        <v>-531.12</v>
      </c>
      <c r="E142" s="12">
        <v>-1120.73</v>
      </c>
      <c r="F142" s="12">
        <v>-773.41</v>
      </c>
      <c r="G142" s="12">
        <v>-711.75</v>
      </c>
      <c r="H142" s="12">
        <f t="shared" si="18"/>
        <v>-4123.5499999999993</v>
      </c>
    </row>
    <row r="143" spans="1:8" x14ac:dyDescent="0.2">
      <c r="A143" s="17" t="s">
        <v>150</v>
      </c>
      <c r="B143" s="12">
        <v>-439.69</v>
      </c>
      <c r="C143" s="12">
        <v>-359.09</v>
      </c>
      <c r="D143" s="12">
        <v>-305.79000000000002</v>
      </c>
      <c r="E143" s="12">
        <v>-761.15</v>
      </c>
      <c r="F143" s="12">
        <v>-519</v>
      </c>
      <c r="G143" s="12">
        <v>-296.70999999999998</v>
      </c>
      <c r="H143" s="12">
        <f t="shared" si="18"/>
        <v>-2681.43</v>
      </c>
    </row>
    <row r="144" spans="1:8" x14ac:dyDescent="0.2">
      <c r="A144" s="17" t="s">
        <v>151</v>
      </c>
      <c r="B144" s="12">
        <v>-974.41</v>
      </c>
      <c r="C144" s="12">
        <v>-1425.45</v>
      </c>
      <c r="D144" s="12">
        <v>-460.39</v>
      </c>
      <c r="E144" s="12">
        <v>-1914.9</v>
      </c>
      <c r="F144" s="12">
        <v>-326.42</v>
      </c>
      <c r="G144" s="12">
        <v>-1809.41</v>
      </c>
      <c r="H144" s="12">
        <f t="shared" si="18"/>
        <v>-6910.98</v>
      </c>
    </row>
    <row r="145" spans="1:8" x14ac:dyDescent="0.2">
      <c r="A145" s="15" t="s">
        <v>152</v>
      </c>
      <c r="B145" s="14">
        <f t="shared" ref="B145:H145" si="19">SUM(B84:B144)</f>
        <v>-208619.85934537006</v>
      </c>
      <c r="C145" s="14">
        <f t="shared" si="19"/>
        <v>-224146.68390719005</v>
      </c>
      <c r="D145" s="14">
        <f t="shared" si="19"/>
        <v>-302771.89597056003</v>
      </c>
      <c r="E145" s="14">
        <f t="shared" si="19"/>
        <v>-250602.21600648997</v>
      </c>
      <c r="F145" s="14">
        <f t="shared" si="19"/>
        <v>-76511.991838170026</v>
      </c>
      <c r="G145" s="14">
        <f t="shared" si="19"/>
        <v>-255753.51900976003</v>
      </c>
      <c r="H145" s="14">
        <f t="shared" si="19"/>
        <v>-1318406.16607754</v>
      </c>
    </row>
    <row r="146" spans="1:8" x14ac:dyDescent="0.2">
      <c r="A146" s="16" t="s">
        <v>153</v>
      </c>
      <c r="B146" s="14">
        <f t="shared" ref="B146:H146" si="20">B74+B82+B145</f>
        <v>-1119790.1186821503</v>
      </c>
      <c r="C146" s="14">
        <f t="shared" si="20"/>
        <v>-1280681.2739543801</v>
      </c>
      <c r="D146" s="14">
        <f t="shared" si="20"/>
        <v>-1300875.1207266601</v>
      </c>
      <c r="E146" s="14">
        <f t="shared" si="20"/>
        <v>-1457492.2402806899</v>
      </c>
      <c r="F146" s="14">
        <f t="shared" si="20"/>
        <v>-1316066.5842008998</v>
      </c>
      <c r="G146" s="14">
        <f t="shared" si="20"/>
        <v>-1686794.1700774399</v>
      </c>
      <c r="H146" s="14">
        <f t="shared" si="20"/>
        <v>-8161699.5079222191</v>
      </c>
    </row>
    <row r="147" spans="1:8" x14ac:dyDescent="0.2">
      <c r="A147" s="18" t="s">
        <v>154</v>
      </c>
      <c r="B147" s="14">
        <f t="shared" ref="B147:H147" si="21">B49+B146</f>
        <v>394057.02144199959</v>
      </c>
      <c r="C147" s="14">
        <f t="shared" si="21"/>
        <v>210331.53006493975</v>
      </c>
      <c r="D147" s="14">
        <f t="shared" si="21"/>
        <v>687091.06018125964</v>
      </c>
      <c r="E147" s="14">
        <f t="shared" si="21"/>
        <v>118388.17042496009</v>
      </c>
      <c r="F147" s="14">
        <f t="shared" si="21"/>
        <v>260028.7818613702</v>
      </c>
      <c r="G147" s="14">
        <f t="shared" si="21"/>
        <v>-92245.810811359901</v>
      </c>
      <c r="H147" s="14">
        <f t="shared" si="21"/>
        <v>1577650.7531631701</v>
      </c>
    </row>
    <row r="148" spans="1:8" x14ac:dyDescent="0.2">
      <c r="A148" s="7" t="s">
        <v>155</v>
      </c>
      <c r="B148" s="6"/>
      <c r="C148" s="6"/>
      <c r="D148" s="6"/>
      <c r="E148" s="6"/>
      <c r="F148" s="6"/>
      <c r="G148" s="6"/>
      <c r="H148" s="6"/>
    </row>
    <row r="149" spans="1:8" x14ac:dyDescent="0.2">
      <c r="A149" s="8" t="s">
        <v>156</v>
      </c>
      <c r="B149" s="6"/>
      <c r="C149" s="6"/>
      <c r="D149" s="6"/>
      <c r="E149" s="6"/>
      <c r="F149" s="6"/>
      <c r="G149" s="6"/>
      <c r="H149" s="6"/>
    </row>
    <row r="150" spans="1:8" x14ac:dyDescent="0.2">
      <c r="A150" s="19" t="s">
        <v>157</v>
      </c>
      <c r="B150" s="12">
        <v>0</v>
      </c>
      <c r="C150" s="12">
        <v>0</v>
      </c>
      <c r="D150" s="12">
        <v>0</v>
      </c>
      <c r="E150" s="12">
        <v>0</v>
      </c>
      <c r="F150" s="12">
        <v>2.21</v>
      </c>
      <c r="G150" s="12">
        <v>0</v>
      </c>
      <c r="H150" s="12">
        <f>SUM(B150:G150)</f>
        <v>2.21</v>
      </c>
    </row>
    <row r="151" spans="1:8" x14ac:dyDescent="0.2">
      <c r="A151" s="16" t="s">
        <v>158</v>
      </c>
      <c r="B151" s="14">
        <f t="shared" ref="B151:H151" si="22">SUM(B150)</f>
        <v>0</v>
      </c>
      <c r="C151" s="14">
        <f t="shared" si="22"/>
        <v>0</v>
      </c>
      <c r="D151" s="14">
        <f t="shared" si="22"/>
        <v>0</v>
      </c>
      <c r="E151" s="14">
        <f t="shared" si="22"/>
        <v>0</v>
      </c>
      <c r="F151" s="14">
        <f t="shared" si="22"/>
        <v>2.21</v>
      </c>
      <c r="G151" s="14">
        <f t="shared" si="22"/>
        <v>0</v>
      </c>
      <c r="H151" s="14">
        <f t="shared" si="22"/>
        <v>2.21</v>
      </c>
    </row>
    <row r="152" spans="1:8" x14ac:dyDescent="0.2">
      <c r="A152" s="8" t="s">
        <v>159</v>
      </c>
      <c r="B152" s="6"/>
      <c r="C152" s="6"/>
      <c r="D152" s="6"/>
      <c r="E152" s="6"/>
      <c r="F152" s="6"/>
      <c r="G152" s="6"/>
      <c r="H152" s="6"/>
    </row>
    <row r="153" spans="1:8" x14ac:dyDescent="0.2">
      <c r="A153" s="19" t="s">
        <v>160</v>
      </c>
      <c r="B153" s="12">
        <v>0</v>
      </c>
      <c r="C153" s="12">
        <v>7992.95</v>
      </c>
      <c r="D153" s="12">
        <v>917.81</v>
      </c>
      <c r="E153" s="12">
        <v>41.21</v>
      </c>
      <c r="F153" s="12">
        <v>1021.64</v>
      </c>
      <c r="G153" s="12">
        <v>566.30999999999995</v>
      </c>
      <c r="H153" s="12">
        <f>SUM(B153:G153)</f>
        <v>10539.919999999998</v>
      </c>
    </row>
    <row r="154" spans="1:8" x14ac:dyDescent="0.2">
      <c r="A154" s="19" t="s">
        <v>161</v>
      </c>
      <c r="B154" s="12">
        <v>0</v>
      </c>
      <c r="C154" s="12">
        <v>0</v>
      </c>
      <c r="D154" s="12">
        <v>0</v>
      </c>
      <c r="E154" s="12">
        <v>0</v>
      </c>
      <c r="F154" s="12">
        <v>8338.7199999999993</v>
      </c>
      <c r="G154" s="12">
        <v>40.25</v>
      </c>
      <c r="H154" s="12">
        <f>SUM(B154:G154)</f>
        <v>8378.9699999999993</v>
      </c>
    </row>
    <row r="155" spans="1:8" x14ac:dyDescent="0.2">
      <c r="A155" s="16" t="s">
        <v>162</v>
      </c>
      <c r="B155" s="14">
        <f t="shared" ref="B155:H155" si="23">SUM(B153:B154)</f>
        <v>0</v>
      </c>
      <c r="C155" s="14">
        <f t="shared" si="23"/>
        <v>7992.95</v>
      </c>
      <c r="D155" s="14">
        <f t="shared" si="23"/>
        <v>917.81</v>
      </c>
      <c r="E155" s="14">
        <f t="shared" si="23"/>
        <v>41.21</v>
      </c>
      <c r="F155" s="14">
        <f t="shared" si="23"/>
        <v>9360.3599999999988</v>
      </c>
      <c r="G155" s="14">
        <f t="shared" si="23"/>
        <v>606.55999999999995</v>
      </c>
      <c r="H155" s="14">
        <f t="shared" si="23"/>
        <v>18918.89</v>
      </c>
    </row>
    <row r="156" spans="1:8" x14ac:dyDescent="0.2">
      <c r="A156" s="8" t="s">
        <v>163</v>
      </c>
      <c r="B156" s="6"/>
      <c r="C156" s="6"/>
      <c r="D156" s="6"/>
      <c r="E156" s="6"/>
      <c r="F156" s="6"/>
      <c r="G156" s="6"/>
      <c r="H156" s="6"/>
    </row>
    <row r="157" spans="1:8" x14ac:dyDescent="0.2">
      <c r="A157" s="19" t="s">
        <v>164</v>
      </c>
      <c r="B157" s="12">
        <v>0</v>
      </c>
      <c r="C157" s="12">
        <v>436</v>
      </c>
      <c r="D157" s="12">
        <v>0</v>
      </c>
      <c r="E157" s="12">
        <v>0</v>
      </c>
      <c r="F157" s="12">
        <v>0</v>
      </c>
      <c r="G157" s="12">
        <v>0</v>
      </c>
      <c r="H157" s="12">
        <f>SUM(B157:G157)</f>
        <v>436</v>
      </c>
    </row>
    <row r="158" spans="1:8" x14ac:dyDescent="0.2">
      <c r="A158" s="19" t="s">
        <v>165</v>
      </c>
      <c r="B158" s="12">
        <v>0</v>
      </c>
      <c r="C158" s="12">
        <v>0</v>
      </c>
      <c r="D158" s="12">
        <v>107.07</v>
      </c>
      <c r="E158" s="12">
        <v>0</v>
      </c>
      <c r="F158" s="12">
        <v>111.36</v>
      </c>
      <c r="G158" s="12">
        <v>525.84</v>
      </c>
      <c r="H158" s="12">
        <f>SUM(B158:G158)</f>
        <v>744.27</v>
      </c>
    </row>
    <row r="159" spans="1:8" x14ac:dyDescent="0.2">
      <c r="A159" s="16" t="s">
        <v>166</v>
      </c>
      <c r="B159" s="14">
        <f t="shared" ref="B159:H159" si="24">SUM(B157:B158)</f>
        <v>0</v>
      </c>
      <c r="C159" s="14">
        <f t="shared" si="24"/>
        <v>436</v>
      </c>
      <c r="D159" s="14">
        <f t="shared" si="24"/>
        <v>107.07</v>
      </c>
      <c r="E159" s="14">
        <f t="shared" si="24"/>
        <v>0</v>
      </c>
      <c r="F159" s="14">
        <f t="shared" si="24"/>
        <v>111.36</v>
      </c>
      <c r="G159" s="14">
        <f t="shared" si="24"/>
        <v>525.84</v>
      </c>
      <c r="H159" s="14">
        <f t="shared" si="24"/>
        <v>1180.27</v>
      </c>
    </row>
    <row r="160" spans="1:8" x14ac:dyDescent="0.2">
      <c r="A160" s="8" t="s">
        <v>167</v>
      </c>
      <c r="B160" s="6"/>
      <c r="C160" s="6"/>
      <c r="D160" s="6"/>
      <c r="E160" s="6"/>
      <c r="F160" s="6"/>
      <c r="G160" s="6"/>
      <c r="H160" s="6"/>
    </row>
    <row r="161" spans="1:8" x14ac:dyDescent="0.2">
      <c r="A161" s="19" t="s">
        <v>168</v>
      </c>
      <c r="B161" s="12">
        <v>0</v>
      </c>
      <c r="C161" s="12">
        <v>-12</v>
      </c>
      <c r="D161" s="12">
        <v>0</v>
      </c>
      <c r="E161" s="12">
        <v>-72</v>
      </c>
      <c r="F161" s="12">
        <v>-240</v>
      </c>
      <c r="G161" s="12">
        <v>0</v>
      </c>
      <c r="H161" s="12">
        <f>SUM(B161:G161)</f>
        <v>-324</v>
      </c>
    </row>
    <row r="162" spans="1:8" x14ac:dyDescent="0.2">
      <c r="A162" s="16" t="s">
        <v>169</v>
      </c>
      <c r="B162" s="14">
        <f t="shared" ref="B162:H162" si="25">SUM(B161)</f>
        <v>0</v>
      </c>
      <c r="C162" s="14">
        <f t="shared" si="25"/>
        <v>-12</v>
      </c>
      <c r="D162" s="14">
        <f t="shared" si="25"/>
        <v>0</v>
      </c>
      <c r="E162" s="14">
        <f t="shared" si="25"/>
        <v>-72</v>
      </c>
      <c r="F162" s="14">
        <f t="shared" si="25"/>
        <v>-240</v>
      </c>
      <c r="G162" s="14">
        <f t="shared" si="25"/>
        <v>0</v>
      </c>
      <c r="H162" s="14">
        <f t="shared" si="25"/>
        <v>-324</v>
      </c>
    </row>
    <row r="163" spans="1:8" x14ac:dyDescent="0.2">
      <c r="A163" s="18" t="s">
        <v>170</v>
      </c>
      <c r="B163" s="14">
        <f t="shared" ref="B163:H163" si="26">B151+B155+B159+0+B162</f>
        <v>0</v>
      </c>
      <c r="C163" s="14">
        <f t="shared" si="26"/>
        <v>8416.9500000000007</v>
      </c>
      <c r="D163" s="14">
        <f t="shared" si="26"/>
        <v>1024.8799999999999</v>
      </c>
      <c r="E163" s="14">
        <f t="shared" si="26"/>
        <v>-30.79</v>
      </c>
      <c r="F163" s="14">
        <f t="shared" si="26"/>
        <v>9233.9299999999985</v>
      </c>
      <c r="G163" s="14">
        <f t="shared" si="26"/>
        <v>1132.4000000000001</v>
      </c>
      <c r="H163" s="14">
        <f t="shared" si="26"/>
        <v>19777.37</v>
      </c>
    </row>
    <row r="164" spans="1:8" x14ac:dyDescent="0.2">
      <c r="A164" s="7" t="s">
        <v>171</v>
      </c>
      <c r="B164" s="6"/>
      <c r="C164" s="6"/>
      <c r="D164" s="6"/>
      <c r="E164" s="6"/>
      <c r="F164" s="6"/>
      <c r="G164" s="6"/>
      <c r="H164" s="6"/>
    </row>
    <row r="165" spans="1:8" x14ac:dyDescent="0.2">
      <c r="A165" s="20" t="s">
        <v>172</v>
      </c>
      <c r="B165" s="12">
        <v>0</v>
      </c>
      <c r="C165" s="12">
        <v>-76.11</v>
      </c>
      <c r="D165" s="12">
        <v>-10.45</v>
      </c>
      <c r="E165" s="12">
        <v>-0.56000000000000005</v>
      </c>
      <c r="F165" s="12">
        <v>-106.06</v>
      </c>
      <c r="G165" s="12">
        <v>-14.59</v>
      </c>
      <c r="H165" s="12">
        <f>SUM(B165:G165)</f>
        <v>-207.77</v>
      </c>
    </row>
    <row r="166" spans="1:8" x14ac:dyDescent="0.2">
      <c r="A166" s="20" t="s">
        <v>173</v>
      </c>
      <c r="B166" s="12">
        <v>0</v>
      </c>
      <c r="C166" s="12">
        <v>-339</v>
      </c>
      <c r="D166" s="12">
        <v>-29999</v>
      </c>
      <c r="E166" s="12">
        <v>0</v>
      </c>
      <c r="F166" s="12">
        <v>-339</v>
      </c>
      <c r="G166" s="12">
        <v>-30574.959999999999</v>
      </c>
      <c r="H166" s="12">
        <f>SUM(B166:G166)</f>
        <v>-61251.96</v>
      </c>
    </row>
    <row r="167" spans="1:8" x14ac:dyDescent="0.2">
      <c r="A167" s="20" t="s">
        <v>174</v>
      </c>
      <c r="B167" s="12">
        <v>0</v>
      </c>
      <c r="C167" s="12">
        <v>0</v>
      </c>
      <c r="D167" s="12">
        <v>-1649.93</v>
      </c>
      <c r="E167" s="12">
        <v>0</v>
      </c>
      <c r="F167" s="12">
        <v>0</v>
      </c>
      <c r="G167" s="12">
        <v>-1649.93</v>
      </c>
      <c r="H167" s="12">
        <f>SUM(B167:G167)</f>
        <v>-3299.86</v>
      </c>
    </row>
    <row r="168" spans="1:8" x14ac:dyDescent="0.2">
      <c r="A168" s="20" t="s">
        <v>175</v>
      </c>
      <c r="B168" s="12">
        <v>0</v>
      </c>
      <c r="C168" s="12">
        <v>-28724</v>
      </c>
      <c r="D168" s="12">
        <v>0</v>
      </c>
      <c r="E168" s="12">
        <v>0</v>
      </c>
      <c r="F168" s="12">
        <v>-28724</v>
      </c>
      <c r="G168" s="12">
        <v>0</v>
      </c>
      <c r="H168" s="12">
        <f>SUM(B168:G168)</f>
        <v>-57448</v>
      </c>
    </row>
    <row r="169" spans="1:8" x14ac:dyDescent="0.2">
      <c r="A169" s="20" t="s">
        <v>176</v>
      </c>
      <c r="B169" s="12">
        <v>0</v>
      </c>
      <c r="C169" s="12">
        <v>-1384.12</v>
      </c>
      <c r="D169" s="12">
        <v>-190.33</v>
      </c>
      <c r="E169" s="12">
        <v>-10.3</v>
      </c>
      <c r="F169" s="12">
        <v>-1928.68</v>
      </c>
      <c r="G169" s="12">
        <v>-265.7</v>
      </c>
      <c r="H169" s="12">
        <f>SUM(B169:G169)</f>
        <v>-3779.1299999999997</v>
      </c>
    </row>
    <row r="170" spans="1:8" x14ac:dyDescent="0.2">
      <c r="A170" s="18" t="s">
        <v>177</v>
      </c>
      <c r="B170" s="14">
        <f t="shared" ref="B170:H170" si="27">SUM(B165:B169)</f>
        <v>0</v>
      </c>
      <c r="C170" s="14">
        <f t="shared" si="27"/>
        <v>-30523.23</v>
      </c>
      <c r="D170" s="14">
        <f t="shared" si="27"/>
        <v>-31849.710000000003</v>
      </c>
      <c r="E170" s="14">
        <f t="shared" si="27"/>
        <v>-10.860000000000001</v>
      </c>
      <c r="F170" s="14">
        <f t="shared" si="27"/>
        <v>-31097.74</v>
      </c>
      <c r="G170" s="14">
        <f t="shared" si="27"/>
        <v>-32505.18</v>
      </c>
      <c r="H170" s="14">
        <f t="shared" si="27"/>
        <v>-125986.72</v>
      </c>
    </row>
    <row r="171" spans="1:8" x14ac:dyDescent="0.2">
      <c r="A171" s="21" t="s">
        <v>178</v>
      </c>
      <c r="B171" s="14">
        <f t="shared" ref="B171:H171" si="28">B147+B163+B170+0</f>
        <v>394057.02144199959</v>
      </c>
      <c r="C171" s="14">
        <f t="shared" si="28"/>
        <v>188225.25006493976</v>
      </c>
      <c r="D171" s="14">
        <f t="shared" si="28"/>
        <v>656266.23018125969</v>
      </c>
      <c r="E171" s="14">
        <f t="shared" si="28"/>
        <v>118346.52042496009</v>
      </c>
      <c r="F171" s="14">
        <f t="shared" si="28"/>
        <v>238164.9718613702</v>
      </c>
      <c r="G171" s="14">
        <f t="shared" si="28"/>
        <v>-123618.5908113599</v>
      </c>
      <c r="H171" s="14">
        <f t="shared" si="28"/>
        <v>1471441.4031631702</v>
      </c>
    </row>
  </sheetData>
  <mergeCells count="3">
    <mergeCell ref="A1:H1"/>
    <mergeCell ref="A2:H2"/>
    <mergeCell ref="A3:H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PGPLConsolidated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2023-08-08T21:33:44Z</dcterms:created>
  <dcterms:modified xsi:type="dcterms:W3CDTF">2023-08-08T21:34:07Z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