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3\"/>
    </mc:Choice>
  </mc:AlternateContent>
  <xr:revisionPtr revIDLastSave="0" documentId="13_ncr:40009_{AA0B49AA-DDB4-4070-8C2B-64BE5FF2BE78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Consoli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2" i="1" l="1"/>
  <c r="G222" i="1"/>
  <c r="F222" i="1"/>
  <c r="E222" i="1"/>
  <c r="D222" i="1"/>
  <c r="C222" i="1"/>
  <c r="B222" i="1"/>
  <c r="I221" i="1"/>
  <c r="I220" i="1"/>
  <c r="H216" i="1"/>
  <c r="G216" i="1"/>
  <c r="F216" i="1"/>
  <c r="E216" i="1"/>
  <c r="D216" i="1"/>
  <c r="C216" i="1"/>
  <c r="B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H161" i="1"/>
  <c r="G161" i="1"/>
  <c r="F161" i="1"/>
  <c r="E161" i="1"/>
  <c r="D161" i="1"/>
  <c r="C161" i="1"/>
  <c r="B161" i="1"/>
  <c r="I160" i="1"/>
  <c r="I159" i="1"/>
  <c r="I161" i="1" s="1"/>
  <c r="H157" i="1"/>
  <c r="H217" i="1" s="1"/>
  <c r="G157" i="1"/>
  <c r="F157" i="1"/>
  <c r="E157" i="1"/>
  <c r="E217" i="1" s="1"/>
  <c r="D157" i="1"/>
  <c r="C157" i="1"/>
  <c r="B157" i="1"/>
  <c r="I156" i="1"/>
  <c r="I155" i="1"/>
  <c r="I157" i="1" s="1"/>
  <c r="H151" i="1"/>
  <c r="H152" i="1" s="1"/>
  <c r="G151" i="1"/>
  <c r="F151" i="1"/>
  <c r="E151" i="1"/>
  <c r="D151" i="1"/>
  <c r="C151" i="1"/>
  <c r="B151" i="1"/>
  <c r="I150" i="1"/>
  <c r="I149" i="1"/>
  <c r="I148" i="1"/>
  <c r="I147" i="1"/>
  <c r="I146" i="1"/>
  <c r="I145" i="1"/>
  <c r="I144" i="1"/>
  <c r="H142" i="1"/>
  <c r="G142" i="1"/>
  <c r="F142" i="1"/>
  <c r="F152" i="1" s="1"/>
  <c r="E142" i="1"/>
  <c r="E152" i="1" s="1"/>
  <c r="D142" i="1"/>
  <c r="C142" i="1"/>
  <c r="B142" i="1"/>
  <c r="I141" i="1"/>
  <c r="I140" i="1"/>
  <c r="E136" i="1"/>
  <c r="E224" i="1" s="1"/>
  <c r="I135" i="1"/>
  <c r="I134" i="1"/>
  <c r="I133" i="1"/>
  <c r="H132" i="1"/>
  <c r="H136" i="1" s="1"/>
  <c r="G132" i="1"/>
  <c r="G136" i="1" s="1"/>
  <c r="F132" i="1"/>
  <c r="F136" i="1" s="1"/>
  <c r="E132" i="1"/>
  <c r="D132" i="1"/>
  <c r="D136" i="1" s="1"/>
  <c r="C132" i="1"/>
  <c r="C136" i="1" s="1"/>
  <c r="B132" i="1"/>
  <c r="B136" i="1" s="1"/>
  <c r="I131" i="1"/>
  <c r="I130" i="1"/>
  <c r="I132" i="1" s="1"/>
  <c r="H124" i="1"/>
  <c r="G124" i="1"/>
  <c r="F124" i="1"/>
  <c r="E124" i="1"/>
  <c r="D124" i="1"/>
  <c r="C124" i="1"/>
  <c r="B124" i="1"/>
  <c r="I123" i="1"/>
  <c r="I124" i="1" s="1"/>
  <c r="H118" i="1"/>
  <c r="G118" i="1"/>
  <c r="F118" i="1"/>
  <c r="E118" i="1"/>
  <c r="D118" i="1"/>
  <c r="C118" i="1"/>
  <c r="B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H93" i="1"/>
  <c r="G93" i="1"/>
  <c r="F93" i="1"/>
  <c r="E93" i="1"/>
  <c r="D93" i="1"/>
  <c r="C93" i="1"/>
  <c r="B93" i="1"/>
  <c r="I92" i="1"/>
  <c r="I93" i="1" s="1"/>
  <c r="H88" i="1"/>
  <c r="H89" i="1" s="1"/>
  <c r="G88" i="1"/>
  <c r="G89" i="1" s="1"/>
  <c r="F88" i="1"/>
  <c r="F89" i="1" s="1"/>
  <c r="E88" i="1"/>
  <c r="E89" i="1" s="1"/>
  <c r="D88" i="1"/>
  <c r="D89" i="1" s="1"/>
  <c r="C88" i="1"/>
  <c r="C89" i="1" s="1"/>
  <c r="B88" i="1"/>
  <c r="B89" i="1" s="1"/>
  <c r="I87" i="1"/>
  <c r="I88" i="1" s="1"/>
  <c r="I89" i="1" s="1"/>
  <c r="H83" i="1"/>
  <c r="G83" i="1"/>
  <c r="F83" i="1"/>
  <c r="E83" i="1"/>
  <c r="D83" i="1"/>
  <c r="C83" i="1"/>
  <c r="B83" i="1"/>
  <c r="I82" i="1"/>
  <c r="I81" i="1"/>
  <c r="I80" i="1"/>
  <c r="I79" i="1"/>
  <c r="I78" i="1"/>
  <c r="I77" i="1"/>
  <c r="I76" i="1"/>
  <c r="I75" i="1"/>
  <c r="I74" i="1"/>
  <c r="I73" i="1"/>
  <c r="H71" i="1"/>
  <c r="G71" i="1"/>
  <c r="F71" i="1"/>
  <c r="E71" i="1"/>
  <c r="D71" i="1"/>
  <c r="C71" i="1"/>
  <c r="B71" i="1"/>
  <c r="I70" i="1"/>
  <c r="I69" i="1"/>
  <c r="I68" i="1"/>
  <c r="I67" i="1"/>
  <c r="I66" i="1"/>
  <c r="H64" i="1"/>
  <c r="G64" i="1"/>
  <c r="F64" i="1"/>
  <c r="E64" i="1"/>
  <c r="D64" i="1"/>
  <c r="C64" i="1"/>
  <c r="B64" i="1"/>
  <c r="I63" i="1"/>
  <c r="I62" i="1"/>
  <c r="H58" i="1"/>
  <c r="H59" i="1" s="1"/>
  <c r="G58" i="1"/>
  <c r="G59" i="1" s="1"/>
  <c r="F58" i="1"/>
  <c r="F59" i="1" s="1"/>
  <c r="E58" i="1"/>
  <c r="E59" i="1" s="1"/>
  <c r="D58" i="1"/>
  <c r="D59" i="1" s="1"/>
  <c r="C58" i="1"/>
  <c r="C59" i="1" s="1"/>
  <c r="B58" i="1"/>
  <c r="B59" i="1" s="1"/>
  <c r="I57" i="1"/>
  <c r="I58" i="1" s="1"/>
  <c r="I59" i="1" s="1"/>
  <c r="H50" i="1"/>
  <c r="G50" i="1"/>
  <c r="F50" i="1"/>
  <c r="E50" i="1"/>
  <c r="D50" i="1"/>
  <c r="C50" i="1"/>
  <c r="B50" i="1"/>
  <c r="I49" i="1"/>
  <c r="I50" i="1" s="1"/>
  <c r="H47" i="1"/>
  <c r="G47" i="1"/>
  <c r="F47" i="1"/>
  <c r="E47" i="1"/>
  <c r="D47" i="1"/>
  <c r="C47" i="1"/>
  <c r="B47" i="1"/>
  <c r="I46" i="1"/>
  <c r="I45" i="1"/>
  <c r="H43" i="1"/>
  <c r="G43" i="1"/>
  <c r="G51" i="1" s="1"/>
  <c r="F43" i="1"/>
  <c r="E43" i="1"/>
  <c r="D43" i="1"/>
  <c r="C43" i="1"/>
  <c r="B43" i="1"/>
  <c r="I42" i="1"/>
  <c r="I43" i="1" s="1"/>
  <c r="H38" i="1"/>
  <c r="G38" i="1"/>
  <c r="F38" i="1"/>
  <c r="E38" i="1"/>
  <c r="D38" i="1"/>
  <c r="C38" i="1"/>
  <c r="B38" i="1"/>
  <c r="I37" i="1"/>
  <c r="I36" i="1"/>
  <c r="I35" i="1"/>
  <c r="I34" i="1"/>
  <c r="I33" i="1"/>
  <c r="I32" i="1"/>
  <c r="I31" i="1"/>
  <c r="I30" i="1"/>
  <c r="I29" i="1"/>
  <c r="I28" i="1"/>
  <c r="I27" i="1"/>
  <c r="I26" i="1"/>
  <c r="H24" i="1"/>
  <c r="G24" i="1"/>
  <c r="G39" i="1" s="1"/>
  <c r="F24" i="1"/>
  <c r="E24" i="1"/>
  <c r="D24" i="1"/>
  <c r="C24" i="1"/>
  <c r="C39" i="1" s="1"/>
  <c r="B24" i="1"/>
  <c r="I23" i="1"/>
  <c r="I22" i="1"/>
  <c r="I21" i="1"/>
  <c r="I20" i="1"/>
  <c r="H16" i="1"/>
  <c r="G16" i="1"/>
  <c r="F16" i="1"/>
  <c r="E16" i="1"/>
  <c r="D16" i="1"/>
  <c r="C16" i="1"/>
  <c r="B16" i="1"/>
  <c r="I15" i="1"/>
  <c r="I14" i="1"/>
  <c r="I16" i="1" s="1"/>
  <c r="H12" i="1"/>
  <c r="G12" i="1"/>
  <c r="F12" i="1"/>
  <c r="E12" i="1"/>
  <c r="D12" i="1"/>
  <c r="D17" i="1" s="1"/>
  <c r="C12" i="1"/>
  <c r="B12" i="1"/>
  <c r="I11" i="1"/>
  <c r="I10" i="1"/>
  <c r="D119" i="1" l="1"/>
  <c r="I136" i="1"/>
  <c r="G17" i="1"/>
  <c r="H51" i="1"/>
  <c r="I64" i="1"/>
  <c r="C17" i="1"/>
  <c r="E119" i="1"/>
  <c r="G119" i="1"/>
  <c r="G120" i="1" s="1"/>
  <c r="B152" i="1"/>
  <c r="E39" i="1"/>
  <c r="C152" i="1"/>
  <c r="F39" i="1"/>
  <c r="B39" i="1"/>
  <c r="B119" i="1"/>
  <c r="I12" i="1"/>
  <c r="I17" i="1" s="1"/>
  <c r="I47" i="1"/>
  <c r="I51" i="1" s="1"/>
  <c r="G217" i="1"/>
  <c r="G84" i="1"/>
  <c r="E17" i="1"/>
  <c r="F51" i="1"/>
  <c r="E84" i="1"/>
  <c r="E120" i="1" s="1"/>
  <c r="I71" i="1"/>
  <c r="I83" i="1"/>
  <c r="H84" i="1"/>
  <c r="H119" i="1"/>
  <c r="I142" i="1"/>
  <c r="I151" i="1"/>
  <c r="B217" i="1"/>
  <c r="I24" i="1"/>
  <c r="I39" i="1" s="1"/>
  <c r="F17" i="1"/>
  <c r="I38" i="1"/>
  <c r="H39" i="1"/>
  <c r="F84" i="1"/>
  <c r="C119" i="1"/>
  <c r="D152" i="1"/>
  <c r="D51" i="1"/>
  <c r="D39" i="1"/>
  <c r="D52" i="1" s="1"/>
  <c r="D125" i="1" s="1"/>
  <c r="B84" i="1"/>
  <c r="D217" i="1"/>
  <c r="C217" i="1"/>
  <c r="C224" i="1" s="1"/>
  <c r="I118" i="1"/>
  <c r="I119" i="1" s="1"/>
  <c r="H17" i="1"/>
  <c r="D84" i="1"/>
  <c r="D120" i="1" s="1"/>
  <c r="C84" i="1"/>
  <c r="C120" i="1" s="1"/>
  <c r="E51" i="1"/>
  <c r="B17" i="1"/>
  <c r="C51" i="1"/>
  <c r="B51" i="1"/>
  <c r="F119" i="1"/>
  <c r="F120" i="1" s="1"/>
  <c r="G152" i="1"/>
  <c r="F217" i="1"/>
  <c r="F224" i="1" s="1"/>
  <c r="I216" i="1"/>
  <c r="I217" i="1" s="1"/>
  <c r="I222" i="1"/>
  <c r="H224" i="1"/>
  <c r="H52" i="1"/>
  <c r="G52" i="1"/>
  <c r="B224" i="1" l="1"/>
  <c r="D224" i="1"/>
  <c r="G224" i="1"/>
  <c r="I52" i="1"/>
  <c r="I152" i="1"/>
  <c r="I224" i="1" s="1"/>
  <c r="H120" i="1"/>
  <c r="C52" i="1"/>
  <c r="C125" i="1" s="1"/>
  <c r="B52" i="1"/>
  <c r="E52" i="1"/>
  <c r="E125" i="1" s="1"/>
  <c r="B120" i="1"/>
  <c r="F52" i="1"/>
  <c r="F125" i="1" s="1"/>
  <c r="I84" i="1"/>
  <c r="I120" i="1" s="1"/>
  <c r="H125" i="1"/>
  <c r="G125" i="1"/>
  <c r="I125" i="1" l="1"/>
  <c r="B125" i="1"/>
</calcChain>
</file>

<file path=xl/sharedStrings.xml><?xml version="1.0" encoding="utf-8"?>
<sst xmlns="http://schemas.openxmlformats.org/spreadsheetml/2006/main" count="234" uniqueCount="226">
  <si>
    <t>PROMATIS software GmbH</t>
  </si>
  <si>
    <t>Firma (Consolidated)</t>
  </si>
  <si>
    <t>PG Balance Sheet Consolidated</t>
  </si>
  <si>
    <t>End of Dez 2023</t>
  </si>
  <si>
    <t>Financial Row</t>
  </si>
  <si>
    <t>Horus software GmbH</t>
  </si>
  <si>
    <t>PROMATIS AG</t>
  </si>
  <si>
    <t>PROMATIS Corp.</t>
  </si>
  <si>
    <t>PROMATIS GmbH</t>
  </si>
  <si>
    <t>PROMATIS software d.o.o.</t>
  </si>
  <si>
    <t>SEGRA GmbH</t>
  </si>
  <si>
    <t>Total</t>
  </si>
  <si>
    <t> </t>
  </si>
  <si>
    <t>Amount (Book 1)</t>
  </si>
  <si>
    <t>ASSETS</t>
  </si>
  <si>
    <t>A. Fixed assets</t>
  </si>
  <si>
    <t>I. Intangible assets</t>
  </si>
  <si>
    <t>2. Purchased concessions rights, assets and licences</t>
  </si>
  <si>
    <t>013510 - Accumulated depreciation of data processing software</t>
  </si>
  <si>
    <t>013500 - Computer software</t>
  </si>
  <si>
    <t>Total Purchased concessions rights, assets and licences</t>
  </si>
  <si>
    <t>3. Goodwill</t>
  </si>
  <si>
    <t>015010 - Accumulated depreciation goodwill</t>
  </si>
  <si>
    <t>015000 - Goodwill</t>
  </si>
  <si>
    <t>Total Goodwill</t>
  </si>
  <si>
    <t>Total Intangible assets</t>
  </si>
  <si>
    <t>II. Tangible assets</t>
  </si>
  <si>
    <t>2. Technical equipment and machinery</t>
  </si>
  <si>
    <t>044010 - Accumulated depreciation- personal computers and machinery</t>
  </si>
  <si>
    <t>042010 - Accumulated depreciation-Technical equipment</t>
  </si>
  <si>
    <t>044000 - Machinery</t>
  </si>
  <si>
    <t>042000 - Technical equipment</t>
  </si>
  <si>
    <t>Total Technical equipment and machinery</t>
  </si>
  <si>
    <t>3. Other equipment, operating and office equipment</t>
  </si>
  <si>
    <t>067020 - Accumulated depr. low value assets - software</t>
  </si>
  <si>
    <t>067060 - Accumulated depreciation - low value assets - hardware</t>
  </si>
  <si>
    <t>052010 - Accumulated depreciation - passenger cars</t>
  </si>
  <si>
    <t>067040 - Accumulated depreciation- low value economic goods</t>
  </si>
  <si>
    <t>067080 - Accumulated depreciation-Low-value assets</t>
  </si>
  <si>
    <t>063010 - Accumulated depreciation-operating equipment</t>
  </si>
  <si>
    <t>067010 - Low value assets - software</t>
  </si>
  <si>
    <t>067070 - Low-value assets</t>
  </si>
  <si>
    <t>063000 - Operating equipment</t>
  </si>
  <si>
    <t>052000 - Passenger cars</t>
  </si>
  <si>
    <t>067050 - low value assets - hardware</t>
  </si>
  <si>
    <t>067030 - low value economic goods</t>
  </si>
  <si>
    <t>Total Other equipment, operating and office equipment</t>
  </si>
  <si>
    <t>Total Tangible assets</t>
  </si>
  <si>
    <t>III. Financial assets</t>
  </si>
  <si>
    <t>1. Shares in affiliated companies</t>
  </si>
  <si>
    <t>080400 - Shares in affiliated companies, corporations</t>
  </si>
  <si>
    <t>Total Shares in affiliated companies</t>
  </si>
  <si>
    <t>5. Long-term securities</t>
  </si>
  <si>
    <t>090100 - Long-term securities,Union Investment</t>
  </si>
  <si>
    <t>090200 - Long-term-securities, Merck Finck</t>
  </si>
  <si>
    <t>Total Long-term securities</t>
  </si>
  <si>
    <t>7. Cooperative shares</t>
  </si>
  <si>
    <t>098000 - Long-term shares in cooperatives</t>
  </si>
  <si>
    <t>Total Cooperative shares</t>
  </si>
  <si>
    <t>New Formula Row</t>
  </si>
  <si>
    <t>Total Fixed assets</t>
  </si>
  <si>
    <t>B. Current assets</t>
  </si>
  <si>
    <t>I. Inventories</t>
  </si>
  <si>
    <t>6. Prepayments</t>
  </si>
  <si>
    <t>118000 - Prepayments for inventories</t>
  </si>
  <si>
    <t>Total Prepayments</t>
  </si>
  <si>
    <t>Total Inventories</t>
  </si>
  <si>
    <t>II. Trade receivables and other receivables</t>
  </si>
  <si>
    <t>1. Trade receivables</t>
  </si>
  <si>
    <t>124800 - Global valuation allowance on receivables due within 1 year</t>
  </si>
  <si>
    <t>120100 - Trade receivables</t>
  </si>
  <si>
    <t>Total Trade receivables</t>
  </si>
  <si>
    <t>2. Receivables and Liabilities from affiliated companies</t>
  </si>
  <si>
    <t>340101 - Liabilities ag. PROMATIS software GmbH</t>
  </si>
  <si>
    <t>127107 - Receivables from PROMATIS AG (CH)</t>
  </si>
  <si>
    <t>127106 - Receivables from PROMATIS Corp (US)</t>
  </si>
  <si>
    <t>127108 - Receivables from PROMATIS GmbH (AT)</t>
  </si>
  <si>
    <t>127101 - Receivables from PROMATIS software GmbH</t>
  </si>
  <si>
    <t>Total Receivables and Liabilities from affiliated companies</t>
  </si>
  <si>
    <t>6. Other receivables and other assets</t>
  </si>
  <si>
    <t>137000 - Items in transit</t>
  </si>
  <si>
    <t>130000 - Other assets</t>
  </si>
  <si>
    <t>134000 - Receivables from employees (payroll)</t>
  </si>
  <si>
    <t>134100 - Receivables from employees (payroll) - due within 1 year</t>
  </si>
  <si>
    <t>145600 - Receivables from tax authorities</t>
  </si>
  <si>
    <t>143500 - Receivables from trade tax overpayments</t>
  </si>
  <si>
    <t>145000 - Reclaimed corporate income tax</t>
  </si>
  <si>
    <t>135000 - Security deposits</t>
  </si>
  <si>
    <t>142000 - VAT receivables</t>
  </si>
  <si>
    <t>142200 - VAT receivables, previous year</t>
  </si>
  <si>
    <t>Total Other receivables and other assets</t>
  </si>
  <si>
    <t>Total Trade receivables and other receivables</t>
  </si>
  <si>
    <t>III. Securities</t>
  </si>
  <si>
    <t>2. Other securities</t>
  </si>
  <si>
    <t>152500 - Other securities subject to immaterial changes in value</t>
  </si>
  <si>
    <t>Total Other securities</t>
  </si>
  <si>
    <t>Total Securities</t>
  </si>
  <si>
    <t>IV. Cash-in-hand, central / bank balances and cheques</t>
  </si>
  <si>
    <t>1. Cash-in-hand</t>
  </si>
  <si>
    <t>160001 - Petty cash PROMATIS Ettlingen</t>
  </si>
  <si>
    <t>Total Cash-in-hand</t>
  </si>
  <si>
    <t>3. Bank</t>
  </si>
  <si>
    <t>180081 - AMG Bank - PROMATIS US</t>
  </si>
  <si>
    <t>180014 - BMW Bank Tagesgeld -5005023817- PROMATIS D</t>
  </si>
  <si>
    <t>180067 - BMW Bank Tagesgeld -5006221310- SEGRA</t>
  </si>
  <si>
    <t>180083 - Bankkonto Kroatien</t>
  </si>
  <si>
    <t>189001 - Cash invest, short-term CM PROMATIS (DE)</t>
  </si>
  <si>
    <t>189007 - Cash invest, short-term CM PROMATIS (US)</t>
  </si>
  <si>
    <t>180042 - Clearing Volksbank Girokonto -60538409</t>
  </si>
  <si>
    <t>180035 - Clearing Volksbank Karlsruhe Girokonto -10138965</t>
  </si>
  <si>
    <t>180002 - Clearing Volksbank Karlsruhe Girokonto -54916302</t>
  </si>
  <si>
    <t>180027 - Commerzbank Ettlingen Girokonto -4688818- PROMATIS D</t>
  </si>
  <si>
    <t>180008 - GEFA BANK Tagesgeld 1000392495 - Horus</t>
  </si>
  <si>
    <t>180074 - Merck Finck Girokonto Verm.-verw. -1050667123- PROMATIS D</t>
  </si>
  <si>
    <t>180017 - Südwestbank Girokonto -573872007- PROMATIS D</t>
  </si>
  <si>
    <t>180090 - VoBa Steiermark Girokonto -AT394477012579000000- PROMATIS AT</t>
  </si>
  <si>
    <t>180092 - VoBa Steiermark Tagesgeld -AT094477012579001122- PROMATIS AT</t>
  </si>
  <si>
    <t>180041 - Volksbank Girokonto -60538409- SEGRA</t>
  </si>
  <si>
    <t>180011 - Volksbank KA Währungskonto USD -465106271- PROMATIS D</t>
  </si>
  <si>
    <t>180034 - Volksbank Karlsruhe Girokonto -10138965- Horus</t>
  </si>
  <si>
    <t>180001 - Volksbank Karlsruhe Girokonto -54916302- PROMATIS D</t>
  </si>
  <si>
    <t>180005 - Volksbank Karlsruhe Profitkonto -30063082- PROMATIS D</t>
  </si>
  <si>
    <t>180037 - Volksbank Karlsruhe Tagesgeld- Horus</t>
  </si>
  <si>
    <t>180094 - WF Checking - PROMATIS US</t>
  </si>
  <si>
    <t>180091 - ZKB 1100-6026.364 - PROMATIS CH</t>
  </si>
  <si>
    <t>Total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</si>
  <si>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</si>
  <si>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</si>
  <si>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</si>
  <si>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</si>
  <si>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</si>
  <si>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</si>
  <si>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</si>
  <si>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Equity</t>
  </si>
  <si>
    <t>290000 - Subscribed capital</t>
  </si>
  <si>
    <t>297900 - Balance carried forward (balance sheet)</t>
  </si>
  <si>
    <t>Total - Equity</t>
  </si>
  <si>
    <t>Retained Earnings</t>
  </si>
  <si>
    <t>Net Income</t>
  </si>
  <si>
    <t>Cumulative Translation Adjustment</t>
  </si>
  <si>
    <t>Total Equity</t>
  </si>
  <si>
    <t>B. Provisions</t>
  </si>
  <si>
    <t>2. Provision for taxes</t>
  </si>
  <si>
    <t>304000 - Provision for corporate income tax</t>
  </si>
  <si>
    <t>303500 - Provision for trade tax, section 4(5b) EStG</t>
  </si>
  <si>
    <t>Total Provision for taxes</t>
  </si>
  <si>
    <t>3. Other provisions</t>
  </si>
  <si>
    <t>307010 - Accrual goods purchases</t>
  </si>
  <si>
    <t>307020 - Expense AP Accrual</t>
  </si>
  <si>
    <t>307000 - Other provisions</t>
  </si>
  <si>
    <t>309500 - Provisions for period-end closing and audit costs</t>
  </si>
  <si>
    <t>307400 - Provisions for personnel expenses</t>
  </si>
  <si>
    <t>309600 - Provisions for record retention obligations</t>
  </si>
  <si>
    <t>307900 - Provisions for vacation pay</t>
  </si>
  <si>
    <t>Total Other provisions</t>
  </si>
  <si>
    <t>Total Provisions</t>
  </si>
  <si>
    <t>C. Liabilities</t>
  </si>
  <si>
    <t>3. Payments received on account of purchase orders</t>
  </si>
  <si>
    <t>328020 - Non-assigned Customer Payments</t>
  </si>
  <si>
    <t>325000 - Payments received on account of orders (liabilities)</t>
  </si>
  <si>
    <t>Total Payments received on account of purchase orders</t>
  </si>
  <si>
    <t>4. Trade payables</t>
  </si>
  <si>
    <t>330000 - Trade payables</t>
  </si>
  <si>
    <t>330100 - Trade payables starting with 2016</t>
  </si>
  <si>
    <t>Total Trade payables</t>
  </si>
  <si>
    <t>8. Other liabilities</t>
  </si>
  <si>
    <t>372504 - BAV - ALTE LEIPZIGER LEBEN</t>
  </si>
  <si>
    <t>372501 - BAV - Allianz Lebensversicherungs AG</t>
  </si>
  <si>
    <t>372510 - BAV - Die Stuttgarter</t>
  </si>
  <si>
    <t>372508 - BAV - HDI Lebensversicherung AG</t>
  </si>
  <si>
    <t>383200 - Back taxes, VAT return line 65</t>
  </si>
  <si>
    <t>146000 - Cash in Transit</t>
  </si>
  <si>
    <t>146101 - Credit Card Mastercard Volksbank FSch - PROMATIS D</t>
  </si>
  <si>
    <t>146104 - Credit Card Mastercard Volksbank R. Mann - PROMATIS D</t>
  </si>
  <si>
    <t>140101 - Deduct. input tax - reduced</t>
  </si>
  <si>
    <t>140400 - Deductible input tax on intra-EU acquisitions - standard</t>
  </si>
  <si>
    <t>140700 - Deductible input tax under section 13b UStG - standard</t>
  </si>
  <si>
    <t>140800 - Deductible input tax under section 13b UStG, Non-EU</t>
  </si>
  <si>
    <t>374002 - KK_AOK Bayern</t>
  </si>
  <si>
    <t>374003 - KK_AOK Niedersachsen</t>
  </si>
  <si>
    <t>374005 - KK_AOK NordWest</t>
  </si>
  <si>
    <t>374006 - KK_AOK PLUS</t>
  </si>
  <si>
    <t>374029 - KK_AOK RP/SAARL.</t>
  </si>
  <si>
    <t>374007 - KK_AOK Rheinland</t>
  </si>
  <si>
    <t>374010 - KK_BKK Gildemeister/Seidensticker</t>
  </si>
  <si>
    <t>374034 - KK_BKK Pfaff</t>
  </si>
  <si>
    <t>374033 - KK_BKK Scheufelen</t>
  </si>
  <si>
    <t>374012 - KK_BKK VerbundPlus</t>
  </si>
  <si>
    <t>374035 - KK_BKK ZF Partner</t>
  </si>
  <si>
    <t>374031 - KK_BKK firmus</t>
  </si>
  <si>
    <t>374015 - KK_Debeka BKK</t>
  </si>
  <si>
    <t>374017 - KK_HEK</t>
  </si>
  <si>
    <t>374016 - KK_Handelskrankenkasse</t>
  </si>
  <si>
    <t>374030 - KK_IKK SUEDWEST</t>
  </si>
  <si>
    <t>374018 - KK_IKK classic</t>
  </si>
  <si>
    <t>374019 - KK_IKK gesund plus Ost</t>
  </si>
  <si>
    <t>374021 - KK_Knappschaft-Bahn-See</t>
  </si>
  <si>
    <t>374013 - KK_Mercedes Benz BKK (Daimler BKK)</t>
  </si>
  <si>
    <t>374024 - KK_SBK</t>
  </si>
  <si>
    <t>374026 - KK_VIACTIV KRANKENKASSE</t>
  </si>
  <si>
    <t>374022 - KK_mhplus BKK</t>
  </si>
  <si>
    <t>374032 - KK_pronova BKK</t>
  </si>
  <si>
    <t>372500 - Liabilities for amounts withheld from employees</t>
  </si>
  <si>
    <t>370000 - Liabilities from taxes and levies</t>
  </si>
  <si>
    <t>370100 - Liabilities from taxes and levies - due within 1 year</t>
  </si>
  <si>
    <t>352100 - Loans by typical silent partners - due within 1 year</t>
  </si>
  <si>
    <t>350000 - Other liabilities</t>
  </si>
  <si>
    <t>372000 - Payroll liabilities</t>
  </si>
  <si>
    <t>374000 - Social security liabilities</t>
  </si>
  <si>
    <t>380600 - VAT - standard rate</t>
  </si>
  <si>
    <t>140500 - VAT 16% Purchase</t>
  </si>
  <si>
    <t>140600 - VAT on Purchases</t>
  </si>
  <si>
    <t>380400 - VAT on intra-EU acquisitions - standard rate</t>
  </si>
  <si>
    <t>381700 - VAT on supplies of goods and serv. tax. in anoth. EU country</t>
  </si>
  <si>
    <t>382000 - VAT prepayments</t>
  </si>
  <si>
    <t>383800 - VAT under section 13b UStG - from EU</t>
  </si>
  <si>
    <t>383700 - VAT under section 13b UStG - standard rate Non-EU</t>
  </si>
  <si>
    <t>386000 - Vat liabilities</t>
  </si>
  <si>
    <t>373000 - Wage and church tax payables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</si>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</sst>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  <border>
      <left/>
      <right/>
      <top style="dotted">
        <color rgb="FFC0C0C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4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2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indent="1"/>
    </xf>
    <xf numFmtId="168" fontId="21" fillId="0" borderId="11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"/>
  <sheetViews>
    <sheetView tabSelected="1" workbookViewId="0">
      <pane ySplit="5" topLeftCell="A51" activePane="bottomLeft" state="frozen"/>
      <selection pane="bottomLeft" activeCell="A71" sqref="A71"/>
    </sheetView>
  </sheetViews>
  <sheetFormatPr baseColWidth="10" defaultRowHeight="11.25" x14ac:dyDescent="0.2"/>
  <cols>
    <col min="1" max="1" width="73.33203125" bestFit="1" customWidth="1"/>
    <col min="2" max="2" width="20.33203125" bestFit="1" customWidth="1"/>
    <col min="3" max="3" width="15.83203125" bestFit="1" customWidth="1"/>
    <col min="4" max="4" width="16.6640625" bestFit="1" customWidth="1"/>
    <col min="5" max="5" width="17.1640625" bestFit="1" customWidth="1"/>
    <col min="6" max="6" width="25.1640625" bestFit="1" customWidth="1"/>
    <col min="7" max="7" width="24.83203125" bestFit="1" customWidth="1"/>
    <col min="8" max="9" width="15.83203125" bestFit="1" customWidth="1"/>
  </cols>
  <sheetData>
    <row r="1" spans="1:9" ht="15.75" x14ac:dyDescent="0.2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2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3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0</v>
      </c>
      <c r="G4" s="4" t="s">
        <v>9</v>
      </c>
      <c r="H4" s="4" t="s">
        <v>10</v>
      </c>
      <c r="I4" s="4" t="s">
        <v>11</v>
      </c>
    </row>
    <row r="5" spans="1:9" x14ac:dyDescent="0.2">
      <c r="A5" s="3" t="s">
        <v>12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</row>
    <row r="6" spans="1:9" x14ac:dyDescent="0.2">
      <c r="A6" s="5" t="s">
        <v>14</v>
      </c>
      <c r="B6" s="6"/>
      <c r="C6" s="6"/>
      <c r="D6" s="6"/>
      <c r="E6" s="6"/>
      <c r="F6" s="6"/>
      <c r="G6" s="6"/>
      <c r="H6" s="6"/>
      <c r="I6" s="6"/>
    </row>
    <row r="7" spans="1:9" x14ac:dyDescent="0.2">
      <c r="A7" s="7" t="s">
        <v>15</v>
      </c>
      <c r="B7" s="6"/>
      <c r="C7" s="6"/>
      <c r="D7" s="6"/>
      <c r="E7" s="6"/>
      <c r="F7" s="6"/>
      <c r="G7" s="6"/>
      <c r="H7" s="6"/>
      <c r="I7" s="6"/>
    </row>
    <row r="8" spans="1:9" x14ac:dyDescent="0.2">
      <c r="A8" s="8" t="s">
        <v>16</v>
      </c>
      <c r="B8" s="6"/>
      <c r="C8" s="6"/>
      <c r="D8" s="6"/>
      <c r="E8" s="6"/>
      <c r="F8" s="6"/>
      <c r="G8" s="6"/>
      <c r="H8" s="6"/>
      <c r="I8" s="6"/>
    </row>
    <row r="9" spans="1:9" x14ac:dyDescent="0.2">
      <c r="A9" s="9" t="s">
        <v>17</v>
      </c>
      <c r="B9" s="6"/>
      <c r="C9" s="6"/>
      <c r="D9" s="6"/>
      <c r="E9" s="6"/>
      <c r="F9" s="6"/>
      <c r="G9" s="6"/>
      <c r="H9" s="6"/>
      <c r="I9" s="6"/>
    </row>
    <row r="10" spans="1:9" x14ac:dyDescent="0.2">
      <c r="A10" s="10" t="s">
        <v>18</v>
      </c>
      <c r="B10" s="11">
        <v>0</v>
      </c>
      <c r="C10" s="11">
        <v>0</v>
      </c>
      <c r="D10" s="11">
        <v>0</v>
      </c>
      <c r="E10" s="11">
        <v>0</v>
      </c>
      <c r="F10" s="11">
        <v>-58768.38</v>
      </c>
      <c r="G10" s="11">
        <v>0</v>
      </c>
      <c r="H10" s="11">
        <v>-5205</v>
      </c>
      <c r="I10" s="11">
        <f>SUM(B10:H10)</f>
        <v>-63973.38</v>
      </c>
    </row>
    <row r="11" spans="1:9" x14ac:dyDescent="0.2">
      <c r="A11" s="10" t="s">
        <v>19</v>
      </c>
      <c r="B11" s="11">
        <v>0</v>
      </c>
      <c r="C11" s="11">
        <v>0</v>
      </c>
      <c r="D11" s="11">
        <v>0</v>
      </c>
      <c r="E11" s="11">
        <v>0</v>
      </c>
      <c r="F11" s="11">
        <v>59157.24</v>
      </c>
      <c r="G11" s="11">
        <v>0</v>
      </c>
      <c r="H11" s="11">
        <v>5205</v>
      </c>
      <c r="I11" s="11">
        <f>SUM(B11:H11)</f>
        <v>64362.239999999998</v>
      </c>
    </row>
    <row r="12" spans="1:9" x14ac:dyDescent="0.2">
      <c r="A12" s="12" t="s">
        <v>20</v>
      </c>
      <c r="B12" s="13">
        <f t="shared" ref="B12:I12" si="0">SUM(B10:B11)</f>
        <v>0</v>
      </c>
      <c r="C12" s="13">
        <f t="shared" si="0"/>
        <v>0</v>
      </c>
      <c r="D12" s="13">
        <f t="shared" si="0"/>
        <v>0</v>
      </c>
      <c r="E12" s="13">
        <f t="shared" si="0"/>
        <v>0</v>
      </c>
      <c r="F12" s="13">
        <f t="shared" si="0"/>
        <v>388.86000000000058</v>
      </c>
      <c r="G12" s="13">
        <f t="shared" si="0"/>
        <v>0</v>
      </c>
      <c r="H12" s="13">
        <f t="shared" si="0"/>
        <v>0</v>
      </c>
      <c r="I12" s="13">
        <f t="shared" si="0"/>
        <v>388.86000000000058</v>
      </c>
    </row>
    <row r="13" spans="1:9" x14ac:dyDescent="0.2">
      <c r="A13" s="9" t="s">
        <v>21</v>
      </c>
      <c r="B13" s="6"/>
      <c r="C13" s="6"/>
      <c r="D13" s="6"/>
      <c r="E13" s="6"/>
      <c r="F13" s="6"/>
      <c r="G13" s="6"/>
      <c r="H13" s="6"/>
      <c r="I13" s="6"/>
    </row>
    <row r="14" spans="1:9" x14ac:dyDescent="0.2">
      <c r="A14" s="10" t="s">
        <v>22</v>
      </c>
      <c r="B14" s="11">
        <v>0</v>
      </c>
      <c r="C14" s="11">
        <v>0</v>
      </c>
      <c r="D14" s="11">
        <v>0</v>
      </c>
      <c r="E14" s="11">
        <v>0</v>
      </c>
      <c r="F14" s="11">
        <v>-2000</v>
      </c>
      <c r="G14" s="11">
        <v>0</v>
      </c>
      <c r="H14" s="11">
        <v>0</v>
      </c>
      <c r="I14" s="11">
        <f>SUM(B14:H14)</f>
        <v>-2000</v>
      </c>
    </row>
    <row r="15" spans="1:9" x14ac:dyDescent="0.2">
      <c r="A15" s="10" t="s">
        <v>23</v>
      </c>
      <c r="B15" s="11">
        <v>0</v>
      </c>
      <c r="C15" s="11">
        <v>0</v>
      </c>
      <c r="D15" s="11">
        <v>0</v>
      </c>
      <c r="E15" s="11">
        <v>0</v>
      </c>
      <c r="F15" s="11">
        <v>2000</v>
      </c>
      <c r="G15" s="11">
        <v>0</v>
      </c>
      <c r="H15" s="11">
        <v>0</v>
      </c>
      <c r="I15" s="11">
        <f>SUM(B15:H15)</f>
        <v>2000</v>
      </c>
    </row>
    <row r="16" spans="1:9" x14ac:dyDescent="0.2">
      <c r="A16" s="12" t="s">
        <v>24</v>
      </c>
      <c r="B16" s="13">
        <f t="shared" ref="B16:I16" si="1">SUM(B14:B15)</f>
        <v>0</v>
      </c>
      <c r="C16" s="13">
        <f t="shared" si="1"/>
        <v>0</v>
      </c>
      <c r="D16" s="13">
        <f t="shared" si="1"/>
        <v>0</v>
      </c>
      <c r="E16" s="13">
        <f t="shared" si="1"/>
        <v>0</v>
      </c>
      <c r="F16" s="13">
        <f t="shared" si="1"/>
        <v>0</v>
      </c>
      <c r="G16" s="13">
        <f t="shared" si="1"/>
        <v>0</v>
      </c>
      <c r="H16" s="13">
        <f t="shared" si="1"/>
        <v>0</v>
      </c>
      <c r="I16" s="13">
        <f t="shared" si="1"/>
        <v>0</v>
      </c>
    </row>
    <row r="17" spans="1:9" x14ac:dyDescent="0.2">
      <c r="A17" s="14" t="s">
        <v>25</v>
      </c>
      <c r="B17" s="13">
        <f t="shared" ref="B17:I17" si="2">0+B12+B16+0</f>
        <v>0</v>
      </c>
      <c r="C17" s="13">
        <f t="shared" si="2"/>
        <v>0</v>
      </c>
      <c r="D17" s="13">
        <f t="shared" si="2"/>
        <v>0</v>
      </c>
      <c r="E17" s="13">
        <f t="shared" si="2"/>
        <v>0</v>
      </c>
      <c r="F17" s="13">
        <f t="shared" si="2"/>
        <v>388.86000000000058</v>
      </c>
      <c r="G17" s="13">
        <f t="shared" si="2"/>
        <v>0</v>
      </c>
      <c r="H17" s="13">
        <f t="shared" si="2"/>
        <v>0</v>
      </c>
      <c r="I17" s="13">
        <f t="shared" si="2"/>
        <v>388.86000000000058</v>
      </c>
    </row>
    <row r="18" spans="1:9" x14ac:dyDescent="0.2">
      <c r="A18" s="8" t="s">
        <v>26</v>
      </c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9" t="s">
        <v>27</v>
      </c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10" t="s">
        <v>28</v>
      </c>
      <c r="B20" s="11">
        <v>0</v>
      </c>
      <c r="C20" s="11">
        <v>0</v>
      </c>
      <c r="D20" s="11">
        <v>0</v>
      </c>
      <c r="E20" s="11">
        <v>0</v>
      </c>
      <c r="F20" s="11">
        <v>-576.46</v>
      </c>
      <c r="G20" s="11">
        <v>0</v>
      </c>
      <c r="H20" s="11">
        <v>-213140.84</v>
      </c>
      <c r="I20" s="11">
        <f>SUM(B20:H20)</f>
        <v>-213717.3</v>
      </c>
    </row>
    <row r="21" spans="1:9" x14ac:dyDescent="0.2">
      <c r="A21" s="10" t="s">
        <v>29</v>
      </c>
      <c r="B21" s="11">
        <v>0</v>
      </c>
      <c r="C21" s="11">
        <v>0</v>
      </c>
      <c r="D21" s="11">
        <v>0</v>
      </c>
      <c r="E21" s="11">
        <v>0</v>
      </c>
      <c r="F21" s="11">
        <v>-7266.77</v>
      </c>
      <c r="G21" s="11">
        <v>0</v>
      </c>
      <c r="H21" s="11">
        <v>0</v>
      </c>
      <c r="I21" s="11">
        <f>SUM(B21:H21)</f>
        <v>-7266.77</v>
      </c>
    </row>
    <row r="22" spans="1:9" x14ac:dyDescent="0.2">
      <c r="A22" s="10" t="s">
        <v>30</v>
      </c>
      <c r="B22" s="11">
        <v>0</v>
      </c>
      <c r="C22" s="11">
        <v>0</v>
      </c>
      <c r="D22" s="11">
        <v>0</v>
      </c>
      <c r="E22" s="11">
        <v>0</v>
      </c>
      <c r="F22" s="11">
        <v>576.46</v>
      </c>
      <c r="G22" s="11">
        <v>0</v>
      </c>
      <c r="H22" s="11">
        <v>304291.49</v>
      </c>
      <c r="I22" s="11">
        <f>SUM(B22:H22)</f>
        <v>304867.95</v>
      </c>
    </row>
    <row r="23" spans="1:9" x14ac:dyDescent="0.2">
      <c r="A23" s="10" t="s">
        <v>31</v>
      </c>
      <c r="B23" s="11">
        <v>0</v>
      </c>
      <c r="C23" s="11">
        <v>0</v>
      </c>
      <c r="D23" s="11">
        <v>0</v>
      </c>
      <c r="E23" s="11">
        <v>0</v>
      </c>
      <c r="F23" s="11">
        <v>8000.09</v>
      </c>
      <c r="G23" s="11">
        <v>0</v>
      </c>
      <c r="H23" s="11">
        <v>0</v>
      </c>
      <c r="I23" s="11">
        <f>SUM(B23:H23)</f>
        <v>8000.09</v>
      </c>
    </row>
    <row r="24" spans="1:9" x14ac:dyDescent="0.2">
      <c r="A24" s="12" t="s">
        <v>32</v>
      </c>
      <c r="B24" s="13">
        <f t="shared" ref="B24:I24" si="3">SUM(B20:B23)</f>
        <v>0</v>
      </c>
      <c r="C24" s="13">
        <f t="shared" si="3"/>
        <v>0</v>
      </c>
      <c r="D24" s="13">
        <f t="shared" si="3"/>
        <v>0</v>
      </c>
      <c r="E24" s="13">
        <f t="shared" si="3"/>
        <v>0</v>
      </c>
      <c r="F24" s="13">
        <f t="shared" si="3"/>
        <v>733.31999999999971</v>
      </c>
      <c r="G24" s="13">
        <f t="shared" si="3"/>
        <v>0</v>
      </c>
      <c r="H24" s="13">
        <f t="shared" si="3"/>
        <v>91150.65</v>
      </c>
      <c r="I24" s="13">
        <f t="shared" si="3"/>
        <v>91883.97000000003</v>
      </c>
    </row>
    <row r="25" spans="1:9" x14ac:dyDescent="0.2">
      <c r="A25" s="9" t="s">
        <v>33</v>
      </c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10" t="s">
        <v>34</v>
      </c>
      <c r="B26" s="11">
        <v>0</v>
      </c>
      <c r="C26" s="11">
        <v>0</v>
      </c>
      <c r="D26" s="11">
        <v>0</v>
      </c>
      <c r="E26" s="11">
        <v>0</v>
      </c>
      <c r="F26" s="11">
        <v>-52536.959999999999</v>
      </c>
      <c r="G26" s="11">
        <v>0</v>
      </c>
      <c r="H26" s="11">
        <v>-13153.55</v>
      </c>
      <c r="I26" s="11">
        <f t="shared" ref="I26:I37" si="4">SUM(B26:H26)</f>
        <v>-65690.509999999995</v>
      </c>
    </row>
    <row r="27" spans="1:9" x14ac:dyDescent="0.2">
      <c r="A27" s="10" t="s">
        <v>35</v>
      </c>
      <c r="B27" s="11">
        <v>0</v>
      </c>
      <c r="C27" s="11">
        <v>0</v>
      </c>
      <c r="D27" s="11">
        <v>0</v>
      </c>
      <c r="E27" s="11">
        <v>0</v>
      </c>
      <c r="F27" s="11">
        <v>-22210.54</v>
      </c>
      <c r="G27" s="11">
        <v>0</v>
      </c>
      <c r="H27" s="11">
        <v>-81155.45</v>
      </c>
      <c r="I27" s="11">
        <f t="shared" si="4"/>
        <v>-103365.98999999999</v>
      </c>
    </row>
    <row r="28" spans="1:9" x14ac:dyDescent="0.2">
      <c r="A28" s="10" t="s">
        <v>36</v>
      </c>
      <c r="B28" s="11">
        <v>0</v>
      </c>
      <c r="C28" s="11">
        <v>0</v>
      </c>
      <c r="D28" s="11">
        <v>0</v>
      </c>
      <c r="E28" s="11">
        <v>0</v>
      </c>
      <c r="F28" s="11">
        <v>-39218.400000000001</v>
      </c>
      <c r="G28" s="11">
        <v>0</v>
      </c>
      <c r="H28" s="11">
        <v>0</v>
      </c>
      <c r="I28" s="11">
        <f t="shared" si="4"/>
        <v>-39218.400000000001</v>
      </c>
    </row>
    <row r="29" spans="1:9" x14ac:dyDescent="0.2">
      <c r="A29" s="10" t="s">
        <v>37</v>
      </c>
      <c r="B29" s="11">
        <v>0</v>
      </c>
      <c r="C29" s="11">
        <v>0</v>
      </c>
      <c r="D29" s="11">
        <v>0</v>
      </c>
      <c r="E29" s="11">
        <v>0</v>
      </c>
      <c r="F29" s="11">
        <v>-1666.74</v>
      </c>
      <c r="G29" s="11">
        <v>0</v>
      </c>
      <c r="H29" s="11">
        <v>-646.22</v>
      </c>
      <c r="I29" s="11">
        <f t="shared" si="4"/>
        <v>-2312.96</v>
      </c>
    </row>
    <row r="30" spans="1:9" x14ac:dyDescent="0.2">
      <c r="A30" s="10" t="s">
        <v>38</v>
      </c>
      <c r="B30" s="11">
        <v>0</v>
      </c>
      <c r="C30" s="11">
        <v>0</v>
      </c>
      <c r="D30" s="11">
        <v>0</v>
      </c>
      <c r="E30" s="11">
        <v>0</v>
      </c>
      <c r="F30" s="11">
        <v>-2263.17</v>
      </c>
      <c r="G30" s="11">
        <v>0</v>
      </c>
      <c r="H30" s="11">
        <v>-103947.49</v>
      </c>
      <c r="I30" s="11">
        <f t="shared" si="4"/>
        <v>-106210.66</v>
      </c>
    </row>
    <row r="31" spans="1:9" x14ac:dyDescent="0.2">
      <c r="A31" s="10" t="s">
        <v>39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-1452.04</v>
      </c>
      <c r="I31" s="11">
        <f t="shared" si="4"/>
        <v>-1452.04</v>
      </c>
    </row>
    <row r="32" spans="1:9" x14ac:dyDescent="0.2">
      <c r="A32" s="10" t="s">
        <v>40</v>
      </c>
      <c r="B32" s="11">
        <v>0</v>
      </c>
      <c r="C32" s="11">
        <v>0</v>
      </c>
      <c r="D32" s="11">
        <v>0</v>
      </c>
      <c r="E32" s="11">
        <v>0</v>
      </c>
      <c r="F32" s="11">
        <v>52536.959999999999</v>
      </c>
      <c r="G32" s="11">
        <v>0</v>
      </c>
      <c r="H32" s="11">
        <v>13153.55</v>
      </c>
      <c r="I32" s="11">
        <f t="shared" si="4"/>
        <v>65690.509999999995</v>
      </c>
    </row>
    <row r="33" spans="1:9" x14ac:dyDescent="0.2">
      <c r="A33" s="10" t="s">
        <v>41</v>
      </c>
      <c r="B33" s="11">
        <v>0</v>
      </c>
      <c r="C33" s="11">
        <v>0</v>
      </c>
      <c r="D33" s="11">
        <v>0</v>
      </c>
      <c r="E33" s="11">
        <v>0</v>
      </c>
      <c r="F33" s="11">
        <v>2263.17</v>
      </c>
      <c r="G33" s="11">
        <v>0</v>
      </c>
      <c r="H33" s="11">
        <v>103947.49</v>
      </c>
      <c r="I33" s="11">
        <f t="shared" si="4"/>
        <v>106210.66</v>
      </c>
    </row>
    <row r="34" spans="1:9" x14ac:dyDescent="0.2">
      <c r="A34" s="10" t="s">
        <v>42</v>
      </c>
      <c r="B34" s="11">
        <v>0</v>
      </c>
      <c r="C34" s="11">
        <v>0</v>
      </c>
      <c r="D34" s="11">
        <v>0</v>
      </c>
      <c r="E34" s="11">
        <v>88.24</v>
      </c>
      <c r="F34" s="11">
        <v>0</v>
      </c>
      <c r="G34" s="11">
        <v>0</v>
      </c>
      <c r="H34" s="11">
        <v>1452.04</v>
      </c>
      <c r="I34" s="11">
        <f t="shared" si="4"/>
        <v>1540.28</v>
      </c>
    </row>
    <row r="35" spans="1:9" x14ac:dyDescent="0.2">
      <c r="A35" s="10" t="s">
        <v>43</v>
      </c>
      <c r="B35" s="11">
        <v>0</v>
      </c>
      <c r="C35" s="11">
        <v>0</v>
      </c>
      <c r="D35" s="11">
        <v>0</v>
      </c>
      <c r="E35" s="11">
        <v>0</v>
      </c>
      <c r="F35" s="11">
        <v>53277.26</v>
      </c>
      <c r="G35" s="11">
        <v>0</v>
      </c>
      <c r="H35" s="11">
        <v>0</v>
      </c>
      <c r="I35" s="11">
        <f t="shared" si="4"/>
        <v>53277.26</v>
      </c>
    </row>
    <row r="36" spans="1:9" x14ac:dyDescent="0.2">
      <c r="A36" s="10" t="s">
        <v>44</v>
      </c>
      <c r="B36" s="11">
        <v>0</v>
      </c>
      <c r="C36" s="11">
        <v>0</v>
      </c>
      <c r="D36" s="11">
        <v>0</v>
      </c>
      <c r="E36" s="11">
        <v>0</v>
      </c>
      <c r="F36" s="11">
        <v>22210.54</v>
      </c>
      <c r="G36" s="11">
        <v>0</v>
      </c>
      <c r="H36" s="11">
        <v>81155.45</v>
      </c>
      <c r="I36" s="11">
        <f t="shared" si="4"/>
        <v>103365.98999999999</v>
      </c>
    </row>
    <row r="37" spans="1:9" x14ac:dyDescent="0.2">
      <c r="A37" s="10" t="s">
        <v>45</v>
      </c>
      <c r="B37" s="11">
        <v>0</v>
      </c>
      <c r="C37" s="11">
        <v>0</v>
      </c>
      <c r="D37" s="11">
        <v>0</v>
      </c>
      <c r="E37" s="11">
        <v>0</v>
      </c>
      <c r="F37" s="11">
        <v>1666.74</v>
      </c>
      <c r="G37" s="11">
        <v>0</v>
      </c>
      <c r="H37" s="11">
        <v>646.22</v>
      </c>
      <c r="I37" s="11">
        <f t="shared" si="4"/>
        <v>2312.96</v>
      </c>
    </row>
    <row r="38" spans="1:9" x14ac:dyDescent="0.2">
      <c r="A38" s="12" t="s">
        <v>46</v>
      </c>
      <c r="B38" s="13">
        <f t="shared" ref="B38:I38" si="5">SUM(B26:B37)</f>
        <v>0</v>
      </c>
      <c r="C38" s="13">
        <f t="shared" si="5"/>
        <v>0</v>
      </c>
      <c r="D38" s="13">
        <f t="shared" si="5"/>
        <v>0</v>
      </c>
      <c r="E38" s="13">
        <f t="shared" si="5"/>
        <v>88.24</v>
      </c>
      <c r="F38" s="13">
        <f t="shared" si="5"/>
        <v>14058.860000000002</v>
      </c>
      <c r="G38" s="13">
        <f t="shared" si="5"/>
        <v>0</v>
      </c>
      <c r="H38" s="13">
        <f t="shared" si="5"/>
        <v>-4.4792614062316716E-11</v>
      </c>
      <c r="I38" s="13">
        <f t="shared" si="5"/>
        <v>14147.100000000013</v>
      </c>
    </row>
    <row r="39" spans="1:9" x14ac:dyDescent="0.2">
      <c r="A39" s="14" t="s">
        <v>47</v>
      </c>
      <c r="B39" s="13">
        <f t="shared" ref="B39:I39" si="6">0+B24+B38+0</f>
        <v>0</v>
      </c>
      <c r="C39" s="13">
        <f t="shared" si="6"/>
        <v>0</v>
      </c>
      <c r="D39" s="13">
        <f t="shared" si="6"/>
        <v>0</v>
      </c>
      <c r="E39" s="13">
        <f t="shared" si="6"/>
        <v>88.24</v>
      </c>
      <c r="F39" s="13">
        <f t="shared" si="6"/>
        <v>14792.180000000002</v>
      </c>
      <c r="G39" s="13">
        <f t="shared" si="6"/>
        <v>0</v>
      </c>
      <c r="H39" s="13">
        <f t="shared" si="6"/>
        <v>91150.649999999951</v>
      </c>
      <c r="I39" s="13">
        <f t="shared" si="6"/>
        <v>106031.07000000004</v>
      </c>
    </row>
    <row r="40" spans="1:9" x14ac:dyDescent="0.2">
      <c r="A40" s="8" t="s">
        <v>48</v>
      </c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9" t="s">
        <v>49</v>
      </c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10" t="s">
        <v>50</v>
      </c>
      <c r="B42" s="11">
        <v>0</v>
      </c>
      <c r="C42" s="11">
        <v>0</v>
      </c>
      <c r="D42" s="11">
        <v>0</v>
      </c>
      <c r="E42" s="11">
        <v>0</v>
      </c>
      <c r="F42" s="11">
        <v>281907.65999999997</v>
      </c>
      <c r="G42" s="11">
        <v>0</v>
      </c>
      <c r="H42" s="11">
        <v>166580</v>
      </c>
      <c r="I42" s="11">
        <f>SUM(B42:H42)</f>
        <v>448487.66</v>
      </c>
    </row>
    <row r="43" spans="1:9" x14ac:dyDescent="0.2">
      <c r="A43" s="12" t="s">
        <v>51</v>
      </c>
      <c r="B43" s="13">
        <f t="shared" ref="B43:I43" si="7">SUM(B42)</f>
        <v>0</v>
      </c>
      <c r="C43" s="13">
        <f t="shared" si="7"/>
        <v>0</v>
      </c>
      <c r="D43" s="13">
        <f t="shared" si="7"/>
        <v>0</v>
      </c>
      <c r="E43" s="13">
        <f t="shared" si="7"/>
        <v>0</v>
      </c>
      <c r="F43" s="13">
        <f t="shared" si="7"/>
        <v>281907.65999999997</v>
      </c>
      <c r="G43" s="13">
        <f t="shared" si="7"/>
        <v>0</v>
      </c>
      <c r="H43" s="13">
        <f t="shared" si="7"/>
        <v>166580</v>
      </c>
      <c r="I43" s="13">
        <f t="shared" si="7"/>
        <v>448487.66</v>
      </c>
    </row>
    <row r="44" spans="1:9" x14ac:dyDescent="0.2">
      <c r="A44" s="9" t="s">
        <v>52</v>
      </c>
      <c r="B44" s="6"/>
      <c r="C44" s="6"/>
      <c r="D44" s="6"/>
      <c r="E44" s="6"/>
      <c r="F44" s="6"/>
      <c r="G44" s="6"/>
      <c r="H44" s="6"/>
      <c r="I44" s="6"/>
    </row>
    <row r="45" spans="1:9" x14ac:dyDescent="0.2">
      <c r="A45" s="10" t="s">
        <v>53</v>
      </c>
      <c r="B45" s="11">
        <v>0</v>
      </c>
      <c r="C45" s="11">
        <v>0</v>
      </c>
      <c r="D45" s="11">
        <v>0</v>
      </c>
      <c r="E45" s="11">
        <v>0</v>
      </c>
      <c r="F45" s="11">
        <v>836261.94</v>
      </c>
      <c r="G45" s="11">
        <v>0</v>
      </c>
      <c r="H45" s="11">
        <v>0</v>
      </c>
      <c r="I45" s="11">
        <f>SUM(B45:H45)</f>
        <v>836261.94</v>
      </c>
    </row>
    <row r="46" spans="1:9" x14ac:dyDescent="0.2">
      <c r="A46" s="10" t="s">
        <v>54</v>
      </c>
      <c r="B46" s="11">
        <v>0</v>
      </c>
      <c r="C46" s="11">
        <v>0</v>
      </c>
      <c r="D46" s="11">
        <v>0</v>
      </c>
      <c r="E46" s="11">
        <v>0</v>
      </c>
      <c r="F46" s="11">
        <v>534792.06000000006</v>
      </c>
      <c r="G46" s="11">
        <v>0</v>
      </c>
      <c r="H46" s="11">
        <v>0</v>
      </c>
      <c r="I46" s="11">
        <f>SUM(B46:H46)</f>
        <v>534792.06000000006</v>
      </c>
    </row>
    <row r="47" spans="1:9" x14ac:dyDescent="0.2">
      <c r="A47" s="12" t="s">
        <v>55</v>
      </c>
      <c r="B47" s="13">
        <f t="shared" ref="B47:I47" si="8">SUM(B45:B46)</f>
        <v>0</v>
      </c>
      <c r="C47" s="13">
        <f t="shared" si="8"/>
        <v>0</v>
      </c>
      <c r="D47" s="13">
        <f t="shared" si="8"/>
        <v>0</v>
      </c>
      <c r="E47" s="13">
        <f t="shared" si="8"/>
        <v>0</v>
      </c>
      <c r="F47" s="13">
        <f t="shared" si="8"/>
        <v>1371054</v>
      </c>
      <c r="G47" s="13">
        <f t="shared" si="8"/>
        <v>0</v>
      </c>
      <c r="H47" s="13">
        <f t="shared" si="8"/>
        <v>0</v>
      </c>
      <c r="I47" s="13">
        <f t="shared" si="8"/>
        <v>1371054</v>
      </c>
    </row>
    <row r="48" spans="1:9" x14ac:dyDescent="0.2">
      <c r="A48" s="9" t="s">
        <v>56</v>
      </c>
      <c r="B48" s="6"/>
      <c r="C48" s="6"/>
      <c r="D48" s="6"/>
      <c r="E48" s="6"/>
      <c r="F48" s="6"/>
      <c r="G48" s="6"/>
      <c r="H48" s="6"/>
      <c r="I48" s="6"/>
    </row>
    <row r="49" spans="1:9" x14ac:dyDescent="0.2">
      <c r="A49" s="10" t="s">
        <v>57</v>
      </c>
      <c r="B49" s="11">
        <v>0</v>
      </c>
      <c r="C49" s="11">
        <v>0</v>
      </c>
      <c r="D49" s="11">
        <v>0</v>
      </c>
      <c r="E49" s="11">
        <v>0</v>
      </c>
      <c r="F49" s="11">
        <v>100</v>
      </c>
      <c r="G49" s="11">
        <v>0</v>
      </c>
      <c r="H49" s="11">
        <v>0</v>
      </c>
      <c r="I49" s="11">
        <f>SUM(B49:H49)</f>
        <v>100</v>
      </c>
    </row>
    <row r="50" spans="1:9" x14ac:dyDescent="0.2">
      <c r="A50" s="12" t="s">
        <v>58</v>
      </c>
      <c r="B50" s="13">
        <f t="shared" ref="B50:I50" si="9">SUM(B49)</f>
        <v>0</v>
      </c>
      <c r="C50" s="13">
        <f t="shared" si="9"/>
        <v>0</v>
      </c>
      <c r="D50" s="13">
        <f t="shared" si="9"/>
        <v>0</v>
      </c>
      <c r="E50" s="13">
        <f t="shared" si="9"/>
        <v>0</v>
      </c>
      <c r="F50" s="13">
        <f t="shared" si="9"/>
        <v>100</v>
      </c>
      <c r="G50" s="13">
        <f t="shared" si="9"/>
        <v>0</v>
      </c>
      <c r="H50" s="13">
        <f t="shared" si="9"/>
        <v>0</v>
      </c>
      <c r="I50" s="13">
        <f t="shared" si="9"/>
        <v>100</v>
      </c>
    </row>
    <row r="51" spans="1:9" x14ac:dyDescent="0.2">
      <c r="A51" s="14" t="s">
        <v>59</v>
      </c>
      <c r="B51" s="13">
        <f t="shared" ref="B51:I51" si="10">B43+0+0+0+B47+0+B50+0</f>
        <v>0</v>
      </c>
      <c r="C51" s="13">
        <f t="shared" si="10"/>
        <v>0</v>
      </c>
      <c r="D51" s="13">
        <f t="shared" si="10"/>
        <v>0</v>
      </c>
      <c r="E51" s="13">
        <f t="shared" si="10"/>
        <v>0</v>
      </c>
      <c r="F51" s="13">
        <f t="shared" si="10"/>
        <v>1653061.66</v>
      </c>
      <c r="G51" s="13">
        <f t="shared" si="10"/>
        <v>0</v>
      </c>
      <c r="H51" s="13">
        <f t="shared" si="10"/>
        <v>166580</v>
      </c>
      <c r="I51" s="13">
        <f t="shared" si="10"/>
        <v>1819641.66</v>
      </c>
    </row>
    <row r="52" spans="1:9" x14ac:dyDescent="0.2">
      <c r="A52" s="15" t="s">
        <v>60</v>
      </c>
      <c r="B52" s="13">
        <f t="shared" ref="B52:I52" si="11">B17+B39+B51</f>
        <v>0</v>
      </c>
      <c r="C52" s="13">
        <f t="shared" si="11"/>
        <v>0</v>
      </c>
      <c r="D52" s="13">
        <f t="shared" si="11"/>
        <v>0</v>
      </c>
      <c r="E52" s="13">
        <f t="shared" si="11"/>
        <v>88.24</v>
      </c>
      <c r="F52" s="13">
        <f t="shared" si="11"/>
        <v>1668242.7</v>
      </c>
      <c r="G52" s="13">
        <f t="shared" si="11"/>
        <v>0</v>
      </c>
      <c r="H52" s="13">
        <f t="shared" si="11"/>
        <v>257730.64999999997</v>
      </c>
      <c r="I52" s="13">
        <f t="shared" si="11"/>
        <v>1926061.5899999999</v>
      </c>
    </row>
    <row r="53" spans="1:9" x14ac:dyDescent="0.2">
      <c r="A53" s="7"/>
      <c r="B53" s="6"/>
      <c r="C53" s="6"/>
      <c r="D53" s="6"/>
      <c r="E53" s="6"/>
      <c r="F53" s="6"/>
      <c r="G53" s="6"/>
      <c r="H53" s="6"/>
      <c r="I53" s="6"/>
    </row>
    <row r="54" spans="1:9" x14ac:dyDescent="0.2">
      <c r="A54" s="7" t="s">
        <v>61</v>
      </c>
      <c r="B54" s="6"/>
      <c r="C54" s="6"/>
      <c r="D54" s="6"/>
      <c r="E54" s="6"/>
      <c r="F54" s="6"/>
      <c r="G54" s="6"/>
      <c r="H54" s="6"/>
      <c r="I54" s="6"/>
    </row>
    <row r="55" spans="1:9" x14ac:dyDescent="0.2">
      <c r="A55" s="8" t="s">
        <v>62</v>
      </c>
      <c r="B55" s="6"/>
      <c r="C55" s="6"/>
      <c r="D55" s="6"/>
      <c r="E55" s="6"/>
      <c r="F55" s="6"/>
      <c r="G55" s="6"/>
      <c r="H55" s="6"/>
      <c r="I55" s="6"/>
    </row>
    <row r="56" spans="1:9" x14ac:dyDescent="0.2">
      <c r="A56" s="9" t="s">
        <v>63</v>
      </c>
      <c r="B56" s="6"/>
      <c r="C56" s="6"/>
      <c r="D56" s="6"/>
      <c r="E56" s="6"/>
      <c r="F56" s="6"/>
      <c r="G56" s="6"/>
      <c r="H56" s="6"/>
      <c r="I56" s="6"/>
    </row>
    <row r="57" spans="1:9" x14ac:dyDescent="0.2">
      <c r="A57" s="10" t="s">
        <v>64</v>
      </c>
      <c r="B57" s="11">
        <v>0</v>
      </c>
      <c r="C57" s="11">
        <v>0</v>
      </c>
      <c r="D57" s="11">
        <v>0</v>
      </c>
      <c r="E57" s="11">
        <v>0</v>
      </c>
      <c r="F57" s="11">
        <v>11304</v>
      </c>
      <c r="G57" s="11">
        <v>2361.5</v>
      </c>
      <c r="H57" s="11">
        <v>0</v>
      </c>
      <c r="I57" s="11">
        <f>SUM(B57:H57)</f>
        <v>13665.5</v>
      </c>
    </row>
    <row r="58" spans="1:9" x14ac:dyDescent="0.2">
      <c r="A58" s="12" t="s">
        <v>65</v>
      </c>
      <c r="B58" s="13">
        <f t="shared" ref="B58:I58" si="12">SUM(B57)</f>
        <v>0</v>
      </c>
      <c r="C58" s="13">
        <f t="shared" si="12"/>
        <v>0</v>
      </c>
      <c r="D58" s="13">
        <f t="shared" si="12"/>
        <v>0</v>
      </c>
      <c r="E58" s="13">
        <f t="shared" si="12"/>
        <v>0</v>
      </c>
      <c r="F58" s="13">
        <f t="shared" si="12"/>
        <v>11304</v>
      </c>
      <c r="G58" s="13">
        <f t="shared" si="12"/>
        <v>2361.5</v>
      </c>
      <c r="H58" s="13">
        <f t="shared" si="12"/>
        <v>0</v>
      </c>
      <c r="I58" s="13">
        <f t="shared" si="12"/>
        <v>13665.5</v>
      </c>
    </row>
    <row r="59" spans="1:9" x14ac:dyDescent="0.2">
      <c r="A59" s="14" t="s">
        <v>66</v>
      </c>
      <c r="B59" s="13">
        <f t="shared" ref="B59:I59" si="13">0+0+0+0+0+B58+0</f>
        <v>0</v>
      </c>
      <c r="C59" s="13">
        <f t="shared" si="13"/>
        <v>0</v>
      </c>
      <c r="D59" s="13">
        <f t="shared" si="13"/>
        <v>0</v>
      </c>
      <c r="E59" s="13">
        <f t="shared" si="13"/>
        <v>0</v>
      </c>
      <c r="F59" s="13">
        <f t="shared" si="13"/>
        <v>11304</v>
      </c>
      <c r="G59" s="13">
        <f t="shared" si="13"/>
        <v>2361.5</v>
      </c>
      <c r="H59" s="13">
        <f t="shared" si="13"/>
        <v>0</v>
      </c>
      <c r="I59" s="13">
        <f t="shared" si="13"/>
        <v>13665.5</v>
      </c>
    </row>
    <row r="60" spans="1:9" x14ac:dyDescent="0.2">
      <c r="A60" s="8" t="s">
        <v>67</v>
      </c>
      <c r="B60" s="6"/>
      <c r="C60" s="6"/>
      <c r="D60" s="6"/>
      <c r="E60" s="6"/>
      <c r="F60" s="6"/>
      <c r="G60" s="6"/>
      <c r="H60" s="6"/>
      <c r="I60" s="6"/>
    </row>
    <row r="61" spans="1:9" x14ac:dyDescent="0.2">
      <c r="A61" s="9" t="s">
        <v>68</v>
      </c>
      <c r="B61" s="6"/>
      <c r="C61" s="6"/>
      <c r="D61" s="6"/>
      <c r="E61" s="6"/>
      <c r="F61" s="6"/>
      <c r="G61" s="6"/>
      <c r="H61" s="6"/>
      <c r="I61" s="6"/>
    </row>
    <row r="62" spans="1:9" x14ac:dyDescent="0.2">
      <c r="A62" s="10" t="s">
        <v>69</v>
      </c>
      <c r="B62" s="11">
        <v>0</v>
      </c>
      <c r="C62" s="11">
        <v>0</v>
      </c>
      <c r="D62" s="11">
        <v>0</v>
      </c>
      <c r="E62" s="11">
        <v>0</v>
      </c>
      <c r="F62" s="11">
        <v>-12079</v>
      </c>
      <c r="G62" s="11">
        <v>0</v>
      </c>
      <c r="H62" s="11">
        <v>0</v>
      </c>
      <c r="I62" s="11">
        <f>SUM(B62:H62)</f>
        <v>-12079</v>
      </c>
    </row>
    <row r="63" spans="1:9" x14ac:dyDescent="0.2">
      <c r="A63" s="10" t="s">
        <v>70</v>
      </c>
      <c r="B63" s="11">
        <v>0</v>
      </c>
      <c r="C63" s="11">
        <v>333436.68326472002</v>
      </c>
      <c r="D63" s="11">
        <v>250727.90667647999</v>
      </c>
      <c r="E63" s="11">
        <v>320464.71000000002</v>
      </c>
      <c r="F63" s="11">
        <v>1981930.63</v>
      </c>
      <c r="G63" s="11">
        <v>0</v>
      </c>
      <c r="H63" s="11">
        <v>0</v>
      </c>
      <c r="I63" s="11">
        <f>SUM(B63:H63)</f>
        <v>2886559.9299411997</v>
      </c>
    </row>
    <row r="64" spans="1:9" x14ac:dyDescent="0.2">
      <c r="A64" s="12" t="s">
        <v>71</v>
      </c>
      <c r="B64" s="13">
        <f t="shared" ref="B64:I64" si="14">SUM(B62:B63)</f>
        <v>0</v>
      </c>
      <c r="C64" s="13">
        <f t="shared" si="14"/>
        <v>333436.68326472002</v>
      </c>
      <c r="D64" s="13">
        <f t="shared" si="14"/>
        <v>250727.90667647999</v>
      </c>
      <c r="E64" s="13">
        <f t="shared" si="14"/>
        <v>320464.71000000002</v>
      </c>
      <c r="F64" s="13">
        <f t="shared" si="14"/>
        <v>1969851.63</v>
      </c>
      <c r="G64" s="13">
        <f t="shared" si="14"/>
        <v>0</v>
      </c>
      <c r="H64" s="13">
        <f t="shared" si="14"/>
        <v>0</v>
      </c>
      <c r="I64" s="13">
        <f t="shared" si="14"/>
        <v>2874480.9299411997</v>
      </c>
    </row>
    <row r="65" spans="1:9" x14ac:dyDescent="0.2">
      <c r="A65" s="9" t="s">
        <v>72</v>
      </c>
      <c r="B65" s="6"/>
      <c r="C65" s="6"/>
      <c r="D65" s="6"/>
      <c r="E65" s="6"/>
      <c r="F65" s="6"/>
      <c r="G65" s="6"/>
      <c r="H65" s="6"/>
      <c r="I65" s="6"/>
    </row>
    <row r="66" spans="1:9" x14ac:dyDescent="0.2">
      <c r="A66" s="10" t="s">
        <v>73</v>
      </c>
      <c r="B66" s="11">
        <v>0</v>
      </c>
      <c r="C66" s="11">
        <v>-467712.66201912001</v>
      </c>
      <c r="D66" s="11">
        <v>-546062.72749928001</v>
      </c>
      <c r="E66" s="11">
        <v>-94350.65</v>
      </c>
      <c r="F66" s="11">
        <v>0</v>
      </c>
      <c r="G66" s="11">
        <v>0</v>
      </c>
      <c r="H66" s="11">
        <v>0</v>
      </c>
      <c r="I66" s="11">
        <f>SUM(B66:H66)</f>
        <v>-1108126.0395183999</v>
      </c>
    </row>
    <row r="67" spans="1:9" x14ac:dyDescent="0.2">
      <c r="A67" s="10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292826.58</v>
      </c>
      <c r="G67" s="11">
        <v>0</v>
      </c>
      <c r="H67" s="11">
        <v>0</v>
      </c>
      <c r="I67" s="11">
        <f>SUM(B67:H67)</f>
        <v>292826.58</v>
      </c>
    </row>
    <row r="68" spans="1:9" x14ac:dyDescent="0.2">
      <c r="A68" s="10" t="s">
        <v>75</v>
      </c>
      <c r="B68" s="11">
        <v>0</v>
      </c>
      <c r="C68" s="11">
        <v>0</v>
      </c>
      <c r="D68" s="11">
        <v>0</v>
      </c>
      <c r="E68" s="11">
        <v>0</v>
      </c>
      <c r="F68" s="11">
        <v>619300.31000000006</v>
      </c>
      <c r="G68" s="11">
        <v>0</v>
      </c>
      <c r="H68" s="11">
        <v>0</v>
      </c>
      <c r="I68" s="11">
        <f>SUM(B68:H68)</f>
        <v>619300.31000000006</v>
      </c>
    </row>
    <row r="69" spans="1:9" x14ac:dyDescent="0.2">
      <c r="A69" s="10" t="s">
        <v>76</v>
      </c>
      <c r="B69" s="11">
        <v>0</v>
      </c>
      <c r="C69" s="11">
        <v>0</v>
      </c>
      <c r="D69" s="11">
        <v>0</v>
      </c>
      <c r="E69" s="11">
        <v>0</v>
      </c>
      <c r="F69" s="11">
        <v>64854</v>
      </c>
      <c r="G69" s="11">
        <v>0</v>
      </c>
      <c r="H69" s="11">
        <v>0</v>
      </c>
      <c r="I69" s="11">
        <f>SUM(B69:H69)</f>
        <v>64854</v>
      </c>
    </row>
    <row r="70" spans="1:9" x14ac:dyDescent="0.2">
      <c r="A70" s="10" t="s">
        <v>77</v>
      </c>
      <c r="B70" s="11">
        <v>6854.4</v>
      </c>
      <c r="C70" s="11">
        <v>0</v>
      </c>
      <c r="D70" s="11">
        <v>0</v>
      </c>
      <c r="E70" s="11">
        <v>23177</v>
      </c>
      <c r="F70" s="11">
        <v>0</v>
      </c>
      <c r="G70" s="11">
        <v>0</v>
      </c>
      <c r="H70" s="11">
        <v>0</v>
      </c>
      <c r="I70" s="11">
        <f>SUM(B70:H70)</f>
        <v>30031.4</v>
      </c>
    </row>
    <row r="71" spans="1:9" x14ac:dyDescent="0.2">
      <c r="A71" s="12" t="s">
        <v>78</v>
      </c>
      <c r="B71" s="13">
        <f t="shared" ref="B71:I71" si="15">SUM(B66:B70)</f>
        <v>6854.4</v>
      </c>
      <c r="C71" s="13">
        <f t="shared" si="15"/>
        <v>-467712.66201912001</v>
      </c>
      <c r="D71" s="13">
        <f t="shared" si="15"/>
        <v>-546062.72749928001</v>
      </c>
      <c r="E71" s="13">
        <f t="shared" si="15"/>
        <v>-71173.649999999994</v>
      </c>
      <c r="F71" s="13">
        <f t="shared" si="15"/>
        <v>976980.89000000013</v>
      </c>
      <c r="G71" s="13">
        <f t="shared" si="15"/>
        <v>0</v>
      </c>
      <c r="H71" s="13">
        <f t="shared" si="15"/>
        <v>0</v>
      </c>
      <c r="I71" s="13">
        <f t="shared" si="15"/>
        <v>-101113.74951839974</v>
      </c>
    </row>
    <row r="72" spans="1:9" x14ac:dyDescent="0.2">
      <c r="A72" s="9" t="s">
        <v>79</v>
      </c>
      <c r="B72" s="6"/>
      <c r="C72" s="6"/>
      <c r="D72" s="6"/>
      <c r="E72" s="6"/>
      <c r="F72" s="6"/>
      <c r="G72" s="6"/>
      <c r="H72" s="6"/>
      <c r="I72" s="6"/>
    </row>
    <row r="73" spans="1:9" x14ac:dyDescent="0.2">
      <c r="A73" s="10" t="s">
        <v>80</v>
      </c>
      <c r="B73" s="11">
        <v>0</v>
      </c>
      <c r="C73" s="11">
        <v>0</v>
      </c>
      <c r="D73" s="11">
        <v>0</v>
      </c>
      <c r="E73" s="11">
        <v>40.46</v>
      </c>
      <c r="F73" s="11">
        <v>0</v>
      </c>
      <c r="G73" s="11">
        <v>0</v>
      </c>
      <c r="H73" s="11">
        <v>0</v>
      </c>
      <c r="I73" s="11">
        <f t="shared" ref="I73:I82" si="16">SUM(B73:H73)</f>
        <v>40.46</v>
      </c>
    </row>
    <row r="74" spans="1:9" x14ac:dyDescent="0.2">
      <c r="A74" s="10" t="s">
        <v>81</v>
      </c>
      <c r="B74" s="11">
        <v>0</v>
      </c>
      <c r="C74" s="11">
        <v>0</v>
      </c>
      <c r="D74" s="11">
        <v>0</v>
      </c>
      <c r="E74" s="11">
        <v>0</v>
      </c>
      <c r="F74" s="11">
        <v>848.01</v>
      </c>
      <c r="G74" s="11">
        <v>0</v>
      </c>
      <c r="H74" s="11">
        <v>0</v>
      </c>
      <c r="I74" s="11">
        <f t="shared" si="16"/>
        <v>848.01</v>
      </c>
    </row>
    <row r="75" spans="1:9" x14ac:dyDescent="0.2">
      <c r="A75" s="10" t="s">
        <v>82</v>
      </c>
      <c r="B75" s="11">
        <v>0</v>
      </c>
      <c r="C75" s="11">
        <v>0</v>
      </c>
      <c r="D75" s="11">
        <v>0</v>
      </c>
      <c r="E75" s="11">
        <v>0</v>
      </c>
      <c r="F75" s="11">
        <v>93.4</v>
      </c>
      <c r="G75" s="11">
        <v>0</v>
      </c>
      <c r="H75" s="11">
        <v>0</v>
      </c>
      <c r="I75" s="11">
        <f t="shared" si="16"/>
        <v>93.4</v>
      </c>
    </row>
    <row r="76" spans="1:9" x14ac:dyDescent="0.2">
      <c r="A76" s="10" t="s">
        <v>83</v>
      </c>
      <c r="B76" s="11">
        <v>0</v>
      </c>
      <c r="C76" s="11">
        <v>0</v>
      </c>
      <c r="D76" s="11">
        <v>0</v>
      </c>
      <c r="E76" s="11">
        <v>293.66000000000003</v>
      </c>
      <c r="F76" s="11">
        <v>0</v>
      </c>
      <c r="G76" s="11">
        <v>-385.74</v>
      </c>
      <c r="H76" s="11">
        <v>0</v>
      </c>
      <c r="I76" s="11">
        <f t="shared" si="16"/>
        <v>-92.079999999999984</v>
      </c>
    </row>
    <row r="77" spans="1:9" x14ac:dyDescent="0.2">
      <c r="A77" s="10" t="s">
        <v>84</v>
      </c>
      <c r="B77" s="11">
        <v>0</v>
      </c>
      <c r="C77" s="11">
        <v>-4.1939520000000001E-2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f t="shared" si="16"/>
        <v>-4.1939520000000001E-2</v>
      </c>
    </row>
    <row r="78" spans="1:9" x14ac:dyDescent="0.2">
      <c r="A78" s="10" t="s">
        <v>85</v>
      </c>
      <c r="B78" s="11">
        <v>519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f t="shared" si="16"/>
        <v>519</v>
      </c>
    </row>
    <row r="79" spans="1:9" x14ac:dyDescent="0.2">
      <c r="A79" s="10" t="s">
        <v>86</v>
      </c>
      <c r="B79" s="11">
        <v>622.45000000000005</v>
      </c>
      <c r="C79" s="11">
        <v>0</v>
      </c>
      <c r="D79" s="11">
        <v>0</v>
      </c>
      <c r="E79" s="11">
        <v>0</v>
      </c>
      <c r="F79" s="11">
        <v>411145.71</v>
      </c>
      <c r="G79" s="11">
        <v>0</v>
      </c>
      <c r="H79" s="11">
        <v>0</v>
      </c>
      <c r="I79" s="11">
        <f t="shared" si="16"/>
        <v>411768.16000000003</v>
      </c>
    </row>
    <row r="80" spans="1:9" x14ac:dyDescent="0.2">
      <c r="A80" s="10" t="s">
        <v>87</v>
      </c>
      <c r="B80" s="11">
        <v>0</v>
      </c>
      <c r="C80" s="11">
        <v>29881.907999999999</v>
      </c>
      <c r="D80" s="11">
        <v>0</v>
      </c>
      <c r="E80" s="11">
        <v>14317.82</v>
      </c>
      <c r="F80" s="11">
        <v>108927.15</v>
      </c>
      <c r="G80" s="11">
        <v>0</v>
      </c>
      <c r="H80" s="11">
        <v>0</v>
      </c>
      <c r="I80" s="11">
        <f t="shared" si="16"/>
        <v>153126.878</v>
      </c>
    </row>
    <row r="81" spans="1:9" x14ac:dyDescent="0.2">
      <c r="A81" s="10" t="s">
        <v>88</v>
      </c>
      <c r="B81" s="11">
        <v>-0.26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f t="shared" si="16"/>
        <v>-0.26</v>
      </c>
    </row>
    <row r="82" spans="1:9" x14ac:dyDescent="0.2">
      <c r="A82" s="10" t="s">
        <v>89</v>
      </c>
      <c r="B82" s="11">
        <v>0</v>
      </c>
      <c r="C82" s="11">
        <v>0</v>
      </c>
      <c r="D82" s="11">
        <v>0</v>
      </c>
      <c r="E82" s="11">
        <v>0</v>
      </c>
      <c r="F82" s="11">
        <v>-1.3</v>
      </c>
      <c r="G82" s="11">
        <v>0</v>
      </c>
      <c r="H82" s="11">
        <v>0</v>
      </c>
      <c r="I82" s="11">
        <f t="shared" si="16"/>
        <v>-1.3</v>
      </c>
    </row>
    <row r="83" spans="1:9" x14ac:dyDescent="0.2">
      <c r="A83" s="12" t="s">
        <v>90</v>
      </c>
      <c r="B83" s="13">
        <f t="shared" ref="B83:I83" si="17">SUM(B73:B82)</f>
        <v>1141.19</v>
      </c>
      <c r="C83" s="13">
        <f t="shared" si="17"/>
        <v>29881.866060479999</v>
      </c>
      <c r="D83" s="13">
        <f t="shared" si="17"/>
        <v>0</v>
      </c>
      <c r="E83" s="13">
        <f t="shared" si="17"/>
        <v>14651.94</v>
      </c>
      <c r="F83" s="13">
        <f t="shared" si="17"/>
        <v>521012.97000000003</v>
      </c>
      <c r="G83" s="13">
        <f t="shared" si="17"/>
        <v>-385.74</v>
      </c>
      <c r="H83" s="13">
        <f t="shared" si="17"/>
        <v>0</v>
      </c>
      <c r="I83" s="13">
        <f t="shared" si="17"/>
        <v>566302.22606048</v>
      </c>
    </row>
    <row r="84" spans="1:9" x14ac:dyDescent="0.2">
      <c r="A84" s="14" t="s">
        <v>91</v>
      </c>
      <c r="B84" s="13">
        <f t="shared" ref="B84:I84" si="18">B64+B71+0+0+0+B83</f>
        <v>7995.59</v>
      </c>
      <c r="C84" s="13">
        <f t="shared" si="18"/>
        <v>-104394.11269391999</v>
      </c>
      <c r="D84" s="13">
        <f t="shared" si="18"/>
        <v>-295334.82082280004</v>
      </c>
      <c r="E84" s="13">
        <f t="shared" si="18"/>
        <v>263943</v>
      </c>
      <c r="F84" s="13">
        <f t="shared" si="18"/>
        <v>3467845.49</v>
      </c>
      <c r="G84" s="13">
        <f t="shared" si="18"/>
        <v>-385.74</v>
      </c>
      <c r="H84" s="13">
        <f t="shared" si="18"/>
        <v>0</v>
      </c>
      <c r="I84" s="13">
        <f t="shared" si="18"/>
        <v>3339669.40648328</v>
      </c>
    </row>
    <row r="85" spans="1:9" x14ac:dyDescent="0.2">
      <c r="A85" s="8" t="s">
        <v>92</v>
      </c>
      <c r="B85" s="6"/>
      <c r="C85" s="6"/>
      <c r="D85" s="6"/>
      <c r="E85" s="6"/>
      <c r="F85" s="6"/>
      <c r="G85" s="6"/>
      <c r="H85" s="6"/>
      <c r="I85" s="6"/>
    </row>
    <row r="86" spans="1:9" x14ac:dyDescent="0.2">
      <c r="A86" s="9" t="s">
        <v>93</v>
      </c>
      <c r="B86" s="6"/>
      <c r="C86" s="6"/>
      <c r="D86" s="6"/>
      <c r="E86" s="6"/>
      <c r="F86" s="6"/>
      <c r="G86" s="6"/>
      <c r="H86" s="6"/>
      <c r="I86" s="6"/>
    </row>
    <row r="87" spans="1:9" x14ac:dyDescent="0.2">
      <c r="A87" s="10" t="s">
        <v>94</v>
      </c>
      <c r="B87" s="11">
        <v>0</v>
      </c>
      <c r="C87" s="11">
        <v>26987.483481840001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f>SUM(B87:H87)</f>
        <v>26987.483481840001</v>
      </c>
    </row>
    <row r="88" spans="1:9" x14ac:dyDescent="0.2">
      <c r="A88" s="12" t="s">
        <v>95</v>
      </c>
      <c r="B88" s="13">
        <f t="shared" ref="B88:I88" si="19">SUM(B87)</f>
        <v>0</v>
      </c>
      <c r="C88" s="13">
        <f t="shared" si="19"/>
        <v>26987.483481840001</v>
      </c>
      <c r="D88" s="13">
        <f t="shared" si="19"/>
        <v>0</v>
      </c>
      <c r="E88" s="13">
        <f t="shared" si="19"/>
        <v>0</v>
      </c>
      <c r="F88" s="13">
        <f t="shared" si="19"/>
        <v>0</v>
      </c>
      <c r="G88" s="13">
        <f t="shared" si="19"/>
        <v>0</v>
      </c>
      <c r="H88" s="13">
        <f t="shared" si="19"/>
        <v>0</v>
      </c>
      <c r="I88" s="13">
        <f t="shared" si="19"/>
        <v>26987.483481840001</v>
      </c>
    </row>
    <row r="89" spans="1:9" x14ac:dyDescent="0.2">
      <c r="A89" s="14" t="s">
        <v>96</v>
      </c>
      <c r="B89" s="13">
        <f t="shared" ref="B89:I89" si="20">0+B88</f>
        <v>0</v>
      </c>
      <c r="C89" s="13">
        <f t="shared" si="20"/>
        <v>26987.483481840001</v>
      </c>
      <c r="D89" s="13">
        <f t="shared" si="20"/>
        <v>0</v>
      </c>
      <c r="E89" s="13">
        <f t="shared" si="20"/>
        <v>0</v>
      </c>
      <c r="F89" s="13">
        <f t="shared" si="20"/>
        <v>0</v>
      </c>
      <c r="G89" s="13">
        <f t="shared" si="20"/>
        <v>0</v>
      </c>
      <c r="H89" s="13">
        <f t="shared" si="20"/>
        <v>0</v>
      </c>
      <c r="I89" s="13">
        <f t="shared" si="20"/>
        <v>26987.483481840001</v>
      </c>
    </row>
    <row r="90" spans="1:9" x14ac:dyDescent="0.2">
      <c r="A90" s="8" t="s">
        <v>97</v>
      </c>
      <c r="B90" s="6"/>
      <c r="C90" s="6"/>
      <c r="D90" s="6"/>
      <c r="E90" s="6"/>
      <c r="F90" s="6"/>
      <c r="G90" s="6"/>
      <c r="H90" s="6"/>
      <c r="I90" s="6"/>
    </row>
    <row r="91" spans="1:9" x14ac:dyDescent="0.2">
      <c r="A91" s="9" t="s">
        <v>98</v>
      </c>
      <c r="B91" s="6"/>
      <c r="C91" s="6"/>
      <c r="D91" s="6"/>
      <c r="E91" s="6"/>
      <c r="F91" s="6"/>
      <c r="G91" s="6"/>
      <c r="H91" s="6"/>
      <c r="I91" s="6"/>
    </row>
    <row r="92" spans="1:9" x14ac:dyDescent="0.2">
      <c r="A92" s="10" t="s">
        <v>99</v>
      </c>
      <c r="B92" s="11">
        <v>0</v>
      </c>
      <c r="C92" s="11">
        <v>0</v>
      </c>
      <c r="D92" s="11">
        <v>0</v>
      </c>
      <c r="E92" s="11">
        <v>0</v>
      </c>
      <c r="F92" s="11">
        <v>41.56</v>
      </c>
      <c r="G92" s="11">
        <v>0</v>
      </c>
      <c r="H92" s="11">
        <v>0</v>
      </c>
      <c r="I92" s="11">
        <f>SUM(B92:H92)</f>
        <v>41.56</v>
      </c>
    </row>
    <row r="93" spans="1:9" x14ac:dyDescent="0.2">
      <c r="A93" s="12" t="s">
        <v>100</v>
      </c>
      <c r="B93" s="13">
        <f t="shared" ref="B93:I93" si="21">SUM(B92)</f>
        <v>0</v>
      </c>
      <c r="C93" s="13">
        <f t="shared" si="21"/>
        <v>0</v>
      </c>
      <c r="D93" s="13">
        <f t="shared" si="21"/>
        <v>0</v>
      </c>
      <c r="E93" s="13">
        <f t="shared" si="21"/>
        <v>0</v>
      </c>
      <c r="F93" s="13">
        <f t="shared" si="21"/>
        <v>41.56</v>
      </c>
      <c r="G93" s="13">
        <f t="shared" si="21"/>
        <v>0</v>
      </c>
      <c r="H93" s="13">
        <f t="shared" si="21"/>
        <v>0</v>
      </c>
      <c r="I93" s="13">
        <f t="shared" si="21"/>
        <v>41.56</v>
      </c>
    </row>
    <row r="94" spans="1:9" x14ac:dyDescent="0.2">
      <c r="A94" s="9" t="s">
        <v>101</v>
      </c>
      <c r="B94" s="6"/>
      <c r="C94" s="6"/>
      <c r="D94" s="6"/>
      <c r="E94" s="6"/>
      <c r="F94" s="6"/>
      <c r="G94" s="6"/>
      <c r="H94" s="6"/>
      <c r="I94" s="6"/>
    </row>
    <row r="95" spans="1:9" x14ac:dyDescent="0.2">
      <c r="A95" s="10" t="s">
        <v>102</v>
      </c>
      <c r="B95" s="11">
        <v>0</v>
      </c>
      <c r="C95" s="11">
        <v>0</v>
      </c>
      <c r="D95" s="11">
        <v>476795.75385112001</v>
      </c>
      <c r="E95" s="11">
        <v>0</v>
      </c>
      <c r="F95" s="11">
        <v>0</v>
      </c>
      <c r="G95" s="11">
        <v>0</v>
      </c>
      <c r="H95" s="11">
        <v>0</v>
      </c>
      <c r="I95" s="11">
        <f t="shared" ref="I95:I117" si="22">SUM(B95:H95)</f>
        <v>476795.75385112001</v>
      </c>
    </row>
    <row r="96" spans="1:9" x14ac:dyDescent="0.2">
      <c r="A96" s="10" t="s">
        <v>103</v>
      </c>
      <c r="B96" s="11">
        <v>0</v>
      </c>
      <c r="C96" s="11">
        <v>0</v>
      </c>
      <c r="D96" s="11">
        <v>0</v>
      </c>
      <c r="E96" s="11">
        <v>0</v>
      </c>
      <c r="F96" s="11">
        <v>2680143.27</v>
      </c>
      <c r="G96" s="11">
        <v>0</v>
      </c>
      <c r="H96" s="11">
        <v>0</v>
      </c>
      <c r="I96" s="11">
        <f t="shared" si="22"/>
        <v>2680143.27</v>
      </c>
    </row>
    <row r="97" spans="1:9" x14ac:dyDescent="0.2">
      <c r="A97" s="10" t="s">
        <v>104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270025.21000000002</v>
      </c>
      <c r="I97" s="11">
        <f t="shared" si="22"/>
        <v>270025.21000000002</v>
      </c>
    </row>
    <row r="98" spans="1:9" x14ac:dyDescent="0.2">
      <c r="A98" s="10" t="s">
        <v>105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46702.720000000001</v>
      </c>
      <c r="H98" s="11">
        <v>0</v>
      </c>
      <c r="I98" s="11">
        <f t="shared" si="22"/>
        <v>46702.720000000001</v>
      </c>
    </row>
    <row r="99" spans="1:9" x14ac:dyDescent="0.2">
      <c r="A99" s="10" t="s">
        <v>106</v>
      </c>
      <c r="B99" s="11">
        <v>0</v>
      </c>
      <c r="C99" s="11">
        <v>0</v>
      </c>
      <c r="D99" s="11">
        <v>0</v>
      </c>
      <c r="E99" s="11">
        <v>0</v>
      </c>
      <c r="F99" s="11">
        <v>400000</v>
      </c>
      <c r="G99" s="11">
        <v>0</v>
      </c>
      <c r="H99" s="11">
        <v>0</v>
      </c>
      <c r="I99" s="11">
        <f t="shared" si="22"/>
        <v>400000</v>
      </c>
    </row>
    <row r="100" spans="1:9" x14ac:dyDescent="0.2">
      <c r="A100" s="10" t="s">
        <v>107</v>
      </c>
      <c r="B100" s="11">
        <v>0</v>
      </c>
      <c r="C100" s="11">
        <v>0</v>
      </c>
      <c r="D100" s="11">
        <v>3251.2811040000001</v>
      </c>
      <c r="E100" s="11">
        <v>0</v>
      </c>
      <c r="F100" s="11">
        <v>0</v>
      </c>
      <c r="G100" s="11">
        <v>0</v>
      </c>
      <c r="H100" s="11">
        <v>0</v>
      </c>
      <c r="I100" s="11">
        <f t="shared" si="22"/>
        <v>3251.2811040000001</v>
      </c>
    </row>
    <row r="101" spans="1:9" x14ac:dyDescent="0.2">
      <c r="A101" s="10" t="s">
        <v>108</v>
      </c>
      <c r="B101" s="11">
        <v>0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-13172.85</v>
      </c>
      <c r="I101" s="11">
        <f t="shared" si="22"/>
        <v>-13172.85</v>
      </c>
    </row>
    <row r="102" spans="1:9" x14ac:dyDescent="0.2">
      <c r="A102" s="10" t="s">
        <v>109</v>
      </c>
      <c r="B102" s="11">
        <v>-50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f t="shared" si="22"/>
        <v>-50</v>
      </c>
    </row>
    <row r="103" spans="1:9" x14ac:dyDescent="0.2">
      <c r="A103" s="10" t="s">
        <v>110</v>
      </c>
      <c r="B103" s="11">
        <v>0</v>
      </c>
      <c r="C103" s="11">
        <v>0</v>
      </c>
      <c r="D103" s="11">
        <v>0</v>
      </c>
      <c r="E103" s="11">
        <v>0</v>
      </c>
      <c r="F103" s="11">
        <v>405571.87</v>
      </c>
      <c r="G103" s="11">
        <v>0</v>
      </c>
      <c r="H103" s="11">
        <v>0</v>
      </c>
      <c r="I103" s="11">
        <f t="shared" si="22"/>
        <v>405571.87</v>
      </c>
    </row>
    <row r="104" spans="1:9" x14ac:dyDescent="0.2">
      <c r="A104" s="10" t="s">
        <v>111</v>
      </c>
      <c r="B104" s="11">
        <v>0</v>
      </c>
      <c r="C104" s="11">
        <v>0</v>
      </c>
      <c r="D104" s="11">
        <v>0</v>
      </c>
      <c r="E104" s="11">
        <v>0</v>
      </c>
      <c r="F104" s="11">
        <v>289261.21999999997</v>
      </c>
      <c r="G104" s="11">
        <v>0</v>
      </c>
      <c r="H104" s="11">
        <v>0</v>
      </c>
      <c r="I104" s="11">
        <f t="shared" si="22"/>
        <v>289261.21999999997</v>
      </c>
    </row>
    <row r="105" spans="1:9" x14ac:dyDescent="0.2">
      <c r="A105" s="10" t="s">
        <v>112</v>
      </c>
      <c r="B105" s="11">
        <v>330385.77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f t="shared" si="22"/>
        <v>330385.77</v>
      </c>
    </row>
    <row r="106" spans="1:9" x14ac:dyDescent="0.2">
      <c r="A106" s="10" t="s">
        <v>113</v>
      </c>
      <c r="B106" s="11">
        <v>0</v>
      </c>
      <c r="C106" s="11">
        <v>0</v>
      </c>
      <c r="D106" s="11">
        <v>0</v>
      </c>
      <c r="E106" s="11">
        <v>0</v>
      </c>
      <c r="F106" s="11">
        <v>288361.03999999998</v>
      </c>
      <c r="G106" s="11">
        <v>0</v>
      </c>
      <c r="H106" s="11">
        <v>0</v>
      </c>
      <c r="I106" s="11">
        <f t="shared" si="22"/>
        <v>288361.03999999998</v>
      </c>
    </row>
    <row r="107" spans="1:9" x14ac:dyDescent="0.2">
      <c r="A107" s="10" t="s">
        <v>114</v>
      </c>
      <c r="B107" s="11">
        <v>0</v>
      </c>
      <c r="C107" s="11">
        <v>0</v>
      </c>
      <c r="D107" s="11">
        <v>0</v>
      </c>
      <c r="E107" s="11">
        <v>0</v>
      </c>
      <c r="F107" s="11">
        <v>196441.64</v>
      </c>
      <c r="G107" s="11">
        <v>0</v>
      </c>
      <c r="H107" s="11">
        <v>0</v>
      </c>
      <c r="I107" s="11">
        <f t="shared" si="22"/>
        <v>196441.64</v>
      </c>
    </row>
    <row r="108" spans="1:9" x14ac:dyDescent="0.2">
      <c r="A108" s="10" t="s">
        <v>115</v>
      </c>
      <c r="B108" s="11">
        <v>0</v>
      </c>
      <c r="C108" s="11">
        <v>0</v>
      </c>
      <c r="D108" s="11">
        <v>0</v>
      </c>
      <c r="E108" s="11">
        <v>362588.7</v>
      </c>
      <c r="F108" s="11">
        <v>0</v>
      </c>
      <c r="G108" s="11">
        <v>0</v>
      </c>
      <c r="H108" s="11">
        <v>0</v>
      </c>
      <c r="I108" s="11">
        <f t="shared" si="22"/>
        <v>362588.7</v>
      </c>
    </row>
    <row r="109" spans="1:9" x14ac:dyDescent="0.2">
      <c r="A109" s="10" t="s">
        <v>116</v>
      </c>
      <c r="B109" s="11">
        <v>0</v>
      </c>
      <c r="C109" s="11">
        <v>0</v>
      </c>
      <c r="D109" s="11">
        <v>0</v>
      </c>
      <c r="E109" s="11">
        <v>349915.2</v>
      </c>
      <c r="F109" s="11">
        <v>0</v>
      </c>
      <c r="G109" s="11">
        <v>0</v>
      </c>
      <c r="H109" s="11">
        <v>0</v>
      </c>
      <c r="I109" s="11">
        <f t="shared" si="22"/>
        <v>349915.2</v>
      </c>
    </row>
    <row r="110" spans="1:9" x14ac:dyDescent="0.2">
      <c r="A110" s="10" t="s">
        <v>117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38870.370000000003</v>
      </c>
      <c r="I110" s="11">
        <f t="shared" si="22"/>
        <v>38870.370000000003</v>
      </c>
    </row>
    <row r="111" spans="1:9" x14ac:dyDescent="0.2">
      <c r="A111" s="10" t="s">
        <v>118</v>
      </c>
      <c r="B111" s="11">
        <v>0</v>
      </c>
      <c r="C111" s="11">
        <v>0</v>
      </c>
      <c r="D111" s="11">
        <v>0</v>
      </c>
      <c r="E111" s="11">
        <v>0</v>
      </c>
      <c r="F111" s="11">
        <v>270486.40999999997</v>
      </c>
      <c r="G111" s="11">
        <v>0</v>
      </c>
      <c r="H111" s="11">
        <v>0</v>
      </c>
      <c r="I111" s="11">
        <f t="shared" si="22"/>
        <v>270486.40999999997</v>
      </c>
    </row>
    <row r="112" spans="1:9" x14ac:dyDescent="0.2">
      <c r="A112" s="10" t="s">
        <v>119</v>
      </c>
      <c r="B112" s="11">
        <v>25460.28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f t="shared" si="22"/>
        <v>25460.28</v>
      </c>
    </row>
    <row r="113" spans="1:9" x14ac:dyDescent="0.2">
      <c r="A113" s="10" t="s">
        <v>120</v>
      </c>
      <c r="B113" s="11">
        <v>0</v>
      </c>
      <c r="C113" s="11">
        <v>0</v>
      </c>
      <c r="D113" s="11">
        <v>0</v>
      </c>
      <c r="E113" s="11">
        <v>0</v>
      </c>
      <c r="F113" s="11">
        <v>212870.08</v>
      </c>
      <c r="G113" s="11">
        <v>0</v>
      </c>
      <c r="H113" s="11">
        <v>0</v>
      </c>
      <c r="I113" s="11">
        <f t="shared" si="22"/>
        <v>212870.08</v>
      </c>
    </row>
    <row r="114" spans="1:9" x14ac:dyDescent="0.2">
      <c r="A114" s="10" t="s">
        <v>121</v>
      </c>
      <c r="B114" s="11">
        <v>0</v>
      </c>
      <c r="C114" s="11">
        <v>0</v>
      </c>
      <c r="D114" s="11">
        <v>0</v>
      </c>
      <c r="E114" s="11">
        <v>0</v>
      </c>
      <c r="F114" s="11">
        <v>4909.1899999999996</v>
      </c>
      <c r="G114" s="11">
        <v>0</v>
      </c>
      <c r="H114" s="11">
        <v>0</v>
      </c>
      <c r="I114" s="11">
        <f t="shared" si="22"/>
        <v>4909.1899999999996</v>
      </c>
    </row>
    <row r="115" spans="1:9" x14ac:dyDescent="0.2">
      <c r="A115" s="10" t="s">
        <v>122</v>
      </c>
      <c r="B115" s="11">
        <v>5949.35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f t="shared" si="22"/>
        <v>5949.35</v>
      </c>
    </row>
    <row r="116" spans="1:9" x14ac:dyDescent="0.2">
      <c r="A116" s="10" t="s">
        <v>123</v>
      </c>
      <c r="B116" s="11">
        <v>0</v>
      </c>
      <c r="C116" s="11">
        <v>0</v>
      </c>
      <c r="D116" s="11">
        <v>473062.27199712</v>
      </c>
      <c r="E116" s="11">
        <v>0</v>
      </c>
      <c r="F116" s="11">
        <v>0</v>
      </c>
      <c r="G116" s="11">
        <v>0</v>
      </c>
      <c r="H116" s="11">
        <v>0</v>
      </c>
      <c r="I116" s="11">
        <f t="shared" si="22"/>
        <v>473062.27199712</v>
      </c>
    </row>
    <row r="117" spans="1:9" x14ac:dyDescent="0.2">
      <c r="A117" s="10" t="s">
        <v>124</v>
      </c>
      <c r="B117" s="11">
        <v>0</v>
      </c>
      <c r="C117" s="11">
        <v>489352.52118480002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f t="shared" si="22"/>
        <v>489352.52118480002</v>
      </c>
    </row>
    <row r="118" spans="1:9" x14ac:dyDescent="0.2">
      <c r="A118" s="12" t="s">
        <v>125</v>
      </c>
      <c r="B118" s="13">
        <f t="shared" ref="B118:I118" si="23">SUM(B95:B117)</f>
        <v>361745.4</v>
      </c>
      <c r="C118" s="13">
        <f t="shared" si="23"/>
        <v>489352.52118480002</v>
      </c>
      <c r="D118" s="13">
        <f t="shared" si="23"/>
        <v>953109.30695223995</v>
      </c>
      <c r="E118" s="13">
        <f t="shared" si="23"/>
        <v>712503.9</v>
      </c>
      <c r="F118" s="13">
        <f t="shared" si="23"/>
        <v>4748044.7200000007</v>
      </c>
      <c r="G118" s="13">
        <f t="shared" si="23"/>
        <v>46702.720000000001</v>
      </c>
      <c r="H118" s="13">
        <f t="shared" si="23"/>
        <v>295722.73000000004</v>
      </c>
      <c r="I118" s="13">
        <f t="shared" si="23"/>
        <v>7607181.2981370399</v>
      </c>
    </row>
    <row r="119" spans="1:9" x14ac:dyDescent="0.2">
      <c r="A119" s="14" t="s">
        <v>126</v>
      </c>
      <c r="B119" s="13">
        <f t="shared" ref="B119:I119" si="24">B93+0+B118</f>
        <v>361745.4</v>
      </c>
      <c r="C119" s="13">
        <f t="shared" si="24"/>
        <v>489352.52118480002</v>
      </c>
      <c r="D119" s="13">
        <f t="shared" si="24"/>
        <v>953109.30695223995</v>
      </c>
      <c r="E119" s="13">
        <f t="shared" si="24"/>
        <v>712503.9</v>
      </c>
      <c r="F119" s="13">
        <f t="shared" si="24"/>
        <v>4748086.28</v>
      </c>
      <c r="G119" s="13">
        <f t="shared" si="24"/>
        <v>46702.720000000001</v>
      </c>
      <c r="H119" s="13">
        <f t="shared" si="24"/>
        <v>295722.73000000004</v>
      </c>
      <c r="I119" s="13">
        <f t="shared" si="24"/>
        <v>7607222.8581370395</v>
      </c>
    </row>
    <row r="120" spans="1:9" x14ac:dyDescent="0.2">
      <c r="A120" s="15" t="s">
        <v>127</v>
      </c>
      <c r="B120" s="13">
        <f t="shared" ref="B120:I120" si="25">B59+B84+B89+B119</f>
        <v>369740.99000000005</v>
      </c>
      <c r="C120" s="13">
        <f t="shared" si="25"/>
        <v>411945.89197272004</v>
      </c>
      <c r="D120" s="13">
        <f t="shared" si="25"/>
        <v>657774.4861294399</v>
      </c>
      <c r="E120" s="13">
        <f t="shared" si="25"/>
        <v>976446.9</v>
      </c>
      <c r="F120" s="13">
        <f t="shared" si="25"/>
        <v>8227235.7700000005</v>
      </c>
      <c r="G120" s="13">
        <f t="shared" si="25"/>
        <v>48678.48</v>
      </c>
      <c r="H120" s="13">
        <f t="shared" si="25"/>
        <v>295722.73000000004</v>
      </c>
      <c r="I120" s="13">
        <f t="shared" si="25"/>
        <v>10987545.24810216</v>
      </c>
    </row>
    <row r="121" spans="1:9" x14ac:dyDescent="0.2">
      <c r="A121" s="7"/>
      <c r="B121" s="6"/>
      <c r="C121" s="6"/>
      <c r="D121" s="6"/>
      <c r="E121" s="6"/>
      <c r="F121" s="6"/>
      <c r="G121" s="6"/>
      <c r="H121" s="6"/>
      <c r="I121" s="6"/>
    </row>
    <row r="122" spans="1:9" x14ac:dyDescent="0.2">
      <c r="A122" s="7" t="s">
        <v>128</v>
      </c>
      <c r="B122" s="6"/>
      <c r="C122" s="6"/>
      <c r="D122" s="6"/>
      <c r="E122" s="6"/>
      <c r="F122" s="6"/>
      <c r="G122" s="6"/>
      <c r="H122" s="6"/>
      <c r="I122" s="6"/>
    </row>
    <row r="123" spans="1:9" x14ac:dyDescent="0.2">
      <c r="A123" s="16" t="s">
        <v>129</v>
      </c>
      <c r="B123" s="11">
        <v>354.44</v>
      </c>
      <c r="C123" s="11">
        <v>0</v>
      </c>
      <c r="D123" s="11">
        <v>0</v>
      </c>
      <c r="E123" s="11">
        <v>0</v>
      </c>
      <c r="F123" s="11">
        <v>72591.490000000005</v>
      </c>
      <c r="G123" s="11">
        <v>0</v>
      </c>
      <c r="H123" s="11">
        <v>15649.25</v>
      </c>
      <c r="I123" s="11">
        <f>SUM(B123:H123)</f>
        <v>88595.180000000008</v>
      </c>
    </row>
    <row r="124" spans="1:9" x14ac:dyDescent="0.2">
      <c r="A124" s="15" t="s">
        <v>130</v>
      </c>
      <c r="B124" s="13">
        <f t="shared" ref="B124:I124" si="26">SUM(B123)</f>
        <v>354.44</v>
      </c>
      <c r="C124" s="13">
        <f t="shared" si="26"/>
        <v>0</v>
      </c>
      <c r="D124" s="13">
        <f t="shared" si="26"/>
        <v>0</v>
      </c>
      <c r="E124" s="13">
        <f t="shared" si="26"/>
        <v>0</v>
      </c>
      <c r="F124" s="13">
        <f t="shared" si="26"/>
        <v>72591.490000000005</v>
      </c>
      <c r="G124" s="13">
        <f t="shared" si="26"/>
        <v>0</v>
      </c>
      <c r="H124" s="13">
        <f t="shared" si="26"/>
        <v>15649.25</v>
      </c>
      <c r="I124" s="13">
        <f t="shared" si="26"/>
        <v>88595.180000000008</v>
      </c>
    </row>
    <row r="125" spans="1:9" x14ac:dyDescent="0.2">
      <c r="A125" s="17" t="s">
        <v>131</v>
      </c>
      <c r="B125" s="13">
        <f t="shared" ref="B125:I125" si="27">B52+B53+B120+B121+B124+0</f>
        <v>370095.43000000005</v>
      </c>
      <c r="C125" s="13">
        <f t="shared" si="27"/>
        <v>411945.89197272004</v>
      </c>
      <c r="D125" s="13">
        <f t="shared" si="27"/>
        <v>657774.4861294399</v>
      </c>
      <c r="E125" s="13">
        <f t="shared" si="27"/>
        <v>976535.14</v>
      </c>
      <c r="F125" s="13">
        <f t="shared" si="27"/>
        <v>9968069.9600000009</v>
      </c>
      <c r="G125" s="13">
        <f t="shared" si="27"/>
        <v>48678.48</v>
      </c>
      <c r="H125" s="13">
        <f t="shared" si="27"/>
        <v>569102.63</v>
      </c>
      <c r="I125" s="13">
        <f t="shared" si="27"/>
        <v>13002202.01810216</v>
      </c>
    </row>
    <row r="126" spans="1:9" x14ac:dyDescent="0.2">
      <c r="A126" s="5"/>
      <c r="B126" s="6"/>
      <c r="C126" s="6"/>
      <c r="D126" s="6"/>
      <c r="E126" s="6"/>
      <c r="F126" s="6"/>
      <c r="G126" s="6"/>
      <c r="H126" s="6"/>
      <c r="I126" s="6"/>
    </row>
    <row r="127" spans="1:9" x14ac:dyDescent="0.2">
      <c r="A127" s="5" t="s">
        <v>132</v>
      </c>
      <c r="B127" s="6"/>
      <c r="C127" s="6"/>
      <c r="D127" s="6"/>
      <c r="E127" s="6"/>
      <c r="F127" s="6"/>
      <c r="G127" s="6"/>
      <c r="H127" s="6"/>
      <c r="I127" s="6"/>
    </row>
    <row r="128" spans="1:9" x14ac:dyDescent="0.2">
      <c r="A128" s="7" t="s">
        <v>133</v>
      </c>
      <c r="B128" s="6"/>
      <c r="C128" s="6"/>
      <c r="D128" s="6"/>
      <c r="E128" s="6"/>
      <c r="F128" s="6"/>
      <c r="G128" s="6"/>
      <c r="H128" s="6"/>
      <c r="I128" s="6"/>
    </row>
    <row r="129" spans="1:9" hidden="1" x14ac:dyDescent="0.2">
      <c r="A129" s="7" t="s">
        <v>133</v>
      </c>
      <c r="B129" s="6"/>
      <c r="C129" s="6"/>
      <c r="D129" s="6"/>
      <c r="E129" s="6"/>
      <c r="F129" s="6"/>
      <c r="G129" s="6"/>
      <c r="H129" s="6"/>
      <c r="I129" s="6"/>
    </row>
    <row r="130" spans="1:9" x14ac:dyDescent="0.2">
      <c r="A130" s="16" t="s">
        <v>134</v>
      </c>
      <c r="B130" s="11">
        <v>25000</v>
      </c>
      <c r="C130" s="11">
        <v>88000</v>
      </c>
      <c r="D130" s="11">
        <v>330300</v>
      </c>
      <c r="E130" s="11">
        <v>70000</v>
      </c>
      <c r="F130" s="11">
        <v>52000</v>
      </c>
      <c r="G130" s="11">
        <v>2500</v>
      </c>
      <c r="H130" s="11">
        <v>25000</v>
      </c>
      <c r="I130" s="11">
        <f>SUM(B130:H130)</f>
        <v>592800</v>
      </c>
    </row>
    <row r="131" spans="1:9" x14ac:dyDescent="0.2">
      <c r="A131" s="16" t="s">
        <v>135</v>
      </c>
      <c r="B131" s="11">
        <v>244872.52</v>
      </c>
      <c r="C131" s="11">
        <v>0</v>
      </c>
      <c r="D131" s="11">
        <v>0</v>
      </c>
      <c r="E131" s="11">
        <v>0</v>
      </c>
      <c r="F131" s="11">
        <v>4358641.1500000004</v>
      </c>
      <c r="G131" s="11">
        <v>0</v>
      </c>
      <c r="H131" s="11">
        <v>518570.06</v>
      </c>
      <c r="I131" s="11">
        <f>SUM(B131:H131)</f>
        <v>5122083.7299999995</v>
      </c>
    </row>
    <row r="132" spans="1:9" hidden="1" x14ac:dyDescent="0.2">
      <c r="A132" s="18" t="s">
        <v>136</v>
      </c>
      <c r="B132" s="19">
        <f t="shared" ref="B132:I132" si="28">SUM(B130:B131)</f>
        <v>269872.52</v>
      </c>
      <c r="C132" s="19">
        <f t="shared" si="28"/>
        <v>88000</v>
      </c>
      <c r="D132" s="19">
        <f t="shared" si="28"/>
        <v>330300</v>
      </c>
      <c r="E132" s="19">
        <f t="shared" si="28"/>
        <v>70000</v>
      </c>
      <c r="F132" s="19">
        <f t="shared" si="28"/>
        <v>4410641.1500000004</v>
      </c>
      <c r="G132" s="19">
        <f t="shared" si="28"/>
        <v>2500</v>
      </c>
      <c r="H132" s="19">
        <f t="shared" si="28"/>
        <v>543570.06000000006</v>
      </c>
      <c r="I132" s="19">
        <f t="shared" si="28"/>
        <v>5714883.7299999995</v>
      </c>
    </row>
    <row r="133" spans="1:9" x14ac:dyDescent="0.2">
      <c r="A133" s="16" t="s">
        <v>137</v>
      </c>
      <c r="B133" s="11">
        <v>12284.769999999786</v>
      </c>
      <c r="C133" s="11">
        <v>245322.07042193008</v>
      </c>
      <c r="D133" s="11">
        <v>130761.2232076801</v>
      </c>
      <c r="E133" s="11">
        <v>521200.24000000348</v>
      </c>
      <c r="F133" s="11">
        <v>1385038.9200000307</v>
      </c>
      <c r="G133" s="11">
        <v>0</v>
      </c>
      <c r="H133" s="11">
        <v>7408.719999999943</v>
      </c>
      <c r="I133" s="11">
        <f>SUM(B133:H133)</f>
        <v>2302015.9436296439</v>
      </c>
    </row>
    <row r="134" spans="1:9" x14ac:dyDescent="0.2">
      <c r="A134" s="16" t="s">
        <v>138</v>
      </c>
      <c r="B134" s="11">
        <v>19662.559999999998</v>
      </c>
      <c r="C134" s="11">
        <v>-41690.747279169969</v>
      </c>
      <c r="D134" s="11">
        <v>219047.52044234</v>
      </c>
      <c r="E134" s="11">
        <v>104674.11999999992</v>
      </c>
      <c r="F134" s="11">
        <v>2463510.0099999984</v>
      </c>
      <c r="G134" s="11">
        <v>41957.87</v>
      </c>
      <c r="H134" s="11">
        <v>12080.980000000005</v>
      </c>
      <c r="I134" s="11">
        <f>SUM(B134:H134)</f>
        <v>2819242.3131631683</v>
      </c>
    </row>
    <row r="135" spans="1:9" x14ac:dyDescent="0.2">
      <c r="A135" s="16" t="s">
        <v>139</v>
      </c>
      <c r="B135" s="11">
        <v>0</v>
      </c>
      <c r="C135" s="11">
        <v>25417.712864000001</v>
      </c>
      <c r="D135" s="11">
        <v>-25395.390416999999</v>
      </c>
      <c r="E135" s="11">
        <v>0</v>
      </c>
      <c r="F135" s="11">
        <v>0</v>
      </c>
      <c r="G135" s="11">
        <v>0</v>
      </c>
      <c r="H135" s="11">
        <v>0</v>
      </c>
      <c r="I135" s="11">
        <f>SUM(B135:H135)</f>
        <v>22.322447000002285</v>
      </c>
    </row>
    <row r="136" spans="1:9" x14ac:dyDescent="0.2">
      <c r="A136" s="15" t="s">
        <v>140</v>
      </c>
      <c r="B136" s="13">
        <f t="shared" ref="B136:I136" si="29">B132+B133+B134+B135</f>
        <v>301819.8499999998</v>
      </c>
      <c r="C136" s="13">
        <f t="shared" si="29"/>
        <v>317049.03600676009</v>
      </c>
      <c r="D136" s="13">
        <f t="shared" si="29"/>
        <v>654713.35323302005</v>
      </c>
      <c r="E136" s="13">
        <f t="shared" si="29"/>
        <v>695874.36000000336</v>
      </c>
      <c r="F136" s="13">
        <f t="shared" si="29"/>
        <v>8259190.0800000299</v>
      </c>
      <c r="G136" s="13">
        <f t="shared" si="29"/>
        <v>44457.87</v>
      </c>
      <c r="H136" s="13">
        <f t="shared" si="29"/>
        <v>563059.76</v>
      </c>
      <c r="I136" s="13">
        <f t="shared" si="29"/>
        <v>10836164.309239812</v>
      </c>
    </row>
    <row r="137" spans="1:9" x14ac:dyDescent="0.2">
      <c r="A137" s="7"/>
      <c r="B137" s="6"/>
      <c r="C137" s="6"/>
      <c r="D137" s="6"/>
      <c r="E137" s="6"/>
      <c r="F137" s="6"/>
      <c r="G137" s="6"/>
      <c r="H137" s="6"/>
      <c r="I137" s="6"/>
    </row>
    <row r="138" spans="1:9" x14ac:dyDescent="0.2">
      <c r="A138" s="7" t="s">
        <v>141</v>
      </c>
      <c r="B138" s="6"/>
      <c r="C138" s="6"/>
      <c r="D138" s="6"/>
      <c r="E138" s="6"/>
      <c r="F138" s="6"/>
      <c r="G138" s="6"/>
      <c r="H138" s="6"/>
      <c r="I138" s="6"/>
    </row>
    <row r="139" spans="1:9" x14ac:dyDescent="0.2">
      <c r="A139" s="8" t="s">
        <v>142</v>
      </c>
      <c r="B139" s="6"/>
      <c r="C139" s="6"/>
      <c r="D139" s="6"/>
      <c r="E139" s="6"/>
      <c r="F139" s="6"/>
      <c r="G139" s="6"/>
      <c r="H139" s="6"/>
      <c r="I139" s="6"/>
    </row>
    <row r="140" spans="1:9" x14ac:dyDescent="0.2">
      <c r="A140" s="20" t="s">
        <v>143</v>
      </c>
      <c r="B140" s="11">
        <v>0</v>
      </c>
      <c r="C140" s="11">
        <v>10.222758000000001</v>
      </c>
      <c r="D140" s="11">
        <v>0</v>
      </c>
      <c r="E140" s="11">
        <v>2081</v>
      </c>
      <c r="F140" s="11">
        <v>0</v>
      </c>
      <c r="G140" s="11">
        <v>0</v>
      </c>
      <c r="H140" s="11">
        <v>723.77</v>
      </c>
      <c r="I140" s="11">
        <f>SUM(B140:H140)</f>
        <v>2814.9927579999999</v>
      </c>
    </row>
    <row r="141" spans="1:9" x14ac:dyDescent="0.2">
      <c r="A141" s="20" t="s">
        <v>144</v>
      </c>
      <c r="B141" s="11">
        <v>0</v>
      </c>
      <c r="C141" s="11">
        <v>0</v>
      </c>
      <c r="D141" s="11">
        <v>0</v>
      </c>
      <c r="E141" s="11">
        <v>0</v>
      </c>
      <c r="F141" s="11">
        <v>67576</v>
      </c>
      <c r="G141" s="11">
        <v>0</v>
      </c>
      <c r="H141" s="11">
        <v>601</v>
      </c>
      <c r="I141" s="11">
        <f>SUM(B141:H141)</f>
        <v>68177</v>
      </c>
    </row>
    <row r="142" spans="1:9" x14ac:dyDescent="0.2">
      <c r="A142" s="14" t="s">
        <v>145</v>
      </c>
      <c r="B142" s="13">
        <f t="shared" ref="B142:I142" si="30">SUM(B140:B141)</f>
        <v>0</v>
      </c>
      <c r="C142" s="13">
        <f t="shared" si="30"/>
        <v>10.222758000000001</v>
      </c>
      <c r="D142" s="13">
        <f t="shared" si="30"/>
        <v>0</v>
      </c>
      <c r="E142" s="13">
        <f t="shared" si="30"/>
        <v>2081</v>
      </c>
      <c r="F142" s="13">
        <f t="shared" si="30"/>
        <v>67576</v>
      </c>
      <c r="G142" s="13">
        <f t="shared" si="30"/>
        <v>0</v>
      </c>
      <c r="H142" s="13">
        <f t="shared" si="30"/>
        <v>1324.77</v>
      </c>
      <c r="I142" s="13">
        <f t="shared" si="30"/>
        <v>70991.992757999993</v>
      </c>
    </row>
    <row r="143" spans="1:9" x14ac:dyDescent="0.2">
      <c r="A143" s="8" t="s">
        <v>146</v>
      </c>
      <c r="B143" s="6"/>
      <c r="C143" s="6"/>
      <c r="D143" s="6"/>
      <c r="E143" s="6"/>
      <c r="F143" s="6"/>
      <c r="G143" s="6"/>
      <c r="H143" s="6"/>
      <c r="I143" s="6"/>
    </row>
    <row r="144" spans="1:9" x14ac:dyDescent="0.2">
      <c r="A144" s="20" t="s">
        <v>147</v>
      </c>
      <c r="B144" s="11">
        <v>0</v>
      </c>
      <c r="C144" s="11">
        <v>0</v>
      </c>
      <c r="D144" s="11">
        <v>0</v>
      </c>
      <c r="E144" s="11">
        <v>0</v>
      </c>
      <c r="F144" s="11">
        <v>161500.35</v>
      </c>
      <c r="G144" s="11">
        <v>0</v>
      </c>
      <c r="H144" s="11">
        <v>1668</v>
      </c>
      <c r="I144" s="11">
        <f t="shared" ref="I144:I150" si="31">SUM(B144:H144)</f>
        <v>163168.35</v>
      </c>
    </row>
    <row r="145" spans="1:9" x14ac:dyDescent="0.2">
      <c r="A145" s="20" t="s">
        <v>148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1512</v>
      </c>
      <c r="H145" s="11">
        <v>0</v>
      </c>
      <c r="I145" s="11">
        <f t="shared" si="31"/>
        <v>1512</v>
      </c>
    </row>
    <row r="146" spans="1:9" x14ac:dyDescent="0.2">
      <c r="A146" s="20" t="s">
        <v>149</v>
      </c>
      <c r="B146" s="11">
        <v>0</v>
      </c>
      <c r="C146" s="11">
        <v>0</v>
      </c>
      <c r="D146" s="11">
        <v>0</v>
      </c>
      <c r="E146" s="11">
        <v>2081</v>
      </c>
      <c r="F146" s="11">
        <v>38000</v>
      </c>
      <c r="G146" s="11">
        <v>0</v>
      </c>
      <c r="H146" s="11">
        <v>0</v>
      </c>
      <c r="I146" s="11">
        <f t="shared" si="31"/>
        <v>40081</v>
      </c>
    </row>
    <row r="147" spans="1:9" x14ac:dyDescent="0.2">
      <c r="A147" s="20" t="s">
        <v>150</v>
      </c>
      <c r="B147" s="11">
        <v>800</v>
      </c>
      <c r="C147" s="11">
        <v>0</v>
      </c>
      <c r="D147" s="11">
        <v>0</v>
      </c>
      <c r="E147" s="11">
        <v>9800</v>
      </c>
      <c r="F147" s="11">
        <v>16800</v>
      </c>
      <c r="G147" s="11">
        <v>0</v>
      </c>
      <c r="H147" s="11">
        <v>900</v>
      </c>
      <c r="I147" s="11">
        <f t="shared" si="31"/>
        <v>28300</v>
      </c>
    </row>
    <row r="148" spans="1:9" x14ac:dyDescent="0.2">
      <c r="A148" s="20" t="s">
        <v>151</v>
      </c>
      <c r="B148" s="11">
        <v>60</v>
      </c>
      <c r="C148" s="11">
        <v>0</v>
      </c>
      <c r="D148" s="11">
        <v>0</v>
      </c>
      <c r="E148" s="11">
        <v>0</v>
      </c>
      <c r="F148" s="11">
        <v>907506.52</v>
      </c>
      <c r="G148" s="11">
        <v>0</v>
      </c>
      <c r="H148" s="11">
        <v>0</v>
      </c>
      <c r="I148" s="11">
        <f t="shared" si="31"/>
        <v>907566.52</v>
      </c>
    </row>
    <row r="149" spans="1:9" x14ac:dyDescent="0.2">
      <c r="A149" s="20" t="s">
        <v>152</v>
      </c>
      <c r="B149" s="11">
        <v>100</v>
      </c>
      <c r="C149" s="11">
        <v>0</v>
      </c>
      <c r="D149" s="11">
        <v>0</v>
      </c>
      <c r="E149" s="11">
        <v>0</v>
      </c>
      <c r="F149" s="11">
        <v>6850</v>
      </c>
      <c r="G149" s="11">
        <v>0</v>
      </c>
      <c r="H149" s="11">
        <v>100</v>
      </c>
      <c r="I149" s="11">
        <f t="shared" si="31"/>
        <v>7050</v>
      </c>
    </row>
    <row r="150" spans="1:9" x14ac:dyDescent="0.2">
      <c r="A150" s="20" t="s">
        <v>153</v>
      </c>
      <c r="B150" s="11">
        <v>0</v>
      </c>
      <c r="C150" s="11">
        <v>0</v>
      </c>
      <c r="D150" s="11">
        <v>0</v>
      </c>
      <c r="E150" s="11">
        <v>0</v>
      </c>
      <c r="F150" s="11">
        <v>32363.53</v>
      </c>
      <c r="G150" s="11">
        <v>0</v>
      </c>
      <c r="H150" s="11">
        <v>0</v>
      </c>
      <c r="I150" s="11">
        <f t="shared" si="31"/>
        <v>32363.53</v>
      </c>
    </row>
    <row r="151" spans="1:9" x14ac:dyDescent="0.2">
      <c r="A151" s="14" t="s">
        <v>154</v>
      </c>
      <c r="B151" s="13">
        <f t="shared" ref="B151:I151" si="32">SUM(B144:B150)</f>
        <v>960</v>
      </c>
      <c r="C151" s="13">
        <f t="shared" si="32"/>
        <v>0</v>
      </c>
      <c r="D151" s="13">
        <f t="shared" si="32"/>
        <v>0</v>
      </c>
      <c r="E151" s="13">
        <f t="shared" si="32"/>
        <v>11881</v>
      </c>
      <c r="F151" s="13">
        <f t="shared" si="32"/>
        <v>1163020.4000000001</v>
      </c>
      <c r="G151" s="13">
        <f t="shared" si="32"/>
        <v>1512</v>
      </c>
      <c r="H151" s="13">
        <f t="shared" si="32"/>
        <v>2668</v>
      </c>
      <c r="I151" s="13">
        <f t="shared" si="32"/>
        <v>1180041.4000000001</v>
      </c>
    </row>
    <row r="152" spans="1:9" x14ac:dyDescent="0.2">
      <c r="A152" s="15" t="s">
        <v>155</v>
      </c>
      <c r="B152" s="13">
        <f t="shared" ref="B152:I152" si="33">0+B142+B151</f>
        <v>960</v>
      </c>
      <c r="C152" s="13">
        <f t="shared" si="33"/>
        <v>10.222758000000001</v>
      </c>
      <c r="D152" s="13">
        <f t="shared" si="33"/>
        <v>0</v>
      </c>
      <c r="E152" s="13">
        <f t="shared" si="33"/>
        <v>13962</v>
      </c>
      <c r="F152" s="13">
        <f t="shared" si="33"/>
        <v>1230596.4000000001</v>
      </c>
      <c r="G152" s="13">
        <f t="shared" si="33"/>
        <v>1512</v>
      </c>
      <c r="H152" s="13">
        <f t="shared" si="33"/>
        <v>3992.77</v>
      </c>
      <c r="I152" s="13">
        <f t="shared" si="33"/>
        <v>1251033.3927580002</v>
      </c>
    </row>
    <row r="153" spans="1:9" x14ac:dyDescent="0.2">
      <c r="A153" s="7" t="s">
        <v>156</v>
      </c>
      <c r="B153" s="6"/>
      <c r="C153" s="6"/>
      <c r="D153" s="6"/>
      <c r="E153" s="6"/>
      <c r="F153" s="6"/>
      <c r="G153" s="6"/>
      <c r="H153" s="6"/>
      <c r="I153" s="6"/>
    </row>
    <row r="154" spans="1:9" x14ac:dyDescent="0.2">
      <c r="A154" s="8" t="s">
        <v>157</v>
      </c>
      <c r="B154" s="6"/>
      <c r="C154" s="6"/>
      <c r="D154" s="6"/>
      <c r="E154" s="6"/>
      <c r="F154" s="6"/>
      <c r="G154" s="6"/>
      <c r="H154" s="6"/>
      <c r="I154" s="6"/>
    </row>
    <row r="155" spans="1:9" x14ac:dyDescent="0.2">
      <c r="A155" s="20" t="s">
        <v>158</v>
      </c>
      <c r="B155" s="11">
        <v>0</v>
      </c>
      <c r="C155" s="11">
        <v>0</v>
      </c>
      <c r="D155" s="11">
        <v>0</v>
      </c>
      <c r="E155" s="11">
        <v>0</v>
      </c>
      <c r="F155" s="11">
        <v>838.14</v>
      </c>
      <c r="G155" s="11">
        <v>0</v>
      </c>
      <c r="H155" s="11">
        <v>0</v>
      </c>
      <c r="I155" s="11">
        <f>SUM(B155:H155)</f>
        <v>838.14</v>
      </c>
    </row>
    <row r="156" spans="1:9" x14ac:dyDescent="0.2">
      <c r="A156" s="20" t="s">
        <v>159</v>
      </c>
      <c r="B156" s="11">
        <v>0</v>
      </c>
      <c r="C156" s="11">
        <v>3034.0202104800001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f>SUM(B156:H156)</f>
        <v>3034.0202104800001</v>
      </c>
    </row>
    <row r="157" spans="1:9" x14ac:dyDescent="0.2">
      <c r="A157" s="14" t="s">
        <v>160</v>
      </c>
      <c r="B157" s="13">
        <f t="shared" ref="B157:I157" si="34">SUM(B155:B156)</f>
        <v>0</v>
      </c>
      <c r="C157" s="13">
        <f t="shared" si="34"/>
        <v>3034.0202104800001</v>
      </c>
      <c r="D157" s="13">
        <f t="shared" si="34"/>
        <v>0</v>
      </c>
      <c r="E157" s="13">
        <f t="shared" si="34"/>
        <v>0</v>
      </c>
      <c r="F157" s="13">
        <f t="shared" si="34"/>
        <v>838.14</v>
      </c>
      <c r="G157" s="13">
        <f t="shared" si="34"/>
        <v>0</v>
      </c>
      <c r="H157" s="13">
        <f t="shared" si="34"/>
        <v>0</v>
      </c>
      <c r="I157" s="13">
        <f t="shared" si="34"/>
        <v>3872.1602104799999</v>
      </c>
    </row>
    <row r="158" spans="1:9" x14ac:dyDescent="0.2">
      <c r="A158" s="8" t="s">
        <v>161</v>
      </c>
      <c r="B158" s="6"/>
      <c r="C158" s="6"/>
      <c r="D158" s="6"/>
      <c r="E158" s="6"/>
      <c r="F158" s="6"/>
      <c r="G158" s="6"/>
      <c r="H158" s="6"/>
      <c r="I158" s="6"/>
    </row>
    <row r="159" spans="1:9" x14ac:dyDescent="0.2">
      <c r="A159" s="20" t="s">
        <v>162</v>
      </c>
      <c r="B159" s="11">
        <v>0</v>
      </c>
      <c r="C159" s="11">
        <v>35336.048212080001</v>
      </c>
      <c r="D159" s="11">
        <v>3061.1328967200002</v>
      </c>
      <c r="E159" s="11">
        <v>52705</v>
      </c>
      <c r="F159" s="11">
        <v>0</v>
      </c>
      <c r="G159" s="11">
        <v>0</v>
      </c>
      <c r="H159" s="11">
        <v>0</v>
      </c>
      <c r="I159" s="11">
        <f>SUM(B159:H159)</f>
        <v>91102.181108799996</v>
      </c>
    </row>
    <row r="160" spans="1:9" x14ac:dyDescent="0.2">
      <c r="A160" s="20" t="s">
        <v>163</v>
      </c>
      <c r="B160" s="11">
        <v>0</v>
      </c>
      <c r="C160" s="11">
        <v>0</v>
      </c>
      <c r="D160" s="11">
        <v>0</v>
      </c>
      <c r="E160" s="11">
        <v>0</v>
      </c>
      <c r="F160" s="11">
        <v>34780.300000000003</v>
      </c>
      <c r="G160" s="11">
        <v>384.56</v>
      </c>
      <c r="H160" s="11">
        <v>0</v>
      </c>
      <c r="I160" s="11">
        <f>SUM(B160:H160)</f>
        <v>35164.86</v>
      </c>
    </row>
    <row r="161" spans="1:9" x14ac:dyDescent="0.2">
      <c r="A161" s="14" t="s">
        <v>164</v>
      </c>
      <c r="B161" s="13">
        <f t="shared" ref="B161:I161" si="35">SUM(B159:B160)</f>
        <v>0</v>
      </c>
      <c r="C161" s="13">
        <f t="shared" si="35"/>
        <v>35336.048212080001</v>
      </c>
      <c r="D161" s="13">
        <f t="shared" si="35"/>
        <v>3061.1328967200002</v>
      </c>
      <c r="E161" s="13">
        <f t="shared" si="35"/>
        <v>52705</v>
      </c>
      <c r="F161" s="13">
        <f t="shared" si="35"/>
        <v>34780.300000000003</v>
      </c>
      <c r="G161" s="13">
        <f t="shared" si="35"/>
        <v>384.56</v>
      </c>
      <c r="H161" s="13">
        <f t="shared" si="35"/>
        <v>0</v>
      </c>
      <c r="I161" s="13">
        <f t="shared" si="35"/>
        <v>126267.0411088</v>
      </c>
    </row>
    <row r="162" spans="1:9" x14ac:dyDescent="0.2">
      <c r="A162" s="8" t="s">
        <v>165</v>
      </c>
      <c r="B162" s="6"/>
      <c r="C162" s="6"/>
      <c r="D162" s="6"/>
      <c r="E162" s="6"/>
      <c r="F162" s="6"/>
      <c r="G162" s="6"/>
      <c r="H162" s="6"/>
      <c r="I162" s="6"/>
    </row>
    <row r="163" spans="1:9" x14ac:dyDescent="0.2">
      <c r="A163" s="20" t="s">
        <v>166</v>
      </c>
      <c r="B163" s="11">
        <v>0</v>
      </c>
      <c r="C163" s="11">
        <v>0</v>
      </c>
      <c r="D163" s="11">
        <v>0</v>
      </c>
      <c r="E163" s="11">
        <v>0</v>
      </c>
      <c r="F163" s="11">
        <v>896</v>
      </c>
      <c r="G163" s="11">
        <v>0</v>
      </c>
      <c r="H163" s="11">
        <v>0</v>
      </c>
      <c r="I163" s="11">
        <f t="shared" ref="I163:I194" si="36">SUM(B163:H163)</f>
        <v>896</v>
      </c>
    </row>
    <row r="164" spans="1:9" x14ac:dyDescent="0.2">
      <c r="A164" s="20" t="s">
        <v>167</v>
      </c>
      <c r="B164" s="11">
        <v>0</v>
      </c>
      <c r="C164" s="11">
        <v>0</v>
      </c>
      <c r="D164" s="11">
        <v>0</v>
      </c>
      <c r="E164" s="11">
        <v>0</v>
      </c>
      <c r="F164" s="11">
        <v>464.54</v>
      </c>
      <c r="G164" s="11">
        <v>0</v>
      </c>
      <c r="H164" s="11">
        <v>0</v>
      </c>
      <c r="I164" s="11">
        <f t="shared" si="36"/>
        <v>464.54</v>
      </c>
    </row>
    <row r="165" spans="1:9" x14ac:dyDescent="0.2">
      <c r="A165" s="20" t="s">
        <v>168</v>
      </c>
      <c r="B165" s="11">
        <v>0</v>
      </c>
      <c r="C165" s="11">
        <v>0</v>
      </c>
      <c r="D165" s="11">
        <v>0</v>
      </c>
      <c r="E165" s="11">
        <v>0</v>
      </c>
      <c r="F165" s="11">
        <v>349.16</v>
      </c>
      <c r="G165" s="11">
        <v>0</v>
      </c>
      <c r="H165" s="11">
        <v>0</v>
      </c>
      <c r="I165" s="11">
        <f t="shared" si="36"/>
        <v>349.16</v>
      </c>
    </row>
    <row r="166" spans="1:9" x14ac:dyDescent="0.2">
      <c r="A166" s="20" t="s">
        <v>169</v>
      </c>
      <c r="B166" s="11">
        <v>143.63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f t="shared" si="36"/>
        <v>143.63</v>
      </c>
    </row>
    <row r="167" spans="1:9" x14ac:dyDescent="0.2">
      <c r="A167" s="20" t="s">
        <v>170</v>
      </c>
      <c r="B167" s="11">
        <v>0</v>
      </c>
      <c r="C167" s="11">
        <v>17575.437373199999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f t="shared" si="36"/>
        <v>17575.437373199999</v>
      </c>
    </row>
    <row r="168" spans="1:9" x14ac:dyDescent="0.2">
      <c r="A168" s="20" t="s">
        <v>171</v>
      </c>
      <c r="B168" s="11">
        <v>0</v>
      </c>
      <c r="C168" s="11">
        <v>-1039.6807008000001</v>
      </c>
      <c r="D168" s="11">
        <v>0</v>
      </c>
      <c r="E168" s="11">
        <v>396.6</v>
      </c>
      <c r="F168" s="11">
        <v>-70.72</v>
      </c>
      <c r="G168" s="11">
        <v>0</v>
      </c>
      <c r="H168" s="11">
        <v>0</v>
      </c>
      <c r="I168" s="11">
        <f t="shared" si="36"/>
        <v>-713.80070080000007</v>
      </c>
    </row>
    <row r="169" spans="1:9" x14ac:dyDescent="0.2">
      <c r="A169" s="20" t="s">
        <v>172</v>
      </c>
      <c r="B169" s="11">
        <v>0</v>
      </c>
      <c r="C169" s="11">
        <v>0</v>
      </c>
      <c r="D169" s="11">
        <v>0</v>
      </c>
      <c r="E169" s="11">
        <v>0</v>
      </c>
      <c r="F169" s="11">
        <v>1633.92</v>
      </c>
      <c r="G169" s="11">
        <v>0</v>
      </c>
      <c r="H169" s="11">
        <v>0</v>
      </c>
      <c r="I169" s="11">
        <f t="shared" si="36"/>
        <v>1633.92</v>
      </c>
    </row>
    <row r="170" spans="1:9" x14ac:dyDescent="0.2">
      <c r="A170" s="20" t="s">
        <v>173</v>
      </c>
      <c r="B170" s="11">
        <v>0</v>
      </c>
      <c r="C170" s="11">
        <v>0</v>
      </c>
      <c r="D170" s="11">
        <v>0</v>
      </c>
      <c r="E170" s="11">
        <v>0</v>
      </c>
      <c r="F170" s="11">
        <v>103.5</v>
      </c>
      <c r="G170" s="11">
        <v>0</v>
      </c>
      <c r="H170" s="11">
        <v>0</v>
      </c>
      <c r="I170" s="11">
        <f t="shared" si="36"/>
        <v>103.5</v>
      </c>
    </row>
    <row r="171" spans="1:9" x14ac:dyDescent="0.2">
      <c r="A171" s="20" t="s">
        <v>174</v>
      </c>
      <c r="B171" s="11">
        <v>0</v>
      </c>
      <c r="C171" s="11">
        <v>0</v>
      </c>
      <c r="D171" s="11">
        <v>0</v>
      </c>
      <c r="E171" s="11">
        <v>0</v>
      </c>
      <c r="F171" s="11">
        <v>-6855.45</v>
      </c>
      <c r="G171" s="11">
        <v>0</v>
      </c>
      <c r="H171" s="11">
        <v>0</v>
      </c>
      <c r="I171" s="11">
        <f t="shared" si="36"/>
        <v>-6855.45</v>
      </c>
    </row>
    <row r="172" spans="1:9" x14ac:dyDescent="0.2">
      <c r="A172" s="20" t="s">
        <v>175</v>
      </c>
      <c r="B172" s="11">
        <v>0</v>
      </c>
      <c r="C172" s="11">
        <v>0</v>
      </c>
      <c r="D172" s="11">
        <v>0</v>
      </c>
      <c r="E172" s="11">
        <v>-157</v>
      </c>
      <c r="F172" s="11">
        <v>-763.49</v>
      </c>
      <c r="G172" s="11">
        <v>0</v>
      </c>
      <c r="H172" s="11">
        <v>0</v>
      </c>
      <c r="I172" s="11">
        <f t="shared" si="36"/>
        <v>-920.49</v>
      </c>
    </row>
    <row r="173" spans="1:9" x14ac:dyDescent="0.2">
      <c r="A173" s="20" t="s">
        <v>176</v>
      </c>
      <c r="B173" s="11">
        <v>0</v>
      </c>
      <c r="C173" s="11">
        <v>0</v>
      </c>
      <c r="D173" s="11">
        <v>0</v>
      </c>
      <c r="E173" s="11">
        <v>70890.22</v>
      </c>
      <c r="F173" s="11">
        <v>-85979.35</v>
      </c>
      <c r="G173" s="11">
        <v>0</v>
      </c>
      <c r="H173" s="11">
        <v>-1160.53</v>
      </c>
      <c r="I173" s="11">
        <f t="shared" si="36"/>
        <v>-16249.660000000005</v>
      </c>
    </row>
    <row r="174" spans="1:9" x14ac:dyDescent="0.2">
      <c r="A174" s="20" t="s">
        <v>177</v>
      </c>
      <c r="B174" s="11">
        <v>0</v>
      </c>
      <c r="C174" s="11">
        <v>0</v>
      </c>
      <c r="D174" s="11">
        <v>0</v>
      </c>
      <c r="E174" s="11">
        <v>0</v>
      </c>
      <c r="F174" s="11">
        <v>-3001.66</v>
      </c>
      <c r="G174" s="11">
        <v>0</v>
      </c>
      <c r="H174" s="11">
        <v>-6661.13</v>
      </c>
      <c r="I174" s="11">
        <f t="shared" si="36"/>
        <v>-9662.7900000000009</v>
      </c>
    </row>
    <row r="175" spans="1:9" x14ac:dyDescent="0.2">
      <c r="A175" s="20" t="s">
        <v>178</v>
      </c>
      <c r="B175" s="11">
        <v>0</v>
      </c>
      <c r="C175" s="11">
        <v>0</v>
      </c>
      <c r="D175" s="11">
        <v>0</v>
      </c>
      <c r="E175" s="11">
        <v>0</v>
      </c>
      <c r="F175" s="11">
        <v>-2449.2399999999998</v>
      </c>
      <c r="G175" s="11">
        <v>0</v>
      </c>
      <c r="H175" s="11">
        <v>0</v>
      </c>
      <c r="I175" s="11">
        <f t="shared" si="36"/>
        <v>-2449.2399999999998</v>
      </c>
    </row>
    <row r="176" spans="1:9" x14ac:dyDescent="0.2">
      <c r="A176" s="20" t="s">
        <v>179</v>
      </c>
      <c r="B176" s="11">
        <v>0</v>
      </c>
      <c r="C176" s="11">
        <v>0</v>
      </c>
      <c r="D176" s="11">
        <v>0</v>
      </c>
      <c r="E176" s="11">
        <v>0</v>
      </c>
      <c r="F176" s="11">
        <v>-3241.38</v>
      </c>
      <c r="G176" s="11">
        <v>0</v>
      </c>
      <c r="H176" s="11">
        <v>0</v>
      </c>
      <c r="I176" s="11">
        <f t="shared" si="36"/>
        <v>-3241.38</v>
      </c>
    </row>
    <row r="177" spans="1:9" x14ac:dyDescent="0.2">
      <c r="A177" s="20" t="s">
        <v>180</v>
      </c>
      <c r="B177" s="11">
        <v>0</v>
      </c>
      <c r="C177" s="11">
        <v>0</v>
      </c>
      <c r="D177" s="11">
        <v>0</v>
      </c>
      <c r="E177" s="11">
        <v>0</v>
      </c>
      <c r="F177" s="11">
        <v>-2369.81</v>
      </c>
      <c r="G177" s="11">
        <v>0</v>
      </c>
      <c r="H177" s="11">
        <v>0</v>
      </c>
      <c r="I177" s="11">
        <f t="shared" si="36"/>
        <v>-2369.81</v>
      </c>
    </row>
    <row r="178" spans="1:9" x14ac:dyDescent="0.2">
      <c r="A178" s="20" t="s">
        <v>181</v>
      </c>
      <c r="B178" s="11">
        <v>0</v>
      </c>
      <c r="C178" s="11">
        <v>0</v>
      </c>
      <c r="D178" s="11">
        <v>0</v>
      </c>
      <c r="E178" s="11">
        <v>0</v>
      </c>
      <c r="F178" s="11">
        <v>-2388.46</v>
      </c>
      <c r="G178" s="11">
        <v>0</v>
      </c>
      <c r="H178" s="11">
        <v>0</v>
      </c>
      <c r="I178" s="11">
        <f t="shared" si="36"/>
        <v>-2388.46</v>
      </c>
    </row>
    <row r="179" spans="1:9" x14ac:dyDescent="0.2">
      <c r="A179" s="20" t="s">
        <v>182</v>
      </c>
      <c r="B179" s="11">
        <v>0</v>
      </c>
      <c r="C179" s="11">
        <v>0</v>
      </c>
      <c r="D179" s="11">
        <v>0</v>
      </c>
      <c r="E179" s="11">
        <v>0</v>
      </c>
      <c r="F179" s="11">
        <v>-2559.9899999999998</v>
      </c>
      <c r="G179" s="11">
        <v>0</v>
      </c>
      <c r="H179" s="11">
        <v>0</v>
      </c>
      <c r="I179" s="11">
        <f t="shared" si="36"/>
        <v>-2559.9899999999998</v>
      </c>
    </row>
    <row r="180" spans="1:9" x14ac:dyDescent="0.2">
      <c r="A180" s="20" t="s">
        <v>183</v>
      </c>
      <c r="B180" s="11">
        <v>0</v>
      </c>
      <c r="C180" s="11">
        <v>0</v>
      </c>
      <c r="D180" s="11">
        <v>0</v>
      </c>
      <c r="E180" s="11">
        <v>0</v>
      </c>
      <c r="F180" s="11">
        <v>-1482.84</v>
      </c>
      <c r="G180" s="11">
        <v>0</v>
      </c>
      <c r="H180" s="11">
        <v>0</v>
      </c>
      <c r="I180" s="11">
        <f t="shared" si="36"/>
        <v>-1482.84</v>
      </c>
    </row>
    <row r="181" spans="1:9" x14ac:dyDescent="0.2">
      <c r="A181" s="20" t="s">
        <v>184</v>
      </c>
      <c r="B181" s="11">
        <v>0</v>
      </c>
      <c r="C181" s="11">
        <v>0</v>
      </c>
      <c r="D181" s="11">
        <v>0</v>
      </c>
      <c r="E181" s="11">
        <v>0</v>
      </c>
      <c r="F181" s="11">
        <v>-2702.39</v>
      </c>
      <c r="G181" s="11">
        <v>0</v>
      </c>
      <c r="H181" s="11">
        <v>0</v>
      </c>
      <c r="I181" s="11">
        <f t="shared" si="36"/>
        <v>-2702.39</v>
      </c>
    </row>
    <row r="182" spans="1:9" x14ac:dyDescent="0.2">
      <c r="A182" s="20" t="s">
        <v>185</v>
      </c>
      <c r="B182" s="11">
        <v>0</v>
      </c>
      <c r="C182" s="11">
        <v>0</v>
      </c>
      <c r="D182" s="11">
        <v>0</v>
      </c>
      <c r="E182" s="11">
        <v>0</v>
      </c>
      <c r="F182" s="11">
        <v>-1765.58</v>
      </c>
      <c r="G182" s="11">
        <v>0</v>
      </c>
      <c r="H182" s="11">
        <v>0</v>
      </c>
      <c r="I182" s="11">
        <f t="shared" si="36"/>
        <v>-1765.58</v>
      </c>
    </row>
    <row r="183" spans="1:9" x14ac:dyDescent="0.2">
      <c r="A183" s="20" t="s">
        <v>186</v>
      </c>
      <c r="B183" s="11">
        <v>0</v>
      </c>
      <c r="C183" s="11">
        <v>0</v>
      </c>
      <c r="D183" s="11">
        <v>0</v>
      </c>
      <c r="E183" s="11">
        <v>0</v>
      </c>
      <c r="F183" s="11">
        <v>-1874.7</v>
      </c>
      <c r="G183" s="11">
        <v>0</v>
      </c>
      <c r="H183" s="11">
        <v>0</v>
      </c>
      <c r="I183" s="11">
        <f t="shared" si="36"/>
        <v>-1874.7</v>
      </c>
    </row>
    <row r="184" spans="1:9" x14ac:dyDescent="0.2">
      <c r="A184" s="20" t="s">
        <v>187</v>
      </c>
      <c r="B184" s="11">
        <v>0</v>
      </c>
      <c r="C184" s="11">
        <v>0</v>
      </c>
      <c r="D184" s="11">
        <v>0</v>
      </c>
      <c r="E184" s="11">
        <v>0</v>
      </c>
      <c r="F184" s="11">
        <v>-1577.76</v>
      </c>
      <c r="G184" s="11">
        <v>0</v>
      </c>
      <c r="H184" s="11">
        <v>0</v>
      </c>
      <c r="I184" s="11">
        <f t="shared" si="36"/>
        <v>-1577.76</v>
      </c>
    </row>
    <row r="185" spans="1:9" x14ac:dyDescent="0.2">
      <c r="A185" s="20" t="s">
        <v>188</v>
      </c>
      <c r="B185" s="11">
        <v>0</v>
      </c>
      <c r="C185" s="11">
        <v>0</v>
      </c>
      <c r="D185" s="11">
        <v>0</v>
      </c>
      <c r="E185" s="11">
        <v>0</v>
      </c>
      <c r="F185" s="11">
        <v>-1252.8</v>
      </c>
      <c r="G185" s="11">
        <v>0</v>
      </c>
      <c r="H185" s="11">
        <v>0</v>
      </c>
      <c r="I185" s="11">
        <f t="shared" si="36"/>
        <v>-1252.8</v>
      </c>
    </row>
    <row r="186" spans="1:9" x14ac:dyDescent="0.2">
      <c r="A186" s="20" t="s">
        <v>189</v>
      </c>
      <c r="B186" s="11">
        <v>0</v>
      </c>
      <c r="C186" s="11">
        <v>0</v>
      </c>
      <c r="D186" s="11">
        <v>0</v>
      </c>
      <c r="E186" s="11">
        <v>0</v>
      </c>
      <c r="F186" s="11">
        <v>-1823.79</v>
      </c>
      <c r="G186" s="11">
        <v>0</v>
      </c>
      <c r="H186" s="11">
        <v>0</v>
      </c>
      <c r="I186" s="11">
        <f t="shared" si="36"/>
        <v>-1823.79</v>
      </c>
    </row>
    <row r="187" spans="1:9" x14ac:dyDescent="0.2">
      <c r="A187" s="20" t="s">
        <v>190</v>
      </c>
      <c r="B187" s="11">
        <v>0</v>
      </c>
      <c r="C187" s="11">
        <v>0</v>
      </c>
      <c r="D187" s="11">
        <v>0</v>
      </c>
      <c r="E187" s="11">
        <v>0</v>
      </c>
      <c r="F187" s="11">
        <v>-1824.42</v>
      </c>
      <c r="G187" s="11">
        <v>0</v>
      </c>
      <c r="H187" s="11">
        <v>0</v>
      </c>
      <c r="I187" s="11">
        <f t="shared" si="36"/>
        <v>-1824.42</v>
      </c>
    </row>
    <row r="188" spans="1:9" x14ac:dyDescent="0.2">
      <c r="A188" s="20" t="s">
        <v>191</v>
      </c>
      <c r="B188" s="11">
        <v>0</v>
      </c>
      <c r="C188" s="11">
        <v>0</v>
      </c>
      <c r="D188" s="11">
        <v>0</v>
      </c>
      <c r="E188" s="11">
        <v>0</v>
      </c>
      <c r="F188" s="11">
        <v>-4292.3</v>
      </c>
      <c r="G188" s="11">
        <v>0</v>
      </c>
      <c r="H188" s="11">
        <v>0</v>
      </c>
      <c r="I188" s="11">
        <f t="shared" si="36"/>
        <v>-4292.3</v>
      </c>
    </row>
    <row r="189" spans="1:9" x14ac:dyDescent="0.2">
      <c r="A189" s="20" t="s">
        <v>192</v>
      </c>
      <c r="B189" s="11">
        <v>0</v>
      </c>
      <c r="C189" s="11">
        <v>0</v>
      </c>
      <c r="D189" s="11">
        <v>0</v>
      </c>
      <c r="E189" s="11">
        <v>0</v>
      </c>
      <c r="F189" s="11">
        <v>-4557.57</v>
      </c>
      <c r="G189" s="11">
        <v>0</v>
      </c>
      <c r="H189" s="11">
        <v>0</v>
      </c>
      <c r="I189" s="11">
        <f t="shared" si="36"/>
        <v>-4557.57</v>
      </c>
    </row>
    <row r="190" spans="1:9" x14ac:dyDescent="0.2">
      <c r="A190" s="20" t="s">
        <v>193</v>
      </c>
      <c r="B190" s="11">
        <v>0</v>
      </c>
      <c r="C190" s="11">
        <v>0</v>
      </c>
      <c r="D190" s="11">
        <v>0</v>
      </c>
      <c r="E190" s="11">
        <v>0</v>
      </c>
      <c r="F190" s="11">
        <v>-451.12</v>
      </c>
      <c r="G190" s="11">
        <v>0</v>
      </c>
      <c r="H190" s="11">
        <v>0</v>
      </c>
      <c r="I190" s="11">
        <f t="shared" si="36"/>
        <v>-451.12</v>
      </c>
    </row>
    <row r="191" spans="1:9" x14ac:dyDescent="0.2">
      <c r="A191" s="20" t="s">
        <v>194</v>
      </c>
      <c r="B191" s="11">
        <v>0</v>
      </c>
      <c r="C191" s="11">
        <v>0</v>
      </c>
      <c r="D191" s="11">
        <v>0</v>
      </c>
      <c r="E191" s="11">
        <v>0</v>
      </c>
      <c r="F191" s="11">
        <v>-2012</v>
      </c>
      <c r="G191" s="11">
        <v>0</v>
      </c>
      <c r="H191" s="11">
        <v>0</v>
      </c>
      <c r="I191" s="11">
        <f t="shared" si="36"/>
        <v>-2012</v>
      </c>
    </row>
    <row r="192" spans="1:9" x14ac:dyDescent="0.2">
      <c r="A192" s="20" t="s">
        <v>195</v>
      </c>
      <c r="B192" s="11">
        <v>0</v>
      </c>
      <c r="C192" s="11">
        <v>0</v>
      </c>
      <c r="D192" s="11">
        <v>0</v>
      </c>
      <c r="E192" s="11">
        <v>0</v>
      </c>
      <c r="F192" s="11">
        <v>-1595.78</v>
      </c>
      <c r="G192" s="11">
        <v>0</v>
      </c>
      <c r="H192" s="11">
        <v>0</v>
      </c>
      <c r="I192" s="11">
        <f t="shared" si="36"/>
        <v>-1595.78</v>
      </c>
    </row>
    <row r="193" spans="1:9" x14ac:dyDescent="0.2">
      <c r="A193" s="20" t="s">
        <v>196</v>
      </c>
      <c r="B193" s="11">
        <v>0</v>
      </c>
      <c r="C193" s="11">
        <v>0</v>
      </c>
      <c r="D193" s="11">
        <v>0</v>
      </c>
      <c r="E193" s="11">
        <v>0</v>
      </c>
      <c r="F193" s="11">
        <v>-473.26</v>
      </c>
      <c r="G193" s="11">
        <v>0</v>
      </c>
      <c r="H193" s="11">
        <v>0</v>
      </c>
      <c r="I193" s="11">
        <f t="shared" si="36"/>
        <v>-473.26</v>
      </c>
    </row>
    <row r="194" spans="1:9" x14ac:dyDescent="0.2">
      <c r="A194" s="20" t="s">
        <v>197</v>
      </c>
      <c r="B194" s="11">
        <v>0</v>
      </c>
      <c r="C194" s="11">
        <v>0</v>
      </c>
      <c r="D194" s="11">
        <v>0</v>
      </c>
      <c r="E194" s="11">
        <v>0</v>
      </c>
      <c r="F194" s="11">
        <v>-5565.86</v>
      </c>
      <c r="G194" s="11">
        <v>0</v>
      </c>
      <c r="H194" s="11">
        <v>0</v>
      </c>
      <c r="I194" s="11">
        <f t="shared" si="36"/>
        <v>-5565.86</v>
      </c>
    </row>
    <row r="195" spans="1:9" x14ac:dyDescent="0.2">
      <c r="A195" s="20" t="s">
        <v>198</v>
      </c>
      <c r="B195" s="11">
        <v>0</v>
      </c>
      <c r="C195" s="11">
        <v>0</v>
      </c>
      <c r="D195" s="11">
        <v>0</v>
      </c>
      <c r="E195" s="11">
        <v>0</v>
      </c>
      <c r="F195" s="11">
        <v>-5595.78</v>
      </c>
      <c r="G195" s="11">
        <v>0</v>
      </c>
      <c r="H195" s="11">
        <v>0</v>
      </c>
      <c r="I195" s="11">
        <f t="shared" ref="I195:I226" si="37">SUM(B195:H195)</f>
        <v>-5595.78</v>
      </c>
    </row>
    <row r="196" spans="1:9" x14ac:dyDescent="0.2">
      <c r="A196" s="20" t="s">
        <v>199</v>
      </c>
      <c r="B196" s="11">
        <v>0</v>
      </c>
      <c r="C196" s="11">
        <v>0</v>
      </c>
      <c r="D196" s="11">
        <v>0</v>
      </c>
      <c r="E196" s="11">
        <v>0</v>
      </c>
      <c r="F196" s="11">
        <v>-2045.39</v>
      </c>
      <c r="G196" s="11">
        <v>0</v>
      </c>
      <c r="H196" s="11">
        <v>0</v>
      </c>
      <c r="I196" s="11">
        <f t="shared" si="37"/>
        <v>-2045.39</v>
      </c>
    </row>
    <row r="197" spans="1:9" x14ac:dyDescent="0.2">
      <c r="A197" s="20" t="s">
        <v>200</v>
      </c>
      <c r="B197" s="11">
        <v>0</v>
      </c>
      <c r="C197" s="11">
        <v>0</v>
      </c>
      <c r="D197" s="11">
        <v>0</v>
      </c>
      <c r="E197" s="11">
        <v>0</v>
      </c>
      <c r="F197" s="11">
        <v>-28.27</v>
      </c>
      <c r="G197" s="11">
        <v>0</v>
      </c>
      <c r="H197" s="11">
        <v>0</v>
      </c>
      <c r="I197" s="11">
        <f t="shared" si="37"/>
        <v>-28.27</v>
      </c>
    </row>
    <row r="198" spans="1:9" x14ac:dyDescent="0.2">
      <c r="A198" s="20" t="s">
        <v>201</v>
      </c>
      <c r="B198" s="11">
        <v>0</v>
      </c>
      <c r="C198" s="11">
        <v>0</v>
      </c>
      <c r="D198" s="11">
        <v>0</v>
      </c>
      <c r="E198" s="11">
        <v>0</v>
      </c>
      <c r="F198" s="11">
        <v>-1858.18</v>
      </c>
      <c r="G198" s="11">
        <v>0</v>
      </c>
      <c r="H198" s="11">
        <v>0</v>
      </c>
      <c r="I198" s="11">
        <f t="shared" si="37"/>
        <v>-1858.18</v>
      </c>
    </row>
    <row r="199" spans="1:9" x14ac:dyDescent="0.2">
      <c r="A199" s="20" t="s">
        <v>202</v>
      </c>
      <c r="B199" s="11">
        <v>-287.26</v>
      </c>
      <c r="C199" s="11">
        <v>0</v>
      </c>
      <c r="D199" s="11">
        <v>0</v>
      </c>
      <c r="E199" s="11">
        <v>371.43</v>
      </c>
      <c r="F199" s="11">
        <v>-20300.990000000002</v>
      </c>
      <c r="G199" s="11">
        <v>0</v>
      </c>
      <c r="H199" s="11">
        <v>0</v>
      </c>
      <c r="I199" s="11">
        <f t="shared" si="37"/>
        <v>-20216.820000000003</v>
      </c>
    </row>
    <row r="200" spans="1:9" x14ac:dyDescent="0.2">
      <c r="A200" s="20" t="s">
        <v>203</v>
      </c>
      <c r="B200" s="11">
        <v>0</v>
      </c>
      <c r="C200" s="11">
        <v>-9173.2215120000001</v>
      </c>
      <c r="D200" s="11">
        <v>0</v>
      </c>
      <c r="E200" s="11">
        <v>0</v>
      </c>
      <c r="F200" s="11">
        <v>0</v>
      </c>
      <c r="G200" s="11">
        <v>750</v>
      </c>
      <c r="H200" s="11">
        <v>0</v>
      </c>
      <c r="I200" s="11">
        <f t="shared" si="37"/>
        <v>-8423.2215120000001</v>
      </c>
    </row>
    <row r="201" spans="1:9" x14ac:dyDescent="0.2">
      <c r="A201" s="20" t="s">
        <v>204</v>
      </c>
      <c r="B201" s="11">
        <v>0</v>
      </c>
      <c r="C201" s="11">
        <v>8640.3903952799992</v>
      </c>
      <c r="D201" s="11">
        <v>0</v>
      </c>
      <c r="E201" s="11">
        <v>0</v>
      </c>
      <c r="F201" s="11">
        <v>0</v>
      </c>
      <c r="G201" s="11">
        <v>250</v>
      </c>
      <c r="H201" s="11">
        <v>0</v>
      </c>
      <c r="I201" s="11">
        <f t="shared" si="37"/>
        <v>8890.3903952799992</v>
      </c>
    </row>
    <row r="202" spans="1:9" x14ac:dyDescent="0.2">
      <c r="A202" s="20" t="s">
        <v>205</v>
      </c>
      <c r="B202" s="11">
        <v>0</v>
      </c>
      <c r="C202" s="11">
        <v>0</v>
      </c>
      <c r="D202" s="11">
        <v>0</v>
      </c>
      <c r="E202" s="11">
        <v>4175.03</v>
      </c>
      <c r="F202" s="11">
        <v>0</v>
      </c>
      <c r="G202" s="11">
        <v>0</v>
      </c>
      <c r="H202" s="11">
        <v>0</v>
      </c>
      <c r="I202" s="11">
        <f t="shared" si="37"/>
        <v>4175.03</v>
      </c>
    </row>
    <row r="203" spans="1:9" x14ac:dyDescent="0.2">
      <c r="A203" s="20" t="s">
        <v>206</v>
      </c>
      <c r="B203" s="11">
        <v>0</v>
      </c>
      <c r="C203" s="11">
        <v>0</v>
      </c>
      <c r="D203" s="11">
        <v>0</v>
      </c>
      <c r="E203" s="11">
        <v>44185.66</v>
      </c>
      <c r="F203" s="11">
        <v>0</v>
      </c>
      <c r="G203" s="11">
        <v>0</v>
      </c>
      <c r="H203" s="11">
        <v>0</v>
      </c>
      <c r="I203" s="11">
        <f t="shared" si="37"/>
        <v>44185.66</v>
      </c>
    </row>
    <row r="204" spans="1:9" x14ac:dyDescent="0.2">
      <c r="A204" s="20" t="s">
        <v>207</v>
      </c>
      <c r="B204" s="11">
        <v>0</v>
      </c>
      <c r="C204" s="11">
        <v>21677.8563708</v>
      </c>
      <c r="D204" s="11">
        <v>0</v>
      </c>
      <c r="E204" s="11">
        <v>1000</v>
      </c>
      <c r="F204" s="11">
        <v>-3111.13</v>
      </c>
      <c r="G204" s="11">
        <v>0</v>
      </c>
      <c r="H204" s="11">
        <v>0</v>
      </c>
      <c r="I204" s="11">
        <f t="shared" si="37"/>
        <v>19566.726370799999</v>
      </c>
    </row>
    <row r="205" spans="1:9" x14ac:dyDescent="0.2">
      <c r="A205" s="20" t="s">
        <v>208</v>
      </c>
      <c r="B205" s="11">
        <v>0</v>
      </c>
      <c r="C205" s="11">
        <v>0</v>
      </c>
      <c r="D205" s="11">
        <v>0</v>
      </c>
      <c r="E205" s="11">
        <v>35494.6</v>
      </c>
      <c r="F205" s="11">
        <v>4011.62</v>
      </c>
      <c r="G205" s="11">
        <v>825</v>
      </c>
      <c r="H205" s="11">
        <v>0</v>
      </c>
      <c r="I205" s="11">
        <f t="shared" si="37"/>
        <v>40331.22</v>
      </c>
    </row>
    <row r="206" spans="1:9" x14ac:dyDescent="0.2">
      <c r="A206" s="20" t="s">
        <v>209</v>
      </c>
      <c r="B206" s="11">
        <v>15538.67</v>
      </c>
      <c r="C206" s="11">
        <v>22394.79149544</v>
      </c>
      <c r="D206" s="11">
        <v>0</v>
      </c>
      <c r="E206" s="11">
        <v>144626.59</v>
      </c>
      <c r="F206" s="11">
        <v>1616037.73</v>
      </c>
      <c r="G206" s="11">
        <v>0</v>
      </c>
      <c r="H206" s="11">
        <v>18789.400000000001</v>
      </c>
      <c r="I206" s="11">
        <f t="shared" si="37"/>
        <v>1817387.18149544</v>
      </c>
    </row>
    <row r="207" spans="1:9" x14ac:dyDescent="0.2">
      <c r="A207" s="20" t="s">
        <v>210</v>
      </c>
      <c r="B207" s="11">
        <v>0</v>
      </c>
      <c r="C207" s="11">
        <v>0</v>
      </c>
      <c r="D207" s="11">
        <v>0</v>
      </c>
      <c r="E207" s="11">
        <v>0</v>
      </c>
      <c r="F207" s="11">
        <v>14.91</v>
      </c>
      <c r="G207" s="11">
        <v>0</v>
      </c>
      <c r="H207" s="11">
        <v>0</v>
      </c>
      <c r="I207" s="11">
        <f t="shared" si="37"/>
        <v>14.91</v>
      </c>
    </row>
    <row r="208" spans="1:9" x14ac:dyDescent="0.2">
      <c r="A208" s="20" t="s">
        <v>211</v>
      </c>
      <c r="B208" s="11">
        <v>-1790.53</v>
      </c>
      <c r="C208" s="11">
        <v>-3559.0086369599999</v>
      </c>
      <c r="D208" s="11">
        <v>0</v>
      </c>
      <c r="E208" s="11">
        <v>-17309.91</v>
      </c>
      <c r="F208" s="11">
        <v>-262290.71000000002</v>
      </c>
      <c r="G208" s="11">
        <v>-76.91</v>
      </c>
      <c r="H208" s="11">
        <v>-18644.38</v>
      </c>
      <c r="I208" s="11">
        <f t="shared" si="37"/>
        <v>-303671.44863696001</v>
      </c>
    </row>
    <row r="209" spans="1:9" x14ac:dyDescent="0.2">
      <c r="A209" s="20" t="s">
        <v>212</v>
      </c>
      <c r="B209" s="11">
        <v>0</v>
      </c>
      <c r="C209" s="11">
        <v>0</v>
      </c>
      <c r="D209" s="11">
        <v>0</v>
      </c>
      <c r="E209" s="11">
        <v>0</v>
      </c>
      <c r="F209" s="11">
        <v>763.49</v>
      </c>
      <c r="G209" s="11">
        <v>0</v>
      </c>
      <c r="H209" s="11">
        <v>0</v>
      </c>
      <c r="I209" s="11">
        <f t="shared" si="37"/>
        <v>763.49</v>
      </c>
    </row>
    <row r="210" spans="1:9" x14ac:dyDescent="0.2">
      <c r="A210" s="20" t="s">
        <v>213</v>
      </c>
      <c r="B210" s="11">
        <v>0</v>
      </c>
      <c r="C210" s="11">
        <v>0</v>
      </c>
      <c r="D210" s="11">
        <v>0</v>
      </c>
      <c r="E210" s="11">
        <v>157</v>
      </c>
      <c r="F210" s="11">
        <v>0</v>
      </c>
      <c r="G210" s="11">
        <v>0</v>
      </c>
      <c r="H210" s="11">
        <v>0</v>
      </c>
      <c r="I210" s="11">
        <f t="shared" si="37"/>
        <v>157</v>
      </c>
    </row>
    <row r="211" spans="1:9" x14ac:dyDescent="0.2">
      <c r="A211" s="20" t="s">
        <v>214</v>
      </c>
      <c r="B211" s="11">
        <v>-10842</v>
      </c>
      <c r="C211" s="11">
        <v>0</v>
      </c>
      <c r="D211" s="11">
        <v>0</v>
      </c>
      <c r="E211" s="11">
        <v>-56047.85</v>
      </c>
      <c r="F211" s="11">
        <v>-1126988.3999999999</v>
      </c>
      <c r="G211" s="11">
        <v>0</v>
      </c>
      <c r="H211" s="11">
        <v>1905.08</v>
      </c>
      <c r="I211" s="11">
        <f t="shared" si="37"/>
        <v>-1191973.17</v>
      </c>
    </row>
    <row r="212" spans="1:9" x14ac:dyDescent="0.2">
      <c r="A212" s="20" t="s">
        <v>215</v>
      </c>
      <c r="B212" s="11">
        <v>0</v>
      </c>
      <c r="C212" s="11">
        <v>0</v>
      </c>
      <c r="D212" s="11">
        <v>0</v>
      </c>
      <c r="E212" s="11">
        <v>-70892.75</v>
      </c>
      <c r="F212" s="11">
        <v>85979.35</v>
      </c>
      <c r="G212" s="11">
        <v>0</v>
      </c>
      <c r="H212" s="11">
        <v>1160.53</v>
      </c>
      <c r="I212" s="11">
        <f t="shared" si="37"/>
        <v>16247.130000000006</v>
      </c>
    </row>
    <row r="213" spans="1:9" x14ac:dyDescent="0.2">
      <c r="A213" s="20" t="s">
        <v>216</v>
      </c>
      <c r="B213" s="11">
        <v>0</v>
      </c>
      <c r="C213" s="11">
        <v>0</v>
      </c>
      <c r="D213" s="11">
        <v>0</v>
      </c>
      <c r="E213" s="11">
        <v>0</v>
      </c>
      <c r="F213" s="11">
        <v>3001.66</v>
      </c>
      <c r="G213" s="11">
        <v>0</v>
      </c>
      <c r="H213" s="11">
        <v>6661.13</v>
      </c>
      <c r="I213" s="11">
        <f t="shared" si="37"/>
        <v>9662.7900000000009</v>
      </c>
    </row>
    <row r="214" spans="1:9" x14ac:dyDescent="0.2">
      <c r="A214" s="20" t="s">
        <v>217</v>
      </c>
      <c r="B214" s="11">
        <v>0</v>
      </c>
      <c r="C214" s="11">
        <v>0</v>
      </c>
      <c r="D214" s="11">
        <v>0</v>
      </c>
      <c r="E214" s="11">
        <v>0</v>
      </c>
      <c r="F214" s="11">
        <v>5761.84</v>
      </c>
      <c r="G214" s="11">
        <v>0</v>
      </c>
      <c r="H214" s="11">
        <v>0</v>
      </c>
      <c r="I214" s="11">
        <f t="shared" si="37"/>
        <v>5761.84</v>
      </c>
    </row>
    <row r="215" spans="1:9" x14ac:dyDescent="0.2">
      <c r="A215" s="20" t="s">
        <v>218</v>
      </c>
      <c r="B215" s="11">
        <v>0</v>
      </c>
      <c r="C215" s="11">
        <v>0</v>
      </c>
      <c r="D215" s="11">
        <v>0</v>
      </c>
      <c r="E215" s="11">
        <v>16576.16</v>
      </c>
      <c r="F215" s="11">
        <v>18.2</v>
      </c>
      <c r="G215" s="11">
        <v>575.96</v>
      </c>
      <c r="H215" s="11">
        <v>0</v>
      </c>
      <c r="I215" s="11">
        <f t="shared" si="37"/>
        <v>17170.32</v>
      </c>
    </row>
    <row r="216" spans="1:9" x14ac:dyDescent="0.2">
      <c r="A216" s="14" t="s">
        <v>219</v>
      </c>
      <c r="B216" s="13">
        <f t="shared" ref="B216:I216" si="38">SUM(B163:B215)</f>
        <v>2762.51</v>
      </c>
      <c r="C216" s="13">
        <f t="shared" si="38"/>
        <v>56516.564784959992</v>
      </c>
      <c r="D216" s="13">
        <f t="shared" si="38"/>
        <v>0</v>
      </c>
      <c r="E216" s="13">
        <f t="shared" si="38"/>
        <v>173465.78000000003</v>
      </c>
      <c r="F216" s="13">
        <f t="shared" si="38"/>
        <v>153885.35000000006</v>
      </c>
      <c r="G216" s="13">
        <f t="shared" si="38"/>
        <v>2324.0500000000002</v>
      </c>
      <c r="H216" s="13">
        <f t="shared" si="38"/>
        <v>2050.1000000000004</v>
      </c>
      <c r="I216" s="13">
        <f t="shared" si="38"/>
        <v>391004.35478495987</v>
      </c>
    </row>
    <row r="217" spans="1:9" x14ac:dyDescent="0.2">
      <c r="A217" s="15" t="s">
        <v>220</v>
      </c>
      <c r="B217" s="13">
        <f t="shared" ref="B217:I217" si="39">0+0+B157+B161+0+0+0+B216</f>
        <v>2762.51</v>
      </c>
      <c r="C217" s="13">
        <f t="shared" si="39"/>
        <v>94886.63320751999</v>
      </c>
      <c r="D217" s="13">
        <f t="shared" si="39"/>
        <v>3061.1328967200002</v>
      </c>
      <c r="E217" s="13">
        <f t="shared" si="39"/>
        <v>226170.78000000003</v>
      </c>
      <c r="F217" s="13">
        <f t="shared" si="39"/>
        <v>189503.79000000007</v>
      </c>
      <c r="G217" s="13">
        <f t="shared" si="39"/>
        <v>2708.61</v>
      </c>
      <c r="H217" s="13">
        <f t="shared" si="39"/>
        <v>2050.1000000000004</v>
      </c>
      <c r="I217" s="13">
        <f t="shared" si="39"/>
        <v>521143.55610423989</v>
      </c>
    </row>
    <row r="218" spans="1:9" x14ac:dyDescent="0.2">
      <c r="A218" s="7"/>
      <c r="B218" s="6"/>
      <c r="C218" s="6"/>
      <c r="D218" s="6"/>
      <c r="E218" s="6"/>
      <c r="F218" s="6"/>
      <c r="G218" s="6"/>
      <c r="H218" s="6"/>
      <c r="I218" s="6"/>
    </row>
    <row r="219" spans="1:9" x14ac:dyDescent="0.2">
      <c r="A219" s="7" t="s">
        <v>221</v>
      </c>
      <c r="B219" s="6"/>
      <c r="C219" s="6"/>
      <c r="D219" s="6"/>
      <c r="E219" s="6"/>
      <c r="F219" s="6"/>
      <c r="G219" s="6"/>
      <c r="H219" s="6"/>
      <c r="I219" s="6"/>
    </row>
    <row r="220" spans="1:9" x14ac:dyDescent="0.2">
      <c r="A220" s="16" t="s">
        <v>222</v>
      </c>
      <c r="B220" s="11">
        <v>0</v>
      </c>
      <c r="C220" s="11">
        <v>0</v>
      </c>
      <c r="D220" s="11">
        <v>0</v>
      </c>
      <c r="E220" s="11">
        <v>20264</v>
      </c>
      <c r="F220" s="11">
        <v>0</v>
      </c>
      <c r="G220" s="11">
        <v>0</v>
      </c>
      <c r="H220" s="11">
        <v>0</v>
      </c>
      <c r="I220" s="11">
        <f>SUM(B220:H220)</f>
        <v>20264</v>
      </c>
    </row>
    <row r="221" spans="1:9" x14ac:dyDescent="0.2">
      <c r="A221" s="16" t="s">
        <v>223</v>
      </c>
      <c r="B221" s="11">
        <v>64553.07</v>
      </c>
      <c r="C221" s="11">
        <v>0</v>
      </c>
      <c r="D221" s="11">
        <v>0</v>
      </c>
      <c r="E221" s="11">
        <v>20264</v>
      </c>
      <c r="F221" s="11">
        <v>288779.69</v>
      </c>
      <c r="G221" s="11">
        <v>0</v>
      </c>
      <c r="H221" s="11">
        <v>0</v>
      </c>
      <c r="I221" s="11">
        <f>SUM(B221:H221)</f>
        <v>373596.76</v>
      </c>
    </row>
    <row r="222" spans="1:9" x14ac:dyDescent="0.2">
      <c r="A222" s="15" t="s">
        <v>224</v>
      </c>
      <c r="B222" s="13">
        <f t="shared" ref="B222:I222" si="40">SUM(B220:B221)</f>
        <v>64553.07</v>
      </c>
      <c r="C222" s="13">
        <f t="shared" si="40"/>
        <v>0</v>
      </c>
      <c r="D222" s="13">
        <f t="shared" si="40"/>
        <v>0</v>
      </c>
      <c r="E222" s="13">
        <f t="shared" si="40"/>
        <v>40528</v>
      </c>
      <c r="F222" s="13">
        <f t="shared" si="40"/>
        <v>288779.69</v>
      </c>
      <c r="G222" s="13">
        <f t="shared" si="40"/>
        <v>0</v>
      </c>
      <c r="H222" s="13">
        <f t="shared" si="40"/>
        <v>0</v>
      </c>
      <c r="I222" s="13">
        <f t="shared" si="40"/>
        <v>393860.76</v>
      </c>
    </row>
    <row r="223" spans="1:9" x14ac:dyDescent="0.2">
      <c r="A223" s="7"/>
      <c r="B223" s="6"/>
      <c r="C223" s="6"/>
      <c r="D223" s="6"/>
      <c r="E223" s="6"/>
      <c r="F223" s="6"/>
      <c r="G223" s="6"/>
      <c r="H223" s="6"/>
      <c r="I223" s="6"/>
    </row>
    <row r="224" spans="1:9" x14ac:dyDescent="0.2">
      <c r="A224" s="17" t="s">
        <v>225</v>
      </c>
      <c r="B224" s="13">
        <f t="shared" ref="B224:I224" si="41">B136+B137+B152+B217+B218+B222+B223</f>
        <v>370095.42999999982</v>
      </c>
      <c r="C224" s="13">
        <f t="shared" si="41"/>
        <v>411945.89197228011</v>
      </c>
      <c r="D224" s="13">
        <f t="shared" si="41"/>
        <v>657774.48612974002</v>
      </c>
      <c r="E224" s="13">
        <f t="shared" si="41"/>
        <v>976535.14000000339</v>
      </c>
      <c r="F224" s="13">
        <f t="shared" si="41"/>
        <v>9968069.9600000307</v>
      </c>
      <c r="G224" s="13">
        <f t="shared" si="41"/>
        <v>48678.48</v>
      </c>
      <c r="H224" s="13">
        <f t="shared" si="41"/>
        <v>569102.63</v>
      </c>
      <c r="I224" s="13">
        <f t="shared" si="41"/>
        <v>13002202.018102052</v>
      </c>
    </row>
  </sheetData>
  <mergeCells count="3">
    <mergeCell ref="A1:I1"/>
    <mergeCell ref="A2:I2"/>
    <mergeCell ref="A3:I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PGBalanceSheetConsolidate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2023-08-08T20:59:04Z</dcterms:created>
  <dcterms:modified xsi:type="dcterms:W3CDTF">2023-08-08T21:02:32Z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