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3\"/>
    </mc:Choice>
  </mc:AlternateContent>
  <xr:revisionPtr revIDLastSave="0" documentId="13_ncr:40009_{3AA673D3-1DC7-4140-AD5D-1AABFED9E9E0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0" i="1" l="1"/>
  <c r="G170" i="1"/>
  <c r="F170" i="1"/>
  <c r="E170" i="1"/>
  <c r="D170" i="1"/>
  <c r="C170" i="1"/>
  <c r="B170" i="1"/>
  <c r="I169" i="1"/>
  <c r="I168" i="1"/>
  <c r="I167" i="1"/>
  <c r="I166" i="1"/>
  <c r="I165" i="1"/>
  <c r="H162" i="1"/>
  <c r="G162" i="1"/>
  <c r="F162" i="1"/>
  <c r="E162" i="1"/>
  <c r="D162" i="1"/>
  <c r="C162" i="1"/>
  <c r="B162" i="1"/>
  <c r="I161" i="1"/>
  <c r="I162" i="1" s="1"/>
  <c r="H159" i="1"/>
  <c r="G159" i="1"/>
  <c r="F159" i="1"/>
  <c r="E159" i="1"/>
  <c r="E163" i="1" s="1"/>
  <c r="D159" i="1"/>
  <c r="C159" i="1"/>
  <c r="B159" i="1"/>
  <c r="I158" i="1"/>
  <c r="I157" i="1"/>
  <c r="H155" i="1"/>
  <c r="G155" i="1"/>
  <c r="F155" i="1"/>
  <c r="E155" i="1"/>
  <c r="D155" i="1"/>
  <c r="C155" i="1"/>
  <c r="B155" i="1"/>
  <c r="I154" i="1"/>
  <c r="I153" i="1"/>
  <c r="H151" i="1"/>
  <c r="H163" i="1" s="1"/>
  <c r="G151" i="1"/>
  <c r="F151" i="1"/>
  <c r="E151" i="1"/>
  <c r="D151" i="1"/>
  <c r="C151" i="1"/>
  <c r="C163" i="1" s="1"/>
  <c r="B151" i="1"/>
  <c r="I150" i="1"/>
  <c r="I151" i="1" s="1"/>
  <c r="H145" i="1"/>
  <c r="G145" i="1"/>
  <c r="F145" i="1"/>
  <c r="E145" i="1"/>
  <c r="D145" i="1"/>
  <c r="C145" i="1"/>
  <c r="B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H81" i="1"/>
  <c r="H82" i="1" s="1"/>
  <c r="G81" i="1"/>
  <c r="G82" i="1" s="1"/>
  <c r="F81" i="1"/>
  <c r="F82" i="1" s="1"/>
  <c r="E81" i="1"/>
  <c r="E82" i="1" s="1"/>
  <c r="D81" i="1"/>
  <c r="D82" i="1" s="1"/>
  <c r="C81" i="1"/>
  <c r="C82" i="1" s="1"/>
  <c r="B81" i="1"/>
  <c r="B82" i="1" s="1"/>
  <c r="I80" i="1"/>
  <c r="I79" i="1"/>
  <c r="I78" i="1"/>
  <c r="I77" i="1"/>
  <c r="H73" i="1"/>
  <c r="G73" i="1"/>
  <c r="F73" i="1"/>
  <c r="E73" i="1"/>
  <c r="D73" i="1"/>
  <c r="C73" i="1"/>
  <c r="B73" i="1"/>
  <c r="I72" i="1"/>
  <c r="I71" i="1"/>
  <c r="I70" i="1"/>
  <c r="I69" i="1"/>
  <c r="I68" i="1"/>
  <c r="I67" i="1"/>
  <c r="I66" i="1"/>
  <c r="I65" i="1"/>
  <c r="I64" i="1"/>
  <c r="H62" i="1"/>
  <c r="G62" i="1"/>
  <c r="G74" i="1" s="1"/>
  <c r="F62" i="1"/>
  <c r="E62" i="1"/>
  <c r="E74" i="1" s="1"/>
  <c r="D62" i="1"/>
  <c r="D74" i="1" s="1"/>
  <c r="C62" i="1"/>
  <c r="C74" i="1" s="1"/>
  <c r="B62" i="1"/>
  <c r="B74" i="1" s="1"/>
  <c r="B146" i="1" s="1"/>
  <c r="I61" i="1"/>
  <c r="I60" i="1"/>
  <c r="I59" i="1"/>
  <c r="I58" i="1"/>
  <c r="I57" i="1"/>
  <c r="I56" i="1"/>
  <c r="I55" i="1"/>
  <c r="I54" i="1"/>
  <c r="I53" i="1"/>
  <c r="H47" i="1"/>
  <c r="G47" i="1"/>
  <c r="F47" i="1"/>
  <c r="E47" i="1"/>
  <c r="D47" i="1"/>
  <c r="C47" i="1"/>
  <c r="B47" i="1"/>
  <c r="I46" i="1"/>
  <c r="I45" i="1"/>
  <c r="I44" i="1"/>
  <c r="H42" i="1"/>
  <c r="G42" i="1"/>
  <c r="F42" i="1"/>
  <c r="E42" i="1"/>
  <c r="D42" i="1"/>
  <c r="C42" i="1"/>
  <c r="C48" i="1" s="1"/>
  <c r="B42" i="1"/>
  <c r="B48" i="1" s="1"/>
  <c r="I41" i="1"/>
  <c r="I40" i="1"/>
  <c r="I39" i="1"/>
  <c r="I38" i="1"/>
  <c r="I37" i="1"/>
  <c r="I36" i="1"/>
  <c r="H32" i="1"/>
  <c r="G32" i="1"/>
  <c r="F32" i="1"/>
  <c r="E32" i="1"/>
  <c r="D32" i="1"/>
  <c r="C32" i="1"/>
  <c r="B32" i="1"/>
  <c r="I31" i="1"/>
  <c r="I30" i="1"/>
  <c r="I29" i="1"/>
  <c r="I28" i="1"/>
  <c r="I27" i="1"/>
  <c r="I26" i="1"/>
  <c r="I25" i="1"/>
  <c r="I24" i="1"/>
  <c r="H22" i="1"/>
  <c r="G22" i="1"/>
  <c r="F22" i="1"/>
  <c r="E22" i="1"/>
  <c r="D22" i="1"/>
  <c r="D33" i="1" s="1"/>
  <c r="C22" i="1"/>
  <c r="B22" i="1"/>
  <c r="B33" i="1" s="1"/>
  <c r="I21" i="1"/>
  <c r="I20" i="1"/>
  <c r="I19" i="1"/>
  <c r="I18" i="1"/>
  <c r="I17" i="1"/>
  <c r="I16" i="1"/>
  <c r="I15" i="1"/>
  <c r="I14" i="1"/>
  <c r="I13" i="1"/>
  <c r="I12" i="1"/>
  <c r="I11" i="1"/>
  <c r="E33" i="1" l="1"/>
  <c r="I155" i="1"/>
  <c r="I81" i="1"/>
  <c r="I82" i="1" s="1"/>
  <c r="G48" i="1"/>
  <c r="F33" i="1"/>
  <c r="G146" i="1"/>
  <c r="F74" i="1"/>
  <c r="F146" i="1" s="1"/>
  <c r="H74" i="1"/>
  <c r="H146" i="1" s="1"/>
  <c r="F163" i="1"/>
  <c r="H33" i="1"/>
  <c r="H49" i="1" s="1"/>
  <c r="H147" i="1" s="1"/>
  <c r="H171" i="1" s="1"/>
  <c r="D48" i="1"/>
  <c r="D49" i="1" s="1"/>
  <c r="D147" i="1" s="1"/>
  <c r="D171" i="1" s="1"/>
  <c r="I62" i="1"/>
  <c r="I73" i="1"/>
  <c r="G33" i="1"/>
  <c r="G49" i="1" s="1"/>
  <c r="G163" i="1"/>
  <c r="B163" i="1"/>
  <c r="I159" i="1"/>
  <c r="I22" i="1"/>
  <c r="C33" i="1"/>
  <c r="C49" i="1" s="1"/>
  <c r="C147" i="1" s="1"/>
  <c r="C171" i="1" s="1"/>
  <c r="E48" i="1"/>
  <c r="I42" i="1"/>
  <c r="H48" i="1"/>
  <c r="F48" i="1"/>
  <c r="I145" i="1"/>
  <c r="I170" i="1"/>
  <c r="I32" i="1"/>
  <c r="I47" i="1"/>
  <c r="D163" i="1"/>
  <c r="C146" i="1"/>
  <c r="B49" i="1"/>
  <c r="B147" i="1" s="1"/>
  <c r="D146" i="1"/>
  <c r="G147" i="1"/>
  <c r="G171" i="1" s="1"/>
  <c r="E146" i="1"/>
  <c r="I163" i="1" l="1"/>
  <c r="F49" i="1"/>
  <c r="F147" i="1" s="1"/>
  <c r="F171" i="1" s="1"/>
  <c r="E49" i="1"/>
  <c r="E147" i="1" s="1"/>
  <c r="E171" i="1" s="1"/>
  <c r="I74" i="1"/>
  <c r="I146" i="1" s="1"/>
  <c r="I33" i="1"/>
  <c r="I48" i="1"/>
  <c r="I49" i="1"/>
  <c r="I147" i="1" s="1"/>
  <c r="I171" i="1" s="1"/>
  <c r="B171" i="1"/>
</calcChain>
</file>

<file path=xl/sharedStrings.xml><?xml version="1.0" encoding="utf-8"?>
<sst xmlns="http://schemas.openxmlformats.org/spreadsheetml/2006/main" count="187" uniqueCount="180">
  <si>
    <t>PROMATIS software GmbH</t>
  </si>
  <si>
    <t>Firma (Consolidated)</t>
  </si>
  <si>
    <t>PG P+L Consolidated</t>
  </si>
  <si>
    <t>From Jan 2023 to Jun 2023</t>
  </si>
  <si>
    <t>Financial Row</t>
  </si>
  <si>
    <t>Horus software GmbH</t>
  </si>
  <si>
    <t>PROMATIS AG</t>
  </si>
  <si>
    <t>PROMATIS Corp.</t>
  </si>
  <si>
    <t>PROMATIS GmbH</t>
  </si>
  <si>
    <t>PROMATIS software d.o.o.</t>
  </si>
  <si>
    <t>SEGRA GmbH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</si>
  <si>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</si>
  <si>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</si>
  <si>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</si>
  <si>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</si>
  <si>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</si>
  <si>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</si>
  <si>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</si>
  <si>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</si>
  <si>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473600 - Cash discounts granted, Standard VAT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</si>
  <si>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</si>
  <si>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</si>
  <si>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</si>
  <si>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</si>
  <si>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</si>
  <si>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</si>
  <si>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</si>
  <si>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</si>
  <si>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</si>
  <si>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474000 - Volume discounts granted</t>
  </si>
  <si>
    <t>Total Revenue</t>
  </si>
  <si>
    <t>4. Other operating income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</si>
  <si>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</si>
  <si>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</si>
  <si>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</si>
  <si>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490000 - Income from disposal of fixed assets</t>
  </si>
  <si>
    <t>483900 - Other infrequent income</t>
  </si>
  <si>
    <t>484000 - Realized Foreign Exchange Gain</t>
  </si>
  <si>
    <t>454000 - Revenue infrastructure standard VAT</t>
  </si>
  <si>
    <t>484700 - Rounding Gain/Loss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</si>
  <si>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</si>
  <si>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</si>
  <si>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</si>
  <si>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</si>
  <si>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</si>
  <si>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520000 - Cost of merchandise</t>
  </si>
  <si>
    <t>540000 - Cost of merchandise, Standard input tax</t>
  </si>
  <si>
    <t>581300 - Invoice PO price variance goods third country</t>
  </si>
  <si>
    <t>581000 - Invoice PO price variance red. rate</t>
  </si>
  <si>
    <t>580010 - Invoice PO price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</si>
  <si>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</si>
  <si>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</si>
  <si>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</si>
  <si>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</si>
  <si>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</si>
  <si>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</si>
  <si>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</si>
  <si>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</si>
  <si>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</si>
  <si>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</si>
  <si>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</si>
  <si>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</si>
  <si>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</si>
  <si>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</si>
  <si>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</si>
  <si>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610000 - Social security, post-employ. and oth employee benefit costs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</si>
  <si>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</si>
  <si>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</si>
  <si>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</si>
  <si>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</si>
  <si>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</si>
  <si>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</si>
  <si>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</si>
  <si>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660700 - HCM Marketing</t>
  </si>
  <si>
    <t>607200 - Non-cash benefits and services provided to employees</t>
  </si>
  <si>
    <t>602300 - Profit-sharing salary management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</si>
  <si>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</si>
  <si>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</si>
  <si>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</si>
  <si>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</si>
  <si>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</si>
  <si>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</si>
  <si>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</si>
  <si>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</si>
  <si>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</si>
  <si>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</si>
  <si>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</si>
  <si>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</si>
  <si>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</si>
  <si>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</si>
  <si>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</si>
  <si>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</si>
  <si>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</si>
  <si>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656300 - Bike leasing</t>
  </si>
  <si>
    <t>683000 - Bookkeeping costs</t>
  </si>
  <si>
    <t>633000 - Cleaning</t>
  </si>
  <si>
    <t>642000 - Contributions</t>
  </si>
  <si>
    <t>663000 - Corporate hospitality expenses</t>
  </si>
  <si>
    <t>688100 - Currency Exchange Losses</t>
  </si>
  <si>
    <t>688000 - Currency translation losses</t>
  </si>
  <si>
    <t>666800 - Employee mileage reimbursement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</si>
  <si>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</si>
  <si>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</si>
  <si>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</si>
  <si>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</si>
  <si>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</si>
  <si>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</si>
  <si>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</si>
  <si>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</si>
  <si>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</si>
  <si>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</si>
  <si>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</si>
  <si>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</si>
  <si>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</si>
  <si>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</si>
  <si>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</si>
  <si>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682500 - Legal and consulting costs</t>
  </si>
  <si>
    <t>633500 - Maintenance of operating premises</t>
  </si>
  <si>
    <t>660400 - Marketing material</t>
  </si>
  <si>
    <t>682000 - Newspapers, books</t>
  </si>
  <si>
    <t>664400 - Non-deductible entertainment expenses</t>
  </si>
  <si>
    <t>630500 - Occupancy costs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</si>
  <si>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</si>
  <si>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</si>
  <si>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</si>
  <si>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</si>
  <si>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</si>
  <si>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</si>
  <si>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</si>
  <si>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</si>
  <si>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696000 - Prior-period expenses if not extraordinary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</si>
  <si>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</si>
  <si>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</si>
  <si>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</si>
  <si>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</si>
  <si>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</si>
  <si>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680500 - Telephone</t>
  </si>
  <si>
    <t>678000 - Third-party services (distribution)</t>
  </si>
  <si>
    <t>660100 - Trade fare costs</t>
  </si>
  <si>
    <t>682100 - Training costs</t>
  </si>
  <si>
    <t>669900 - Travel costs liability adjustment account</t>
  </si>
  <si>
    <t>650035 - Vehicle Expenses KA-FS 5712/2 BMW 740d xDrive Limousine</t>
  </si>
  <si>
    <t>650033 - Vehicle expenses  KA-MW 8801 Mazda CX30</t>
  </si>
  <si>
    <t>650036 - Vehicle expenses KA-B 9884 Skodia Fabia</t>
  </si>
  <si>
    <t>650021 - Vehicle expenses KA-EW 1155 Skoda KODIAQ Drive 2.0 TDI</t>
  </si>
  <si>
    <t>650017 - Vehicle expenses KA-JM 1075 Skoda Superb</t>
  </si>
  <si>
    <t>650037 - Vehicle expenses KA-JR 1240 Audi Q3 Sportsback 45 TFSI</t>
  </si>
  <si>
    <t>650014 - Vehicle expenses KA-KS 1186 Mercedes GLA</t>
  </si>
  <si>
    <t>650012 - Vehicle expenses KA-M 3390 Tesla</t>
  </si>
  <si>
    <t>650042 - Vehicle expenses KA-MA 8090 Skoda Octavia Combi 2.0 TDI</t>
  </si>
  <si>
    <t>650034 - Vehicle expenses KA-MP 1019 KIA Xceed 1.4 T-GDI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</si>
  <si>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</si>
  <si>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</si>
  <si>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</si>
  <si>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</si>
  <si>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</si>
  <si>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</si>
  <si>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</si>
  <si>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</si>
  <si>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</si>
  <si>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</si>
  <si>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</si>
  <si>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</si>
  <si>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</si>
  <si>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</si>
  <si>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730800 - Interest expenses, section 233a AO, section 4(5b) EStG</t>
  </si>
  <si>
    <t>710000 - Other interest and similar income</t>
  </si>
  <si>
    <t>Total Other interest and similar income</t>
  </si>
  <si>
    <t>13. Interest and similar expenses</t>
  </si>
  <si>
    <t>736000 - Interest cost included in additions to pension provisions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</si>
  <si>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</si>
  <si>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</si>
  <si>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</si>
  <si>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</si>
  <si>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760000 - Corporate income tax</t>
  </si>
  <si>
    <t>760800 - Solidarity surcharge</t>
  </si>
  <si>
    <t>761000 - Trade tax</t>
  </si>
  <si>
    <t>763000 - Withholding tax on investment income, 25%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</si>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</sst>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tabSelected="1" workbookViewId="0">
      <pane ySplit="5" topLeftCell="A6" activePane="bottomLeft" state="frozen"/>
      <selection pane="bottomLeft" activeCell="D22" sqref="D22"/>
    </sheetView>
  </sheetViews>
  <sheetFormatPr baseColWidth="10" defaultRowHeight="11.25" x14ac:dyDescent="0.2"/>
  <cols>
    <col min="1" max="1" width="72.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7" width="24.83203125" bestFit="1" customWidth="1"/>
    <col min="8" max="9" width="15.83203125" bestFit="1" customWidth="1"/>
  </cols>
  <sheetData>
    <row r="1" spans="1:9" ht="15.75" x14ac:dyDescent="0.2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2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3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12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</row>
    <row r="6" spans="1:9" x14ac:dyDescent="0.2">
      <c r="A6" s="5" t="s">
        <v>14</v>
      </c>
      <c r="B6" s="6"/>
      <c r="C6" s="6"/>
      <c r="D6" s="6"/>
      <c r="E6" s="6"/>
      <c r="F6" s="6"/>
      <c r="G6" s="6"/>
      <c r="H6" s="6"/>
      <c r="I6" s="6"/>
    </row>
    <row r="7" spans="1:9" x14ac:dyDescent="0.2">
      <c r="A7" s="7" t="s">
        <v>15</v>
      </c>
      <c r="B7" s="6"/>
      <c r="C7" s="6"/>
      <c r="D7" s="6"/>
      <c r="E7" s="6"/>
      <c r="F7" s="6"/>
      <c r="G7" s="6"/>
      <c r="H7" s="6"/>
      <c r="I7" s="6"/>
    </row>
    <row r="8" spans="1:9" x14ac:dyDescent="0.2">
      <c r="A8" s="8" t="s">
        <v>16</v>
      </c>
      <c r="B8" s="6"/>
      <c r="C8" s="6"/>
      <c r="D8" s="6"/>
      <c r="E8" s="6"/>
      <c r="F8" s="6"/>
      <c r="G8" s="6"/>
      <c r="H8" s="6"/>
      <c r="I8" s="6"/>
    </row>
    <row r="9" spans="1:9" x14ac:dyDescent="0.2">
      <c r="A9" s="9" t="s">
        <v>17</v>
      </c>
      <c r="B9" s="6"/>
      <c r="C9" s="6"/>
      <c r="D9" s="6"/>
      <c r="E9" s="6"/>
      <c r="F9" s="6"/>
      <c r="G9" s="6"/>
      <c r="H9" s="6"/>
      <c r="I9" s="6"/>
    </row>
    <row r="10" spans="1:9" x14ac:dyDescent="0.2">
      <c r="A10" s="10" t="s">
        <v>18</v>
      </c>
      <c r="B10" s="6"/>
      <c r="C10" s="6"/>
      <c r="D10" s="6"/>
      <c r="E10" s="6"/>
      <c r="F10" s="6"/>
      <c r="G10" s="6"/>
      <c r="H10" s="6"/>
      <c r="I10" s="6"/>
    </row>
    <row r="11" spans="1:9" x14ac:dyDescent="0.2">
      <c r="A11" s="11" t="s">
        <v>19</v>
      </c>
      <c r="B11" s="12">
        <v>0</v>
      </c>
      <c r="C11" s="12">
        <v>0</v>
      </c>
      <c r="D11" s="12">
        <v>0</v>
      </c>
      <c r="E11" s="12">
        <v>0</v>
      </c>
      <c r="F11" s="12">
        <v>-3621.97</v>
      </c>
      <c r="G11" s="12">
        <v>0</v>
      </c>
      <c r="H11" s="12">
        <v>0</v>
      </c>
      <c r="I11" s="12">
        <f t="shared" ref="I11:I21" si="0">SUM(B11:H11)</f>
        <v>-3621.97</v>
      </c>
    </row>
    <row r="12" spans="1:9" x14ac:dyDescent="0.2">
      <c r="A12" s="11" t="s">
        <v>20</v>
      </c>
      <c r="B12" s="12">
        <v>0</v>
      </c>
      <c r="C12" s="12">
        <v>0</v>
      </c>
      <c r="D12" s="12">
        <v>0</v>
      </c>
      <c r="E12" s="12">
        <v>0</v>
      </c>
      <c r="F12" s="12">
        <v>-10516.25</v>
      </c>
      <c r="G12" s="12">
        <v>0</v>
      </c>
      <c r="H12" s="12">
        <v>0</v>
      </c>
      <c r="I12" s="12">
        <f t="shared" si="0"/>
        <v>-10516.25</v>
      </c>
    </row>
    <row r="13" spans="1:9" x14ac:dyDescent="0.2">
      <c r="A13" s="11" t="s">
        <v>21</v>
      </c>
      <c r="B13" s="12">
        <v>0</v>
      </c>
      <c r="C13" s="12">
        <v>0</v>
      </c>
      <c r="D13" s="12">
        <v>0</v>
      </c>
      <c r="E13" s="12">
        <v>0</v>
      </c>
      <c r="F13" s="12">
        <v>12888.55</v>
      </c>
      <c r="G13" s="12">
        <v>0</v>
      </c>
      <c r="H13" s="12">
        <v>0</v>
      </c>
      <c r="I13" s="12">
        <f t="shared" si="0"/>
        <v>12888.55</v>
      </c>
    </row>
    <row r="14" spans="1:9" x14ac:dyDescent="0.2">
      <c r="A14" s="11" t="s">
        <v>22</v>
      </c>
      <c r="B14" s="12">
        <v>0</v>
      </c>
      <c r="C14" s="12">
        <v>0</v>
      </c>
      <c r="D14" s="12">
        <v>0</v>
      </c>
      <c r="E14" s="12">
        <v>0</v>
      </c>
      <c r="F14" s="12">
        <v>-240.89</v>
      </c>
      <c r="G14" s="12">
        <v>0</v>
      </c>
      <c r="H14" s="12">
        <v>0</v>
      </c>
      <c r="I14" s="12">
        <f t="shared" si="0"/>
        <v>-240.89</v>
      </c>
    </row>
    <row r="15" spans="1:9" x14ac:dyDescent="0.2">
      <c r="A15" s="11" t="s">
        <v>23</v>
      </c>
      <c r="B15" s="12">
        <v>-34713.120000000003</v>
      </c>
      <c r="C15" s="12">
        <v>0</v>
      </c>
      <c r="D15" s="12">
        <v>0</v>
      </c>
      <c r="E15" s="12">
        <v>0</v>
      </c>
      <c r="F15" s="12">
        <v>-34425.64</v>
      </c>
      <c r="G15" s="12">
        <v>0</v>
      </c>
      <c r="H15" s="12">
        <v>0</v>
      </c>
      <c r="I15" s="12">
        <f t="shared" si="0"/>
        <v>-69138.760000000009</v>
      </c>
    </row>
    <row r="16" spans="1:9" x14ac:dyDescent="0.2">
      <c r="A16" s="11" t="s">
        <v>24</v>
      </c>
      <c r="B16" s="12">
        <v>0</v>
      </c>
      <c r="C16" s="12">
        <v>-663076.46933300002</v>
      </c>
      <c r="D16" s="12">
        <v>0</v>
      </c>
      <c r="E16" s="12">
        <v>0</v>
      </c>
      <c r="F16" s="12">
        <v>596596.46</v>
      </c>
      <c r="G16" s="12">
        <v>0</v>
      </c>
      <c r="H16" s="12">
        <v>0</v>
      </c>
      <c r="I16" s="12">
        <f t="shared" si="0"/>
        <v>-66480.009333000053</v>
      </c>
    </row>
    <row r="17" spans="1:9" x14ac:dyDescent="0.2">
      <c r="A17" s="11" t="s">
        <v>25</v>
      </c>
      <c r="B17" s="12">
        <v>0</v>
      </c>
      <c r="C17" s="12">
        <v>0</v>
      </c>
      <c r="D17" s="12">
        <v>1034710.15706355</v>
      </c>
      <c r="E17" s="12">
        <v>0</v>
      </c>
      <c r="F17" s="12">
        <v>0</v>
      </c>
      <c r="G17" s="12">
        <v>0</v>
      </c>
      <c r="H17" s="12">
        <v>0</v>
      </c>
      <c r="I17" s="12">
        <f t="shared" si="0"/>
        <v>1034710.15706355</v>
      </c>
    </row>
    <row r="18" spans="1:9" x14ac:dyDescent="0.2">
      <c r="A18" s="11" t="s">
        <v>26</v>
      </c>
      <c r="B18" s="12">
        <v>85458.25</v>
      </c>
      <c r="C18" s="12">
        <v>900950.82886649005</v>
      </c>
      <c r="D18" s="12">
        <v>66704.689350000001</v>
      </c>
      <c r="E18" s="12">
        <v>723132.95</v>
      </c>
      <c r="F18" s="12">
        <v>6809534.1799999997</v>
      </c>
      <c r="G18" s="12">
        <v>0</v>
      </c>
      <c r="H18" s="12">
        <v>85691.56</v>
      </c>
      <c r="I18" s="12">
        <f t="shared" si="0"/>
        <v>8671472.4582164902</v>
      </c>
    </row>
    <row r="19" spans="1:9" x14ac:dyDescent="0.2">
      <c r="A19" s="11" t="s">
        <v>27</v>
      </c>
      <c r="B19" s="12">
        <v>0</v>
      </c>
      <c r="C19" s="12">
        <v>0</v>
      </c>
      <c r="D19" s="12">
        <v>0</v>
      </c>
      <c r="E19" s="12">
        <v>166947.28</v>
      </c>
      <c r="F19" s="12">
        <v>0</v>
      </c>
      <c r="G19" s="12">
        <v>0</v>
      </c>
      <c r="H19" s="12">
        <v>0</v>
      </c>
      <c r="I19" s="12">
        <f t="shared" si="0"/>
        <v>166947.28</v>
      </c>
    </row>
    <row r="20" spans="1:9" x14ac:dyDescent="0.2">
      <c r="A20" s="11" t="s">
        <v>28</v>
      </c>
      <c r="B20" s="12">
        <v>0</v>
      </c>
      <c r="C20" s="12">
        <v>0</v>
      </c>
      <c r="D20" s="12">
        <v>0</v>
      </c>
      <c r="E20" s="12">
        <v>0</v>
      </c>
      <c r="F20" s="12">
        <v>1450733.56</v>
      </c>
      <c r="G20" s="12">
        <v>50000</v>
      </c>
      <c r="H20" s="12">
        <v>0</v>
      </c>
      <c r="I20" s="12">
        <f t="shared" si="0"/>
        <v>1500733.56</v>
      </c>
    </row>
    <row r="21" spans="1:9" x14ac:dyDescent="0.2">
      <c r="A21" s="11" t="s">
        <v>29</v>
      </c>
      <c r="B21" s="12">
        <v>0</v>
      </c>
      <c r="C21" s="12">
        <v>0</v>
      </c>
      <c r="D21" s="12">
        <v>0</v>
      </c>
      <c r="E21" s="12">
        <v>0</v>
      </c>
      <c r="F21" s="12">
        <v>-33000</v>
      </c>
      <c r="G21" s="12">
        <v>0</v>
      </c>
      <c r="H21" s="12">
        <v>0</v>
      </c>
      <c r="I21" s="12">
        <f t="shared" si="0"/>
        <v>-33000</v>
      </c>
    </row>
    <row r="22" spans="1:9" x14ac:dyDescent="0.2">
      <c r="A22" s="13" t="s">
        <v>30</v>
      </c>
      <c r="B22" s="14">
        <f t="shared" ref="B22:I22" si="1">SUM(B11:B21)</f>
        <v>50745.13</v>
      </c>
      <c r="C22" s="14">
        <f t="shared" si="1"/>
        <v>237874.35953349003</v>
      </c>
      <c r="D22" s="14">
        <f t="shared" si="1"/>
        <v>1101414.84641355</v>
      </c>
      <c r="E22" s="14">
        <f t="shared" si="1"/>
        <v>890080.23</v>
      </c>
      <c r="F22" s="14">
        <f t="shared" si="1"/>
        <v>8787948</v>
      </c>
      <c r="G22" s="14">
        <f t="shared" si="1"/>
        <v>50000</v>
      </c>
      <c r="H22" s="14">
        <f t="shared" si="1"/>
        <v>85691.56</v>
      </c>
      <c r="I22" s="14">
        <f t="shared" si="1"/>
        <v>11203754.12594704</v>
      </c>
    </row>
    <row r="23" spans="1:9" x14ac:dyDescent="0.2">
      <c r="A23" s="10" t="s">
        <v>31</v>
      </c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11" t="s">
        <v>32</v>
      </c>
      <c r="B24" s="12">
        <v>0</v>
      </c>
      <c r="C24" s="12">
        <v>0</v>
      </c>
      <c r="D24" s="12">
        <v>0</v>
      </c>
      <c r="E24" s="12">
        <v>0</v>
      </c>
      <c r="F24" s="12">
        <v>42761.53</v>
      </c>
      <c r="G24" s="12">
        <v>0</v>
      </c>
      <c r="H24" s="12">
        <v>0</v>
      </c>
      <c r="I24" s="12">
        <f t="shared" ref="I24:I31" si="2">SUM(B24:H24)</f>
        <v>42761.53</v>
      </c>
    </row>
    <row r="25" spans="1:9" x14ac:dyDescent="0.2">
      <c r="A25" s="11" t="s">
        <v>33</v>
      </c>
      <c r="B25" s="12">
        <v>0</v>
      </c>
      <c r="C25" s="12">
        <v>0</v>
      </c>
      <c r="D25" s="12">
        <v>0</v>
      </c>
      <c r="E25" s="12">
        <v>0</v>
      </c>
      <c r="F25" s="12">
        <v>768.95</v>
      </c>
      <c r="G25" s="12">
        <v>0</v>
      </c>
      <c r="H25" s="12">
        <v>0</v>
      </c>
      <c r="I25" s="12">
        <f t="shared" si="2"/>
        <v>768.95</v>
      </c>
    </row>
    <row r="26" spans="1:9" x14ac:dyDescent="0.2">
      <c r="A26" s="11" t="s">
        <v>34</v>
      </c>
      <c r="B26" s="12">
        <v>0</v>
      </c>
      <c r="C26" s="12">
        <v>0</v>
      </c>
      <c r="D26" s="12">
        <v>0</v>
      </c>
      <c r="E26" s="12">
        <v>0</v>
      </c>
      <c r="F26" s="12">
        <v>647.58000000000004</v>
      </c>
      <c r="G26" s="12">
        <v>0</v>
      </c>
      <c r="H26" s="12">
        <v>0</v>
      </c>
      <c r="I26" s="12">
        <f t="shared" si="2"/>
        <v>647.58000000000004</v>
      </c>
    </row>
    <row r="27" spans="1:9" x14ac:dyDescent="0.2">
      <c r="A27" s="11" t="s">
        <v>35</v>
      </c>
      <c r="B27" s="12">
        <v>0</v>
      </c>
      <c r="C27" s="12">
        <v>0</v>
      </c>
      <c r="D27" s="12">
        <v>0</v>
      </c>
      <c r="E27" s="12">
        <v>5413.13</v>
      </c>
      <c r="F27" s="12">
        <v>0</v>
      </c>
      <c r="G27" s="12">
        <v>0</v>
      </c>
      <c r="H27" s="12">
        <v>0</v>
      </c>
      <c r="I27" s="12">
        <f t="shared" si="2"/>
        <v>5413.13</v>
      </c>
    </row>
    <row r="28" spans="1:9" x14ac:dyDescent="0.2">
      <c r="A28" s="11" t="s">
        <v>36</v>
      </c>
      <c r="B28" s="12">
        <v>0</v>
      </c>
      <c r="C28" s="12">
        <v>115.94216335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f t="shared" si="2"/>
        <v>115.94216335</v>
      </c>
    </row>
    <row r="29" spans="1:9" x14ac:dyDescent="0.2">
      <c r="A29" s="11" t="s">
        <v>37</v>
      </c>
      <c r="B29" s="12">
        <v>0</v>
      </c>
      <c r="C29" s="12">
        <v>0</v>
      </c>
      <c r="D29" s="12">
        <v>0</v>
      </c>
      <c r="E29" s="12">
        <v>0</v>
      </c>
      <c r="F29" s="12">
        <v>4448.9799999999996</v>
      </c>
      <c r="G29" s="12">
        <v>0</v>
      </c>
      <c r="H29" s="12">
        <v>0</v>
      </c>
      <c r="I29" s="12">
        <f t="shared" si="2"/>
        <v>4448.9799999999996</v>
      </c>
    </row>
    <row r="30" spans="1:9" x14ac:dyDescent="0.2">
      <c r="A30" s="11" t="s">
        <v>38</v>
      </c>
      <c r="B30" s="12">
        <v>0</v>
      </c>
      <c r="C30" s="12">
        <v>0</v>
      </c>
      <c r="D30" s="12">
        <v>0</v>
      </c>
      <c r="E30" s="12">
        <v>0</v>
      </c>
      <c r="F30" s="12">
        <v>14100</v>
      </c>
      <c r="G30" s="12">
        <v>0</v>
      </c>
      <c r="H30" s="12">
        <v>0</v>
      </c>
      <c r="I30" s="12">
        <f t="shared" si="2"/>
        <v>14100</v>
      </c>
    </row>
    <row r="31" spans="1:9" x14ac:dyDescent="0.2">
      <c r="A31" s="11" t="s">
        <v>39</v>
      </c>
      <c r="B31" s="12">
        <v>0</v>
      </c>
      <c r="C31" s="12">
        <v>0</v>
      </c>
      <c r="D31" s="12">
        <v>0</v>
      </c>
      <c r="E31" s="12">
        <v>0</v>
      </c>
      <c r="F31" s="12">
        <v>-0.01</v>
      </c>
      <c r="G31" s="12">
        <v>0</v>
      </c>
      <c r="H31" s="12">
        <v>0</v>
      </c>
      <c r="I31" s="12">
        <f t="shared" si="2"/>
        <v>-0.01</v>
      </c>
    </row>
    <row r="32" spans="1:9" x14ac:dyDescent="0.2">
      <c r="A32" s="13" t="s">
        <v>40</v>
      </c>
      <c r="B32" s="14">
        <f t="shared" ref="B32:I32" si="3">SUM(B24:B31)</f>
        <v>0</v>
      </c>
      <c r="C32" s="14">
        <f t="shared" si="3"/>
        <v>115.94216335</v>
      </c>
      <c r="D32" s="14">
        <f t="shared" si="3"/>
        <v>0</v>
      </c>
      <c r="E32" s="14">
        <f t="shared" si="3"/>
        <v>5413.13</v>
      </c>
      <c r="F32" s="14">
        <f t="shared" si="3"/>
        <v>62727.029999999992</v>
      </c>
      <c r="G32" s="14">
        <f t="shared" si="3"/>
        <v>0</v>
      </c>
      <c r="H32" s="14">
        <f t="shared" si="3"/>
        <v>0</v>
      </c>
      <c r="I32" s="14">
        <f t="shared" si="3"/>
        <v>68256.102163350006</v>
      </c>
    </row>
    <row r="33" spans="1:9" x14ac:dyDescent="0.2">
      <c r="A33" s="15" t="s">
        <v>41</v>
      </c>
      <c r="B33" s="14">
        <f t="shared" ref="B33:I33" si="4">B22+0+0+B32</f>
        <v>50745.13</v>
      </c>
      <c r="C33" s="14">
        <f t="shared" si="4"/>
        <v>237990.30169684003</v>
      </c>
      <c r="D33" s="14">
        <f t="shared" si="4"/>
        <v>1101414.84641355</v>
      </c>
      <c r="E33" s="14">
        <f t="shared" si="4"/>
        <v>895493.36</v>
      </c>
      <c r="F33" s="14">
        <f t="shared" si="4"/>
        <v>8850675.0299999993</v>
      </c>
      <c r="G33" s="14">
        <f t="shared" si="4"/>
        <v>50000</v>
      </c>
      <c r="H33" s="14">
        <f t="shared" si="4"/>
        <v>85691.56</v>
      </c>
      <c r="I33" s="14">
        <f t="shared" si="4"/>
        <v>11272010.22811039</v>
      </c>
    </row>
    <row r="34" spans="1:9" x14ac:dyDescent="0.2">
      <c r="A34" s="9" t="s">
        <v>42</v>
      </c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10" t="s">
        <v>43</v>
      </c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11" t="s">
        <v>44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191.8</v>
      </c>
      <c r="I36" s="12">
        <f t="shared" ref="I36:I41" si="5">SUM(B36:H36)</f>
        <v>191.8</v>
      </c>
    </row>
    <row r="37" spans="1:9" x14ac:dyDescent="0.2">
      <c r="A37" s="11" t="s">
        <v>45</v>
      </c>
      <c r="B37" s="12">
        <v>0</v>
      </c>
      <c r="C37" s="12">
        <v>0</v>
      </c>
      <c r="D37" s="12">
        <v>-30540.833778</v>
      </c>
      <c r="E37" s="12">
        <v>0</v>
      </c>
      <c r="F37" s="12">
        <v>0</v>
      </c>
      <c r="G37" s="12">
        <v>0</v>
      </c>
      <c r="H37" s="12">
        <v>0</v>
      </c>
      <c r="I37" s="12">
        <f t="shared" si="5"/>
        <v>-30540.833778</v>
      </c>
    </row>
    <row r="38" spans="1:9" x14ac:dyDescent="0.2">
      <c r="A38" s="11" t="s">
        <v>46</v>
      </c>
      <c r="B38" s="12">
        <v>0</v>
      </c>
      <c r="C38" s="12">
        <v>-6559.262283</v>
      </c>
      <c r="D38" s="12">
        <v>0</v>
      </c>
      <c r="E38" s="12">
        <v>0</v>
      </c>
      <c r="F38" s="12">
        <v>-201571.9</v>
      </c>
      <c r="G38" s="12">
        <v>0</v>
      </c>
      <c r="H38" s="12">
        <v>0</v>
      </c>
      <c r="I38" s="12">
        <f t="shared" si="5"/>
        <v>-208131.16228299998</v>
      </c>
    </row>
    <row r="39" spans="1:9" x14ac:dyDescent="0.2">
      <c r="A39" s="11" t="s">
        <v>47</v>
      </c>
      <c r="B39" s="12">
        <v>0</v>
      </c>
      <c r="C39" s="12">
        <v>0</v>
      </c>
      <c r="D39" s="12">
        <v>0</v>
      </c>
      <c r="E39" s="12">
        <v>0</v>
      </c>
      <c r="F39" s="12">
        <v>-0.2</v>
      </c>
      <c r="G39" s="12">
        <v>0</v>
      </c>
      <c r="H39" s="12">
        <v>0</v>
      </c>
      <c r="I39" s="12">
        <f t="shared" si="5"/>
        <v>-0.2</v>
      </c>
    </row>
    <row r="40" spans="1:9" x14ac:dyDescent="0.2">
      <c r="A40" s="11" t="s">
        <v>48</v>
      </c>
      <c r="B40" s="12">
        <v>0</v>
      </c>
      <c r="C40" s="12">
        <v>0</v>
      </c>
      <c r="D40" s="12">
        <v>0</v>
      </c>
      <c r="E40" s="12">
        <v>0</v>
      </c>
      <c r="F40" s="12">
        <v>0.02</v>
      </c>
      <c r="G40" s="12">
        <v>0</v>
      </c>
      <c r="H40" s="12">
        <v>0</v>
      </c>
      <c r="I40" s="12">
        <f t="shared" si="5"/>
        <v>0.02</v>
      </c>
    </row>
    <row r="41" spans="1:9" x14ac:dyDescent="0.2">
      <c r="A41" s="11" t="s">
        <v>49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-0.01</v>
      </c>
      <c r="I41" s="12">
        <f t="shared" si="5"/>
        <v>-0.01</v>
      </c>
    </row>
    <row r="42" spans="1:9" x14ac:dyDescent="0.2">
      <c r="A42" s="13" t="s">
        <v>50</v>
      </c>
      <c r="B42" s="14">
        <f t="shared" ref="B42:I42" si="6">SUM(B36:B41)</f>
        <v>0</v>
      </c>
      <c r="C42" s="14">
        <f t="shared" si="6"/>
        <v>-6559.262283</v>
      </c>
      <c r="D42" s="14">
        <f t="shared" si="6"/>
        <v>-30540.833778</v>
      </c>
      <c r="E42" s="14">
        <f t="shared" si="6"/>
        <v>0</v>
      </c>
      <c r="F42" s="14">
        <f t="shared" si="6"/>
        <v>-201572.08000000002</v>
      </c>
      <c r="G42" s="14">
        <f t="shared" si="6"/>
        <v>0</v>
      </c>
      <c r="H42" s="14">
        <f t="shared" si="6"/>
        <v>191.79000000000002</v>
      </c>
      <c r="I42" s="14">
        <f t="shared" si="6"/>
        <v>-238480.38606100003</v>
      </c>
    </row>
    <row r="43" spans="1:9" x14ac:dyDescent="0.2">
      <c r="A43" s="10" t="s">
        <v>51</v>
      </c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11" t="s">
        <v>52</v>
      </c>
      <c r="B44" s="12">
        <v>0</v>
      </c>
      <c r="C44" s="12">
        <v>0</v>
      </c>
      <c r="D44" s="12">
        <v>0</v>
      </c>
      <c r="E44" s="12">
        <v>0</v>
      </c>
      <c r="F44" s="12">
        <v>-353276.44</v>
      </c>
      <c r="G44" s="12">
        <v>0</v>
      </c>
      <c r="H44" s="12">
        <v>-5122.38</v>
      </c>
      <c r="I44" s="12">
        <f>SUM(B44:H44)</f>
        <v>-358398.82</v>
      </c>
    </row>
    <row r="45" spans="1:9" x14ac:dyDescent="0.2">
      <c r="A45" s="11" t="s">
        <v>53</v>
      </c>
      <c r="B45" s="12">
        <v>0</v>
      </c>
      <c r="C45" s="12">
        <v>0</v>
      </c>
      <c r="D45" s="12">
        <v>-473579.86096399999</v>
      </c>
      <c r="E45" s="12">
        <v>0</v>
      </c>
      <c r="F45" s="12">
        <v>-23242.74</v>
      </c>
      <c r="G45" s="12">
        <v>0</v>
      </c>
      <c r="H45" s="12">
        <v>-27855.4</v>
      </c>
      <c r="I45" s="12">
        <f>SUM(B45:H45)</f>
        <v>-524678.00096400001</v>
      </c>
    </row>
    <row r="46" spans="1:9" x14ac:dyDescent="0.2">
      <c r="A46" s="11" t="s">
        <v>54</v>
      </c>
      <c r="B46" s="12">
        <v>0</v>
      </c>
      <c r="C46" s="12">
        <v>0</v>
      </c>
      <c r="D46" s="12">
        <v>0</v>
      </c>
      <c r="E46" s="12">
        <v>-411102.76</v>
      </c>
      <c r="F46" s="12">
        <v>0</v>
      </c>
      <c r="G46" s="12">
        <v>0</v>
      </c>
      <c r="H46" s="12">
        <v>0</v>
      </c>
      <c r="I46" s="12">
        <f>SUM(B46:H46)</f>
        <v>-411102.76</v>
      </c>
    </row>
    <row r="47" spans="1:9" x14ac:dyDescent="0.2">
      <c r="A47" s="13" t="s">
        <v>55</v>
      </c>
      <c r="B47" s="14">
        <f t="shared" ref="B47:I47" si="7">SUM(B44:B46)</f>
        <v>0</v>
      </c>
      <c r="C47" s="14">
        <f t="shared" si="7"/>
        <v>0</v>
      </c>
      <c r="D47" s="14">
        <f t="shared" si="7"/>
        <v>-473579.86096399999</v>
      </c>
      <c r="E47" s="14">
        <f t="shared" si="7"/>
        <v>-411102.76</v>
      </c>
      <c r="F47" s="14">
        <f t="shared" si="7"/>
        <v>-376519.18</v>
      </c>
      <c r="G47" s="14">
        <f t="shared" si="7"/>
        <v>0</v>
      </c>
      <c r="H47" s="14">
        <f t="shared" si="7"/>
        <v>-32977.78</v>
      </c>
      <c r="I47" s="14">
        <f t="shared" si="7"/>
        <v>-1294179.580964</v>
      </c>
    </row>
    <row r="48" spans="1:9" x14ac:dyDescent="0.2">
      <c r="A48" s="15" t="s">
        <v>56</v>
      </c>
      <c r="B48" s="14">
        <f t="shared" ref="B48:I48" si="8">B42+B47</f>
        <v>0</v>
      </c>
      <c r="C48" s="14">
        <f t="shared" si="8"/>
        <v>-6559.262283</v>
      </c>
      <c r="D48" s="14">
        <f t="shared" si="8"/>
        <v>-504120.69474199996</v>
      </c>
      <c r="E48" s="14">
        <f t="shared" si="8"/>
        <v>-411102.76</v>
      </c>
      <c r="F48" s="14">
        <f t="shared" si="8"/>
        <v>-578091.26</v>
      </c>
      <c r="G48" s="14">
        <f t="shared" si="8"/>
        <v>0</v>
      </c>
      <c r="H48" s="14">
        <f t="shared" si="8"/>
        <v>-32785.99</v>
      </c>
      <c r="I48" s="14">
        <f t="shared" si="8"/>
        <v>-1532659.9670249999</v>
      </c>
    </row>
    <row r="49" spans="1:9" x14ac:dyDescent="0.2">
      <c r="A49" s="16" t="s">
        <v>57</v>
      </c>
      <c r="B49" s="14">
        <f t="shared" ref="B49:I49" si="9">B33+B48</f>
        <v>50745.13</v>
      </c>
      <c r="C49" s="14">
        <f t="shared" si="9"/>
        <v>231431.03941384004</v>
      </c>
      <c r="D49" s="14">
        <f t="shared" si="9"/>
        <v>597294.15167155</v>
      </c>
      <c r="E49" s="14">
        <f t="shared" si="9"/>
        <v>484390.6</v>
      </c>
      <c r="F49" s="14">
        <f t="shared" si="9"/>
        <v>8272583.7699999996</v>
      </c>
      <c r="G49" s="14">
        <f t="shared" si="9"/>
        <v>50000</v>
      </c>
      <c r="H49" s="14">
        <f t="shared" si="9"/>
        <v>52905.57</v>
      </c>
      <c r="I49" s="14">
        <f t="shared" si="9"/>
        <v>9739350.2610853892</v>
      </c>
    </row>
    <row r="50" spans="1:9" x14ac:dyDescent="0.2">
      <c r="A50" s="8" t="s">
        <v>58</v>
      </c>
      <c r="B50" s="6"/>
      <c r="C50" s="6"/>
      <c r="D50" s="6"/>
      <c r="E50" s="6"/>
      <c r="F50" s="6"/>
      <c r="G50" s="6"/>
      <c r="H50" s="6"/>
      <c r="I50" s="6"/>
    </row>
    <row r="51" spans="1:9" x14ac:dyDescent="0.2">
      <c r="A51" s="9" t="s">
        <v>59</v>
      </c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10" t="s">
        <v>60</v>
      </c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11" t="s">
        <v>61</v>
      </c>
      <c r="B53" s="12">
        <v>-78.040000000000006</v>
      </c>
      <c r="C53" s="12">
        <v>-6953.4497681499997</v>
      </c>
      <c r="D53" s="12">
        <v>0</v>
      </c>
      <c r="E53" s="12">
        <v>-892.64</v>
      </c>
      <c r="F53" s="12">
        <v>-18811.919999999998</v>
      </c>
      <c r="G53" s="12">
        <v>0</v>
      </c>
      <c r="H53" s="12">
        <v>0</v>
      </c>
      <c r="I53" s="12">
        <f t="shared" ref="I53:I61" si="10">SUM(B53:H53)</f>
        <v>-26736.049768149998</v>
      </c>
    </row>
    <row r="54" spans="1:9" x14ac:dyDescent="0.2">
      <c r="A54" s="11" t="s">
        <v>62</v>
      </c>
      <c r="B54" s="12">
        <v>-112.44</v>
      </c>
      <c r="C54" s="12">
        <v>0</v>
      </c>
      <c r="D54" s="12">
        <v>0</v>
      </c>
      <c r="E54" s="12">
        <v>0</v>
      </c>
      <c r="F54" s="12">
        <v>-13437.28</v>
      </c>
      <c r="G54" s="12">
        <v>0</v>
      </c>
      <c r="H54" s="12">
        <v>0</v>
      </c>
      <c r="I54" s="12">
        <f t="shared" si="10"/>
        <v>-13549.720000000001</v>
      </c>
    </row>
    <row r="55" spans="1:9" x14ac:dyDescent="0.2">
      <c r="A55" s="11" t="s">
        <v>63</v>
      </c>
      <c r="B55" s="12">
        <v>0</v>
      </c>
      <c r="C55" s="12">
        <v>0</v>
      </c>
      <c r="D55" s="12">
        <v>0</v>
      </c>
      <c r="E55" s="12">
        <v>-4074.47</v>
      </c>
      <c r="F55" s="12">
        <v>-51101.1</v>
      </c>
      <c r="G55" s="12">
        <v>0</v>
      </c>
      <c r="H55" s="12">
        <v>0</v>
      </c>
      <c r="I55" s="12">
        <f t="shared" si="10"/>
        <v>-55175.57</v>
      </c>
    </row>
    <row r="56" spans="1:9" x14ac:dyDescent="0.2">
      <c r="A56" s="11" t="s">
        <v>64</v>
      </c>
      <c r="B56" s="12">
        <v>0</v>
      </c>
      <c r="C56" s="12">
        <v>0</v>
      </c>
      <c r="D56" s="12">
        <v>0</v>
      </c>
      <c r="E56" s="12">
        <v>0</v>
      </c>
      <c r="F56" s="12">
        <v>-2002.02</v>
      </c>
      <c r="G56" s="12">
        <v>0</v>
      </c>
      <c r="H56" s="12">
        <v>0</v>
      </c>
      <c r="I56" s="12">
        <f t="shared" si="10"/>
        <v>-2002.02</v>
      </c>
    </row>
    <row r="57" spans="1:9" x14ac:dyDescent="0.2">
      <c r="A57" s="11" t="s">
        <v>65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-1000</v>
      </c>
      <c r="H57" s="12">
        <v>0</v>
      </c>
      <c r="I57" s="12">
        <f t="shared" si="10"/>
        <v>-1000</v>
      </c>
    </row>
    <row r="58" spans="1:9" x14ac:dyDescent="0.2">
      <c r="A58" s="11" t="s">
        <v>66</v>
      </c>
      <c r="B58" s="12">
        <v>-3160.68</v>
      </c>
      <c r="C58" s="12">
        <v>-12686.8944276</v>
      </c>
      <c r="D58" s="12">
        <v>-22810.196788099998</v>
      </c>
      <c r="E58" s="12">
        <v>-48476.79</v>
      </c>
      <c r="F58" s="12">
        <v>-645483.05000000005</v>
      </c>
      <c r="G58" s="12">
        <v>-825</v>
      </c>
      <c r="H58" s="12">
        <v>0</v>
      </c>
      <c r="I58" s="12">
        <f t="shared" si="10"/>
        <v>-733442.61121570005</v>
      </c>
    </row>
    <row r="59" spans="1:9" x14ac:dyDescent="0.2">
      <c r="A59" s="11" t="s">
        <v>67</v>
      </c>
      <c r="B59" s="12">
        <v>0</v>
      </c>
      <c r="C59" s="12">
        <v>0</v>
      </c>
      <c r="D59" s="12">
        <v>0</v>
      </c>
      <c r="E59" s="12">
        <v>0</v>
      </c>
      <c r="F59" s="12">
        <v>-1079.31</v>
      </c>
      <c r="G59" s="12">
        <v>0</v>
      </c>
      <c r="H59" s="12">
        <v>0</v>
      </c>
      <c r="I59" s="12">
        <f t="shared" si="10"/>
        <v>-1079.31</v>
      </c>
    </row>
    <row r="60" spans="1:9" x14ac:dyDescent="0.2">
      <c r="A60" s="11" t="s">
        <v>68</v>
      </c>
      <c r="B60" s="12">
        <v>-120</v>
      </c>
      <c r="C60" s="12">
        <v>-13578.791511040001</v>
      </c>
      <c r="D60" s="12">
        <v>0</v>
      </c>
      <c r="E60" s="12">
        <v>0</v>
      </c>
      <c r="F60" s="12">
        <v>-26515.16</v>
      </c>
      <c r="G60" s="12">
        <v>0</v>
      </c>
      <c r="H60" s="12">
        <v>0</v>
      </c>
      <c r="I60" s="12">
        <f t="shared" si="10"/>
        <v>-40213.951511040003</v>
      </c>
    </row>
    <row r="61" spans="1:9" x14ac:dyDescent="0.2">
      <c r="A61" s="11" t="s">
        <v>69</v>
      </c>
      <c r="B61" s="12">
        <v>0</v>
      </c>
      <c r="C61" s="12">
        <v>0</v>
      </c>
      <c r="D61" s="12">
        <v>0</v>
      </c>
      <c r="E61" s="12">
        <v>0</v>
      </c>
      <c r="F61" s="12">
        <v>-2473.2199999999998</v>
      </c>
      <c r="G61" s="12">
        <v>0</v>
      </c>
      <c r="H61" s="12">
        <v>0</v>
      </c>
      <c r="I61" s="12">
        <f t="shared" si="10"/>
        <v>-2473.2199999999998</v>
      </c>
    </row>
    <row r="62" spans="1:9" x14ac:dyDescent="0.2">
      <c r="A62" s="13" t="s">
        <v>70</v>
      </c>
      <c r="B62" s="14">
        <f t="shared" ref="B62:I62" si="11">SUM(B53:B61)</f>
        <v>-3471.16</v>
      </c>
      <c r="C62" s="14">
        <f t="shared" si="11"/>
        <v>-33219.135706790003</v>
      </c>
      <c r="D62" s="14">
        <f t="shared" si="11"/>
        <v>-22810.196788099998</v>
      </c>
      <c r="E62" s="14">
        <f t="shared" si="11"/>
        <v>-53443.9</v>
      </c>
      <c r="F62" s="14">
        <f t="shared" si="11"/>
        <v>-760903.06</v>
      </c>
      <c r="G62" s="14">
        <f t="shared" si="11"/>
        <v>-1825</v>
      </c>
      <c r="H62" s="14">
        <f t="shared" si="11"/>
        <v>0</v>
      </c>
      <c r="I62" s="14">
        <f t="shared" si="11"/>
        <v>-875672.45249489008</v>
      </c>
    </row>
    <row r="63" spans="1:9" x14ac:dyDescent="0.2">
      <c r="A63" s="10" t="s">
        <v>71</v>
      </c>
      <c r="B63" s="6"/>
      <c r="C63" s="6"/>
      <c r="D63" s="6"/>
      <c r="E63" s="6"/>
      <c r="F63" s="6"/>
      <c r="G63" s="6"/>
      <c r="H63" s="6"/>
      <c r="I63" s="6"/>
    </row>
    <row r="64" spans="1:9" x14ac:dyDescent="0.2">
      <c r="A64" s="11" t="s">
        <v>72</v>
      </c>
      <c r="B64" s="12">
        <v>0</v>
      </c>
      <c r="C64" s="12">
        <v>0</v>
      </c>
      <c r="D64" s="12">
        <v>0</v>
      </c>
      <c r="E64" s="12">
        <v>0</v>
      </c>
      <c r="F64" s="12">
        <v>-271.76</v>
      </c>
      <c r="G64" s="12">
        <v>0</v>
      </c>
      <c r="H64" s="12">
        <v>0</v>
      </c>
      <c r="I64" s="12">
        <f t="shared" ref="I64:I72" si="12">SUM(B64:H64)</f>
        <v>-271.76</v>
      </c>
    </row>
    <row r="65" spans="1:9" x14ac:dyDescent="0.2">
      <c r="A65" s="11" t="s">
        <v>73</v>
      </c>
      <c r="B65" s="12">
        <v>0</v>
      </c>
      <c r="C65" s="12">
        <v>0</v>
      </c>
      <c r="D65" s="12">
        <v>0</v>
      </c>
      <c r="E65" s="12">
        <v>0</v>
      </c>
      <c r="F65" s="12">
        <v>-1345.57</v>
      </c>
      <c r="G65" s="12">
        <v>0</v>
      </c>
      <c r="H65" s="12">
        <v>0</v>
      </c>
      <c r="I65" s="12">
        <f t="shared" si="12"/>
        <v>-1345.57</v>
      </c>
    </row>
    <row r="66" spans="1:9" x14ac:dyDescent="0.2">
      <c r="A66" s="11" t="s">
        <v>74</v>
      </c>
      <c r="B66" s="12">
        <v>0</v>
      </c>
      <c r="C66" s="12">
        <v>0</v>
      </c>
      <c r="D66" s="12">
        <v>0</v>
      </c>
      <c r="E66" s="12">
        <v>0</v>
      </c>
      <c r="F66" s="12">
        <v>-42878.68</v>
      </c>
      <c r="G66" s="12">
        <v>0</v>
      </c>
      <c r="H66" s="12">
        <v>0</v>
      </c>
      <c r="I66" s="12">
        <f t="shared" si="12"/>
        <v>-42878.68</v>
      </c>
    </row>
    <row r="67" spans="1:9" x14ac:dyDescent="0.2">
      <c r="A67" s="11" t="s">
        <v>75</v>
      </c>
      <c r="B67" s="12">
        <v>0</v>
      </c>
      <c r="C67" s="12">
        <v>0</v>
      </c>
      <c r="D67" s="12">
        <v>0</v>
      </c>
      <c r="E67" s="12">
        <v>0</v>
      </c>
      <c r="F67" s="12">
        <v>-354667.13</v>
      </c>
      <c r="G67" s="12">
        <v>0</v>
      </c>
      <c r="H67" s="12">
        <v>0</v>
      </c>
      <c r="I67" s="12">
        <f t="shared" si="12"/>
        <v>-354667.13</v>
      </c>
    </row>
    <row r="68" spans="1:9" x14ac:dyDescent="0.2">
      <c r="A68" s="11" t="s">
        <v>76</v>
      </c>
      <c r="B68" s="12">
        <v>-14750</v>
      </c>
      <c r="C68" s="12">
        <v>-155827.704</v>
      </c>
      <c r="D68" s="12">
        <v>-298125.23283999</v>
      </c>
      <c r="E68" s="12">
        <v>-282636.52</v>
      </c>
      <c r="F68" s="12">
        <v>-3965581.22</v>
      </c>
      <c r="G68" s="12">
        <v>-3424.04</v>
      </c>
      <c r="H68" s="12">
        <v>0</v>
      </c>
      <c r="I68" s="12">
        <f t="shared" si="12"/>
        <v>-4720344.7168399906</v>
      </c>
    </row>
    <row r="69" spans="1:9" x14ac:dyDescent="0.2">
      <c r="A69" s="11" t="s">
        <v>77</v>
      </c>
      <c r="B69" s="12">
        <v>0</v>
      </c>
      <c r="C69" s="12">
        <v>0</v>
      </c>
      <c r="D69" s="12">
        <v>0</v>
      </c>
      <c r="E69" s="12">
        <v>0</v>
      </c>
      <c r="F69" s="12">
        <v>-705166.46</v>
      </c>
      <c r="G69" s="12">
        <v>0</v>
      </c>
      <c r="H69" s="12">
        <v>0</v>
      </c>
      <c r="I69" s="12">
        <f t="shared" si="12"/>
        <v>-705166.46</v>
      </c>
    </row>
    <row r="70" spans="1:9" x14ac:dyDescent="0.2">
      <c r="A70" s="11" t="s">
        <v>78</v>
      </c>
      <c r="B70" s="12">
        <v>0</v>
      </c>
      <c r="C70" s="12">
        <v>-6527.7094999999999</v>
      </c>
      <c r="D70" s="12">
        <v>0</v>
      </c>
      <c r="E70" s="12">
        <v>0</v>
      </c>
      <c r="F70" s="12">
        <v>-212262.15</v>
      </c>
      <c r="G70" s="12">
        <v>0</v>
      </c>
      <c r="H70" s="12">
        <v>0</v>
      </c>
      <c r="I70" s="12">
        <f t="shared" si="12"/>
        <v>-218789.85949999999</v>
      </c>
    </row>
    <row r="71" spans="1:9" x14ac:dyDescent="0.2">
      <c r="A71" s="11" t="s">
        <v>79</v>
      </c>
      <c r="B71" s="12">
        <v>136</v>
      </c>
      <c r="C71" s="12">
        <v>0</v>
      </c>
      <c r="D71" s="12">
        <v>0</v>
      </c>
      <c r="E71" s="12">
        <v>0</v>
      </c>
      <c r="F71" s="12">
        <v>133769.25</v>
      </c>
      <c r="G71" s="12">
        <v>0</v>
      </c>
      <c r="H71" s="12">
        <v>0</v>
      </c>
      <c r="I71" s="12">
        <f t="shared" si="12"/>
        <v>133905.25</v>
      </c>
    </row>
    <row r="72" spans="1:9" x14ac:dyDescent="0.2">
      <c r="A72" s="11" t="s">
        <v>80</v>
      </c>
      <c r="B72" s="12">
        <v>0</v>
      </c>
      <c r="C72" s="12">
        <v>0</v>
      </c>
      <c r="D72" s="12">
        <v>0</v>
      </c>
      <c r="E72" s="12">
        <v>-888.36</v>
      </c>
      <c r="F72" s="12">
        <v>-7805.4</v>
      </c>
      <c r="G72" s="12">
        <v>0</v>
      </c>
      <c r="H72" s="12">
        <v>0</v>
      </c>
      <c r="I72" s="12">
        <f t="shared" si="12"/>
        <v>-8693.76</v>
      </c>
    </row>
    <row r="73" spans="1:9" x14ac:dyDescent="0.2">
      <c r="A73" s="13" t="s">
        <v>81</v>
      </c>
      <c r="B73" s="14">
        <f t="shared" ref="B73:I73" si="13">SUM(B64:B72)</f>
        <v>-14614</v>
      </c>
      <c r="C73" s="14">
        <f t="shared" si="13"/>
        <v>-162355.4135</v>
      </c>
      <c r="D73" s="14">
        <f t="shared" si="13"/>
        <v>-298125.23283999</v>
      </c>
      <c r="E73" s="14">
        <f t="shared" si="13"/>
        <v>-283524.88</v>
      </c>
      <c r="F73" s="14">
        <f t="shared" si="13"/>
        <v>-5156209.120000001</v>
      </c>
      <c r="G73" s="14">
        <f t="shared" si="13"/>
        <v>-3424.04</v>
      </c>
      <c r="H73" s="14">
        <f t="shared" si="13"/>
        <v>0</v>
      </c>
      <c r="I73" s="14">
        <f t="shared" si="13"/>
        <v>-5918252.6863399902</v>
      </c>
    </row>
    <row r="74" spans="1:9" x14ac:dyDescent="0.2">
      <c r="A74" s="15" t="s">
        <v>82</v>
      </c>
      <c r="B74" s="14">
        <f t="shared" ref="B74:I74" si="14">B62+B73</f>
        <v>-18085.16</v>
      </c>
      <c r="C74" s="14">
        <f t="shared" si="14"/>
        <v>-195574.54920678999</v>
      </c>
      <c r="D74" s="14">
        <f t="shared" si="14"/>
        <v>-320935.42962809</v>
      </c>
      <c r="E74" s="14">
        <f t="shared" si="14"/>
        <v>-336968.78</v>
      </c>
      <c r="F74" s="14">
        <f t="shared" si="14"/>
        <v>-5917112.1800000016</v>
      </c>
      <c r="G74" s="14">
        <f t="shared" si="14"/>
        <v>-5249.04</v>
      </c>
      <c r="H74" s="14">
        <f t="shared" si="14"/>
        <v>0</v>
      </c>
      <c r="I74" s="14">
        <f t="shared" si="14"/>
        <v>-6793925.1388348807</v>
      </c>
    </row>
    <row r="75" spans="1:9" x14ac:dyDescent="0.2">
      <c r="A75" s="9" t="s">
        <v>83</v>
      </c>
      <c r="B75" s="6"/>
      <c r="C75" s="6"/>
      <c r="D75" s="6"/>
      <c r="E75" s="6"/>
      <c r="F75" s="6"/>
      <c r="G75" s="6"/>
      <c r="H75" s="6"/>
      <c r="I75" s="6"/>
    </row>
    <row r="76" spans="1:9" x14ac:dyDescent="0.2">
      <c r="A76" s="10" t="s">
        <v>84</v>
      </c>
      <c r="B76" s="6"/>
      <c r="C76" s="6"/>
      <c r="D76" s="6"/>
      <c r="E76" s="6"/>
      <c r="F76" s="6"/>
      <c r="G76" s="6"/>
      <c r="H76" s="6"/>
      <c r="I76" s="6"/>
    </row>
    <row r="77" spans="1:9" x14ac:dyDescent="0.2">
      <c r="A77" s="11" t="s">
        <v>85</v>
      </c>
      <c r="B77" s="12">
        <v>0</v>
      </c>
      <c r="C77" s="12">
        <v>0</v>
      </c>
      <c r="D77" s="12">
        <v>0</v>
      </c>
      <c r="E77" s="12">
        <v>0</v>
      </c>
      <c r="F77" s="12">
        <v>-233.34</v>
      </c>
      <c r="G77" s="12">
        <v>0</v>
      </c>
      <c r="H77" s="12">
        <v>0</v>
      </c>
      <c r="I77" s="12">
        <f>SUM(B77:H77)</f>
        <v>-233.34</v>
      </c>
    </row>
    <row r="78" spans="1:9" x14ac:dyDescent="0.2">
      <c r="A78" s="11" t="s">
        <v>86</v>
      </c>
      <c r="B78" s="12">
        <v>0</v>
      </c>
      <c r="C78" s="12">
        <v>0</v>
      </c>
      <c r="D78" s="12">
        <v>0</v>
      </c>
      <c r="E78" s="12">
        <v>0</v>
      </c>
      <c r="F78" s="12">
        <v>-399.99</v>
      </c>
      <c r="G78" s="12">
        <v>0</v>
      </c>
      <c r="H78" s="12">
        <v>-22757.27</v>
      </c>
      <c r="I78" s="12">
        <f>SUM(B78:H78)</f>
        <v>-23157.260000000002</v>
      </c>
    </row>
    <row r="79" spans="1:9" x14ac:dyDescent="0.2">
      <c r="A79" s="11" t="s">
        <v>87</v>
      </c>
      <c r="B79" s="12">
        <v>0</v>
      </c>
      <c r="C79" s="12">
        <v>0</v>
      </c>
      <c r="D79" s="12">
        <v>0</v>
      </c>
      <c r="E79" s="12">
        <v>0</v>
      </c>
      <c r="F79" s="12">
        <v>-4439.6400000000003</v>
      </c>
      <c r="G79" s="12">
        <v>0</v>
      </c>
      <c r="H79" s="12">
        <v>0</v>
      </c>
      <c r="I79" s="12">
        <f>SUM(B79:H79)</f>
        <v>-4439.6400000000003</v>
      </c>
    </row>
    <row r="80" spans="1:9" x14ac:dyDescent="0.2">
      <c r="A80" s="11" t="s">
        <v>88</v>
      </c>
      <c r="B80" s="12">
        <v>0</v>
      </c>
      <c r="C80" s="12">
        <v>-1657.0330097999999</v>
      </c>
      <c r="D80" s="12">
        <v>0</v>
      </c>
      <c r="E80" s="12">
        <v>-2057.5</v>
      </c>
      <c r="F80" s="12">
        <v>-2747.14</v>
      </c>
      <c r="G80" s="12">
        <v>0</v>
      </c>
      <c r="H80" s="12">
        <v>-15076.29</v>
      </c>
      <c r="I80" s="12">
        <f>SUM(B80:H80)</f>
        <v>-21537.963009800002</v>
      </c>
    </row>
    <row r="81" spans="1:9" x14ac:dyDescent="0.2">
      <c r="A81" s="13" t="s">
        <v>89</v>
      </c>
      <c r="B81" s="14">
        <f t="shared" ref="B81:I81" si="15">SUM(B77:B80)</f>
        <v>0</v>
      </c>
      <c r="C81" s="14">
        <f t="shared" si="15"/>
        <v>-1657.0330097999999</v>
      </c>
      <c r="D81" s="14">
        <f t="shared" si="15"/>
        <v>0</v>
      </c>
      <c r="E81" s="14">
        <f t="shared" si="15"/>
        <v>-2057.5</v>
      </c>
      <c r="F81" s="14">
        <f t="shared" si="15"/>
        <v>-7820.1100000000006</v>
      </c>
      <c r="G81" s="14">
        <f t="shared" si="15"/>
        <v>0</v>
      </c>
      <c r="H81" s="14">
        <f t="shared" si="15"/>
        <v>-37833.56</v>
      </c>
      <c r="I81" s="14">
        <f t="shared" si="15"/>
        <v>-49368.203009800003</v>
      </c>
    </row>
    <row r="82" spans="1:9" x14ac:dyDescent="0.2">
      <c r="A82" s="15" t="s">
        <v>90</v>
      </c>
      <c r="B82" s="14">
        <f t="shared" ref="B82:I82" si="16">B81+0</f>
        <v>0</v>
      </c>
      <c r="C82" s="14">
        <f t="shared" si="16"/>
        <v>-1657.0330097999999</v>
      </c>
      <c r="D82" s="14">
        <f t="shared" si="16"/>
        <v>0</v>
      </c>
      <c r="E82" s="14">
        <f t="shared" si="16"/>
        <v>-2057.5</v>
      </c>
      <c r="F82" s="14">
        <f t="shared" si="16"/>
        <v>-7820.1100000000006</v>
      </c>
      <c r="G82" s="14">
        <f t="shared" si="16"/>
        <v>0</v>
      </c>
      <c r="H82" s="14">
        <f t="shared" si="16"/>
        <v>-37833.56</v>
      </c>
      <c r="I82" s="14">
        <f t="shared" si="16"/>
        <v>-49368.203009800003</v>
      </c>
    </row>
    <row r="83" spans="1:9" x14ac:dyDescent="0.2">
      <c r="A83" s="9" t="s">
        <v>91</v>
      </c>
      <c r="B83" s="6"/>
      <c r="C83" s="6"/>
      <c r="D83" s="6"/>
      <c r="E83" s="6"/>
      <c r="F83" s="6"/>
      <c r="G83" s="6"/>
      <c r="H83" s="6"/>
      <c r="I83" s="6"/>
    </row>
    <row r="84" spans="1:9" x14ac:dyDescent="0.2">
      <c r="A84" s="17" t="s">
        <v>92</v>
      </c>
      <c r="B84" s="12">
        <v>0</v>
      </c>
      <c r="C84" s="12">
        <v>-1661.6858844200001</v>
      </c>
      <c r="D84" s="12">
        <v>-6020.9567988600002</v>
      </c>
      <c r="E84" s="12">
        <v>-2780.75</v>
      </c>
      <c r="F84" s="12">
        <v>-5217.07</v>
      </c>
      <c r="G84" s="12">
        <v>0</v>
      </c>
      <c r="H84" s="12">
        <v>0</v>
      </c>
      <c r="I84" s="12">
        <f t="shared" ref="I84:I115" si="17">SUM(B84:H84)</f>
        <v>-15680.46268328</v>
      </c>
    </row>
    <row r="85" spans="1:9" x14ac:dyDescent="0.2">
      <c r="A85" s="17" t="s">
        <v>93</v>
      </c>
      <c r="B85" s="12">
        <v>0</v>
      </c>
      <c r="C85" s="12">
        <v>0</v>
      </c>
      <c r="D85" s="12">
        <v>0</v>
      </c>
      <c r="E85" s="12">
        <v>0</v>
      </c>
      <c r="F85" s="12">
        <v>-12199.44</v>
      </c>
      <c r="G85" s="12">
        <v>0</v>
      </c>
      <c r="H85" s="12">
        <v>0</v>
      </c>
      <c r="I85" s="12">
        <f t="shared" si="17"/>
        <v>-12199.44</v>
      </c>
    </row>
    <row r="86" spans="1:9" x14ac:dyDescent="0.2">
      <c r="A86" s="17" t="s">
        <v>94</v>
      </c>
      <c r="B86" s="12">
        <v>-3600</v>
      </c>
      <c r="C86" s="12">
        <v>0</v>
      </c>
      <c r="D86" s="12">
        <v>0</v>
      </c>
      <c r="E86" s="12">
        <v>0</v>
      </c>
      <c r="F86" s="12">
        <v>0</v>
      </c>
      <c r="G86" s="12">
        <v>-307.64999999999998</v>
      </c>
      <c r="H86" s="12">
        <v>-5100</v>
      </c>
      <c r="I86" s="12">
        <f t="shared" si="17"/>
        <v>-9007.65</v>
      </c>
    </row>
    <row r="87" spans="1:9" x14ac:dyDescent="0.2">
      <c r="A87" s="17" t="s">
        <v>95</v>
      </c>
      <c r="B87" s="12">
        <v>0</v>
      </c>
      <c r="C87" s="12">
        <v>-93.754179480000005</v>
      </c>
      <c r="D87" s="12">
        <v>0</v>
      </c>
      <c r="E87" s="12">
        <v>0</v>
      </c>
      <c r="F87" s="12">
        <v>-17814.919999999998</v>
      </c>
      <c r="G87" s="12">
        <v>0</v>
      </c>
      <c r="H87" s="12">
        <v>0</v>
      </c>
      <c r="I87" s="12">
        <f t="shared" si="17"/>
        <v>-17908.67417948</v>
      </c>
    </row>
    <row r="88" spans="1:9" x14ac:dyDescent="0.2">
      <c r="A88" s="17" t="s">
        <v>96</v>
      </c>
      <c r="B88" s="12">
        <v>-374.28</v>
      </c>
      <c r="C88" s="12">
        <v>-3528.2631343799999</v>
      </c>
      <c r="D88" s="12">
        <v>-482.38144499999999</v>
      </c>
      <c r="E88" s="12">
        <v>-536.24</v>
      </c>
      <c r="F88" s="12">
        <v>-25799.15</v>
      </c>
      <c r="G88" s="12">
        <v>0</v>
      </c>
      <c r="H88" s="12">
        <v>-225.62</v>
      </c>
      <c r="I88" s="12">
        <f t="shared" si="17"/>
        <v>-30945.934579379998</v>
      </c>
    </row>
    <row r="89" spans="1:9" x14ac:dyDescent="0.2">
      <c r="A89" s="17" t="s">
        <v>97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-35.74</v>
      </c>
      <c r="H89" s="12">
        <v>0</v>
      </c>
      <c r="I89" s="12">
        <f t="shared" si="17"/>
        <v>-35.74</v>
      </c>
    </row>
    <row r="90" spans="1:9" x14ac:dyDescent="0.2">
      <c r="A90" s="17" t="s">
        <v>98</v>
      </c>
      <c r="B90" s="12">
        <v>0</v>
      </c>
      <c r="C90" s="12">
        <v>0</v>
      </c>
      <c r="D90" s="12">
        <v>0</v>
      </c>
      <c r="E90" s="12">
        <v>0</v>
      </c>
      <c r="F90" s="12">
        <v>-5843.72</v>
      </c>
      <c r="G90" s="12">
        <v>0</v>
      </c>
      <c r="H90" s="12">
        <v>0</v>
      </c>
      <c r="I90" s="12">
        <f t="shared" si="17"/>
        <v>-5843.72</v>
      </c>
    </row>
    <row r="91" spans="1:9" x14ac:dyDescent="0.2">
      <c r="A91" s="17" t="s">
        <v>99</v>
      </c>
      <c r="B91" s="12">
        <v>0</v>
      </c>
      <c r="C91" s="12">
        <v>0</v>
      </c>
      <c r="D91" s="12">
        <v>0</v>
      </c>
      <c r="E91" s="12">
        <v>0</v>
      </c>
      <c r="F91" s="12">
        <v>-1246.27</v>
      </c>
      <c r="G91" s="12">
        <v>0</v>
      </c>
      <c r="H91" s="12">
        <v>0</v>
      </c>
      <c r="I91" s="12">
        <f t="shared" si="17"/>
        <v>-1246.27</v>
      </c>
    </row>
    <row r="92" spans="1:9" x14ac:dyDescent="0.2">
      <c r="A92" s="17" t="s">
        <v>100</v>
      </c>
      <c r="B92" s="12">
        <v>0</v>
      </c>
      <c r="C92" s="12">
        <v>0</v>
      </c>
      <c r="D92" s="12">
        <v>0</v>
      </c>
      <c r="E92" s="12">
        <v>0</v>
      </c>
      <c r="F92" s="12">
        <v>-8253.8700000000008</v>
      </c>
      <c r="G92" s="12">
        <v>0</v>
      </c>
      <c r="H92" s="12">
        <v>0</v>
      </c>
      <c r="I92" s="12">
        <f t="shared" si="17"/>
        <v>-8253.8700000000008</v>
      </c>
    </row>
    <row r="93" spans="1:9" x14ac:dyDescent="0.2">
      <c r="A93" s="17" t="s">
        <v>101</v>
      </c>
      <c r="B93" s="12">
        <v>0</v>
      </c>
      <c r="C93" s="12">
        <v>0</v>
      </c>
      <c r="D93" s="12">
        <v>0</v>
      </c>
      <c r="E93" s="12">
        <v>-1379.39</v>
      </c>
      <c r="F93" s="12">
        <v>-52370.34</v>
      </c>
      <c r="G93" s="12">
        <v>0</v>
      </c>
      <c r="H93" s="12">
        <v>0</v>
      </c>
      <c r="I93" s="12">
        <f t="shared" si="17"/>
        <v>-53749.729999999996</v>
      </c>
    </row>
    <row r="94" spans="1:9" x14ac:dyDescent="0.2">
      <c r="A94" s="17" t="s">
        <v>102</v>
      </c>
      <c r="B94" s="12">
        <v>0</v>
      </c>
      <c r="C94" s="12">
        <v>0</v>
      </c>
      <c r="D94" s="12">
        <v>0</v>
      </c>
      <c r="E94" s="12">
        <v>0</v>
      </c>
      <c r="F94" s="12">
        <v>-34560.68</v>
      </c>
      <c r="G94" s="12">
        <v>0</v>
      </c>
      <c r="H94" s="12">
        <v>0</v>
      </c>
      <c r="I94" s="12">
        <f t="shared" si="17"/>
        <v>-34560.68</v>
      </c>
    </row>
    <row r="95" spans="1:9" x14ac:dyDescent="0.2">
      <c r="A95" s="17" t="s">
        <v>103</v>
      </c>
      <c r="B95" s="12">
        <v>0</v>
      </c>
      <c r="C95" s="12">
        <v>0</v>
      </c>
      <c r="D95" s="12">
        <v>0</v>
      </c>
      <c r="E95" s="12">
        <v>-1596.99</v>
      </c>
      <c r="F95" s="12">
        <v>-18701.990000000002</v>
      </c>
      <c r="G95" s="12">
        <v>0</v>
      </c>
      <c r="H95" s="12">
        <v>0</v>
      </c>
      <c r="I95" s="12">
        <f t="shared" si="17"/>
        <v>-20298.980000000003</v>
      </c>
    </row>
    <row r="96" spans="1:9" x14ac:dyDescent="0.2">
      <c r="A96" s="17" t="s">
        <v>104</v>
      </c>
      <c r="B96" s="12">
        <v>0</v>
      </c>
      <c r="C96" s="12">
        <v>0</v>
      </c>
      <c r="D96" s="12">
        <v>0</v>
      </c>
      <c r="E96" s="12">
        <v>0</v>
      </c>
      <c r="F96" s="12">
        <v>-42582.99</v>
      </c>
      <c r="G96" s="12">
        <v>0</v>
      </c>
      <c r="H96" s="12">
        <v>0</v>
      </c>
      <c r="I96" s="12">
        <f t="shared" si="17"/>
        <v>-42582.99</v>
      </c>
    </row>
    <row r="97" spans="1:9" x14ac:dyDescent="0.2">
      <c r="A97" s="17" t="s">
        <v>105</v>
      </c>
      <c r="B97" s="12">
        <v>0</v>
      </c>
      <c r="C97" s="12">
        <v>0</v>
      </c>
      <c r="D97" s="12">
        <v>-6568.4787792300003</v>
      </c>
      <c r="E97" s="12">
        <v>0</v>
      </c>
      <c r="F97" s="12">
        <v>-1116.81</v>
      </c>
      <c r="G97" s="12">
        <v>0</v>
      </c>
      <c r="H97" s="12">
        <v>0</v>
      </c>
      <c r="I97" s="12">
        <f t="shared" si="17"/>
        <v>-7685.2887792300007</v>
      </c>
    </row>
    <row r="98" spans="1:9" x14ac:dyDescent="0.2">
      <c r="A98" s="17" t="s">
        <v>106</v>
      </c>
      <c r="B98" s="12">
        <v>0</v>
      </c>
      <c r="C98" s="12">
        <v>0</v>
      </c>
      <c r="D98" s="12">
        <v>-1278.9100800000001</v>
      </c>
      <c r="E98" s="12">
        <v>0</v>
      </c>
      <c r="F98" s="12">
        <v>-18574</v>
      </c>
      <c r="G98" s="12">
        <v>-350</v>
      </c>
      <c r="H98" s="12">
        <v>0</v>
      </c>
      <c r="I98" s="12">
        <f t="shared" si="17"/>
        <v>-20202.910080000001</v>
      </c>
    </row>
    <row r="99" spans="1:9" x14ac:dyDescent="0.2">
      <c r="A99" s="17" t="s">
        <v>107</v>
      </c>
      <c r="B99" s="12">
        <v>0</v>
      </c>
      <c r="C99" s="12">
        <v>-22607.578406280001</v>
      </c>
      <c r="D99" s="12">
        <v>-7307.5080309699997</v>
      </c>
      <c r="E99" s="12">
        <v>-5412.23</v>
      </c>
      <c r="F99" s="12">
        <v>-9518.5400000000009</v>
      </c>
      <c r="G99" s="12">
        <v>0</v>
      </c>
      <c r="H99" s="12">
        <v>0</v>
      </c>
      <c r="I99" s="12">
        <f t="shared" si="17"/>
        <v>-44845.856437250004</v>
      </c>
    </row>
    <row r="100" spans="1:9" x14ac:dyDescent="0.2">
      <c r="A100" s="17" t="s">
        <v>108</v>
      </c>
      <c r="B100" s="12">
        <v>0</v>
      </c>
      <c r="C100" s="12">
        <v>0</v>
      </c>
      <c r="D100" s="12">
        <v>0</v>
      </c>
      <c r="E100" s="12">
        <v>0</v>
      </c>
      <c r="F100" s="12">
        <v>-3225.33</v>
      </c>
      <c r="G100" s="12">
        <v>0</v>
      </c>
      <c r="H100" s="12">
        <v>0</v>
      </c>
      <c r="I100" s="12">
        <f t="shared" si="17"/>
        <v>-3225.33</v>
      </c>
    </row>
    <row r="101" spans="1:9" x14ac:dyDescent="0.2">
      <c r="A101" s="17" t="s">
        <v>109</v>
      </c>
      <c r="B101" s="12">
        <v>-5463.94</v>
      </c>
      <c r="C101" s="12">
        <v>0</v>
      </c>
      <c r="D101" s="12">
        <v>0</v>
      </c>
      <c r="E101" s="12">
        <v>0</v>
      </c>
      <c r="F101" s="12">
        <v>-34781.589999999997</v>
      </c>
      <c r="G101" s="12">
        <v>0</v>
      </c>
      <c r="H101" s="12">
        <v>0</v>
      </c>
      <c r="I101" s="12">
        <f t="shared" si="17"/>
        <v>-40245.53</v>
      </c>
    </row>
    <row r="102" spans="1:9" x14ac:dyDescent="0.2">
      <c r="A102" s="17" t="s">
        <v>110</v>
      </c>
      <c r="B102" s="12">
        <v>-36.43</v>
      </c>
      <c r="C102" s="12">
        <v>-119.27371904</v>
      </c>
      <c r="D102" s="12">
        <v>0</v>
      </c>
      <c r="E102" s="12">
        <v>0</v>
      </c>
      <c r="F102" s="12">
        <v>-5126.88</v>
      </c>
      <c r="G102" s="12">
        <v>0</v>
      </c>
      <c r="H102" s="12">
        <v>0</v>
      </c>
      <c r="I102" s="12">
        <f t="shared" si="17"/>
        <v>-5282.5837190399998</v>
      </c>
    </row>
    <row r="103" spans="1:9" x14ac:dyDescent="0.2">
      <c r="A103" s="17" t="s">
        <v>111</v>
      </c>
      <c r="B103" s="12">
        <v>0</v>
      </c>
      <c r="C103" s="12">
        <v>-63.794580670000002</v>
      </c>
      <c r="D103" s="12">
        <v>0</v>
      </c>
      <c r="E103" s="12">
        <v>-414.69</v>
      </c>
      <c r="F103" s="12">
        <v>-61177.39</v>
      </c>
      <c r="G103" s="12">
        <v>0</v>
      </c>
      <c r="H103" s="12">
        <v>0</v>
      </c>
      <c r="I103" s="12">
        <f t="shared" si="17"/>
        <v>-61655.874580670003</v>
      </c>
    </row>
    <row r="104" spans="1:9" x14ac:dyDescent="0.2">
      <c r="A104" s="17" t="s">
        <v>112</v>
      </c>
      <c r="B104" s="12">
        <v>0</v>
      </c>
      <c r="C104" s="12">
        <v>0</v>
      </c>
      <c r="D104" s="12">
        <v>0</v>
      </c>
      <c r="E104" s="12">
        <v>0</v>
      </c>
      <c r="F104" s="12">
        <v>-261.60000000000002</v>
      </c>
      <c r="G104" s="12">
        <v>0</v>
      </c>
      <c r="H104" s="12">
        <v>0</v>
      </c>
      <c r="I104" s="12">
        <f t="shared" si="17"/>
        <v>-261.60000000000002</v>
      </c>
    </row>
    <row r="105" spans="1:9" x14ac:dyDescent="0.2">
      <c r="A105" s="17" t="s">
        <v>113</v>
      </c>
      <c r="B105" s="12">
        <v>0</v>
      </c>
      <c r="C105" s="12">
        <v>0</v>
      </c>
      <c r="D105" s="12">
        <v>0</v>
      </c>
      <c r="E105" s="12">
        <v>0</v>
      </c>
      <c r="F105" s="12">
        <v>-9553.33</v>
      </c>
      <c r="G105" s="12">
        <v>0</v>
      </c>
      <c r="H105" s="12">
        <v>-248.75</v>
      </c>
      <c r="I105" s="12">
        <f t="shared" si="17"/>
        <v>-9802.08</v>
      </c>
    </row>
    <row r="106" spans="1:9" x14ac:dyDescent="0.2">
      <c r="A106" s="17" t="s">
        <v>114</v>
      </c>
      <c r="B106" s="12">
        <v>-111.99</v>
      </c>
      <c r="C106" s="12">
        <v>-94.081784600000006</v>
      </c>
      <c r="D106" s="12">
        <v>0</v>
      </c>
      <c r="E106" s="12">
        <v>-444.39</v>
      </c>
      <c r="F106" s="12">
        <v>-4336.78</v>
      </c>
      <c r="G106" s="12">
        <v>-11.74</v>
      </c>
      <c r="H106" s="12">
        <v>-80.59</v>
      </c>
      <c r="I106" s="12">
        <f t="shared" si="17"/>
        <v>-5079.5717845999998</v>
      </c>
    </row>
    <row r="107" spans="1:9" x14ac:dyDescent="0.2">
      <c r="A107" s="17" t="s">
        <v>115</v>
      </c>
      <c r="B107" s="12">
        <v>0</v>
      </c>
      <c r="C107" s="12">
        <v>-2821.7552386500001</v>
      </c>
      <c r="D107" s="12">
        <v>-6869.7251580000002</v>
      </c>
      <c r="E107" s="12">
        <v>-1063.6500000000001</v>
      </c>
      <c r="F107" s="12">
        <v>-8348.07</v>
      </c>
      <c r="G107" s="12">
        <v>0</v>
      </c>
      <c r="H107" s="12">
        <v>0</v>
      </c>
      <c r="I107" s="12">
        <f t="shared" si="17"/>
        <v>-19103.200396649998</v>
      </c>
    </row>
    <row r="108" spans="1:9" x14ac:dyDescent="0.2">
      <c r="A108" s="17" t="s">
        <v>116</v>
      </c>
      <c r="B108" s="12">
        <v>0</v>
      </c>
      <c r="C108" s="12">
        <v>0</v>
      </c>
      <c r="D108" s="12">
        <v>-9156.3713724099998</v>
      </c>
      <c r="E108" s="12">
        <v>0</v>
      </c>
      <c r="F108" s="12">
        <v>-53593.59</v>
      </c>
      <c r="G108" s="12">
        <v>0</v>
      </c>
      <c r="H108" s="12">
        <v>0</v>
      </c>
      <c r="I108" s="12">
        <f t="shared" si="17"/>
        <v>-62749.961372409998</v>
      </c>
    </row>
    <row r="109" spans="1:9" x14ac:dyDescent="0.2">
      <c r="A109" s="17" t="s">
        <v>117</v>
      </c>
      <c r="B109" s="12">
        <v>0</v>
      </c>
      <c r="C109" s="12">
        <v>0</v>
      </c>
      <c r="D109" s="12">
        <v>0</v>
      </c>
      <c r="E109" s="12">
        <v>0</v>
      </c>
      <c r="F109" s="12">
        <v>-128.63</v>
      </c>
      <c r="G109" s="12">
        <v>0</v>
      </c>
      <c r="H109" s="12">
        <v>0</v>
      </c>
      <c r="I109" s="12">
        <f t="shared" si="17"/>
        <v>-128.63</v>
      </c>
    </row>
    <row r="110" spans="1:9" x14ac:dyDescent="0.2">
      <c r="A110" s="17" t="s">
        <v>118</v>
      </c>
      <c r="B110" s="12">
        <v>0</v>
      </c>
      <c r="C110" s="12">
        <v>0</v>
      </c>
      <c r="D110" s="12">
        <v>0</v>
      </c>
      <c r="E110" s="12">
        <v>0</v>
      </c>
      <c r="F110" s="12">
        <v>-8893.35</v>
      </c>
      <c r="G110" s="12">
        <v>0</v>
      </c>
      <c r="H110" s="12">
        <v>0</v>
      </c>
      <c r="I110" s="12">
        <f t="shared" si="17"/>
        <v>-8893.35</v>
      </c>
    </row>
    <row r="111" spans="1:9" x14ac:dyDescent="0.2">
      <c r="A111" s="17" t="s">
        <v>119</v>
      </c>
      <c r="B111" s="12">
        <v>0</v>
      </c>
      <c r="C111" s="12">
        <v>0</v>
      </c>
      <c r="D111" s="12">
        <v>0</v>
      </c>
      <c r="E111" s="12">
        <v>0</v>
      </c>
      <c r="F111" s="12">
        <v>-161.66</v>
      </c>
      <c r="G111" s="12">
        <v>0</v>
      </c>
      <c r="H111" s="12">
        <v>0</v>
      </c>
      <c r="I111" s="12">
        <f t="shared" si="17"/>
        <v>-161.66</v>
      </c>
    </row>
    <row r="112" spans="1:9" x14ac:dyDescent="0.2">
      <c r="A112" s="17" t="s">
        <v>120</v>
      </c>
      <c r="B112" s="12">
        <v>0</v>
      </c>
      <c r="C112" s="12">
        <v>0</v>
      </c>
      <c r="D112" s="12">
        <v>-2761.0639820599999</v>
      </c>
      <c r="E112" s="12">
        <v>0</v>
      </c>
      <c r="F112" s="12">
        <v>-1395.29</v>
      </c>
      <c r="G112" s="12">
        <v>0</v>
      </c>
      <c r="H112" s="12">
        <v>0</v>
      </c>
      <c r="I112" s="12">
        <f t="shared" si="17"/>
        <v>-4156.3539820599999</v>
      </c>
    </row>
    <row r="113" spans="1:9" x14ac:dyDescent="0.2">
      <c r="A113" s="17" t="s">
        <v>121</v>
      </c>
      <c r="B113" s="12">
        <v>0</v>
      </c>
      <c r="C113" s="12">
        <v>0</v>
      </c>
      <c r="D113" s="12">
        <v>0</v>
      </c>
      <c r="E113" s="12">
        <v>0</v>
      </c>
      <c r="F113" s="12">
        <v>-461</v>
      </c>
      <c r="G113" s="12">
        <v>0</v>
      </c>
      <c r="H113" s="12">
        <v>0</v>
      </c>
      <c r="I113" s="12">
        <f t="shared" si="17"/>
        <v>-461</v>
      </c>
    </row>
    <row r="114" spans="1:9" x14ac:dyDescent="0.2">
      <c r="A114" s="17" t="s">
        <v>122</v>
      </c>
      <c r="B114" s="12">
        <v>-98.21</v>
      </c>
      <c r="C114" s="12">
        <v>-2499.25572848</v>
      </c>
      <c r="D114" s="12">
        <v>-1946.9645295400001</v>
      </c>
      <c r="E114" s="12">
        <v>-78.05</v>
      </c>
      <c r="F114" s="12">
        <v>-6482.64</v>
      </c>
      <c r="G114" s="12">
        <v>0</v>
      </c>
      <c r="H114" s="12">
        <v>0</v>
      </c>
      <c r="I114" s="12">
        <f t="shared" si="17"/>
        <v>-11105.120258020001</v>
      </c>
    </row>
    <row r="115" spans="1:9" x14ac:dyDescent="0.2">
      <c r="A115" s="17" t="s">
        <v>123</v>
      </c>
      <c r="B115" s="12">
        <v>0</v>
      </c>
      <c r="C115" s="12">
        <v>-13153.921926790001</v>
      </c>
      <c r="D115" s="12">
        <v>-64.723413300000004</v>
      </c>
      <c r="E115" s="12">
        <v>0</v>
      </c>
      <c r="F115" s="12">
        <v>-573.04999999999995</v>
      </c>
      <c r="G115" s="12">
        <v>0</v>
      </c>
      <c r="H115" s="12">
        <v>0</v>
      </c>
      <c r="I115" s="12">
        <f t="shared" si="17"/>
        <v>-13791.69534009</v>
      </c>
    </row>
    <row r="116" spans="1:9" x14ac:dyDescent="0.2">
      <c r="A116" s="17" t="s">
        <v>124</v>
      </c>
      <c r="B116" s="12">
        <v>0</v>
      </c>
      <c r="C116" s="12">
        <v>0</v>
      </c>
      <c r="D116" s="12">
        <v>0</v>
      </c>
      <c r="E116" s="12">
        <v>0</v>
      </c>
      <c r="F116" s="12">
        <v>-74400</v>
      </c>
      <c r="G116" s="12">
        <v>0</v>
      </c>
      <c r="H116" s="12">
        <v>0</v>
      </c>
      <c r="I116" s="12">
        <f t="shared" ref="I116:I147" si="18">SUM(B116:H116)</f>
        <v>-74400</v>
      </c>
    </row>
    <row r="117" spans="1:9" x14ac:dyDescent="0.2">
      <c r="A117" s="17" t="s">
        <v>125</v>
      </c>
      <c r="B117" s="12">
        <v>0</v>
      </c>
      <c r="C117" s="12">
        <v>0</v>
      </c>
      <c r="D117" s="12">
        <v>0</v>
      </c>
      <c r="E117" s="12">
        <v>0</v>
      </c>
      <c r="F117" s="12">
        <v>80011</v>
      </c>
      <c r="G117" s="12">
        <v>0</v>
      </c>
      <c r="H117" s="12">
        <v>0</v>
      </c>
      <c r="I117" s="12">
        <f t="shared" si="18"/>
        <v>80011</v>
      </c>
    </row>
    <row r="118" spans="1:9" x14ac:dyDescent="0.2">
      <c r="A118" s="17" t="s">
        <v>126</v>
      </c>
      <c r="B118" s="12">
        <v>0</v>
      </c>
      <c r="C118" s="12">
        <v>-6322.8457966200003</v>
      </c>
      <c r="D118" s="12">
        <v>-9.4195200000000007E-3</v>
      </c>
      <c r="E118" s="12">
        <v>0</v>
      </c>
      <c r="F118" s="12">
        <v>0</v>
      </c>
      <c r="G118" s="12">
        <v>0</v>
      </c>
      <c r="H118" s="12">
        <v>0</v>
      </c>
      <c r="I118" s="12">
        <f t="shared" si="18"/>
        <v>-6322.8552161400003</v>
      </c>
    </row>
    <row r="119" spans="1:9" x14ac:dyDescent="0.2">
      <c r="A119" s="17" t="s">
        <v>127</v>
      </c>
      <c r="B119" s="12">
        <v>0</v>
      </c>
      <c r="C119" s="12">
        <v>-303.23721284999999</v>
      </c>
      <c r="D119" s="12">
        <v>0</v>
      </c>
      <c r="E119" s="12">
        <v>0</v>
      </c>
      <c r="F119" s="12">
        <v>-1319.8</v>
      </c>
      <c r="G119" s="12">
        <v>0</v>
      </c>
      <c r="H119" s="12">
        <v>0</v>
      </c>
      <c r="I119" s="12">
        <f t="shared" si="18"/>
        <v>-1623.0372128499998</v>
      </c>
    </row>
    <row r="120" spans="1:9" x14ac:dyDescent="0.2">
      <c r="A120" s="17" t="s">
        <v>128</v>
      </c>
      <c r="B120" s="12">
        <v>0</v>
      </c>
      <c r="C120" s="12">
        <v>0</v>
      </c>
      <c r="D120" s="12">
        <v>0</v>
      </c>
      <c r="E120" s="12">
        <v>-1912.1</v>
      </c>
      <c r="F120" s="12">
        <v>-616.28</v>
      </c>
      <c r="G120" s="12">
        <v>0</v>
      </c>
      <c r="H120" s="12">
        <v>0</v>
      </c>
      <c r="I120" s="12">
        <f t="shared" si="18"/>
        <v>-2528.38</v>
      </c>
    </row>
    <row r="121" spans="1:9" x14ac:dyDescent="0.2">
      <c r="A121" s="17" t="s">
        <v>129</v>
      </c>
      <c r="B121" s="12">
        <v>0</v>
      </c>
      <c r="C121" s="12">
        <v>-41.15184</v>
      </c>
      <c r="D121" s="12">
        <v>0</v>
      </c>
      <c r="E121" s="12">
        <v>-12.9</v>
      </c>
      <c r="F121" s="12">
        <v>-427.01</v>
      </c>
      <c r="G121" s="12">
        <v>0</v>
      </c>
      <c r="H121" s="12">
        <v>0</v>
      </c>
      <c r="I121" s="12">
        <f t="shared" si="18"/>
        <v>-481.06183999999996</v>
      </c>
    </row>
    <row r="122" spans="1:9" x14ac:dyDescent="0.2">
      <c r="A122" s="17" t="s">
        <v>130</v>
      </c>
      <c r="B122" s="12">
        <v>0</v>
      </c>
      <c r="C122" s="12">
        <v>0</v>
      </c>
      <c r="D122" s="12">
        <v>0</v>
      </c>
      <c r="E122" s="12">
        <v>0</v>
      </c>
      <c r="F122" s="12">
        <v>0.01</v>
      </c>
      <c r="G122" s="12">
        <v>0</v>
      </c>
      <c r="H122" s="12">
        <v>0</v>
      </c>
      <c r="I122" s="12">
        <f t="shared" si="18"/>
        <v>0.01</v>
      </c>
    </row>
    <row r="123" spans="1:9" x14ac:dyDescent="0.2">
      <c r="A123" s="17" t="s">
        <v>131</v>
      </c>
      <c r="B123" s="12">
        <v>0</v>
      </c>
      <c r="C123" s="12">
        <v>-22198.323524070001</v>
      </c>
      <c r="D123" s="12">
        <v>-12723.500856000001</v>
      </c>
      <c r="E123" s="12">
        <v>-17837.330000000002</v>
      </c>
      <c r="F123" s="12">
        <v>-219074.84</v>
      </c>
      <c r="G123" s="12">
        <v>-1512</v>
      </c>
      <c r="H123" s="12">
        <v>0</v>
      </c>
      <c r="I123" s="12">
        <f t="shared" si="18"/>
        <v>-273345.99438007001</v>
      </c>
    </row>
    <row r="124" spans="1:9" x14ac:dyDescent="0.2">
      <c r="A124" s="17" t="s">
        <v>132</v>
      </c>
      <c r="B124" s="12">
        <v>0</v>
      </c>
      <c r="C124" s="12">
        <v>0</v>
      </c>
      <c r="D124" s="12">
        <v>0</v>
      </c>
      <c r="E124" s="12">
        <v>0</v>
      </c>
      <c r="F124" s="12">
        <v>-4800</v>
      </c>
      <c r="G124" s="12">
        <v>0</v>
      </c>
      <c r="H124" s="12">
        <v>0</v>
      </c>
      <c r="I124" s="12">
        <f t="shared" si="18"/>
        <v>-4800</v>
      </c>
    </row>
    <row r="125" spans="1:9" x14ac:dyDescent="0.2">
      <c r="A125" s="17" t="s">
        <v>133</v>
      </c>
      <c r="B125" s="12">
        <v>0</v>
      </c>
      <c r="C125" s="12">
        <v>0</v>
      </c>
      <c r="D125" s="12">
        <v>0</v>
      </c>
      <c r="E125" s="12">
        <v>-259.48</v>
      </c>
      <c r="F125" s="12">
        <v>-142.5</v>
      </c>
      <c r="G125" s="12">
        <v>0</v>
      </c>
      <c r="H125" s="12">
        <v>0</v>
      </c>
      <c r="I125" s="12">
        <f t="shared" si="18"/>
        <v>-401.98</v>
      </c>
    </row>
    <row r="126" spans="1:9" x14ac:dyDescent="0.2">
      <c r="A126" s="17" t="s">
        <v>134</v>
      </c>
      <c r="B126" s="12">
        <v>0</v>
      </c>
      <c r="C126" s="12">
        <v>0</v>
      </c>
      <c r="D126" s="12">
        <v>0</v>
      </c>
      <c r="E126" s="12">
        <v>-1270</v>
      </c>
      <c r="F126" s="12">
        <v>-80991.98</v>
      </c>
      <c r="G126" s="12">
        <v>0</v>
      </c>
      <c r="H126" s="12">
        <v>0</v>
      </c>
      <c r="I126" s="12">
        <f t="shared" si="18"/>
        <v>-82261.98</v>
      </c>
    </row>
    <row r="127" spans="1:9" x14ac:dyDescent="0.2">
      <c r="A127" s="17" t="s">
        <v>135</v>
      </c>
      <c r="B127" s="12">
        <v>0</v>
      </c>
      <c r="C127" s="12">
        <v>0</v>
      </c>
      <c r="D127" s="12">
        <v>0</v>
      </c>
      <c r="E127" s="12">
        <v>-104.56</v>
      </c>
      <c r="F127" s="12">
        <v>-10415.51</v>
      </c>
      <c r="G127" s="12">
        <v>0</v>
      </c>
      <c r="H127" s="12">
        <v>0</v>
      </c>
      <c r="I127" s="12">
        <f t="shared" si="18"/>
        <v>-10520.07</v>
      </c>
    </row>
    <row r="128" spans="1:9" x14ac:dyDescent="0.2">
      <c r="A128" s="17" t="s">
        <v>136</v>
      </c>
      <c r="B128" s="12">
        <v>0</v>
      </c>
      <c r="C128" s="12">
        <v>-381.28152009000001</v>
      </c>
      <c r="D128" s="12">
        <v>-1767.81533623</v>
      </c>
      <c r="E128" s="12">
        <v>-2481.09</v>
      </c>
      <c r="F128" s="12">
        <v>-13159.8</v>
      </c>
      <c r="G128" s="12">
        <v>0</v>
      </c>
      <c r="H128" s="12">
        <v>0</v>
      </c>
      <c r="I128" s="12">
        <f t="shared" si="18"/>
        <v>-17789.98685632</v>
      </c>
    </row>
    <row r="129" spans="1:9" x14ac:dyDescent="0.2">
      <c r="A129" s="17" t="s">
        <v>137</v>
      </c>
      <c r="B129" s="12">
        <v>0</v>
      </c>
      <c r="C129" s="12">
        <v>0</v>
      </c>
      <c r="D129" s="12">
        <v>0</v>
      </c>
      <c r="E129" s="12">
        <v>-845.15</v>
      </c>
      <c r="F129" s="12">
        <v>-280808.75</v>
      </c>
      <c r="G129" s="12">
        <v>0</v>
      </c>
      <c r="H129" s="12">
        <v>-1550</v>
      </c>
      <c r="I129" s="12">
        <f t="shared" si="18"/>
        <v>-283203.90000000002</v>
      </c>
    </row>
    <row r="130" spans="1:9" x14ac:dyDescent="0.2">
      <c r="A130" s="17" t="s">
        <v>138</v>
      </c>
      <c r="B130" s="12">
        <v>0</v>
      </c>
      <c r="C130" s="12">
        <v>0</v>
      </c>
      <c r="D130" s="12">
        <v>0</v>
      </c>
      <c r="E130" s="12">
        <v>0</v>
      </c>
      <c r="F130" s="12">
        <v>-5691.35</v>
      </c>
      <c r="G130" s="12">
        <v>0</v>
      </c>
      <c r="H130" s="12">
        <v>0</v>
      </c>
      <c r="I130" s="12">
        <f t="shared" si="18"/>
        <v>-5691.35</v>
      </c>
    </row>
    <row r="131" spans="1:9" x14ac:dyDescent="0.2">
      <c r="A131" s="17" t="s">
        <v>139</v>
      </c>
      <c r="B131" s="12">
        <v>0</v>
      </c>
      <c r="C131" s="12">
        <v>0</v>
      </c>
      <c r="D131" s="12">
        <v>-362.79239999999999</v>
      </c>
      <c r="E131" s="12">
        <v>-474.81</v>
      </c>
      <c r="F131" s="12">
        <v>-10896.33</v>
      </c>
      <c r="G131" s="12">
        <v>0</v>
      </c>
      <c r="H131" s="12">
        <v>0</v>
      </c>
      <c r="I131" s="12">
        <f t="shared" si="18"/>
        <v>-11733.9324</v>
      </c>
    </row>
    <row r="132" spans="1:9" x14ac:dyDescent="0.2">
      <c r="A132" s="17" t="s">
        <v>140</v>
      </c>
      <c r="B132" s="12">
        <v>0</v>
      </c>
      <c r="C132" s="12">
        <v>0</v>
      </c>
      <c r="D132" s="12">
        <v>0</v>
      </c>
      <c r="E132" s="12">
        <v>-936.1</v>
      </c>
      <c r="F132" s="12">
        <v>-248.6</v>
      </c>
      <c r="G132" s="12">
        <v>0</v>
      </c>
      <c r="H132" s="12">
        <v>0</v>
      </c>
      <c r="I132" s="12">
        <f t="shared" si="18"/>
        <v>-1184.7</v>
      </c>
    </row>
    <row r="133" spans="1:9" x14ac:dyDescent="0.2">
      <c r="A133" s="17" t="s">
        <v>141</v>
      </c>
      <c r="B133" s="12">
        <v>0</v>
      </c>
      <c r="C133" s="12">
        <v>0</v>
      </c>
      <c r="D133" s="12">
        <v>0</v>
      </c>
      <c r="E133" s="12">
        <v>0</v>
      </c>
      <c r="F133" s="12">
        <v>-10941.83</v>
      </c>
      <c r="G133" s="12">
        <v>0</v>
      </c>
      <c r="H133" s="12">
        <v>0</v>
      </c>
      <c r="I133" s="12">
        <f t="shared" si="18"/>
        <v>-10941.83</v>
      </c>
    </row>
    <row r="134" spans="1:9" x14ac:dyDescent="0.2">
      <c r="A134" s="17" t="s">
        <v>142</v>
      </c>
      <c r="B134" s="12">
        <v>0</v>
      </c>
      <c r="C134" s="12">
        <v>0</v>
      </c>
      <c r="D134" s="12">
        <v>0</v>
      </c>
      <c r="E134" s="12">
        <v>0</v>
      </c>
      <c r="F134" s="12">
        <v>-2960.03</v>
      </c>
      <c r="G134" s="12">
        <v>0</v>
      </c>
      <c r="H134" s="12">
        <v>0</v>
      </c>
      <c r="I134" s="12">
        <f t="shared" si="18"/>
        <v>-2960.03</v>
      </c>
    </row>
    <row r="135" spans="1:9" x14ac:dyDescent="0.2">
      <c r="A135" s="17" t="s">
        <v>143</v>
      </c>
      <c r="B135" s="12">
        <v>0</v>
      </c>
      <c r="C135" s="12">
        <v>0</v>
      </c>
      <c r="D135" s="12">
        <v>0</v>
      </c>
      <c r="E135" s="12">
        <v>0</v>
      </c>
      <c r="F135" s="12">
        <v>-1936.06</v>
      </c>
      <c r="G135" s="12">
        <v>0</v>
      </c>
      <c r="H135" s="12">
        <v>0</v>
      </c>
      <c r="I135" s="12">
        <f t="shared" si="18"/>
        <v>-1936.06</v>
      </c>
    </row>
    <row r="136" spans="1:9" x14ac:dyDescent="0.2">
      <c r="A136" s="17" t="s">
        <v>144</v>
      </c>
      <c r="B136" s="12">
        <v>0</v>
      </c>
      <c r="C136" s="12">
        <v>0</v>
      </c>
      <c r="D136" s="12">
        <v>0</v>
      </c>
      <c r="E136" s="12">
        <v>0</v>
      </c>
      <c r="F136" s="12">
        <v>-3357.01</v>
      </c>
      <c r="G136" s="12">
        <v>0</v>
      </c>
      <c r="H136" s="12">
        <v>0</v>
      </c>
      <c r="I136" s="12">
        <f t="shared" si="18"/>
        <v>-3357.01</v>
      </c>
    </row>
    <row r="137" spans="1:9" x14ac:dyDescent="0.2">
      <c r="A137" s="17" t="s">
        <v>145</v>
      </c>
      <c r="B137" s="12">
        <v>0</v>
      </c>
      <c r="C137" s="12">
        <v>0</v>
      </c>
      <c r="D137" s="12">
        <v>0</v>
      </c>
      <c r="E137" s="12">
        <v>0</v>
      </c>
      <c r="F137" s="12">
        <v>-3544.78</v>
      </c>
      <c r="G137" s="12">
        <v>0</v>
      </c>
      <c r="H137" s="12">
        <v>0</v>
      </c>
      <c r="I137" s="12">
        <f t="shared" si="18"/>
        <v>-3544.78</v>
      </c>
    </row>
    <row r="138" spans="1:9" x14ac:dyDescent="0.2">
      <c r="A138" s="17" t="s">
        <v>146</v>
      </c>
      <c r="B138" s="12">
        <v>0</v>
      </c>
      <c r="C138" s="12">
        <v>0</v>
      </c>
      <c r="D138" s="12">
        <v>0</v>
      </c>
      <c r="E138" s="12">
        <v>0</v>
      </c>
      <c r="F138" s="12">
        <v>-6883.14</v>
      </c>
      <c r="G138" s="12">
        <v>0</v>
      </c>
      <c r="H138" s="12">
        <v>0</v>
      </c>
      <c r="I138" s="12">
        <f t="shared" si="18"/>
        <v>-6883.14</v>
      </c>
    </row>
    <row r="139" spans="1:9" x14ac:dyDescent="0.2">
      <c r="A139" s="17" t="s">
        <v>147</v>
      </c>
      <c r="B139" s="12">
        <v>0</v>
      </c>
      <c r="C139" s="12">
        <v>0</v>
      </c>
      <c r="D139" s="12">
        <v>0</v>
      </c>
      <c r="E139" s="12">
        <v>0</v>
      </c>
      <c r="F139" s="12">
        <v>-2890.03</v>
      </c>
      <c r="G139" s="12">
        <v>0</v>
      </c>
      <c r="H139" s="12">
        <v>0</v>
      </c>
      <c r="I139" s="12">
        <f t="shared" si="18"/>
        <v>-2890.03</v>
      </c>
    </row>
    <row r="140" spans="1:9" x14ac:dyDescent="0.2">
      <c r="A140" s="17" t="s">
        <v>148</v>
      </c>
      <c r="B140" s="12">
        <v>0</v>
      </c>
      <c r="C140" s="12">
        <v>0</v>
      </c>
      <c r="D140" s="12">
        <v>0</v>
      </c>
      <c r="E140" s="12">
        <v>0</v>
      </c>
      <c r="F140" s="12">
        <v>-1518.55</v>
      </c>
      <c r="G140" s="12">
        <v>0</v>
      </c>
      <c r="H140" s="12">
        <v>0</v>
      </c>
      <c r="I140" s="12">
        <f t="shared" si="18"/>
        <v>-1518.55</v>
      </c>
    </row>
    <row r="141" spans="1:9" x14ac:dyDescent="0.2">
      <c r="A141" s="17" t="s">
        <v>149</v>
      </c>
      <c r="B141" s="12">
        <v>0</v>
      </c>
      <c r="C141" s="12">
        <v>0</v>
      </c>
      <c r="D141" s="12">
        <v>0</v>
      </c>
      <c r="E141" s="12">
        <v>0</v>
      </c>
      <c r="F141" s="12">
        <v>-3228.82</v>
      </c>
      <c r="G141" s="12">
        <v>0</v>
      </c>
      <c r="H141" s="12">
        <v>0</v>
      </c>
      <c r="I141" s="12">
        <f t="shared" si="18"/>
        <v>-3228.82</v>
      </c>
    </row>
    <row r="142" spans="1:9" x14ac:dyDescent="0.2">
      <c r="A142" s="17" t="s">
        <v>150</v>
      </c>
      <c r="B142" s="12">
        <v>0</v>
      </c>
      <c r="C142" s="12">
        <v>0</v>
      </c>
      <c r="D142" s="12">
        <v>0</v>
      </c>
      <c r="E142" s="12">
        <v>0</v>
      </c>
      <c r="F142" s="12">
        <v>-4123.55</v>
      </c>
      <c r="G142" s="12">
        <v>0</v>
      </c>
      <c r="H142" s="12">
        <v>0</v>
      </c>
      <c r="I142" s="12">
        <f t="shared" si="18"/>
        <v>-4123.55</v>
      </c>
    </row>
    <row r="143" spans="1:9" x14ac:dyDescent="0.2">
      <c r="A143" s="17" t="s">
        <v>151</v>
      </c>
      <c r="B143" s="12">
        <v>0</v>
      </c>
      <c r="C143" s="12">
        <v>0</v>
      </c>
      <c r="D143" s="12">
        <v>0</v>
      </c>
      <c r="E143" s="12">
        <v>0</v>
      </c>
      <c r="F143" s="12">
        <v>-2681.43</v>
      </c>
      <c r="G143" s="12">
        <v>0</v>
      </c>
      <c r="H143" s="12">
        <v>0</v>
      </c>
      <c r="I143" s="12">
        <f t="shared" si="18"/>
        <v>-2681.43</v>
      </c>
    </row>
    <row r="144" spans="1:9" x14ac:dyDescent="0.2">
      <c r="A144" s="17" t="s">
        <v>152</v>
      </c>
      <c r="B144" s="12">
        <v>0</v>
      </c>
      <c r="C144" s="12">
        <v>0</v>
      </c>
      <c r="D144" s="12">
        <v>0</v>
      </c>
      <c r="E144" s="12">
        <v>0</v>
      </c>
      <c r="F144" s="12">
        <v>-7000.98</v>
      </c>
      <c r="G144" s="12">
        <v>0</v>
      </c>
      <c r="H144" s="12">
        <v>90</v>
      </c>
      <c r="I144" s="12">
        <f t="shared" si="18"/>
        <v>-6910.98</v>
      </c>
    </row>
    <row r="145" spans="1:9" x14ac:dyDescent="0.2">
      <c r="A145" s="15" t="s">
        <v>153</v>
      </c>
      <c r="B145" s="14">
        <f t="shared" ref="B145:I145" si="19">SUM(B84:B144)</f>
        <v>-9684.8499999999985</v>
      </c>
      <c r="C145" s="14">
        <f t="shared" si="19"/>
        <v>-75890.204476419996</v>
      </c>
      <c r="D145" s="14">
        <f t="shared" si="19"/>
        <v>-57311.201601119996</v>
      </c>
      <c r="E145" s="14">
        <f t="shared" si="19"/>
        <v>-39839.899999999994</v>
      </c>
      <c r="F145" s="14">
        <f t="shared" si="19"/>
        <v>-1126347.9200000006</v>
      </c>
      <c r="G145" s="14">
        <f t="shared" si="19"/>
        <v>-2217.13</v>
      </c>
      <c r="H145" s="14">
        <f t="shared" si="19"/>
        <v>-7114.96</v>
      </c>
      <c r="I145" s="14">
        <f t="shared" si="19"/>
        <v>-1318406.16607754</v>
      </c>
    </row>
    <row r="146" spans="1:9" x14ac:dyDescent="0.2">
      <c r="A146" s="16" t="s">
        <v>154</v>
      </c>
      <c r="B146" s="14">
        <f t="shared" ref="B146:I146" si="20">B74+B82+B145</f>
        <v>-27770.01</v>
      </c>
      <c r="C146" s="14">
        <f t="shared" si="20"/>
        <v>-273121.78669301001</v>
      </c>
      <c r="D146" s="14">
        <f t="shared" si="20"/>
        <v>-378246.63122921</v>
      </c>
      <c r="E146" s="14">
        <f t="shared" si="20"/>
        <v>-378866.18000000005</v>
      </c>
      <c r="F146" s="14">
        <f t="shared" si="20"/>
        <v>-7051280.2100000028</v>
      </c>
      <c r="G146" s="14">
        <f t="shared" si="20"/>
        <v>-7466.17</v>
      </c>
      <c r="H146" s="14">
        <f t="shared" si="20"/>
        <v>-44948.52</v>
      </c>
      <c r="I146" s="14">
        <f t="shared" si="20"/>
        <v>-8161699.507922221</v>
      </c>
    </row>
    <row r="147" spans="1:9" x14ac:dyDescent="0.2">
      <c r="A147" s="18" t="s">
        <v>155</v>
      </c>
      <c r="B147" s="14">
        <f t="shared" ref="B147:I147" si="21">B49+B146</f>
        <v>22975.119999999999</v>
      </c>
      <c r="C147" s="14">
        <f t="shared" si="21"/>
        <v>-41690.747279169969</v>
      </c>
      <c r="D147" s="14">
        <f t="shared" si="21"/>
        <v>219047.52044234</v>
      </c>
      <c r="E147" s="14">
        <f t="shared" si="21"/>
        <v>105524.41999999993</v>
      </c>
      <c r="F147" s="14">
        <f t="shared" si="21"/>
        <v>1221303.5599999968</v>
      </c>
      <c r="G147" s="14">
        <f t="shared" si="21"/>
        <v>42533.83</v>
      </c>
      <c r="H147" s="14">
        <f t="shared" si="21"/>
        <v>7957.0500000000029</v>
      </c>
      <c r="I147" s="14">
        <f t="shared" si="21"/>
        <v>1577650.7531631682</v>
      </c>
    </row>
    <row r="148" spans="1:9" x14ac:dyDescent="0.2">
      <c r="A148" s="7" t="s">
        <v>156</v>
      </c>
      <c r="B148" s="6"/>
      <c r="C148" s="6"/>
      <c r="D148" s="6"/>
      <c r="E148" s="6"/>
      <c r="F148" s="6"/>
      <c r="G148" s="6"/>
      <c r="H148" s="6"/>
      <c r="I148" s="6"/>
    </row>
    <row r="149" spans="1:9" x14ac:dyDescent="0.2">
      <c r="A149" s="8" t="s">
        <v>157</v>
      </c>
      <c r="B149" s="6"/>
      <c r="C149" s="6"/>
      <c r="D149" s="6"/>
      <c r="E149" s="6"/>
      <c r="F149" s="6"/>
      <c r="G149" s="6"/>
      <c r="H149" s="6"/>
      <c r="I149" s="6"/>
    </row>
    <row r="150" spans="1:9" x14ac:dyDescent="0.2">
      <c r="A150" s="19" t="s">
        <v>158</v>
      </c>
      <c r="B150" s="12">
        <v>0</v>
      </c>
      <c r="C150" s="12">
        <v>0</v>
      </c>
      <c r="D150" s="12">
        <v>0</v>
      </c>
      <c r="E150" s="12">
        <v>0</v>
      </c>
      <c r="F150" s="12">
        <v>2.21</v>
      </c>
      <c r="G150" s="12">
        <v>0</v>
      </c>
      <c r="H150" s="12">
        <v>0</v>
      </c>
      <c r="I150" s="12">
        <f>SUM(B150:H150)</f>
        <v>2.21</v>
      </c>
    </row>
    <row r="151" spans="1:9" x14ac:dyDescent="0.2">
      <c r="A151" s="16" t="s">
        <v>159</v>
      </c>
      <c r="B151" s="14">
        <f t="shared" ref="B151:I151" si="22">SUM(B150)</f>
        <v>0</v>
      </c>
      <c r="C151" s="14">
        <f t="shared" si="22"/>
        <v>0</v>
      </c>
      <c r="D151" s="14">
        <f t="shared" si="22"/>
        <v>0</v>
      </c>
      <c r="E151" s="14">
        <f t="shared" si="22"/>
        <v>0</v>
      </c>
      <c r="F151" s="14">
        <f t="shared" si="22"/>
        <v>2.21</v>
      </c>
      <c r="G151" s="14">
        <f t="shared" si="22"/>
        <v>0</v>
      </c>
      <c r="H151" s="14">
        <f t="shared" si="22"/>
        <v>0</v>
      </c>
      <c r="I151" s="14">
        <f t="shared" si="22"/>
        <v>2.21</v>
      </c>
    </row>
    <row r="152" spans="1:9" x14ac:dyDescent="0.2">
      <c r="A152" s="8" t="s">
        <v>160</v>
      </c>
      <c r="B152" s="6"/>
      <c r="C152" s="6"/>
      <c r="D152" s="6"/>
      <c r="E152" s="6"/>
      <c r="F152" s="6"/>
      <c r="G152" s="6"/>
      <c r="H152" s="6"/>
      <c r="I152" s="6"/>
    </row>
    <row r="153" spans="1:9" x14ac:dyDescent="0.2">
      <c r="A153" s="19" t="s">
        <v>161</v>
      </c>
      <c r="B153" s="12">
        <v>0</v>
      </c>
      <c r="C153" s="12">
        <v>0</v>
      </c>
      <c r="D153" s="12">
        <v>0</v>
      </c>
      <c r="E153" s="12">
        <v>0</v>
      </c>
      <c r="F153" s="12">
        <v>10249.75</v>
      </c>
      <c r="G153" s="12">
        <v>0</v>
      </c>
      <c r="H153" s="12">
        <v>290.17</v>
      </c>
      <c r="I153" s="12">
        <f>SUM(B153:H153)</f>
        <v>10539.92</v>
      </c>
    </row>
    <row r="154" spans="1:9" x14ac:dyDescent="0.2">
      <c r="A154" s="19" t="s">
        <v>162</v>
      </c>
      <c r="B154" s="12">
        <v>0</v>
      </c>
      <c r="C154" s="12">
        <v>0</v>
      </c>
      <c r="D154" s="12">
        <v>0</v>
      </c>
      <c r="E154" s="12">
        <v>0</v>
      </c>
      <c r="F154" s="12">
        <v>8378.9699999999993</v>
      </c>
      <c r="G154" s="12">
        <v>0</v>
      </c>
      <c r="H154" s="12">
        <v>0</v>
      </c>
      <c r="I154" s="12">
        <f>SUM(B154:H154)</f>
        <v>8378.9699999999993</v>
      </c>
    </row>
    <row r="155" spans="1:9" x14ac:dyDescent="0.2">
      <c r="A155" s="16" t="s">
        <v>163</v>
      </c>
      <c r="B155" s="14">
        <f t="shared" ref="B155:I155" si="23">SUM(B153:B154)</f>
        <v>0</v>
      </c>
      <c r="C155" s="14">
        <f t="shared" si="23"/>
        <v>0</v>
      </c>
      <c r="D155" s="14">
        <f t="shared" si="23"/>
        <v>0</v>
      </c>
      <c r="E155" s="14">
        <f t="shared" si="23"/>
        <v>0</v>
      </c>
      <c r="F155" s="14">
        <f t="shared" si="23"/>
        <v>18628.72</v>
      </c>
      <c r="G155" s="14">
        <f t="shared" si="23"/>
        <v>0</v>
      </c>
      <c r="H155" s="14">
        <f t="shared" si="23"/>
        <v>290.17</v>
      </c>
      <c r="I155" s="14">
        <f t="shared" si="23"/>
        <v>18918.89</v>
      </c>
    </row>
    <row r="156" spans="1:9" x14ac:dyDescent="0.2">
      <c r="A156" s="8" t="s">
        <v>164</v>
      </c>
      <c r="B156" s="6"/>
      <c r="C156" s="6"/>
      <c r="D156" s="6"/>
      <c r="E156" s="6"/>
      <c r="F156" s="6"/>
      <c r="G156" s="6"/>
      <c r="H156" s="6"/>
      <c r="I156" s="6"/>
    </row>
    <row r="157" spans="1:9" x14ac:dyDescent="0.2">
      <c r="A157" s="19" t="s">
        <v>165</v>
      </c>
      <c r="B157" s="12">
        <v>0</v>
      </c>
      <c r="C157" s="12">
        <v>0</v>
      </c>
      <c r="D157" s="12">
        <v>0</v>
      </c>
      <c r="E157" s="12">
        <v>0</v>
      </c>
      <c r="F157" s="12">
        <v>436</v>
      </c>
      <c r="G157" s="12">
        <v>0</v>
      </c>
      <c r="H157" s="12">
        <v>0</v>
      </c>
      <c r="I157" s="12">
        <f>SUM(B157:H157)</f>
        <v>436</v>
      </c>
    </row>
    <row r="158" spans="1:9" x14ac:dyDescent="0.2">
      <c r="A158" s="19" t="s">
        <v>166</v>
      </c>
      <c r="B158" s="12">
        <v>580.09</v>
      </c>
      <c r="C158" s="12">
        <v>0</v>
      </c>
      <c r="D158" s="12">
        <v>0</v>
      </c>
      <c r="E158" s="12">
        <v>151.69999999999999</v>
      </c>
      <c r="F158" s="12">
        <v>12.48</v>
      </c>
      <c r="G158" s="12">
        <v>0</v>
      </c>
      <c r="H158" s="12">
        <v>0</v>
      </c>
      <c r="I158" s="12">
        <f>SUM(B158:H158)</f>
        <v>744.27</v>
      </c>
    </row>
    <row r="159" spans="1:9" x14ac:dyDescent="0.2">
      <c r="A159" s="16" t="s">
        <v>167</v>
      </c>
      <c r="B159" s="14">
        <f t="shared" ref="B159:I159" si="24">SUM(B157:B158)</f>
        <v>580.09</v>
      </c>
      <c r="C159" s="14">
        <f t="shared" si="24"/>
        <v>0</v>
      </c>
      <c r="D159" s="14">
        <f t="shared" si="24"/>
        <v>0</v>
      </c>
      <c r="E159" s="14">
        <f t="shared" si="24"/>
        <v>151.69999999999999</v>
      </c>
      <c r="F159" s="14">
        <f t="shared" si="24"/>
        <v>448.48</v>
      </c>
      <c r="G159" s="14">
        <f t="shared" si="24"/>
        <v>0</v>
      </c>
      <c r="H159" s="14">
        <f t="shared" si="24"/>
        <v>0</v>
      </c>
      <c r="I159" s="14">
        <f t="shared" si="24"/>
        <v>1180.27</v>
      </c>
    </row>
    <row r="160" spans="1:9" x14ac:dyDescent="0.2">
      <c r="A160" s="8" t="s">
        <v>168</v>
      </c>
      <c r="B160" s="6"/>
      <c r="C160" s="6"/>
      <c r="D160" s="6"/>
      <c r="E160" s="6"/>
      <c r="F160" s="6"/>
      <c r="G160" s="6"/>
      <c r="H160" s="6"/>
      <c r="I160" s="6"/>
    </row>
    <row r="161" spans="1:9" x14ac:dyDescent="0.2">
      <c r="A161" s="19" t="s">
        <v>169</v>
      </c>
      <c r="B161" s="12">
        <v>0</v>
      </c>
      <c r="C161" s="12">
        <v>0</v>
      </c>
      <c r="D161" s="12">
        <v>0</v>
      </c>
      <c r="E161" s="12">
        <v>-324</v>
      </c>
      <c r="F161" s="12">
        <v>0</v>
      </c>
      <c r="G161" s="12">
        <v>0</v>
      </c>
      <c r="H161" s="12">
        <v>0</v>
      </c>
      <c r="I161" s="12">
        <f>SUM(B161:H161)</f>
        <v>-324</v>
      </c>
    </row>
    <row r="162" spans="1:9" x14ac:dyDescent="0.2">
      <c r="A162" s="16" t="s">
        <v>170</v>
      </c>
      <c r="B162" s="14">
        <f t="shared" ref="B162:I162" si="25">SUM(B161)</f>
        <v>0</v>
      </c>
      <c r="C162" s="14">
        <f t="shared" si="25"/>
        <v>0</v>
      </c>
      <c r="D162" s="14">
        <f t="shared" si="25"/>
        <v>0</v>
      </c>
      <c r="E162" s="14">
        <f t="shared" si="25"/>
        <v>-324</v>
      </c>
      <c r="F162" s="14">
        <f t="shared" si="25"/>
        <v>0</v>
      </c>
      <c r="G162" s="14">
        <f t="shared" si="25"/>
        <v>0</v>
      </c>
      <c r="H162" s="14">
        <f t="shared" si="25"/>
        <v>0</v>
      </c>
      <c r="I162" s="14">
        <f t="shared" si="25"/>
        <v>-324</v>
      </c>
    </row>
    <row r="163" spans="1:9" x14ac:dyDescent="0.2">
      <c r="A163" s="18" t="s">
        <v>171</v>
      </c>
      <c r="B163" s="14">
        <f t="shared" ref="B163:I163" si="26">B151+B155+B159+0+B162</f>
        <v>580.09</v>
      </c>
      <c r="C163" s="14">
        <f t="shared" si="26"/>
        <v>0</v>
      </c>
      <c r="D163" s="14">
        <f t="shared" si="26"/>
        <v>0</v>
      </c>
      <c r="E163" s="14">
        <f t="shared" si="26"/>
        <v>-172.3</v>
      </c>
      <c r="F163" s="14">
        <f t="shared" si="26"/>
        <v>19079.41</v>
      </c>
      <c r="G163" s="14">
        <f t="shared" si="26"/>
        <v>0</v>
      </c>
      <c r="H163" s="14">
        <f t="shared" si="26"/>
        <v>290.17</v>
      </c>
      <c r="I163" s="14">
        <f t="shared" si="26"/>
        <v>19777.37</v>
      </c>
    </row>
    <row r="164" spans="1:9" x14ac:dyDescent="0.2">
      <c r="A164" s="7" t="s">
        <v>172</v>
      </c>
      <c r="B164" s="6"/>
      <c r="C164" s="6"/>
      <c r="D164" s="6"/>
      <c r="E164" s="6"/>
      <c r="F164" s="6"/>
      <c r="G164" s="6"/>
      <c r="H164" s="6"/>
      <c r="I164" s="6"/>
    </row>
    <row r="165" spans="1:9" x14ac:dyDescent="0.2">
      <c r="A165" s="20" t="s">
        <v>173</v>
      </c>
      <c r="B165" s="12">
        <v>-7.97</v>
      </c>
      <c r="C165" s="12">
        <v>0</v>
      </c>
      <c r="D165" s="12">
        <v>0</v>
      </c>
      <c r="E165" s="12">
        <v>0</v>
      </c>
      <c r="F165" s="12">
        <v>-199.8</v>
      </c>
      <c r="G165" s="12">
        <v>0</v>
      </c>
      <c r="H165" s="12">
        <v>0</v>
      </c>
      <c r="I165" s="12">
        <f>SUM(B165:H165)</f>
        <v>-207.77</v>
      </c>
    </row>
    <row r="166" spans="1:9" x14ac:dyDescent="0.2">
      <c r="A166" s="20" t="s">
        <v>174</v>
      </c>
      <c r="B166" s="12">
        <v>-1594</v>
      </c>
      <c r="C166" s="12">
        <v>0</v>
      </c>
      <c r="D166" s="12">
        <v>0</v>
      </c>
      <c r="E166" s="12">
        <v>-678</v>
      </c>
      <c r="F166" s="12">
        <v>-57970</v>
      </c>
      <c r="G166" s="12">
        <v>-575.96</v>
      </c>
      <c r="H166" s="12">
        <v>-434</v>
      </c>
      <c r="I166" s="12">
        <f>SUM(B166:H166)</f>
        <v>-61251.96</v>
      </c>
    </row>
    <row r="167" spans="1:9" x14ac:dyDescent="0.2">
      <c r="A167" s="20" t="s">
        <v>175</v>
      </c>
      <c r="B167" s="12">
        <v>-87.66</v>
      </c>
      <c r="C167" s="12">
        <v>0</v>
      </c>
      <c r="D167" s="12">
        <v>0</v>
      </c>
      <c r="E167" s="12">
        <v>0</v>
      </c>
      <c r="F167" s="12">
        <v>-3188.34</v>
      </c>
      <c r="G167" s="12">
        <v>0</v>
      </c>
      <c r="H167" s="12">
        <v>-23.86</v>
      </c>
      <c r="I167" s="12">
        <f>SUM(B167:H167)</f>
        <v>-3299.86</v>
      </c>
    </row>
    <row r="168" spans="1:9" x14ac:dyDescent="0.2">
      <c r="A168" s="20" t="s">
        <v>176</v>
      </c>
      <c r="B168" s="12">
        <v>-1408</v>
      </c>
      <c r="C168" s="12">
        <v>0</v>
      </c>
      <c r="D168" s="12">
        <v>0</v>
      </c>
      <c r="E168" s="12">
        <v>0</v>
      </c>
      <c r="F168" s="12">
        <v>-55650</v>
      </c>
      <c r="G168" s="12">
        <v>0</v>
      </c>
      <c r="H168" s="12">
        <v>-390</v>
      </c>
      <c r="I168" s="12">
        <f>SUM(B168:H168)</f>
        <v>-57448</v>
      </c>
    </row>
    <row r="169" spans="1:9" x14ac:dyDescent="0.2">
      <c r="A169" s="20" t="s">
        <v>177</v>
      </c>
      <c r="B169" s="12">
        <v>-145.02000000000001</v>
      </c>
      <c r="C169" s="12">
        <v>0</v>
      </c>
      <c r="D169" s="12">
        <v>0</v>
      </c>
      <c r="E169" s="12">
        <v>0</v>
      </c>
      <c r="F169" s="12">
        <v>-3634.11</v>
      </c>
      <c r="G169" s="12">
        <v>0</v>
      </c>
      <c r="H169" s="12">
        <v>0</v>
      </c>
      <c r="I169" s="12">
        <f>SUM(B169:H169)</f>
        <v>-3779.13</v>
      </c>
    </row>
    <row r="170" spans="1:9" x14ac:dyDescent="0.2">
      <c r="A170" s="18" t="s">
        <v>178</v>
      </c>
      <c r="B170" s="14">
        <f t="shared" ref="B170:I170" si="27">SUM(B165:B169)</f>
        <v>-3242.65</v>
      </c>
      <c r="C170" s="14">
        <f t="shared" si="27"/>
        <v>0</v>
      </c>
      <c r="D170" s="14">
        <f t="shared" si="27"/>
        <v>0</v>
      </c>
      <c r="E170" s="14">
        <f t="shared" si="27"/>
        <v>-678</v>
      </c>
      <c r="F170" s="14">
        <f t="shared" si="27"/>
        <v>-120642.25</v>
      </c>
      <c r="G170" s="14">
        <f t="shared" si="27"/>
        <v>-575.96</v>
      </c>
      <c r="H170" s="14">
        <f t="shared" si="27"/>
        <v>-847.86</v>
      </c>
      <c r="I170" s="14">
        <f t="shared" si="27"/>
        <v>-125986.72</v>
      </c>
    </row>
    <row r="171" spans="1:9" x14ac:dyDescent="0.2">
      <c r="A171" s="21" t="s">
        <v>179</v>
      </c>
      <c r="B171" s="14">
        <f t="shared" ref="B171:I171" si="28">B147+B163+B170+0</f>
        <v>20312.559999999998</v>
      </c>
      <c r="C171" s="14">
        <f t="shared" si="28"/>
        <v>-41690.747279169969</v>
      </c>
      <c r="D171" s="14">
        <f t="shared" si="28"/>
        <v>219047.52044234</v>
      </c>
      <c r="E171" s="14">
        <f t="shared" si="28"/>
        <v>104674.11999999992</v>
      </c>
      <c r="F171" s="14">
        <f t="shared" si="28"/>
        <v>1119740.7199999967</v>
      </c>
      <c r="G171" s="14">
        <f t="shared" si="28"/>
        <v>41957.87</v>
      </c>
      <c r="H171" s="14">
        <f t="shared" si="28"/>
        <v>7399.3600000000033</v>
      </c>
      <c r="I171" s="14">
        <f t="shared" si="28"/>
        <v>1471441.4031631683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2023-08-08T21:32:12Z</dcterms:created>
  <dcterms:modified xsi:type="dcterms:W3CDTF">2023-08-08T21:32:45Z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