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4 - Consolidation Reporting\"/>
    </mc:Choice>
  </mc:AlternateContent>
  <xr:revisionPtr revIDLastSave="0" documentId="13_ncr:40009_{16CD502A-759B-419D-B1E7-7728295E1636}" xr6:coauthVersionLast="47" xr6:coauthVersionMax="47" xr10:uidLastSave="{00000000-0000-0000-0000-000000000000}"/>
  <bookViews>
    <workbookView xWindow="-28920" yWindow="-120" windowWidth="29040" windowHeight="15840"/>
  </bookViews>
  <sheets>
    <sheet name="PGPLConsoli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44" i="1" l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U243" i="1"/>
  <c r="AU242" i="1"/>
  <c r="AU244" i="1" s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U239" i="1"/>
  <c r="AU238" i="1"/>
  <c r="AU237" i="1"/>
  <c r="AU236" i="1"/>
  <c r="AU235" i="1"/>
  <c r="AU234" i="1"/>
  <c r="AU233" i="1"/>
  <c r="AU232" i="1"/>
  <c r="AU231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U227" i="1"/>
  <c r="AU226" i="1"/>
  <c r="AU225" i="1"/>
  <c r="AU224" i="1"/>
  <c r="AT222" i="1"/>
  <c r="AS222" i="1"/>
  <c r="AS229" i="1" s="1"/>
  <c r="AR222" i="1"/>
  <c r="AQ222" i="1"/>
  <c r="AP222" i="1"/>
  <c r="AO222" i="1"/>
  <c r="AN222" i="1"/>
  <c r="AM222" i="1"/>
  <c r="AL222" i="1"/>
  <c r="AK222" i="1"/>
  <c r="AK229" i="1" s="1"/>
  <c r="AJ222" i="1"/>
  <c r="AI222" i="1"/>
  <c r="AH222" i="1"/>
  <c r="AG222" i="1"/>
  <c r="AF222" i="1"/>
  <c r="AE222" i="1"/>
  <c r="AD222" i="1"/>
  <c r="AC222" i="1"/>
  <c r="AC229" i="1" s="1"/>
  <c r="AB222" i="1"/>
  <c r="AA222" i="1"/>
  <c r="Z222" i="1"/>
  <c r="Y222" i="1"/>
  <c r="X222" i="1"/>
  <c r="W222" i="1"/>
  <c r="V222" i="1"/>
  <c r="U222" i="1"/>
  <c r="U229" i="1" s="1"/>
  <c r="T222" i="1"/>
  <c r="S222" i="1"/>
  <c r="R222" i="1"/>
  <c r="Q222" i="1"/>
  <c r="P222" i="1"/>
  <c r="O222" i="1"/>
  <c r="N222" i="1"/>
  <c r="M222" i="1"/>
  <c r="M229" i="1" s="1"/>
  <c r="L222" i="1"/>
  <c r="K222" i="1"/>
  <c r="J222" i="1"/>
  <c r="I222" i="1"/>
  <c r="H222" i="1"/>
  <c r="G222" i="1"/>
  <c r="F222" i="1"/>
  <c r="E222" i="1"/>
  <c r="E229" i="1" s="1"/>
  <c r="D222" i="1"/>
  <c r="C222" i="1"/>
  <c r="B222" i="1"/>
  <c r="AU221" i="1"/>
  <c r="AU220" i="1"/>
  <c r="AU219" i="1"/>
  <c r="AU218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U215" i="1"/>
  <c r="AU214" i="1"/>
  <c r="AU212" i="1"/>
  <c r="AT212" i="1"/>
  <c r="AS212" i="1"/>
  <c r="AR212" i="1"/>
  <c r="AQ212" i="1"/>
  <c r="AP212" i="1"/>
  <c r="AO212" i="1"/>
  <c r="AN212" i="1"/>
  <c r="AM212" i="1"/>
  <c r="AM229" i="1" s="1"/>
  <c r="AL212" i="1"/>
  <c r="AK212" i="1"/>
  <c r="AJ212" i="1"/>
  <c r="AI212" i="1"/>
  <c r="AH212" i="1"/>
  <c r="AG212" i="1"/>
  <c r="AF212" i="1"/>
  <c r="AE212" i="1"/>
  <c r="AE229" i="1" s="1"/>
  <c r="AD212" i="1"/>
  <c r="AC212" i="1"/>
  <c r="AB212" i="1"/>
  <c r="AA212" i="1"/>
  <c r="Z212" i="1"/>
  <c r="Y212" i="1"/>
  <c r="X212" i="1"/>
  <c r="W212" i="1"/>
  <c r="W229" i="1" s="1"/>
  <c r="V212" i="1"/>
  <c r="U212" i="1"/>
  <c r="T212" i="1"/>
  <c r="S212" i="1"/>
  <c r="R212" i="1"/>
  <c r="Q212" i="1"/>
  <c r="P212" i="1"/>
  <c r="O212" i="1"/>
  <c r="O229" i="1" s="1"/>
  <c r="N212" i="1"/>
  <c r="M212" i="1"/>
  <c r="L212" i="1"/>
  <c r="K212" i="1"/>
  <c r="J212" i="1"/>
  <c r="I212" i="1"/>
  <c r="H212" i="1"/>
  <c r="G212" i="1"/>
  <c r="G229" i="1" s="1"/>
  <c r="F212" i="1"/>
  <c r="E212" i="1"/>
  <c r="D212" i="1"/>
  <c r="C212" i="1"/>
  <c r="B212" i="1"/>
  <c r="AU211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J111" i="1"/>
  <c r="D111" i="1"/>
  <c r="AT110" i="1"/>
  <c r="AT111" i="1" s="1"/>
  <c r="AS110" i="1"/>
  <c r="AS111" i="1" s="1"/>
  <c r="AR110" i="1"/>
  <c r="AR111" i="1" s="1"/>
  <c r="AQ110" i="1"/>
  <c r="AQ111" i="1" s="1"/>
  <c r="AP110" i="1"/>
  <c r="AP111" i="1" s="1"/>
  <c r="AO110" i="1"/>
  <c r="AO111" i="1" s="1"/>
  <c r="AN110" i="1"/>
  <c r="AN111" i="1" s="1"/>
  <c r="AM110" i="1"/>
  <c r="AM111" i="1" s="1"/>
  <c r="AL110" i="1"/>
  <c r="AL111" i="1" s="1"/>
  <c r="AK110" i="1"/>
  <c r="AK111" i="1" s="1"/>
  <c r="AJ110" i="1"/>
  <c r="AI110" i="1"/>
  <c r="AI111" i="1" s="1"/>
  <c r="AH110" i="1"/>
  <c r="AH111" i="1" s="1"/>
  <c r="AG110" i="1"/>
  <c r="AG111" i="1" s="1"/>
  <c r="AF110" i="1"/>
  <c r="AF111" i="1" s="1"/>
  <c r="AE110" i="1"/>
  <c r="AE111" i="1" s="1"/>
  <c r="AD110" i="1"/>
  <c r="AD111" i="1" s="1"/>
  <c r="AC110" i="1"/>
  <c r="AC111" i="1" s="1"/>
  <c r="AB110" i="1"/>
  <c r="AB111" i="1" s="1"/>
  <c r="AA110" i="1"/>
  <c r="AA111" i="1" s="1"/>
  <c r="Z110" i="1"/>
  <c r="Z111" i="1" s="1"/>
  <c r="Y110" i="1"/>
  <c r="Y111" i="1" s="1"/>
  <c r="X110" i="1"/>
  <c r="X111" i="1" s="1"/>
  <c r="W110" i="1"/>
  <c r="W111" i="1" s="1"/>
  <c r="V110" i="1"/>
  <c r="V111" i="1" s="1"/>
  <c r="U110" i="1"/>
  <c r="U111" i="1" s="1"/>
  <c r="T110" i="1"/>
  <c r="T111" i="1" s="1"/>
  <c r="S110" i="1"/>
  <c r="S111" i="1" s="1"/>
  <c r="R110" i="1"/>
  <c r="R111" i="1" s="1"/>
  <c r="Q110" i="1"/>
  <c r="Q111" i="1" s="1"/>
  <c r="P110" i="1"/>
  <c r="P111" i="1" s="1"/>
  <c r="O110" i="1"/>
  <c r="O111" i="1" s="1"/>
  <c r="N110" i="1"/>
  <c r="N111" i="1" s="1"/>
  <c r="M110" i="1"/>
  <c r="M111" i="1" s="1"/>
  <c r="L110" i="1"/>
  <c r="L111" i="1" s="1"/>
  <c r="K110" i="1"/>
  <c r="K111" i="1" s="1"/>
  <c r="J110" i="1"/>
  <c r="J111" i="1" s="1"/>
  <c r="I110" i="1"/>
  <c r="I111" i="1" s="1"/>
  <c r="H110" i="1"/>
  <c r="H111" i="1" s="1"/>
  <c r="G110" i="1"/>
  <c r="G111" i="1" s="1"/>
  <c r="F110" i="1"/>
  <c r="F111" i="1" s="1"/>
  <c r="E110" i="1"/>
  <c r="E111" i="1" s="1"/>
  <c r="D110" i="1"/>
  <c r="C110" i="1"/>
  <c r="C111" i="1" s="1"/>
  <c r="B110" i="1"/>
  <c r="B111" i="1" s="1"/>
  <c r="AU109" i="1"/>
  <c r="AU108" i="1"/>
  <c r="AU107" i="1"/>
  <c r="AU106" i="1"/>
  <c r="AU105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T84" i="1"/>
  <c r="AT102" i="1" s="1"/>
  <c r="AS84" i="1"/>
  <c r="AR84" i="1"/>
  <c r="AQ84" i="1"/>
  <c r="AP84" i="1"/>
  <c r="AO84" i="1"/>
  <c r="AO102" i="1" s="1"/>
  <c r="AN84" i="1"/>
  <c r="AN102" i="1" s="1"/>
  <c r="AM84" i="1"/>
  <c r="AM102" i="1" s="1"/>
  <c r="AL84" i="1"/>
  <c r="AK84" i="1"/>
  <c r="AJ84" i="1"/>
  <c r="AI84" i="1"/>
  <c r="AH84" i="1"/>
  <c r="AG84" i="1"/>
  <c r="AG102" i="1" s="1"/>
  <c r="AF84" i="1"/>
  <c r="AF102" i="1" s="1"/>
  <c r="AE84" i="1"/>
  <c r="AE102" i="1" s="1"/>
  <c r="AD84" i="1"/>
  <c r="AC84" i="1"/>
  <c r="AB84" i="1"/>
  <c r="AA84" i="1"/>
  <c r="Z84" i="1"/>
  <c r="Y84" i="1"/>
  <c r="Y102" i="1" s="1"/>
  <c r="X84" i="1"/>
  <c r="X102" i="1" s="1"/>
  <c r="W84" i="1"/>
  <c r="W102" i="1" s="1"/>
  <c r="V84" i="1"/>
  <c r="V102" i="1" s="1"/>
  <c r="U84" i="1"/>
  <c r="T84" i="1"/>
  <c r="S84" i="1"/>
  <c r="R84" i="1"/>
  <c r="Q84" i="1"/>
  <c r="Q102" i="1" s="1"/>
  <c r="P84" i="1"/>
  <c r="P102" i="1" s="1"/>
  <c r="O84" i="1"/>
  <c r="O102" i="1" s="1"/>
  <c r="N84" i="1"/>
  <c r="N102" i="1" s="1"/>
  <c r="M84" i="1"/>
  <c r="L84" i="1"/>
  <c r="K84" i="1"/>
  <c r="J84" i="1"/>
  <c r="I84" i="1"/>
  <c r="I102" i="1" s="1"/>
  <c r="H84" i="1"/>
  <c r="H102" i="1" s="1"/>
  <c r="G84" i="1"/>
  <c r="G102" i="1" s="1"/>
  <c r="F84" i="1"/>
  <c r="E84" i="1"/>
  <c r="D84" i="1"/>
  <c r="C84" i="1"/>
  <c r="B84" i="1"/>
  <c r="AU83" i="1"/>
  <c r="AU82" i="1"/>
  <c r="AU81" i="1"/>
  <c r="AU80" i="1"/>
  <c r="AU79" i="1"/>
  <c r="AU78" i="1"/>
  <c r="AU77" i="1"/>
  <c r="AU76" i="1"/>
  <c r="AU75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N70" i="1" s="1"/>
  <c r="M69" i="1"/>
  <c r="L69" i="1"/>
  <c r="K69" i="1"/>
  <c r="J69" i="1"/>
  <c r="I69" i="1"/>
  <c r="H69" i="1"/>
  <c r="G69" i="1"/>
  <c r="F69" i="1"/>
  <c r="E69" i="1"/>
  <c r="D69" i="1"/>
  <c r="C69" i="1"/>
  <c r="B69" i="1"/>
  <c r="AU68" i="1"/>
  <c r="AU67" i="1"/>
  <c r="AU66" i="1"/>
  <c r="AU65" i="1"/>
  <c r="AU64" i="1"/>
  <c r="AU63" i="1"/>
  <c r="AT61" i="1"/>
  <c r="AS61" i="1"/>
  <c r="AS70" i="1" s="1"/>
  <c r="AR61" i="1"/>
  <c r="AQ61" i="1"/>
  <c r="AP61" i="1"/>
  <c r="AO61" i="1"/>
  <c r="AO70" i="1" s="1"/>
  <c r="AN61" i="1"/>
  <c r="AN70" i="1" s="1"/>
  <c r="AM61" i="1"/>
  <c r="AL61" i="1"/>
  <c r="AK61" i="1"/>
  <c r="AK70" i="1" s="1"/>
  <c r="AJ61" i="1"/>
  <c r="AI61" i="1"/>
  <c r="AH61" i="1"/>
  <c r="AG61" i="1"/>
  <c r="AG70" i="1" s="1"/>
  <c r="AF61" i="1"/>
  <c r="AF70" i="1" s="1"/>
  <c r="AE61" i="1"/>
  <c r="AD61" i="1"/>
  <c r="AC61" i="1"/>
  <c r="AC70" i="1" s="1"/>
  <c r="AB61" i="1"/>
  <c r="AA61" i="1"/>
  <c r="Z61" i="1"/>
  <c r="Y61" i="1"/>
  <c r="Y70" i="1" s="1"/>
  <c r="X61" i="1"/>
  <c r="X70" i="1" s="1"/>
  <c r="W61" i="1"/>
  <c r="V61" i="1"/>
  <c r="U61" i="1"/>
  <c r="U70" i="1" s="1"/>
  <c r="T61" i="1"/>
  <c r="S61" i="1"/>
  <c r="R61" i="1"/>
  <c r="Q61" i="1"/>
  <c r="Q70" i="1" s="1"/>
  <c r="P61" i="1"/>
  <c r="P70" i="1" s="1"/>
  <c r="O61" i="1"/>
  <c r="N61" i="1"/>
  <c r="M61" i="1"/>
  <c r="M70" i="1" s="1"/>
  <c r="L61" i="1"/>
  <c r="K61" i="1"/>
  <c r="J61" i="1"/>
  <c r="I61" i="1"/>
  <c r="I70" i="1" s="1"/>
  <c r="H61" i="1"/>
  <c r="H70" i="1" s="1"/>
  <c r="G61" i="1"/>
  <c r="F61" i="1"/>
  <c r="E61" i="1"/>
  <c r="E70" i="1" s="1"/>
  <c r="D61" i="1"/>
  <c r="C61" i="1"/>
  <c r="B61" i="1"/>
  <c r="AU60" i="1"/>
  <c r="AU59" i="1"/>
  <c r="AU58" i="1"/>
  <c r="AU57" i="1"/>
  <c r="AU56" i="1"/>
  <c r="AU55" i="1"/>
  <c r="AU54" i="1"/>
  <c r="AU53" i="1"/>
  <c r="AU52" i="1"/>
  <c r="AU51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T26" i="1"/>
  <c r="AT48" i="1" s="1"/>
  <c r="AS26" i="1"/>
  <c r="AS48" i="1" s="1"/>
  <c r="AR26" i="1"/>
  <c r="AR48" i="1" s="1"/>
  <c r="AQ26" i="1"/>
  <c r="AQ48" i="1" s="1"/>
  <c r="AP26" i="1"/>
  <c r="AP48" i="1" s="1"/>
  <c r="AO26" i="1"/>
  <c r="AO48" i="1" s="1"/>
  <c r="AN26" i="1"/>
  <c r="AN48" i="1" s="1"/>
  <c r="AM26" i="1"/>
  <c r="AM48" i="1" s="1"/>
  <c r="AL26" i="1"/>
  <c r="AL48" i="1" s="1"/>
  <c r="AK26" i="1"/>
  <c r="AK48" i="1" s="1"/>
  <c r="AJ26" i="1"/>
  <c r="AJ48" i="1" s="1"/>
  <c r="AI26" i="1"/>
  <c r="AI48" i="1" s="1"/>
  <c r="AH26" i="1"/>
  <c r="AH48" i="1" s="1"/>
  <c r="AG26" i="1"/>
  <c r="AG48" i="1" s="1"/>
  <c r="AF26" i="1"/>
  <c r="AF48" i="1" s="1"/>
  <c r="AE26" i="1"/>
  <c r="AE48" i="1" s="1"/>
  <c r="AD26" i="1"/>
  <c r="AD48" i="1" s="1"/>
  <c r="AC26" i="1"/>
  <c r="AC48" i="1" s="1"/>
  <c r="AB26" i="1"/>
  <c r="AB48" i="1" s="1"/>
  <c r="AA26" i="1"/>
  <c r="AA48" i="1" s="1"/>
  <c r="Z26" i="1"/>
  <c r="Z48" i="1" s="1"/>
  <c r="Y26" i="1"/>
  <c r="Y48" i="1" s="1"/>
  <c r="X26" i="1"/>
  <c r="X48" i="1" s="1"/>
  <c r="W26" i="1"/>
  <c r="W48" i="1" s="1"/>
  <c r="V26" i="1"/>
  <c r="V48" i="1" s="1"/>
  <c r="U26" i="1"/>
  <c r="U48" i="1" s="1"/>
  <c r="T26" i="1"/>
  <c r="T48" i="1" s="1"/>
  <c r="S26" i="1"/>
  <c r="S48" i="1" s="1"/>
  <c r="R26" i="1"/>
  <c r="R48" i="1" s="1"/>
  <c r="Q26" i="1"/>
  <c r="Q48" i="1" s="1"/>
  <c r="P26" i="1"/>
  <c r="P48" i="1" s="1"/>
  <c r="P71" i="1" s="1"/>
  <c r="O26" i="1"/>
  <c r="O48" i="1" s="1"/>
  <c r="N26" i="1"/>
  <c r="N48" i="1" s="1"/>
  <c r="M26" i="1"/>
  <c r="M48" i="1" s="1"/>
  <c r="L26" i="1"/>
  <c r="L48" i="1" s="1"/>
  <c r="K26" i="1"/>
  <c r="K48" i="1" s="1"/>
  <c r="J26" i="1"/>
  <c r="J48" i="1" s="1"/>
  <c r="I26" i="1"/>
  <c r="I48" i="1" s="1"/>
  <c r="H26" i="1"/>
  <c r="H48" i="1" s="1"/>
  <c r="G26" i="1"/>
  <c r="G48" i="1" s="1"/>
  <c r="F26" i="1"/>
  <c r="F48" i="1" s="1"/>
  <c r="E26" i="1"/>
  <c r="E48" i="1" s="1"/>
  <c r="D26" i="1"/>
  <c r="D48" i="1" s="1"/>
  <c r="C26" i="1"/>
  <c r="C48" i="1" s="1"/>
  <c r="B26" i="1"/>
  <c r="B48" i="1" s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C70" i="1" l="1"/>
  <c r="C71" i="1" s="1"/>
  <c r="K70" i="1"/>
  <c r="K71" i="1" s="1"/>
  <c r="K208" i="1" s="1"/>
  <c r="AA70" i="1"/>
  <c r="AI70" i="1"/>
  <c r="AQ70" i="1"/>
  <c r="AT70" i="1"/>
  <c r="E102" i="1"/>
  <c r="M102" i="1"/>
  <c r="M207" i="1" s="1"/>
  <c r="U102" i="1"/>
  <c r="U207" i="1" s="1"/>
  <c r="AK102" i="1"/>
  <c r="AK207" i="1" s="1"/>
  <c r="AS102" i="1"/>
  <c r="V207" i="1"/>
  <c r="H207" i="1"/>
  <c r="P207" i="1"/>
  <c r="P208" i="1" s="1"/>
  <c r="P245" i="1" s="1"/>
  <c r="X207" i="1"/>
  <c r="AF207" i="1"/>
  <c r="AN207" i="1"/>
  <c r="D102" i="1"/>
  <c r="D207" i="1" s="1"/>
  <c r="L102" i="1"/>
  <c r="T102" i="1"/>
  <c r="T207" i="1" s="1"/>
  <c r="AB102" i="1"/>
  <c r="AJ102" i="1"/>
  <c r="AJ207" i="1" s="1"/>
  <c r="AR102" i="1"/>
  <c r="I229" i="1"/>
  <c r="Q229" i="1"/>
  <c r="Y229" i="1"/>
  <c r="AG229" i="1"/>
  <c r="AO229" i="1"/>
  <c r="AU228" i="1"/>
  <c r="AU26" i="1"/>
  <c r="AU47" i="1"/>
  <c r="AC102" i="1"/>
  <c r="AC207" i="1" s="1"/>
  <c r="B102" i="1"/>
  <c r="B207" i="1" s="1"/>
  <c r="J102" i="1"/>
  <c r="R102" i="1"/>
  <c r="Z102" i="1"/>
  <c r="AH102" i="1"/>
  <c r="AP102" i="1"/>
  <c r="AP207" i="1" s="1"/>
  <c r="F102" i="1"/>
  <c r="F207" i="1" s="1"/>
  <c r="AD102" i="1"/>
  <c r="AD207" i="1" s="1"/>
  <c r="AL102" i="1"/>
  <c r="AL207" i="1" s="1"/>
  <c r="I71" i="1"/>
  <c r="I208" i="1" s="1"/>
  <c r="I245" i="1" s="1"/>
  <c r="Q71" i="1"/>
  <c r="Y71" i="1"/>
  <c r="AG71" i="1"/>
  <c r="AO71" i="1"/>
  <c r="F70" i="1"/>
  <c r="F71" i="1" s="1"/>
  <c r="F208" i="1" s="1"/>
  <c r="V70" i="1"/>
  <c r="V71" i="1" s="1"/>
  <c r="V208" i="1" s="1"/>
  <c r="V245" i="1" s="1"/>
  <c r="AD70" i="1"/>
  <c r="AD71" i="1" s="1"/>
  <c r="AD208" i="1" s="1"/>
  <c r="AD245" i="1" s="1"/>
  <c r="AL70" i="1"/>
  <c r="AL71" i="1" s="1"/>
  <c r="S70" i="1"/>
  <c r="S71" i="1" s="1"/>
  <c r="C102" i="1"/>
  <c r="C207" i="1" s="1"/>
  <c r="K102" i="1"/>
  <c r="K207" i="1" s="1"/>
  <c r="S102" i="1"/>
  <c r="S207" i="1" s="1"/>
  <c r="AA102" i="1"/>
  <c r="AA207" i="1" s="1"/>
  <c r="AI102" i="1"/>
  <c r="AI207" i="1" s="1"/>
  <c r="AQ102" i="1"/>
  <c r="AQ207" i="1" s="1"/>
  <c r="AQ208" i="1" s="1"/>
  <c r="AQ245" i="1" s="1"/>
  <c r="G70" i="1"/>
  <c r="G71" i="1" s="1"/>
  <c r="O70" i="1"/>
  <c r="O71" i="1" s="1"/>
  <c r="W70" i="1"/>
  <c r="W71" i="1" s="1"/>
  <c r="AE70" i="1"/>
  <c r="AE71" i="1" s="1"/>
  <c r="AM70" i="1"/>
  <c r="AM71" i="1" s="1"/>
  <c r="AM208" i="1" s="1"/>
  <c r="AM245" i="1" s="1"/>
  <c r="AU69" i="1"/>
  <c r="D70" i="1"/>
  <c r="L70" i="1"/>
  <c r="L71" i="1" s="1"/>
  <c r="T70" i="1"/>
  <c r="T71" i="1" s="1"/>
  <c r="AB70" i="1"/>
  <c r="AJ70" i="1"/>
  <c r="AR70" i="1"/>
  <c r="E207" i="1"/>
  <c r="AS207" i="1"/>
  <c r="AU84" i="1"/>
  <c r="AU206" i="1"/>
  <c r="AU61" i="1"/>
  <c r="AU70" i="1" s="1"/>
  <c r="H229" i="1"/>
  <c r="P229" i="1"/>
  <c r="X229" i="1"/>
  <c r="AF229" i="1"/>
  <c r="AN229" i="1"/>
  <c r="AU240" i="1"/>
  <c r="Z207" i="1"/>
  <c r="AA71" i="1"/>
  <c r="AI71" i="1"/>
  <c r="AQ71" i="1"/>
  <c r="AB207" i="1"/>
  <c r="R207" i="1"/>
  <c r="B70" i="1"/>
  <c r="B71" i="1" s="1"/>
  <c r="J70" i="1"/>
  <c r="R70" i="1"/>
  <c r="R71" i="1" s="1"/>
  <c r="R208" i="1" s="1"/>
  <c r="R245" i="1" s="1"/>
  <c r="Z70" i="1"/>
  <c r="Z71" i="1" s="1"/>
  <c r="AH70" i="1"/>
  <c r="AH71" i="1" s="1"/>
  <c r="AP70" i="1"/>
  <c r="AP71" i="1" s="1"/>
  <c r="D229" i="1"/>
  <c r="L229" i="1"/>
  <c r="T229" i="1"/>
  <c r="AB229" i="1"/>
  <c r="AJ229" i="1"/>
  <c r="AR229" i="1"/>
  <c r="B229" i="1"/>
  <c r="J229" i="1"/>
  <c r="R229" i="1"/>
  <c r="Z229" i="1"/>
  <c r="AH229" i="1"/>
  <c r="AP229" i="1"/>
  <c r="AR207" i="1"/>
  <c r="AH207" i="1"/>
  <c r="C229" i="1"/>
  <c r="K229" i="1"/>
  <c r="S229" i="1"/>
  <c r="AA229" i="1"/>
  <c r="AI229" i="1"/>
  <c r="AQ229" i="1"/>
  <c r="L207" i="1"/>
  <c r="J71" i="1"/>
  <c r="J207" i="1"/>
  <c r="AU222" i="1"/>
  <c r="N71" i="1"/>
  <c r="AT71" i="1"/>
  <c r="AT208" i="1" s="1"/>
  <c r="AT245" i="1" s="1"/>
  <c r="G207" i="1"/>
  <c r="O207" i="1"/>
  <c r="W207" i="1"/>
  <c r="AE207" i="1"/>
  <c r="AM207" i="1"/>
  <c r="AU101" i="1"/>
  <c r="AU102" i="1" s="1"/>
  <c r="AU110" i="1"/>
  <c r="AU111" i="1" s="1"/>
  <c r="F229" i="1"/>
  <c r="N229" i="1"/>
  <c r="V229" i="1"/>
  <c r="AD229" i="1"/>
  <c r="AL229" i="1"/>
  <c r="AT229" i="1"/>
  <c r="AU229" i="1"/>
  <c r="H71" i="1"/>
  <c r="H208" i="1" s="1"/>
  <c r="H245" i="1" s="1"/>
  <c r="AN71" i="1"/>
  <c r="I207" i="1"/>
  <c r="Q207" i="1"/>
  <c r="Q208" i="1" s="1"/>
  <c r="Q245" i="1" s="1"/>
  <c r="Y207" i="1"/>
  <c r="Y208" i="1" s="1"/>
  <c r="AG207" i="1"/>
  <c r="AO207" i="1"/>
  <c r="AG208" i="1"/>
  <c r="AI208" i="1"/>
  <c r="AI245" i="1" s="1"/>
  <c r="AJ71" i="1"/>
  <c r="AR71" i="1"/>
  <c r="AR208" i="1" s="1"/>
  <c r="X71" i="1"/>
  <c r="X208" i="1" s="1"/>
  <c r="X245" i="1" s="1"/>
  <c r="D71" i="1"/>
  <c r="D208" i="1" s="1"/>
  <c r="AB71" i="1"/>
  <c r="E71" i="1"/>
  <c r="M71" i="1"/>
  <c r="U71" i="1"/>
  <c r="AC71" i="1"/>
  <c r="AK71" i="1"/>
  <c r="AS71" i="1"/>
  <c r="N207" i="1"/>
  <c r="N208" i="1" s="1"/>
  <c r="N245" i="1" s="1"/>
  <c r="AT207" i="1"/>
  <c r="AF71" i="1"/>
  <c r="B208" i="1" l="1"/>
  <c r="B245" i="1" s="1"/>
  <c r="AS208" i="1"/>
  <c r="AS245" i="1" s="1"/>
  <c r="AR245" i="1"/>
  <c r="AC208" i="1"/>
  <c r="AC245" i="1" s="1"/>
  <c r="AJ208" i="1"/>
  <c r="AA208" i="1"/>
  <c r="AA245" i="1" s="1"/>
  <c r="AF208" i="1"/>
  <c r="AF245" i="1" s="1"/>
  <c r="AK208" i="1"/>
  <c r="AK245" i="1" s="1"/>
  <c r="AN208" i="1"/>
  <c r="AN245" i="1" s="1"/>
  <c r="U208" i="1"/>
  <c r="U245" i="1" s="1"/>
  <c r="E208" i="1"/>
  <c r="E245" i="1" s="1"/>
  <c r="W208" i="1"/>
  <c r="W245" i="1" s="1"/>
  <c r="J208" i="1"/>
  <c r="J245" i="1" s="1"/>
  <c r="Y245" i="1"/>
  <c r="O208" i="1"/>
  <c r="O245" i="1" s="1"/>
  <c r="S208" i="1"/>
  <c r="S245" i="1" s="1"/>
  <c r="AG245" i="1"/>
  <c r="AU207" i="1"/>
  <c r="Z208" i="1"/>
  <c r="Z245" i="1" s="1"/>
  <c r="AE208" i="1"/>
  <c r="AE245" i="1" s="1"/>
  <c r="AL208" i="1"/>
  <c r="AL245" i="1" s="1"/>
  <c r="AJ245" i="1"/>
  <c r="AO208" i="1"/>
  <c r="AO245" i="1" s="1"/>
  <c r="T208" i="1"/>
  <c r="T245" i="1" s="1"/>
  <c r="AU48" i="1"/>
  <c r="AU71" i="1" s="1"/>
  <c r="AU208" i="1" s="1"/>
  <c r="AU245" i="1" s="1"/>
  <c r="AP208" i="1"/>
  <c r="AP245" i="1" s="1"/>
  <c r="M208" i="1"/>
  <c r="M245" i="1" s="1"/>
  <c r="G208" i="1"/>
  <c r="G245" i="1" s="1"/>
  <c r="C208" i="1"/>
  <c r="C245" i="1" s="1"/>
  <c r="AH208" i="1"/>
  <c r="AH245" i="1" s="1"/>
  <c r="L208" i="1"/>
  <c r="L245" i="1" s="1"/>
  <c r="K245" i="1"/>
  <c r="D245" i="1"/>
  <c r="F245" i="1"/>
  <c r="AB208" i="1"/>
  <c r="AB245" i="1" s="1"/>
</calcChain>
</file>

<file path=xl/sharedStrings.xml><?xml version="1.0" encoding="utf-8"?>
<sst xmlns="http://schemas.openxmlformats.org/spreadsheetml/2006/main" count="337" uniqueCount="292">
  <si>
    <t>Firma (Consolidated)</t>
  </si>
  <si>
    <t>PG P+L Consolidated</t>
  </si>
  <si>
    <t>From Jan 2020 to Jun 2023</t>
  </si>
  <si>
    <t>Financial Row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</si>
  <si>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</si>
  <si>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</si>
  <si>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</si>
  <si>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</si>
  <si>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</si>
  <si>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</si>
  <si>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</si>
  <si>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</si>
  <si>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</si>
  <si>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</si>
  <si>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</si>
  <si>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</si>
  <si>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 xml:space="preserve">Adjust 2020 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</si>
  <si>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</si>
  <si>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</si>
  <si>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</si>
  <si>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</si>
  <si>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</si>
  <si>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</si>
  <si>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</si>
  <si>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</si>
  <si>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</si>
  <si>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</si>
  <si>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</si>
  <si>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</si>
  <si>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 xml:space="preserve">Adjust 2021 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</si>
  <si>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</si>
  <si>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</si>
  <si>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</si>
  <si>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</si>
  <si>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</si>
  <si>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</si>
  <si>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</si>
  <si>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</si>
  <si>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</si>
  <si>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</si>
  <si>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</si>
  <si>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</si>
  <si>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 xml:space="preserve">Adjust 2022 </t>
  </si>
  <si>
    <t>Jan 2023</t>
  </si>
  <si>
    <t>Feb 2023</t>
  </si>
  <si>
    <t>Mrz 2023</t>
  </si>
  <si>
    <t>Apr 2023</t>
  </si>
  <si>
    <t>Mai 2023</t>
  </si>
  <si>
    <t>Jun 2023</t>
  </si>
  <si>
    <t>Total</t>
  </si>
  <si>
    <t> </t>
  </si>
  <si>
    <t>Amount (Book 1)</t>
  </si>
  <si>
    <t>Net profit/loss for the year</t>
  </si>
  <si>
    <t>EBIT</t>
  </si>
  <si>
    <t>Gross profit</t>
  </si>
  <si>
    <t>Operating income</t>
  </si>
  <si>
    <t>1. Revenue</t>
  </si>
  <si>
    <t>473600 - Cash discounts granted, Standard VAT</t>
  </si>
  <si>
    <t>477200 - Discounts granted §13b - Third country</t>
  </si>
  <si>
    <t>477000 - Rebates granted</t>
  </si>
  <si>
    <t>477100 - Rebates granted §13b- EU-nation</t>
  </si>
  <si>
    <t>479000 - Rebates granted, Standard VAT</t>
  </si>
  <si>
    <t>433800 - Rev. from services tax. in a 3.country, not subject  dom tax</t>
  </si>
  <si>
    <t>440010 - Revenue Goods - standard VAT</t>
  </si>
  <si>
    <t>440000 - Revenue Services- standard VAT</t>
  </si>
  <si>
    <t>433600 - Revenue from oth serv. taxable in anoth EU cntry</t>
  </si>
  <si>
    <t>433700 - Revenue from services, recipient bears the tax liability</t>
  </si>
  <si>
    <t>400000 - Sales (free text)</t>
  </si>
  <si>
    <t>410000 - Tax-exempt sales, section 4 no. 8 ff. UStG</t>
  </si>
  <si>
    <t>474000 - Volume discounts granted</t>
  </si>
  <si>
    <t>476000 - Volume discounts granted, Standard VAT</t>
  </si>
  <si>
    <t>470000 - taxes directly linked to sales</t>
  </si>
  <si>
    <t>Total Revenue</t>
  </si>
  <si>
    <t>4. Other operating income</t>
  </si>
  <si>
    <t>494700 - Alloc. other non-cash benefits from provi. of car, Std VAT</t>
  </si>
  <si>
    <t>494000 - Allocated other non-cash benefits (excluding goods)</t>
  </si>
  <si>
    <t>494800 - Allocated other non-cash benefits, Standard VAT</t>
  </si>
  <si>
    <t>494900 - Allocated other non-cash benefits, no VAT</t>
  </si>
  <si>
    <t>490000 - Income from disposal of fixed assets</t>
  </si>
  <si>
    <t>492500 - Income from recoveries of receivables previously written off</t>
  </si>
  <si>
    <t>493200 - Income from remission of liabilities</t>
  </si>
  <si>
    <t>493000 - Income from reversal of provisions</t>
  </si>
  <si>
    <t>497000 - Insurance recoveries and compensation payments</t>
  </si>
  <si>
    <t>498000 - Investment grants (tax-exempt)</t>
  </si>
  <si>
    <t>494500 - Non-cash benefits, Standard VAT (goods)</t>
  </si>
  <si>
    <t>483900 - Other infrequent income</t>
  </si>
  <si>
    <t>483000 - Other operating income</t>
  </si>
  <si>
    <t>483500 - Other regular operating income</t>
  </si>
  <si>
    <t>484000 - Realized Foreign Exchange Gain</t>
  </si>
  <si>
    <t>483800 - Reimbursed input tax, other countries</t>
  </si>
  <si>
    <t>484500 - Revenue from sales of tangible fixed assets, Standard VAT</t>
  </si>
  <si>
    <t>454000 - Revenue infrastructure standard VAT</t>
  </si>
  <si>
    <t>484700 - Rounding Gain/Loss</t>
  </si>
  <si>
    <t>Total Other operating income</t>
  </si>
  <si>
    <t>Total Operating income</t>
  </si>
  <si>
    <t>5. Cost of materials</t>
  </si>
  <si>
    <t>a) Cost of raw materials, consum, supplies and purchased merch.</t>
  </si>
  <si>
    <t>573000 - Cash discounts received</t>
  </si>
  <si>
    <t>520000 - Cost of merchandise</t>
  </si>
  <si>
    <t>520200 - Cost of merchandise §13b supplier EU- Services</t>
  </si>
  <si>
    <t>540000 - Cost of merchandise, Standard input tax</t>
  </si>
  <si>
    <t>542500 - Intra-EU acquisitions, Standard input tax and 7% VAT</t>
  </si>
  <si>
    <t>581300 - Invoice PO price variance goods third country</t>
  </si>
  <si>
    <t>581000 - Invoice PO price variance red. rate</t>
  </si>
  <si>
    <t>580010 - Invoice PO price variance standard rate</t>
  </si>
  <si>
    <t>580020 - Invoice PO qty variance standard rate</t>
  </si>
  <si>
    <t>577000 - Rebates received</t>
  </si>
  <si>
    <t>Total Cost of raw materials, consum, supplies and purchased merch.</t>
  </si>
  <si>
    <t>b) Cost of purchased services</t>
  </si>
  <si>
    <t>592300 - Other serv. supplied by contr. anoth EU cntry, Std input tax</t>
  </si>
  <si>
    <t>590000 - Purchased services standard input tax</t>
  </si>
  <si>
    <t>590600 - Purchased services, Standard input tax</t>
  </si>
  <si>
    <t>590900 - Purchased services, no input tax</t>
  </si>
  <si>
    <t>592500 - Serv.s supplied by foreign contractor, Std input tax</t>
  </si>
  <si>
    <t>590100 - Third Party Services §13b EU-Country - Service</t>
  </si>
  <si>
    <t>Total Cost of purchased services</t>
  </si>
  <si>
    <t>Total Cost of materials</t>
  </si>
  <si>
    <t>Total Gross profit</t>
  </si>
  <si>
    <t>Operating expenses (except cost of materials)</t>
  </si>
  <si>
    <t>6. Personnel expenses</t>
  </si>
  <si>
    <t>b) Social security, post-employ, and other employee benft costs</t>
  </si>
  <si>
    <t>612000 - Contributions to occupational health and safety agency</t>
  </si>
  <si>
    <t>614000 - Cost of old age pensions</t>
  </si>
  <si>
    <t>615000 - Pension funds</t>
  </si>
  <si>
    <t>614900 - Post-employment benefit costs for shareholder managers</t>
  </si>
  <si>
    <t>610000 - Social security, post-employ. and oth employee benefit costs</t>
  </si>
  <si>
    <t>611000 - Statutory social security expenses</t>
  </si>
  <si>
    <t>612500 - Voluntary contributions to prof association</t>
  </si>
  <si>
    <t>613000 - Voluntary social benefits not subject to wage tax</t>
  </si>
  <si>
    <t>616500 - company medical officer, occupational safety</t>
  </si>
  <si>
    <t>Total Social security, post-employ, and other employee benft costs</t>
  </si>
  <si>
    <t>a) Wages and salaries</t>
  </si>
  <si>
    <t>607500 - Employment agency subsidies (credit balances)</t>
  </si>
  <si>
    <t>606900 - Flat-rate tax on other benefits (e.g. travel allowances)</t>
  </si>
  <si>
    <t>603900 - Flat-rate taxes for employees</t>
  </si>
  <si>
    <t>603600 - Flat-rate taxes for marginal parttime workers</t>
  </si>
  <si>
    <t>660700 - HCM Marketing</t>
  </si>
  <si>
    <t>607300 - Non-cash bene and services provided to shareholder managers</t>
  </si>
  <si>
    <t>607200 - Non-cash benefits and services provided to employees</t>
  </si>
  <si>
    <t>602300 - Profit-sharing salary management</t>
  </si>
  <si>
    <t>497200 - Refunds Act on Reimbursement of Employers' Expenses (AAG)</t>
  </si>
  <si>
    <t>607800 - Refunds Expenditure Compensation Act</t>
  </si>
  <si>
    <t>602000 - Salaries</t>
  </si>
  <si>
    <t>602400 - Salaries - target bonus</t>
  </si>
  <si>
    <t>600500 - Staff acquisition</t>
  </si>
  <si>
    <t>602200 - Vacation pay -provision-</t>
  </si>
  <si>
    <t>606000 - Voluntary social benefits subject to wage tax</t>
  </si>
  <si>
    <t>Total Wages and salaries</t>
  </si>
  <si>
    <t>Total Personnel expenses</t>
  </si>
  <si>
    <t>7. Depreciation and amortisation</t>
  </si>
  <si>
    <t>a) Amortisation of intangible assets and depr. of tangbl assets</t>
  </si>
  <si>
    <t>620000 - Amortisation of intangible fixed assets</t>
  </si>
  <si>
    <t>622000 - Depr. of tangible fixed assets (excl. Depr. of vehicles)</t>
  </si>
  <si>
    <t>622200 - Depreciation of motor vehicles</t>
  </si>
  <si>
    <t>620500 - Goodwill amortisation and write-downs</t>
  </si>
  <si>
    <t>626000 - Immediate write-off of low-value assets</t>
  </si>
  <si>
    <t>Total a) Amortisation of intangible assets and depr. of tangbl assets</t>
  </si>
  <si>
    <t>Total Depreciation and amortisation</t>
  </si>
  <si>
    <t>8. Other operating expenses</t>
  </si>
  <si>
    <t>660000 - Advertising costs</t>
  </si>
  <si>
    <t>668000 - B.o. travel expenses, accom. costs and incident. travel exp.</t>
  </si>
  <si>
    <t>656300 - Bike leasing</t>
  </si>
  <si>
    <t>683000 - Bookkeeping costs</t>
  </si>
  <si>
    <t>633000 - Cleaning</t>
  </si>
  <si>
    <t>660500 - Conception</t>
  </si>
  <si>
    <t>699500 - Contra account 6990-6998</t>
  </si>
  <si>
    <t>642000 - Contributions</t>
  </si>
  <si>
    <t>663000 - Corporate hospitality expenses</t>
  </si>
  <si>
    <t>688100 - Currency Exchange Losses</t>
  </si>
  <si>
    <t>688000 - Currency translation losses</t>
  </si>
  <si>
    <t>644000 - Disabled persons equalisation levy</t>
  </si>
  <si>
    <t>666800 - Employee mileage reimbursement</t>
  </si>
  <si>
    <t>666500 - Employee travel expens, add. sub costs,Income tax liability</t>
  </si>
  <si>
    <t>665000 - Employee travel expenses</t>
  </si>
  <si>
    <t>665100 - Employee travel expenses 7% input tax</t>
  </si>
  <si>
    <t>666000 - Employee travel expenses, accommodation costs</t>
  </si>
  <si>
    <t>666100 - Employee travel expenses, accommodation costs 7% input tax</t>
  </si>
  <si>
    <t>666200 - Employee travel expenses, accommodation costs std input tax</t>
  </si>
  <si>
    <t>666400 - Employee travel expenses, additional subsistence costs</t>
  </si>
  <si>
    <t>665200 - Employee travel expenses, standard tax</t>
  </si>
  <si>
    <t>664000 - Entertainment expenses</t>
  </si>
  <si>
    <t>683700 - Expenses for temp. transfer of rights(licences, concessions)</t>
  </si>
  <si>
    <t>681000 - Fax and Internet costs</t>
  </si>
  <si>
    <t>680100 - Further training costs §13b UStG Supplier 3. country service</t>
  </si>
  <si>
    <t>632500 - Gas, electricity, water</t>
  </si>
  <si>
    <t>662500 - Gifts used exclusively for operating purposes</t>
  </si>
  <si>
    <t>661000 - Gifts, deductible, without s. 37b EStG</t>
  </si>
  <si>
    <t>662000 - Gifts, non-deductible, without s. 37b EStG</t>
  </si>
  <si>
    <t>649500 - Hardware and software maintenance expenses</t>
  </si>
  <si>
    <t>685500 - Incidental monetary transaction costs</t>
  </si>
  <si>
    <t>640000 - Insurance premiums</t>
  </si>
  <si>
    <t>683600 - Leases (movable assets)</t>
  </si>
  <si>
    <t>682500 - Legal and consulting costs</t>
  </si>
  <si>
    <t>682800 - Legal and consulting fees §13b UStG Supplier EU service</t>
  </si>
  <si>
    <t>690000 - Losses on disposal of fixed assets</t>
  </si>
  <si>
    <t>633500 - Maintenance of operating premises</t>
  </si>
  <si>
    <t>660400 - Marketing material</t>
  </si>
  <si>
    <t>682000 - Newspapers, books</t>
  </si>
  <si>
    <t>639200 - Non-cash benefits, donations for charitable purposes</t>
  </si>
  <si>
    <t>639300 - Non-cash benefits, donations for church, non-profit purposes</t>
  </si>
  <si>
    <t>639100 - Non-cash benefits, donations for scient. and cult. purposes</t>
  </si>
  <si>
    <t>664400 - Non-deductible entertainment expenses</t>
  </si>
  <si>
    <t>630500 - Occupancy costs</t>
  </si>
  <si>
    <t>681500 - Office supplies</t>
  </si>
  <si>
    <t>656000 - Operating leases (motor vehicles)</t>
  </si>
  <si>
    <t>684000 - Operating leases (mov. assets)</t>
  </si>
  <si>
    <t>696900 - Other infrequent expenses</t>
  </si>
  <si>
    <t>634500 - Other occupancy costs</t>
  </si>
  <si>
    <t>685000 - Other operating supplies</t>
  </si>
  <si>
    <t>649000 - Other repairs and maintenance</t>
  </si>
  <si>
    <t>682700 - Period-end closing and audit costs</t>
  </si>
  <si>
    <t>680000 - Postage</t>
  </si>
  <si>
    <t>696000 - Prior-period expenses if not extraordinary</t>
  </si>
  <si>
    <t>630300 - Purchased services/third-party services</t>
  </si>
  <si>
    <t>631000 - Rent (immovable property)</t>
  </si>
  <si>
    <t>683500 - Rent of fixtures and fittings (movable assets)</t>
  </si>
  <si>
    <t>646000 - Repairs and maintenance of technical equipment and machinery</t>
  </si>
  <si>
    <t>689200 - Revenue from sales of long-term financial assets</t>
  </si>
  <si>
    <t>699400 - Selling expenses</t>
  </si>
  <si>
    <t>664300 - Small gifts</t>
  </si>
  <si>
    <t>660600 - Sponsoring</t>
  </si>
  <si>
    <t>663500 - Staff acquisition -old</t>
  </si>
  <si>
    <t>643600 - Tax-deductible late filing penalties and administrativ fines</t>
  </si>
  <si>
    <t>680500 - Telephone</t>
  </si>
  <si>
    <t>681400 - Third country service</t>
  </si>
  <si>
    <t>678000 - Third-party services (distribution)</t>
  </si>
  <si>
    <t>660100 - Trade fare costs</t>
  </si>
  <si>
    <t>682100 - Training costs</t>
  </si>
  <si>
    <t>692300 - Transfer to specific valuation allowance on receivables</t>
  </si>
  <si>
    <t>692000 - Transfers to global valuation allowance on receivables</t>
  </si>
  <si>
    <t>669900 - Travel costs liability adjustment account</t>
  </si>
  <si>
    <t>650035 - Vehicle Expenses KA-FS 5712/2 BMW 740d xDrive Limousine</t>
  </si>
  <si>
    <t>650033 - Vehicle expenses  KA-MW 8801 Mazda CX30</t>
  </si>
  <si>
    <t>650031 - Vehicle expenses KA-AC 3211 Skoda Kodiaq 2.0 TDI</t>
  </si>
  <si>
    <t>650018 - Vehicle expenses KA-B 9883 Skoda Octavia</t>
  </si>
  <si>
    <t>650036 - Vehicle expenses KA-B 9884 Skodia Fabia</t>
  </si>
  <si>
    <t>650013 - Vehicle expenses KA-DK 1015 VW T-Roc</t>
  </si>
  <si>
    <t>650021 - Vehicle expenses KA-EW 1155 Skoda KODIAQ Drive 2.0 TDI</t>
  </si>
  <si>
    <t>650027 - Vehicle expenses KA-FS 5712 BMW 740d Drive Limousine</t>
  </si>
  <si>
    <t>650017 - Vehicle expenses KA-JM 1075 Skoda Superb</t>
  </si>
  <si>
    <t>650026 - Vehicle expenses KA-JR 1012 Audi Q5 2.0 Quattro TDI</t>
  </si>
  <si>
    <t>650037 - Vehicle expenses KA-JR 1240 Audi Q3 Sportsback 45 TFSI</t>
  </si>
  <si>
    <t>650014 - Vehicle expenses KA-KS 1186 Mercedes GLA</t>
  </si>
  <si>
    <t>650012 - Vehicle expenses KA-M 3390 Tesla</t>
  </si>
  <si>
    <t>650042 - Vehicle expenses KA-MA 8090 Skoda Octavia Combi 2.0 TDI</t>
  </si>
  <si>
    <t>650019 - Vehicle expenses KA-MA 9080 Skoda Superb Combi 1.8 TSI</t>
  </si>
  <si>
    <t>650025 - Vehicle expenses KA-MP 1018 KIA Sportage</t>
  </si>
  <si>
    <t>650034 - Vehicle expenses KA-MP 1019 KIA Xceed 1.4 T-GDI</t>
  </si>
  <si>
    <t>650016 - Vehicle expenses KA-MW 8800 Toyota Verso</t>
  </si>
  <si>
    <t>650011 - Vehicle expenses KA-S 2730 Skoda Octavia</t>
  </si>
  <si>
    <t>691000 - Write-downs of current assets ex inventories and securities</t>
  </si>
  <si>
    <t>681600 - data processing demand</t>
  </si>
  <si>
    <t>Total Other operating expenses</t>
  </si>
  <si>
    <t>Total Operating expenses (except cost of materials)</t>
  </si>
  <si>
    <t>Total EBIT</t>
  </si>
  <si>
    <t>Financial result</t>
  </si>
  <si>
    <t>9. Income from long-term equity investments</t>
  </si>
  <si>
    <t>700100 - Income from long-term equity investments</t>
  </si>
  <si>
    <t>Total Income from long-term equity investments</t>
  </si>
  <si>
    <t>10. Income from other securities and long-term loans</t>
  </si>
  <si>
    <t>701100 - Income from long-term loans</t>
  </si>
  <si>
    <t>701000 - Income from other securities and long-term loans</t>
  </si>
  <si>
    <t>Total Income from other securities and long-term loans</t>
  </si>
  <si>
    <t>11. Other interest and similar income</t>
  </si>
  <si>
    <t>730500 - Interest expenses, section 233a AO, operating taxes</t>
  </si>
  <si>
    <t>730800 - Interest expenses, section 233a AO, section 4(5b) EStG</t>
  </si>
  <si>
    <t>710000 - Other interest and similar income</t>
  </si>
  <si>
    <t>711900 - Other interest income from affiliated companies</t>
  </si>
  <si>
    <t>Total Other interest and similar income</t>
  </si>
  <si>
    <t>13. Interest and similar expenses</t>
  </si>
  <si>
    <t>740200 - Extraordinary income standard</t>
  </si>
  <si>
    <t>736000 - Interest cost included in additions to pension provisions</t>
  </si>
  <si>
    <t>731100 - Interest expense §§ 234 to 237 AO deductible</t>
  </si>
  <si>
    <t>732900 - Interest expenses on long-term liabilities to affiliated co.</t>
  </si>
  <si>
    <t>Total Interest and similar expenses</t>
  </si>
  <si>
    <t>Total Financial result</t>
  </si>
  <si>
    <t>14. Taxes on income</t>
  </si>
  <si>
    <t>763300 - Allow. solidarity surcharge on w/h tax invest. income, 25%</t>
  </si>
  <si>
    <t>764100 - Backpayments and refunds of trade tax for prior years</t>
  </si>
  <si>
    <t>764000 - Backpayments of trade tax for prior years</t>
  </si>
  <si>
    <t>760000 - Corporate income tax</t>
  </si>
  <si>
    <t>760300 - Corporate income tax for prior years</t>
  </si>
  <si>
    <t>763900 - Deductible foreign withholding tax</t>
  </si>
  <si>
    <t>760800 - Solidarity surcharge</t>
  </si>
  <si>
    <t>761000 - Trade tax</t>
  </si>
  <si>
    <t>763000 - Withholding tax on investment income, 25%</t>
  </si>
  <si>
    <t>Total Taxes on income</t>
  </si>
  <si>
    <t>16. Other taxes</t>
  </si>
  <si>
    <t>769000 - Backpayments of other taxes for prior years</t>
  </si>
  <si>
    <t>768500 - Motor vehicle tax</t>
  </si>
  <si>
    <t>Total Other taxes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</si>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</sst>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3"/>
    </xf>
    <xf numFmtId="0" fontId="21" fillId="0" borderId="10" xfId="0" applyFont="1" applyBorder="1" applyAlignment="1">
      <alignment horizontal="left" indent="2"/>
    </xf>
    <xf numFmtId="0" fontId="22" fillId="0" borderId="0" xfId="0" applyFont="1" applyBorder="1" applyAlignment="1">
      <alignment horizontal="left" indent="4"/>
    </xf>
    <xf numFmtId="0" fontId="21" fillId="0" borderId="10" xfId="0" applyFont="1" applyBorder="1" applyAlignment="1">
      <alignment horizontal="left" indent="1"/>
    </xf>
    <xf numFmtId="0" fontId="22" fillId="0" borderId="0" xfId="0" applyFont="1" applyBorder="1" applyAlignment="1">
      <alignment horizontal="left" indent="3"/>
    </xf>
    <xf numFmtId="0" fontId="22" fillId="0" borderId="0" xfId="0" applyFont="1" applyBorder="1" applyAlignment="1">
      <alignment horizontal="left" indent="2"/>
    </xf>
    <xf numFmtId="0" fontId="21" fillId="0" borderId="10" xfId="0" applyFont="1" applyBorder="1" applyAlignment="1">
      <alignment horizontal="left" vertical="center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45"/>
  <sheetViews>
    <sheetView tabSelected="1" workbookViewId="0">
      <pane ySplit="5" topLeftCell="A6" activePane="bottomLeft" state="frozen"/>
      <selection pane="bottomLeft" activeCell="B23" sqref="B23"/>
    </sheetView>
  </sheetViews>
  <sheetFormatPr baseColWidth="10" defaultRowHeight="11.25" x14ac:dyDescent="0.2"/>
  <cols>
    <col min="1" max="1" width="72.5" bestFit="1" customWidth="1"/>
    <col min="2" max="47" width="15.83203125" bestFit="1" customWidth="1"/>
  </cols>
  <sheetData>
    <row r="1" spans="1:47" s="21" customFormat="1" ht="15.75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</row>
    <row r="2" spans="1:47" s="21" customFormat="1" ht="18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</row>
    <row r="3" spans="1:47" s="21" customFormat="1" ht="18" x14ac:dyDescent="0.25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</row>
    <row r="4" spans="1:47" x14ac:dyDescent="0.2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</row>
    <row r="5" spans="1:47" x14ac:dyDescent="0.2">
      <c r="A5" s="1" t="s">
        <v>50</v>
      </c>
      <c r="B5" s="2" t="s">
        <v>51</v>
      </c>
      <c r="C5" s="2" t="s">
        <v>51</v>
      </c>
      <c r="D5" s="2" t="s">
        <v>51</v>
      </c>
      <c r="E5" s="2" t="s">
        <v>51</v>
      </c>
      <c r="F5" s="2" t="s">
        <v>51</v>
      </c>
      <c r="G5" s="2" t="s">
        <v>51</v>
      </c>
      <c r="H5" s="2" t="s">
        <v>51</v>
      </c>
      <c r="I5" s="2" t="s">
        <v>51</v>
      </c>
      <c r="J5" s="2" t="s">
        <v>51</v>
      </c>
      <c r="K5" s="2" t="s">
        <v>51</v>
      </c>
      <c r="L5" s="2" t="s">
        <v>51</v>
      </c>
      <c r="M5" s="2" t="s">
        <v>51</v>
      </c>
      <c r="N5" s="2" t="s">
        <v>51</v>
      </c>
      <c r="O5" s="2" t="s">
        <v>51</v>
      </c>
      <c r="P5" s="2" t="s">
        <v>51</v>
      </c>
      <c r="Q5" s="2" t="s">
        <v>51</v>
      </c>
      <c r="R5" s="2" t="s">
        <v>51</v>
      </c>
      <c r="S5" s="2" t="s">
        <v>51</v>
      </c>
      <c r="T5" s="2" t="s">
        <v>51</v>
      </c>
      <c r="U5" s="2" t="s">
        <v>51</v>
      </c>
      <c r="V5" s="2" t="s">
        <v>51</v>
      </c>
      <c r="W5" s="2" t="s">
        <v>51</v>
      </c>
      <c r="X5" s="2" t="s">
        <v>51</v>
      </c>
      <c r="Y5" s="2" t="s">
        <v>51</v>
      </c>
      <c r="Z5" s="2" t="s">
        <v>51</v>
      </c>
      <c r="AA5" s="2" t="s">
        <v>51</v>
      </c>
      <c r="AB5" s="2" t="s">
        <v>51</v>
      </c>
      <c r="AC5" s="2" t="s">
        <v>51</v>
      </c>
      <c r="AD5" s="2" t="s">
        <v>51</v>
      </c>
      <c r="AE5" s="2" t="s">
        <v>51</v>
      </c>
      <c r="AF5" s="2" t="s">
        <v>51</v>
      </c>
      <c r="AG5" s="2" t="s">
        <v>51</v>
      </c>
      <c r="AH5" s="2" t="s">
        <v>51</v>
      </c>
      <c r="AI5" s="2" t="s">
        <v>51</v>
      </c>
      <c r="AJ5" s="2" t="s">
        <v>51</v>
      </c>
      <c r="AK5" s="2" t="s">
        <v>51</v>
      </c>
      <c r="AL5" s="2" t="s">
        <v>51</v>
      </c>
      <c r="AM5" s="2" t="s">
        <v>51</v>
      </c>
      <c r="AN5" s="2" t="s">
        <v>51</v>
      </c>
      <c r="AO5" s="2" t="s">
        <v>51</v>
      </c>
      <c r="AP5" s="2" t="s">
        <v>51</v>
      </c>
      <c r="AQ5" s="2" t="s">
        <v>51</v>
      </c>
      <c r="AR5" s="2" t="s">
        <v>51</v>
      </c>
      <c r="AS5" s="2" t="s">
        <v>51</v>
      </c>
      <c r="AT5" s="2" t="s">
        <v>51</v>
      </c>
      <c r="AU5" s="2" t="s">
        <v>51</v>
      </c>
    </row>
    <row r="6" spans="1:47" x14ac:dyDescent="0.2">
      <c r="A6" s="3" t="s">
        <v>52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x14ac:dyDescent="0.2">
      <c r="A7" s="5" t="s">
        <v>53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</row>
    <row r="8" spans="1:47" x14ac:dyDescent="0.2">
      <c r="A8" s="6" t="s">
        <v>54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</row>
    <row r="9" spans="1:47" x14ac:dyDescent="0.2">
      <c r="A9" s="7" t="s">
        <v>55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</row>
    <row r="10" spans="1:47" x14ac:dyDescent="0.2">
      <c r="A10" s="8" t="s">
        <v>56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spans="1:47" x14ac:dyDescent="0.2">
      <c r="A11" s="9" t="s">
        <v>57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-3750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-406.41</v>
      </c>
      <c r="AS11" s="10">
        <v>-915.43</v>
      </c>
      <c r="AT11" s="10">
        <v>-2300.13</v>
      </c>
      <c r="AU11" s="10">
        <f t="shared" ref="AU11:AU25" si="0">SUM(B11:AT11)</f>
        <v>-7371.97</v>
      </c>
    </row>
    <row r="12" spans="1:47" x14ac:dyDescent="0.2">
      <c r="A12" s="9" t="s">
        <v>58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-18989.2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-11001.83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-10516.25</v>
      </c>
      <c r="AT12" s="10">
        <v>0</v>
      </c>
      <c r="AU12" s="10">
        <f t="shared" si="0"/>
        <v>-40507.279999999999</v>
      </c>
    </row>
    <row r="13" spans="1:47" x14ac:dyDescent="0.2">
      <c r="A13" s="9" t="s">
        <v>59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-2500</v>
      </c>
      <c r="I13" s="10">
        <v>0</v>
      </c>
      <c r="J13" s="10">
        <v>0</v>
      </c>
      <c r="K13" s="10">
        <v>0</v>
      </c>
      <c r="L13" s="10">
        <v>0</v>
      </c>
      <c r="M13" s="10">
        <v>-178.33</v>
      </c>
      <c r="N13" s="10">
        <v>178.33</v>
      </c>
      <c r="O13" s="10">
        <v>-1976.13</v>
      </c>
      <c r="P13" s="10">
        <v>-1976.13</v>
      </c>
      <c r="Q13" s="10">
        <v>3952.26</v>
      </c>
      <c r="R13" s="10">
        <v>0</v>
      </c>
      <c r="S13" s="10">
        <v>9494.6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-3564</v>
      </c>
      <c r="AG13" s="10">
        <v>0</v>
      </c>
      <c r="AH13" s="10">
        <v>-4431.33</v>
      </c>
      <c r="AI13" s="10">
        <v>-4751.33</v>
      </c>
      <c r="AJ13" s="10">
        <v>-4751.33</v>
      </c>
      <c r="AK13" s="10">
        <v>-5149.66</v>
      </c>
      <c r="AL13" s="10">
        <v>-5674.66</v>
      </c>
      <c r="AM13" s="10">
        <v>28322.31</v>
      </c>
      <c r="AN13" s="10">
        <v>0</v>
      </c>
      <c r="AO13" s="10">
        <v>0</v>
      </c>
      <c r="AP13" s="10">
        <v>0</v>
      </c>
      <c r="AQ13" s="10">
        <v>0</v>
      </c>
      <c r="AR13" s="10">
        <v>-5784.94</v>
      </c>
      <c r="AS13" s="10">
        <v>5784.94</v>
      </c>
      <c r="AT13" s="10">
        <v>12888.55</v>
      </c>
      <c r="AU13" s="10">
        <f t="shared" si="0"/>
        <v>19883.150000000001</v>
      </c>
    </row>
    <row r="14" spans="1:47" x14ac:dyDescent="0.2">
      <c r="A14" s="9" t="s">
        <v>60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-2342.4</v>
      </c>
      <c r="S14" s="10">
        <v>-38.4</v>
      </c>
      <c r="T14" s="10">
        <v>-38.4</v>
      </c>
      <c r="U14" s="10">
        <v>-38.4</v>
      </c>
      <c r="V14" s="10">
        <v>-38.4</v>
      </c>
      <c r="W14" s="10">
        <v>-38.4</v>
      </c>
      <c r="X14" s="10">
        <v>-38.4</v>
      </c>
      <c r="Y14" s="10">
        <v>-38.4</v>
      </c>
      <c r="Z14" s="10">
        <v>-38.4</v>
      </c>
      <c r="AA14" s="10">
        <v>0</v>
      </c>
      <c r="AB14" s="10">
        <v>-38.4</v>
      </c>
      <c r="AC14" s="10">
        <v>-38.4</v>
      </c>
      <c r="AD14" s="10">
        <v>-38.4</v>
      </c>
      <c r="AE14" s="10">
        <v>-39.549999999999997</v>
      </c>
      <c r="AF14" s="10">
        <v>-39.549999999999997</v>
      </c>
      <c r="AG14" s="10">
        <v>-39.549999999999997</v>
      </c>
      <c r="AH14" s="10">
        <v>0</v>
      </c>
      <c r="AI14" s="10">
        <v>0</v>
      </c>
      <c r="AJ14" s="10">
        <v>0</v>
      </c>
      <c r="AK14" s="10">
        <v>-6000</v>
      </c>
      <c r="AL14" s="10">
        <v>0</v>
      </c>
      <c r="AM14" s="10">
        <v>-237.3</v>
      </c>
      <c r="AN14" s="10">
        <v>0</v>
      </c>
      <c r="AO14" s="10">
        <v>-39.549999999999997</v>
      </c>
      <c r="AP14" s="10">
        <v>-39.549999999999997</v>
      </c>
      <c r="AQ14" s="10">
        <v>-39.57</v>
      </c>
      <c r="AR14" s="10">
        <v>-40.74</v>
      </c>
      <c r="AS14" s="10">
        <v>-40.74</v>
      </c>
      <c r="AT14" s="10">
        <v>-40.74</v>
      </c>
      <c r="AU14" s="10">
        <f t="shared" si="0"/>
        <v>-9361.6399999999976</v>
      </c>
    </row>
    <row r="15" spans="1:47" x14ac:dyDescent="0.2">
      <c r="A15" s="9" t="s">
        <v>61</v>
      </c>
      <c r="B15" s="10">
        <v>-21573.5</v>
      </c>
      <c r="C15" s="10">
        <v>-8760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-7270.04</v>
      </c>
      <c r="R15" s="10">
        <v>-3317.78</v>
      </c>
      <c r="S15" s="10">
        <v>-3317.78</v>
      </c>
      <c r="T15" s="10">
        <v>-3317.78</v>
      </c>
      <c r="U15" s="10">
        <v>-3317.78</v>
      </c>
      <c r="V15" s="10">
        <v>-3317.78</v>
      </c>
      <c r="W15" s="10">
        <v>-3317.78</v>
      </c>
      <c r="X15" s="10">
        <v>-3317.78</v>
      </c>
      <c r="Y15" s="10">
        <v>-3317.82</v>
      </c>
      <c r="Z15" s="10">
        <v>-3139.35</v>
      </c>
      <c r="AA15" s="10">
        <v>0</v>
      </c>
      <c r="AB15" s="10">
        <v>-3139.45</v>
      </c>
      <c r="AC15" s="10">
        <v>-3139.65</v>
      </c>
      <c r="AD15" s="10">
        <v>-2753.91</v>
      </c>
      <c r="AE15" s="10">
        <v>-3013.92</v>
      </c>
      <c r="AF15" s="10">
        <v>0</v>
      </c>
      <c r="AG15" s="10">
        <v>-3957.32</v>
      </c>
      <c r="AH15" s="10">
        <v>0</v>
      </c>
      <c r="AI15" s="10">
        <v>0</v>
      </c>
      <c r="AJ15" s="10">
        <v>-560</v>
      </c>
      <c r="AK15" s="10">
        <v>0</v>
      </c>
      <c r="AL15" s="10">
        <v>0</v>
      </c>
      <c r="AM15" s="10">
        <v>-33759.57</v>
      </c>
      <c r="AN15" s="10">
        <v>0</v>
      </c>
      <c r="AO15" s="10">
        <v>-5635.11</v>
      </c>
      <c r="AP15" s="10">
        <v>-6047.84</v>
      </c>
      <c r="AQ15" s="10">
        <v>-5671.53</v>
      </c>
      <c r="AR15" s="10">
        <v>0</v>
      </c>
      <c r="AS15" s="10">
        <v>-20220.38</v>
      </c>
      <c r="AT15" s="10">
        <v>-31563.9</v>
      </c>
      <c r="AU15" s="10">
        <f t="shared" si="0"/>
        <v>-186747.75</v>
      </c>
    </row>
    <row r="16" spans="1:47" x14ac:dyDescent="0.2">
      <c r="A16" s="9" t="s">
        <v>62</v>
      </c>
      <c r="B16" s="10">
        <v>21571.97105</v>
      </c>
      <c r="C16" s="10">
        <v>20910.145256</v>
      </c>
      <c r="D16" s="10">
        <v>6345</v>
      </c>
      <c r="E16" s="10">
        <v>12270</v>
      </c>
      <c r="F16" s="10">
        <v>4320</v>
      </c>
      <c r="G16" s="10">
        <v>4320</v>
      </c>
      <c r="H16" s="10">
        <v>13837.5</v>
      </c>
      <c r="I16" s="10">
        <v>0</v>
      </c>
      <c r="J16" s="10">
        <v>58365</v>
      </c>
      <c r="K16" s="10">
        <v>48630</v>
      </c>
      <c r="L16" s="10">
        <v>67027.5</v>
      </c>
      <c r="M16" s="10">
        <v>54555</v>
      </c>
      <c r="N16" s="10">
        <v>0</v>
      </c>
      <c r="O16" s="10">
        <v>95465.84</v>
      </c>
      <c r="P16" s="10">
        <v>56835</v>
      </c>
      <c r="Q16" s="10">
        <v>376203.38</v>
      </c>
      <c r="R16" s="10">
        <v>298428.17176</v>
      </c>
      <c r="S16" s="10">
        <v>86737.755000000005</v>
      </c>
      <c r="T16" s="10">
        <v>71218.892000000007</v>
      </c>
      <c r="U16" s="10">
        <v>75905.123000000007</v>
      </c>
      <c r="V16" s="10">
        <v>30905.63</v>
      </c>
      <c r="W16" s="10">
        <v>81236.209000000003</v>
      </c>
      <c r="X16" s="10">
        <v>60097.197440000004</v>
      </c>
      <c r="Y16" s="10">
        <v>19740.122889999999</v>
      </c>
      <c r="Z16" s="10">
        <v>400479.88513920002</v>
      </c>
      <c r="AA16" s="10">
        <v>0</v>
      </c>
      <c r="AB16" s="10">
        <v>52206.37</v>
      </c>
      <c r="AC16" s="10">
        <v>86088.02</v>
      </c>
      <c r="AD16" s="10">
        <v>-76039.497604000004</v>
      </c>
      <c r="AE16" s="10">
        <v>-135722.20655800001</v>
      </c>
      <c r="AF16" s="10">
        <v>-81554.934127999994</v>
      </c>
      <c r="AG16" s="10">
        <v>-113731.727</v>
      </c>
      <c r="AH16" s="10">
        <v>24463.97</v>
      </c>
      <c r="AI16" s="10">
        <v>-176694.608828</v>
      </c>
      <c r="AJ16" s="10">
        <v>-141947.17674</v>
      </c>
      <c r="AK16" s="10">
        <v>-196140.48644000001</v>
      </c>
      <c r="AL16" s="10">
        <v>-118241.118262</v>
      </c>
      <c r="AM16" s="10">
        <v>2204882.4946699999</v>
      </c>
      <c r="AN16" s="10">
        <v>0</v>
      </c>
      <c r="AO16" s="10">
        <v>75445.753637999995</v>
      </c>
      <c r="AP16" s="10">
        <v>2579.726588</v>
      </c>
      <c r="AQ16" s="10">
        <v>-172615.58496199999</v>
      </c>
      <c r="AR16" s="10">
        <v>-78113.485656999997</v>
      </c>
      <c r="AS16" s="10">
        <v>-20461.628939999999</v>
      </c>
      <c r="AT16" s="10">
        <v>126685.21</v>
      </c>
      <c r="AU16" s="10">
        <f t="shared" si="0"/>
        <v>3226494.4123121998</v>
      </c>
    </row>
    <row r="17" spans="1:47" x14ac:dyDescent="0.2">
      <c r="A17" s="9" t="s">
        <v>63</v>
      </c>
      <c r="B17" s="10">
        <v>50072.651250000003</v>
      </c>
      <c r="C17" s="10">
        <v>37853.812852000003</v>
      </c>
      <c r="D17" s="10">
        <v>27830.244922999998</v>
      </c>
      <c r="E17" s="10">
        <v>13736.75</v>
      </c>
      <c r="F17" s="10">
        <v>14611.471874999999</v>
      </c>
      <c r="G17" s="10">
        <v>11620.536249999999</v>
      </c>
      <c r="H17" s="10">
        <v>19614.939999999999</v>
      </c>
      <c r="I17" s="10">
        <v>9758.0249999999996</v>
      </c>
      <c r="J17" s="10">
        <v>4329.78</v>
      </c>
      <c r="K17" s="10">
        <v>3334.4955</v>
      </c>
      <c r="L17" s="10">
        <v>3253.38</v>
      </c>
      <c r="M17" s="10">
        <v>9342.8151249999992</v>
      </c>
      <c r="N17" s="10">
        <v>0</v>
      </c>
      <c r="O17" s="10">
        <v>86630.514431999996</v>
      </c>
      <c r="P17" s="10">
        <v>120603.90492</v>
      </c>
      <c r="Q17" s="10">
        <v>116867.18326400001</v>
      </c>
      <c r="R17" s="10">
        <v>83260.577946000005</v>
      </c>
      <c r="S17" s="10">
        <v>73886.033205</v>
      </c>
      <c r="T17" s="10">
        <v>149994.46932</v>
      </c>
      <c r="U17" s="10">
        <v>151577.68844699999</v>
      </c>
      <c r="V17" s="10">
        <v>105239.92612</v>
      </c>
      <c r="W17" s="10">
        <v>150383.164624</v>
      </c>
      <c r="X17" s="10">
        <v>120349.7904697</v>
      </c>
      <c r="Y17" s="10">
        <v>133782.65212752001</v>
      </c>
      <c r="Z17" s="10">
        <v>101072.55044617251</v>
      </c>
      <c r="AA17" s="10">
        <v>0</v>
      </c>
      <c r="AB17" s="10">
        <v>83932.763352159993</v>
      </c>
      <c r="AC17" s="10">
        <v>118930.90472325</v>
      </c>
      <c r="AD17" s="10">
        <v>197811.945205</v>
      </c>
      <c r="AE17" s="10">
        <v>131913.67318417999</v>
      </c>
      <c r="AF17" s="10">
        <v>152528.59203912001</v>
      </c>
      <c r="AG17" s="10">
        <v>139685.5846412</v>
      </c>
      <c r="AH17" s="10">
        <v>191127.15017502999</v>
      </c>
      <c r="AI17" s="10">
        <v>238809.46243104001</v>
      </c>
      <c r="AJ17" s="10">
        <v>200246.35065876</v>
      </c>
      <c r="AK17" s="10">
        <v>144293.53720600999</v>
      </c>
      <c r="AL17" s="10">
        <v>188276.73019989999</v>
      </c>
      <c r="AM17" s="10">
        <v>131496.43764026</v>
      </c>
      <c r="AN17" s="10">
        <v>0</v>
      </c>
      <c r="AO17" s="10">
        <v>208679.0095593</v>
      </c>
      <c r="AP17" s="10">
        <v>151585.31169408001</v>
      </c>
      <c r="AQ17" s="10">
        <v>163376.47658508</v>
      </c>
      <c r="AR17" s="10">
        <v>136952.62541154001</v>
      </c>
      <c r="AS17" s="10">
        <v>169216.31055147</v>
      </c>
      <c r="AT17" s="10">
        <v>204900.42326208</v>
      </c>
      <c r="AU17" s="10">
        <f t="shared" si="0"/>
        <v>4552770.6466158517</v>
      </c>
    </row>
    <row r="18" spans="1:47" x14ac:dyDescent="0.2">
      <c r="A18" s="9" t="s">
        <v>64</v>
      </c>
      <c r="B18" s="10">
        <v>880442.49824999995</v>
      </c>
      <c r="C18" s="10">
        <v>874123.59401999996</v>
      </c>
      <c r="D18" s="10">
        <v>1047412.19218</v>
      </c>
      <c r="E18" s="10">
        <v>709457.87</v>
      </c>
      <c r="F18" s="10">
        <v>813761.82616000006</v>
      </c>
      <c r="G18" s="10">
        <v>891293.7696</v>
      </c>
      <c r="H18" s="10">
        <v>1079361.0120900001</v>
      </c>
      <c r="I18" s="10">
        <v>1250855.6635</v>
      </c>
      <c r="J18" s="10">
        <v>837185.87386000005</v>
      </c>
      <c r="K18" s="10">
        <v>857427.26691500004</v>
      </c>
      <c r="L18" s="10">
        <v>762665.51471999998</v>
      </c>
      <c r="M18" s="10">
        <v>1011776.28996</v>
      </c>
      <c r="N18" s="10">
        <v>-691.66</v>
      </c>
      <c r="O18" s="10">
        <v>748109.24620000005</v>
      </c>
      <c r="P18" s="10">
        <v>810470.96880000003</v>
      </c>
      <c r="Q18" s="10">
        <v>1069387.7903799999</v>
      </c>
      <c r="R18" s="10">
        <v>1086923.6878</v>
      </c>
      <c r="S18" s="10">
        <v>1162079.1902000001</v>
      </c>
      <c r="T18" s="10">
        <v>1096626.4771199999</v>
      </c>
      <c r="U18" s="10">
        <v>1012455.513602</v>
      </c>
      <c r="V18" s="10">
        <v>1056630.717621</v>
      </c>
      <c r="W18" s="10">
        <v>1028292.305835</v>
      </c>
      <c r="X18" s="10">
        <v>1063007.4071404</v>
      </c>
      <c r="Y18" s="10">
        <v>1101073.8432737</v>
      </c>
      <c r="Z18" s="10">
        <v>1146108.34248724</v>
      </c>
      <c r="AA18" s="10">
        <v>0</v>
      </c>
      <c r="AB18" s="10">
        <v>1058307.2629400201</v>
      </c>
      <c r="AC18" s="10">
        <v>1127350.2323533599</v>
      </c>
      <c r="AD18" s="10">
        <v>1134696.74501918</v>
      </c>
      <c r="AE18" s="10">
        <v>1130752.5973095701</v>
      </c>
      <c r="AF18" s="10">
        <v>1255803.1730865201</v>
      </c>
      <c r="AG18" s="10">
        <v>1393466.8412949999</v>
      </c>
      <c r="AH18" s="10">
        <v>1315312.4343528</v>
      </c>
      <c r="AI18" s="10">
        <v>1268581.85654846</v>
      </c>
      <c r="AJ18" s="10">
        <v>1218748.0591959001</v>
      </c>
      <c r="AK18" s="10">
        <v>1699072.1334752799</v>
      </c>
      <c r="AL18" s="10">
        <v>1648694.06766321</v>
      </c>
      <c r="AM18" s="10">
        <v>1471365.22436426</v>
      </c>
      <c r="AN18" s="10">
        <v>0</v>
      </c>
      <c r="AO18" s="10">
        <v>1313449.1315568499</v>
      </c>
      <c r="AP18" s="10">
        <v>1332077.31379789</v>
      </c>
      <c r="AQ18" s="10">
        <v>2013568.46424284</v>
      </c>
      <c r="AR18" s="10">
        <v>1414819.8374761101</v>
      </c>
      <c r="AS18" s="10">
        <v>1549098.5111428001</v>
      </c>
      <c r="AT18" s="10">
        <v>1048459.2</v>
      </c>
      <c r="AU18" s="10">
        <f t="shared" si="0"/>
        <v>47789860.287534393</v>
      </c>
    </row>
    <row r="19" spans="1:47" x14ac:dyDescent="0.2">
      <c r="A19" s="9" t="s">
        <v>65</v>
      </c>
      <c r="B19" s="10">
        <v>3527.5</v>
      </c>
      <c r="C19" s="10">
        <v>34411.5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463354.8</v>
      </c>
      <c r="N19" s="10">
        <v>0</v>
      </c>
      <c r="O19" s="10">
        <v>5421</v>
      </c>
      <c r="P19" s="10">
        <v>2239</v>
      </c>
      <c r="Q19" s="10">
        <v>17002</v>
      </c>
      <c r="R19" s="10">
        <v>57691</v>
      </c>
      <c r="S19" s="10">
        <v>10958</v>
      </c>
      <c r="T19" s="10">
        <v>36588</v>
      </c>
      <c r="U19" s="10">
        <v>5312.5</v>
      </c>
      <c r="V19" s="10">
        <v>36534</v>
      </c>
      <c r="W19" s="10">
        <v>19047.5</v>
      </c>
      <c r="X19" s="10">
        <v>20170</v>
      </c>
      <c r="Y19" s="10">
        <v>6909.25</v>
      </c>
      <c r="Z19" s="10">
        <v>12409</v>
      </c>
      <c r="AA19" s="10">
        <v>0</v>
      </c>
      <c r="AB19" s="10">
        <v>11276.5</v>
      </c>
      <c r="AC19" s="10">
        <v>18722.25</v>
      </c>
      <c r="AD19" s="10">
        <v>23790.25</v>
      </c>
      <c r="AE19" s="10">
        <v>28668.560000000001</v>
      </c>
      <c r="AF19" s="10">
        <v>35304</v>
      </c>
      <c r="AG19" s="10">
        <v>47710.75</v>
      </c>
      <c r="AH19" s="10">
        <v>0</v>
      </c>
      <c r="AI19" s="10">
        <v>78050.5</v>
      </c>
      <c r="AJ19" s="10">
        <v>49185.25</v>
      </c>
      <c r="AK19" s="10">
        <v>33775.75</v>
      </c>
      <c r="AL19" s="10">
        <v>32317.5</v>
      </c>
      <c r="AM19" s="10">
        <v>12344.31</v>
      </c>
      <c r="AN19" s="10">
        <v>0</v>
      </c>
      <c r="AO19" s="10">
        <v>21560</v>
      </c>
      <c r="AP19" s="10">
        <v>29212.69</v>
      </c>
      <c r="AQ19" s="10">
        <v>32185.19</v>
      </c>
      <c r="AR19" s="10">
        <v>28048.400000000001</v>
      </c>
      <c r="AS19" s="10">
        <v>32764</v>
      </c>
      <c r="AT19" s="10">
        <v>23177</v>
      </c>
      <c r="AU19" s="10">
        <f t="shared" si="0"/>
        <v>1269667.95</v>
      </c>
    </row>
    <row r="20" spans="1:47" x14ac:dyDescent="0.2">
      <c r="A20" s="9" t="s">
        <v>66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124696</v>
      </c>
      <c r="I20" s="10">
        <v>0</v>
      </c>
      <c r="J20" s="10">
        <v>126481.60000000001</v>
      </c>
      <c r="K20" s="10">
        <v>3978</v>
      </c>
      <c r="L20" s="10">
        <v>292428</v>
      </c>
      <c r="M20" s="10">
        <v>-103479.8</v>
      </c>
      <c r="N20" s="10">
        <v>0</v>
      </c>
      <c r="O20" s="10">
        <v>35144</v>
      </c>
      <c r="P20" s="10">
        <v>31768</v>
      </c>
      <c r="Q20" s="10">
        <v>81410</v>
      </c>
      <c r="R20" s="10">
        <v>170036.42</v>
      </c>
      <c r="S20" s="10">
        <v>63655.21</v>
      </c>
      <c r="T20" s="10">
        <v>147265.37</v>
      </c>
      <c r="U20" s="10">
        <v>95525.88</v>
      </c>
      <c r="V20" s="10">
        <v>56625.66</v>
      </c>
      <c r="W20" s="10">
        <v>84773.96</v>
      </c>
      <c r="X20" s="10">
        <v>143780.18</v>
      </c>
      <c r="Y20" s="10">
        <v>124046.92</v>
      </c>
      <c r="Z20" s="10">
        <v>121134.25</v>
      </c>
      <c r="AA20" s="10">
        <v>0</v>
      </c>
      <c r="AB20" s="10">
        <v>65937.119999999995</v>
      </c>
      <c r="AC20" s="10">
        <v>185020.56</v>
      </c>
      <c r="AD20" s="10">
        <v>304041.39</v>
      </c>
      <c r="AE20" s="10">
        <v>303054.38</v>
      </c>
      <c r="AF20" s="10">
        <v>273931.05</v>
      </c>
      <c r="AG20" s="10">
        <v>288113.12</v>
      </c>
      <c r="AH20" s="10">
        <v>121.13</v>
      </c>
      <c r="AI20" s="10">
        <v>581874.16</v>
      </c>
      <c r="AJ20" s="10">
        <v>286840.73</v>
      </c>
      <c r="AK20" s="10">
        <v>305066.12</v>
      </c>
      <c r="AL20" s="10">
        <v>414815.44</v>
      </c>
      <c r="AM20" s="10">
        <v>345830.71</v>
      </c>
      <c r="AN20" s="10">
        <v>0</v>
      </c>
      <c r="AO20" s="10">
        <v>145972.81</v>
      </c>
      <c r="AP20" s="10">
        <v>250811.51999999999</v>
      </c>
      <c r="AQ20" s="10">
        <v>267677.45</v>
      </c>
      <c r="AR20" s="10">
        <v>211796.64</v>
      </c>
      <c r="AS20" s="10">
        <v>168202.66</v>
      </c>
      <c r="AT20" s="10">
        <v>456272.48</v>
      </c>
      <c r="AU20" s="10">
        <f t="shared" si="0"/>
        <v>6454649.1199999992</v>
      </c>
    </row>
    <row r="21" spans="1:47" x14ac:dyDescent="0.2">
      <c r="A21" s="9" t="s">
        <v>67</v>
      </c>
      <c r="B21" s="10">
        <v>-1447</v>
      </c>
      <c r="C21" s="10">
        <v>-2998</v>
      </c>
      <c r="D21" s="10">
        <v>24037.75</v>
      </c>
      <c r="E21" s="10">
        <v>-2928</v>
      </c>
      <c r="F21" s="10">
        <v>0</v>
      </c>
      <c r="G21" s="10">
        <v>17007.75</v>
      </c>
      <c r="H21" s="10">
        <v>-1555</v>
      </c>
      <c r="I21" s="10">
        <v>-583</v>
      </c>
      <c r="J21" s="10">
        <v>-5163.25</v>
      </c>
      <c r="K21" s="10">
        <v>-9679</v>
      </c>
      <c r="L21" s="10">
        <v>-4937</v>
      </c>
      <c r="M21" s="10">
        <v>2823.14</v>
      </c>
      <c r="N21" s="10">
        <v>513.33000000000004</v>
      </c>
      <c r="O21" s="10">
        <v>43555</v>
      </c>
      <c r="P21" s="10">
        <v>0</v>
      </c>
      <c r="Q21" s="10">
        <v>2190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f t="shared" si="0"/>
        <v>60836.72</v>
      </c>
    </row>
    <row r="22" spans="1:47" x14ac:dyDescent="0.2">
      <c r="A22" s="9" t="s">
        <v>68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6600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f t="shared" si="0"/>
        <v>6600</v>
      </c>
    </row>
    <row r="23" spans="1:47" x14ac:dyDescent="0.2">
      <c r="A23" s="9" t="s">
        <v>69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-43.554000000000002</v>
      </c>
      <c r="K23" s="10">
        <v>-66.947400000000002</v>
      </c>
      <c r="L23" s="10">
        <v>-50.052</v>
      </c>
      <c r="M23" s="10">
        <v>-17.0961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-52500</v>
      </c>
      <c r="U23" s="10">
        <v>0</v>
      </c>
      <c r="V23" s="10">
        <v>0</v>
      </c>
      <c r="W23" s="10">
        <v>-20000</v>
      </c>
      <c r="X23" s="10">
        <v>49700</v>
      </c>
      <c r="Y23" s="10">
        <v>-10000</v>
      </c>
      <c r="Z23" s="10">
        <v>-113591.93</v>
      </c>
      <c r="AA23" s="10">
        <v>0</v>
      </c>
      <c r="AB23" s="10">
        <v>0</v>
      </c>
      <c r="AC23" s="10">
        <v>0</v>
      </c>
      <c r="AD23" s="10">
        <v>146391.93</v>
      </c>
      <c r="AE23" s="10">
        <v>0</v>
      </c>
      <c r="AF23" s="10">
        <v>0</v>
      </c>
      <c r="AG23" s="10">
        <v>-50000</v>
      </c>
      <c r="AH23" s="10">
        <v>-50000</v>
      </c>
      <c r="AI23" s="10">
        <v>-24000</v>
      </c>
      <c r="AJ23" s="10">
        <v>-8000</v>
      </c>
      <c r="AK23" s="10">
        <v>63000</v>
      </c>
      <c r="AL23" s="10">
        <v>-5000</v>
      </c>
      <c r="AM23" s="10">
        <v>74000</v>
      </c>
      <c r="AN23" s="10">
        <v>0</v>
      </c>
      <c r="AO23" s="10">
        <v>-4000</v>
      </c>
      <c r="AP23" s="10">
        <v>-6000</v>
      </c>
      <c r="AQ23" s="10">
        <v>-7000</v>
      </c>
      <c r="AR23" s="10">
        <v>-5500</v>
      </c>
      <c r="AS23" s="10">
        <v>-5500</v>
      </c>
      <c r="AT23" s="10">
        <v>-5000</v>
      </c>
      <c r="AU23" s="10">
        <f t="shared" si="0"/>
        <v>-33177.6495</v>
      </c>
    </row>
    <row r="24" spans="1:47" x14ac:dyDescent="0.2">
      <c r="A24" s="9" t="s">
        <v>70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-146391.93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f t="shared" si="0"/>
        <v>-146391.93</v>
      </c>
    </row>
    <row r="25" spans="1:47" x14ac:dyDescent="0.2">
      <c r="A25" s="9" t="s">
        <v>71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-34832.648999999998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f t="shared" si="0"/>
        <v>-34832.648999999998</v>
      </c>
    </row>
    <row r="26" spans="1:47" x14ac:dyDescent="0.2">
      <c r="A26" s="11" t="s">
        <v>72</v>
      </c>
      <c r="B26" s="12">
        <f t="shared" ref="B26:AU26" si="1">SUM(B11:B25)</f>
        <v>932594.12054999999</v>
      </c>
      <c r="C26" s="12">
        <f t="shared" si="1"/>
        <v>955541.05212799995</v>
      </c>
      <c r="D26" s="12">
        <f t="shared" si="1"/>
        <v>1105625.187103</v>
      </c>
      <c r="E26" s="12">
        <f t="shared" si="1"/>
        <v>732536.62</v>
      </c>
      <c r="F26" s="12">
        <f t="shared" si="1"/>
        <v>832693.2980350001</v>
      </c>
      <c r="G26" s="12">
        <f t="shared" si="1"/>
        <v>924242.05585</v>
      </c>
      <c r="H26" s="12">
        <f t="shared" si="1"/>
        <v>1229704.45209</v>
      </c>
      <c r="I26" s="12">
        <f t="shared" si="1"/>
        <v>1260030.6884999999</v>
      </c>
      <c r="J26" s="12">
        <f t="shared" si="1"/>
        <v>1021155.4498600001</v>
      </c>
      <c r="K26" s="12">
        <f t="shared" si="1"/>
        <v>903623.81501500006</v>
      </c>
      <c r="L26" s="12">
        <f t="shared" si="1"/>
        <v>1120387.3427200001</v>
      </c>
      <c r="M26" s="12">
        <f t="shared" si="1"/>
        <v>1444776.8189849998</v>
      </c>
      <c r="N26" s="12">
        <f t="shared" si="1"/>
        <v>1.1368683772161603E-13</v>
      </c>
      <c r="O26" s="12">
        <f t="shared" si="1"/>
        <v>1012349.470632</v>
      </c>
      <c r="P26" s="12">
        <f t="shared" si="1"/>
        <v>1019940.74372</v>
      </c>
      <c r="Q26" s="12">
        <f t="shared" si="1"/>
        <v>1659742.5736439999</v>
      </c>
      <c r="R26" s="12">
        <f t="shared" si="1"/>
        <v>1690679.6775059998</v>
      </c>
      <c r="S26" s="12">
        <f t="shared" si="1"/>
        <v>1384465.4084050001</v>
      </c>
      <c r="T26" s="12">
        <f t="shared" si="1"/>
        <v>1445837.02844</v>
      </c>
      <c r="U26" s="12">
        <f t="shared" si="1"/>
        <v>1337420.525049</v>
      </c>
      <c r="V26" s="12">
        <f t="shared" si="1"/>
        <v>1282579.7537409998</v>
      </c>
      <c r="W26" s="12">
        <f t="shared" si="1"/>
        <v>1340376.959459</v>
      </c>
      <c r="X26" s="12">
        <f t="shared" si="1"/>
        <v>1453748.3950501001</v>
      </c>
      <c r="Y26" s="12">
        <f t="shared" si="1"/>
        <v>1372196.5682912199</v>
      </c>
      <c r="Z26" s="12">
        <f t="shared" si="1"/>
        <v>1664434.3480726124</v>
      </c>
      <c r="AA26" s="12">
        <f t="shared" si="1"/>
        <v>0</v>
      </c>
      <c r="AB26" s="12">
        <f t="shared" si="1"/>
        <v>1268482.1662921803</v>
      </c>
      <c r="AC26" s="12">
        <f t="shared" si="1"/>
        <v>1532933.91707661</v>
      </c>
      <c r="AD26" s="12">
        <f t="shared" si="1"/>
        <v>1581508.5226201802</v>
      </c>
      <c r="AE26" s="12">
        <f t="shared" si="1"/>
        <v>1455613.5339357499</v>
      </c>
      <c r="AF26" s="12">
        <f t="shared" si="1"/>
        <v>1621406.5009976402</v>
      </c>
      <c r="AG26" s="12">
        <f t="shared" si="1"/>
        <v>1701247.6989361998</v>
      </c>
      <c r="AH26" s="12">
        <f t="shared" si="1"/>
        <v>1476593.3545278299</v>
      </c>
      <c r="AI26" s="12">
        <f t="shared" si="1"/>
        <v>1961870.0401515001</v>
      </c>
      <c r="AJ26" s="12">
        <f t="shared" si="1"/>
        <v>1599761.8831146602</v>
      </c>
      <c r="AK26" s="12">
        <f t="shared" si="1"/>
        <v>2037917.3942412897</v>
      </c>
      <c r="AL26" s="12">
        <f t="shared" si="1"/>
        <v>2155187.9596011098</v>
      </c>
      <c r="AM26" s="12">
        <f t="shared" si="1"/>
        <v>4199411.9676745199</v>
      </c>
      <c r="AN26" s="12">
        <f t="shared" si="1"/>
        <v>0</v>
      </c>
      <c r="AO26" s="12">
        <f t="shared" si="1"/>
        <v>1755432.0447541499</v>
      </c>
      <c r="AP26" s="12">
        <f t="shared" si="1"/>
        <v>1754179.1720799699</v>
      </c>
      <c r="AQ26" s="12">
        <f t="shared" si="1"/>
        <v>2291480.89586592</v>
      </c>
      <c r="AR26" s="12">
        <f t="shared" si="1"/>
        <v>1701771.9272306501</v>
      </c>
      <c r="AS26" s="12">
        <f t="shared" si="1"/>
        <v>1867411.9927542701</v>
      </c>
      <c r="AT26" s="12">
        <f t="shared" si="1"/>
        <v>1833478.0932620799</v>
      </c>
      <c r="AU26" s="12">
        <f t="shared" si="1"/>
        <v>62922371.417962454</v>
      </c>
    </row>
    <row r="27" spans="1:47" x14ac:dyDescent="0.2">
      <c r="A27" s="8" t="s">
        <v>73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</row>
    <row r="28" spans="1:47" x14ac:dyDescent="0.2">
      <c r="A28" s="9" t="s">
        <v>74</v>
      </c>
      <c r="B28" s="10">
        <v>6868.02</v>
      </c>
      <c r="C28" s="10">
        <v>7419.28</v>
      </c>
      <c r="D28" s="10">
        <v>7143.65</v>
      </c>
      <c r="E28" s="10">
        <v>7237.4</v>
      </c>
      <c r="F28" s="10">
        <v>7156.25</v>
      </c>
      <c r="G28" s="10">
        <v>7155</v>
      </c>
      <c r="H28" s="10">
        <v>6303.51</v>
      </c>
      <c r="I28" s="10">
        <v>6303.51</v>
      </c>
      <c r="J28" s="10">
        <v>6303.51</v>
      </c>
      <c r="K28" s="10">
        <v>6132.53</v>
      </c>
      <c r="L28" s="10">
        <v>6500.78</v>
      </c>
      <c r="M28" s="10">
        <v>10790.39</v>
      </c>
      <c r="N28" s="10">
        <v>0</v>
      </c>
      <c r="O28" s="10">
        <v>3550.51</v>
      </c>
      <c r="P28" s="10">
        <v>3550.51</v>
      </c>
      <c r="Q28" s="10">
        <v>1981.87</v>
      </c>
      <c r="R28" s="10">
        <v>3027.63</v>
      </c>
      <c r="S28" s="10">
        <v>3027.63</v>
      </c>
      <c r="T28" s="10">
        <v>5891.1</v>
      </c>
      <c r="U28" s="10">
        <v>5891.1</v>
      </c>
      <c r="V28" s="10">
        <v>5891.1</v>
      </c>
      <c r="W28" s="10">
        <v>5891.1</v>
      </c>
      <c r="X28" s="10">
        <v>5891.1</v>
      </c>
      <c r="Y28" s="10">
        <v>5891.1</v>
      </c>
      <c r="Z28" s="10">
        <v>24825.77</v>
      </c>
      <c r="AA28" s="10">
        <v>0</v>
      </c>
      <c r="AB28" s="10">
        <v>8333.6</v>
      </c>
      <c r="AC28" s="10">
        <v>8333.6</v>
      </c>
      <c r="AD28" s="10">
        <v>8300.8799999999992</v>
      </c>
      <c r="AE28" s="10">
        <v>8430.25</v>
      </c>
      <c r="AF28" s="10">
        <v>7180.27</v>
      </c>
      <c r="AG28" s="10">
        <v>7455.9</v>
      </c>
      <c r="AH28" s="10">
        <v>7180.27</v>
      </c>
      <c r="AI28" s="10">
        <v>7180.27</v>
      </c>
      <c r="AJ28" s="10">
        <v>6904.64</v>
      </c>
      <c r="AK28" s="10">
        <v>7180.27</v>
      </c>
      <c r="AL28" s="10">
        <v>7180.27</v>
      </c>
      <c r="AM28" s="10">
        <v>7180.27</v>
      </c>
      <c r="AN28" s="10">
        <v>0</v>
      </c>
      <c r="AO28" s="10">
        <v>7180.27</v>
      </c>
      <c r="AP28" s="10">
        <v>7180.27</v>
      </c>
      <c r="AQ28" s="10">
        <v>7180.27</v>
      </c>
      <c r="AR28" s="10">
        <v>7180.27</v>
      </c>
      <c r="AS28" s="10">
        <v>6860.18</v>
      </c>
      <c r="AT28" s="10">
        <v>7180.27</v>
      </c>
      <c r="AU28" s="10">
        <f t="shared" ref="AU28:AU46" si="2">SUM(B28:AT28)</f>
        <v>294226.37</v>
      </c>
    </row>
    <row r="29" spans="1:47" x14ac:dyDescent="0.2">
      <c r="A29" s="9" t="s">
        <v>75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25416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f t="shared" si="2"/>
        <v>25416</v>
      </c>
    </row>
    <row r="30" spans="1:47" x14ac:dyDescent="0.2">
      <c r="A30" s="9" t="s">
        <v>76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14.29</v>
      </c>
      <c r="Y30" s="10">
        <v>21.85</v>
      </c>
      <c r="Z30" s="10">
        <v>42.86</v>
      </c>
      <c r="AA30" s="10">
        <v>0</v>
      </c>
      <c r="AB30" s="10">
        <v>52.94</v>
      </c>
      <c r="AC30" s="10">
        <v>52.94</v>
      </c>
      <c r="AD30" s="10">
        <v>63.86</v>
      </c>
      <c r="AE30" s="10">
        <v>63.86</v>
      </c>
      <c r="AF30" s="10">
        <v>63.86</v>
      </c>
      <c r="AG30" s="10">
        <v>72.260000000000005</v>
      </c>
      <c r="AH30" s="10">
        <v>87.39</v>
      </c>
      <c r="AI30" s="10">
        <v>87.39</v>
      </c>
      <c r="AJ30" s="10">
        <v>87.39</v>
      </c>
      <c r="AK30" s="10">
        <v>87.39</v>
      </c>
      <c r="AL30" s="10">
        <v>79.83</v>
      </c>
      <c r="AM30" s="10">
        <v>94.96</v>
      </c>
      <c r="AN30" s="10">
        <v>0</v>
      </c>
      <c r="AO30" s="10">
        <v>79.83</v>
      </c>
      <c r="AP30" s="10">
        <v>94.96</v>
      </c>
      <c r="AQ30" s="10">
        <v>102.52</v>
      </c>
      <c r="AR30" s="10">
        <v>163.88</v>
      </c>
      <c r="AS30" s="10">
        <v>163.88</v>
      </c>
      <c r="AT30" s="10">
        <v>163.88</v>
      </c>
      <c r="AU30" s="10">
        <f t="shared" si="2"/>
        <v>1742.0200000000004</v>
      </c>
    </row>
    <row r="31" spans="1:47" x14ac:dyDescent="0.2">
      <c r="A31" s="9" t="s">
        <v>77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396.27</v>
      </c>
      <c r="J31" s="10">
        <v>0</v>
      </c>
      <c r="K31" s="10">
        <v>0</v>
      </c>
      <c r="L31" s="10">
        <v>0</v>
      </c>
      <c r="M31" s="10">
        <v>987.72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398.13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873.77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460.59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647.58000000000004</v>
      </c>
      <c r="AT31" s="10">
        <v>0</v>
      </c>
      <c r="AU31" s="10">
        <f t="shared" si="2"/>
        <v>3764.06</v>
      </c>
    </row>
    <row r="32" spans="1:47" x14ac:dyDescent="0.2">
      <c r="A32" s="9" t="s">
        <v>78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5887.84</v>
      </c>
      <c r="H32" s="10">
        <v>5330.39</v>
      </c>
      <c r="I32" s="10">
        <v>0</v>
      </c>
      <c r="J32" s="10">
        <v>0</v>
      </c>
      <c r="K32" s="10">
        <v>0</v>
      </c>
      <c r="L32" s="10">
        <v>6497.81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2154.7199999999998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383.7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5413.13</v>
      </c>
      <c r="AS32" s="10">
        <v>0</v>
      </c>
      <c r="AT32" s="10">
        <v>0</v>
      </c>
      <c r="AU32" s="10">
        <f t="shared" si="2"/>
        <v>25667.590000000004</v>
      </c>
    </row>
    <row r="33" spans="1:47" x14ac:dyDescent="0.2">
      <c r="A33" s="9" t="s">
        <v>79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1389.294408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f t="shared" si="2"/>
        <v>1389.294408</v>
      </c>
    </row>
    <row r="34" spans="1:47" x14ac:dyDescent="0.2">
      <c r="A34" s="9" t="s">
        <v>80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2740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f t="shared" si="2"/>
        <v>2740</v>
      </c>
    </row>
    <row r="35" spans="1:47" x14ac:dyDescent="0.2">
      <c r="A35" s="9" t="s">
        <v>81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325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28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f t="shared" si="2"/>
        <v>353</v>
      </c>
    </row>
    <row r="36" spans="1:47" x14ac:dyDescent="0.2">
      <c r="A36" s="9" t="s">
        <v>82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200.81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f t="shared" si="2"/>
        <v>200.81</v>
      </c>
    </row>
    <row r="37" spans="1:47" x14ac:dyDescent="0.2">
      <c r="A37" s="9" t="s">
        <v>83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488375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f t="shared" si="2"/>
        <v>488375</v>
      </c>
    </row>
    <row r="38" spans="1:47" x14ac:dyDescent="0.2">
      <c r="A38" s="9" t="s">
        <v>84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3610.03</v>
      </c>
      <c r="P38" s="10">
        <v>3610.03</v>
      </c>
      <c r="Q38" s="10">
        <v>3610.03</v>
      </c>
      <c r="R38" s="10">
        <v>3610.03</v>
      </c>
      <c r="S38" s="10">
        <v>3610.03</v>
      </c>
      <c r="T38" s="10">
        <v>202.5</v>
      </c>
      <c r="U38" s="10">
        <v>202.5</v>
      </c>
      <c r="V38" s="10">
        <v>202.5</v>
      </c>
      <c r="W38" s="10">
        <v>202.5</v>
      </c>
      <c r="X38" s="10">
        <v>202.5</v>
      </c>
      <c r="Y38" s="10">
        <v>202.5</v>
      </c>
      <c r="Z38" s="10">
        <v>-16835.150000000001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f t="shared" si="2"/>
        <v>2430</v>
      </c>
    </row>
    <row r="39" spans="1:47" x14ac:dyDescent="0.2">
      <c r="A39" s="9" t="s">
        <v>85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40200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115.94216335</v>
      </c>
      <c r="AQ39" s="10">
        <v>0</v>
      </c>
      <c r="AR39" s="10">
        <v>0</v>
      </c>
      <c r="AS39" s="10">
        <v>0</v>
      </c>
      <c r="AT39" s="10">
        <v>0</v>
      </c>
      <c r="AU39" s="10">
        <f t="shared" si="2"/>
        <v>40315.942163350002</v>
      </c>
    </row>
    <row r="40" spans="1:47" x14ac:dyDescent="0.2">
      <c r="A40" s="9" t="s">
        <v>86</v>
      </c>
      <c r="B40" s="10">
        <v>7792.79</v>
      </c>
      <c r="C40" s="10">
        <v>-7792.41</v>
      </c>
      <c r="D40" s="10">
        <v>81.072419999999994</v>
      </c>
      <c r="E40" s="10">
        <v>-0.38</v>
      </c>
      <c r="F40" s="10">
        <v>0</v>
      </c>
      <c r="G40" s="10">
        <v>0</v>
      </c>
      <c r="H40" s="10">
        <v>3052.67</v>
      </c>
      <c r="I40" s="10">
        <v>66.594499999999996</v>
      </c>
      <c r="J40" s="10">
        <v>0</v>
      </c>
      <c r="K40" s="10">
        <v>14760.98</v>
      </c>
      <c r="L40" s="10">
        <v>12866.88552</v>
      </c>
      <c r="M40" s="10">
        <v>-3118.3344099999999</v>
      </c>
      <c r="N40" s="10">
        <v>0</v>
      </c>
      <c r="O40" s="10">
        <v>1674.9</v>
      </c>
      <c r="P40" s="10">
        <v>84.240440000000007</v>
      </c>
      <c r="Q40" s="10">
        <v>4925.55</v>
      </c>
      <c r="R40" s="10">
        <v>0</v>
      </c>
      <c r="S40" s="10">
        <v>34288.140549999996</v>
      </c>
      <c r="T40" s="10">
        <v>11456.18</v>
      </c>
      <c r="U40" s="10">
        <v>5951.45</v>
      </c>
      <c r="V40" s="10">
        <v>25.09</v>
      </c>
      <c r="W40" s="10">
        <v>1228.56</v>
      </c>
      <c r="X40" s="10">
        <v>0</v>
      </c>
      <c r="Y40" s="10">
        <v>8398.6299999999992</v>
      </c>
      <c r="Z40" s="10">
        <v>82605.531102459994</v>
      </c>
      <c r="AA40" s="10">
        <v>0</v>
      </c>
      <c r="AB40" s="10">
        <v>6513.99</v>
      </c>
      <c r="AC40" s="10">
        <v>24884.17</v>
      </c>
      <c r="AD40" s="10">
        <v>17449.72</v>
      </c>
      <c r="AE40" s="10">
        <v>7858.6</v>
      </c>
      <c r="AF40" s="10">
        <v>0</v>
      </c>
      <c r="AG40" s="10">
        <v>0</v>
      </c>
      <c r="AH40" s="10">
        <v>0</v>
      </c>
      <c r="AI40" s="10">
        <v>0</v>
      </c>
      <c r="AJ40" s="10">
        <v>3293.67</v>
      </c>
      <c r="AK40" s="10">
        <v>0</v>
      </c>
      <c r="AL40" s="10">
        <v>0</v>
      </c>
      <c r="AM40" s="10">
        <v>-20264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f t="shared" si="2"/>
        <v>218084.29012245996</v>
      </c>
    </row>
    <row r="41" spans="1:47" x14ac:dyDescent="0.2">
      <c r="A41" s="9" t="s">
        <v>87</v>
      </c>
      <c r="B41" s="10">
        <v>-7792.79</v>
      </c>
      <c r="C41" s="10">
        <v>1615.77</v>
      </c>
      <c r="D41" s="10">
        <v>0</v>
      </c>
      <c r="E41" s="10">
        <v>1615.22</v>
      </c>
      <c r="F41" s="10">
        <v>0</v>
      </c>
      <c r="G41" s="10">
        <v>7792.79</v>
      </c>
      <c r="H41" s="10">
        <v>1615.24</v>
      </c>
      <c r="I41" s="10">
        <v>0</v>
      </c>
      <c r="J41" s="10">
        <v>0</v>
      </c>
      <c r="K41" s="10">
        <v>-4846.2299999999996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f t="shared" si="2"/>
        <v>0</v>
      </c>
    </row>
    <row r="42" spans="1:47" x14ac:dyDescent="0.2">
      <c r="A42" s="9" t="s">
        <v>88</v>
      </c>
      <c r="B42" s="10">
        <v>-402.95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-1987.48</v>
      </c>
      <c r="S42" s="10">
        <v>-110.77</v>
      </c>
      <c r="T42" s="10">
        <v>0</v>
      </c>
      <c r="U42" s="10">
        <v>87.3</v>
      </c>
      <c r="V42" s="10">
        <v>591.16999999999996</v>
      </c>
      <c r="W42" s="10">
        <v>0</v>
      </c>
      <c r="X42" s="10">
        <v>0</v>
      </c>
      <c r="Y42" s="10">
        <v>37462.86</v>
      </c>
      <c r="Z42" s="10">
        <v>3607.08</v>
      </c>
      <c r="AA42" s="10">
        <v>0</v>
      </c>
      <c r="AB42" s="10">
        <v>0</v>
      </c>
      <c r="AC42" s="10">
        <v>0</v>
      </c>
      <c r="AD42" s="10">
        <v>0</v>
      </c>
      <c r="AE42" s="10">
        <v>2275.63</v>
      </c>
      <c r="AF42" s="10">
        <v>-3340.7</v>
      </c>
      <c r="AG42" s="10">
        <v>0</v>
      </c>
      <c r="AH42" s="10">
        <v>5629.89</v>
      </c>
      <c r="AI42" s="10">
        <v>54050.84</v>
      </c>
      <c r="AJ42" s="10">
        <v>0</v>
      </c>
      <c r="AK42" s="10">
        <v>0</v>
      </c>
      <c r="AL42" s="10">
        <v>0</v>
      </c>
      <c r="AM42" s="10">
        <v>14977.09</v>
      </c>
      <c r="AN42" s="10">
        <v>0</v>
      </c>
      <c r="AO42" s="10">
        <v>0</v>
      </c>
      <c r="AP42" s="10">
        <v>0</v>
      </c>
      <c r="AQ42" s="10">
        <v>-0.02</v>
      </c>
      <c r="AR42" s="10">
        <v>203.37</v>
      </c>
      <c r="AS42" s="10">
        <v>0</v>
      </c>
      <c r="AT42" s="10">
        <v>4245.63</v>
      </c>
      <c r="AU42" s="10">
        <f t="shared" si="2"/>
        <v>117288.93999999999</v>
      </c>
    </row>
    <row r="43" spans="1:47" x14ac:dyDescent="0.2">
      <c r="A43" s="9" t="s">
        <v>89</v>
      </c>
      <c r="B43" s="10">
        <v>3309.12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111.12</v>
      </c>
      <c r="L43" s="10">
        <v>0</v>
      </c>
      <c r="M43" s="10">
        <v>465.81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f t="shared" si="2"/>
        <v>3886.0499999999997</v>
      </c>
    </row>
    <row r="44" spans="1:47" x14ac:dyDescent="0.2">
      <c r="A44" s="9" t="s">
        <v>90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181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1091.5999999999999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f t="shared" si="2"/>
        <v>1272.5999999999999</v>
      </c>
    </row>
    <row r="45" spans="1:47" x14ac:dyDescent="0.2">
      <c r="A45" s="9" t="s">
        <v>91</v>
      </c>
      <c r="B45" s="10">
        <v>3500</v>
      </c>
      <c r="C45" s="10">
        <v>3500</v>
      </c>
      <c r="D45" s="10">
        <v>3500</v>
      </c>
      <c r="E45" s="10">
        <v>3500</v>
      </c>
      <c r="F45" s="10">
        <v>3500</v>
      </c>
      <c r="G45" s="10">
        <v>3500</v>
      </c>
      <c r="H45" s="10">
        <v>3500</v>
      </c>
      <c r="I45" s="10">
        <v>3500</v>
      </c>
      <c r="J45" s="10">
        <v>3500</v>
      </c>
      <c r="K45" s="10">
        <v>3500</v>
      </c>
      <c r="L45" s="10">
        <v>3500</v>
      </c>
      <c r="M45" s="10">
        <v>3500</v>
      </c>
      <c r="N45" s="10">
        <v>0</v>
      </c>
      <c r="O45" s="10">
        <v>3500</v>
      </c>
      <c r="P45" s="10">
        <v>3500</v>
      </c>
      <c r="Q45" s="10">
        <v>3500</v>
      </c>
      <c r="R45" s="10">
        <v>3500</v>
      </c>
      <c r="S45" s="10">
        <v>3500</v>
      </c>
      <c r="T45" s="10">
        <v>3500</v>
      </c>
      <c r="U45" s="10">
        <v>3500</v>
      </c>
      <c r="V45" s="10">
        <v>3500</v>
      </c>
      <c r="W45" s="10">
        <v>3500</v>
      </c>
      <c r="X45" s="10">
        <v>3500</v>
      </c>
      <c r="Y45" s="10">
        <v>3500</v>
      </c>
      <c r="Z45" s="10">
        <v>3500</v>
      </c>
      <c r="AA45" s="10">
        <v>0</v>
      </c>
      <c r="AB45" s="10">
        <v>4700</v>
      </c>
      <c r="AC45" s="10">
        <v>4700</v>
      </c>
      <c r="AD45" s="10">
        <v>4700</v>
      </c>
      <c r="AE45" s="10">
        <v>4700</v>
      </c>
      <c r="AF45" s="10">
        <v>4700</v>
      </c>
      <c r="AG45" s="10">
        <v>4700</v>
      </c>
      <c r="AH45" s="10">
        <v>4700</v>
      </c>
      <c r="AI45" s="10">
        <v>4700</v>
      </c>
      <c r="AJ45" s="10">
        <v>4700</v>
      </c>
      <c r="AK45" s="10">
        <v>4700</v>
      </c>
      <c r="AL45" s="10">
        <v>4700</v>
      </c>
      <c r="AM45" s="10">
        <v>4700</v>
      </c>
      <c r="AN45" s="10">
        <v>0</v>
      </c>
      <c r="AO45" s="10">
        <v>4700</v>
      </c>
      <c r="AP45" s="10">
        <v>4700</v>
      </c>
      <c r="AQ45" s="10">
        <v>4700</v>
      </c>
      <c r="AR45" s="10">
        <v>0</v>
      </c>
      <c r="AS45" s="10">
        <v>0</v>
      </c>
      <c r="AT45" s="10">
        <v>0</v>
      </c>
      <c r="AU45" s="10">
        <f t="shared" si="2"/>
        <v>154500</v>
      </c>
    </row>
    <row r="46" spans="1:47" x14ac:dyDescent="0.2">
      <c r="A46" s="9" t="s">
        <v>92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-0.01</v>
      </c>
      <c r="V46" s="10">
        <v>-0.01</v>
      </c>
      <c r="W46" s="10">
        <v>0</v>
      </c>
      <c r="X46" s="10">
        <v>0</v>
      </c>
      <c r="Y46" s="10">
        <v>0.02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0.01</v>
      </c>
      <c r="AF46" s="10">
        <v>-0.02</v>
      </c>
      <c r="AG46" s="10">
        <v>0</v>
      </c>
      <c r="AH46" s="10">
        <v>0</v>
      </c>
      <c r="AI46" s="10">
        <v>0.01</v>
      </c>
      <c r="AJ46" s="10">
        <v>-0.01</v>
      </c>
      <c r="AK46" s="10">
        <v>0</v>
      </c>
      <c r="AL46" s="10">
        <v>0</v>
      </c>
      <c r="AM46" s="10">
        <v>0.01</v>
      </c>
      <c r="AN46" s="10">
        <v>0</v>
      </c>
      <c r="AO46" s="10">
        <v>0</v>
      </c>
      <c r="AP46" s="10">
        <v>0.01</v>
      </c>
      <c r="AQ46" s="10">
        <v>0.01</v>
      </c>
      <c r="AR46" s="10">
        <v>0</v>
      </c>
      <c r="AS46" s="10">
        <v>0</v>
      </c>
      <c r="AT46" s="10">
        <v>-0.03</v>
      </c>
      <c r="AU46" s="10">
        <f t="shared" si="2"/>
        <v>-9.9999999999999985E-3</v>
      </c>
    </row>
    <row r="47" spans="1:47" x14ac:dyDescent="0.2">
      <c r="A47" s="11" t="s">
        <v>93</v>
      </c>
      <c r="B47" s="12">
        <f t="shared" ref="B47:AU47" si="3">SUM(B28:B46)</f>
        <v>13274.190000000002</v>
      </c>
      <c r="C47" s="12">
        <f t="shared" si="3"/>
        <v>4742.6399999999994</v>
      </c>
      <c r="D47" s="12">
        <f t="shared" si="3"/>
        <v>10724.72242</v>
      </c>
      <c r="E47" s="12">
        <f t="shared" si="3"/>
        <v>12352.24</v>
      </c>
      <c r="F47" s="12">
        <f t="shared" si="3"/>
        <v>10656.25</v>
      </c>
      <c r="G47" s="12">
        <f t="shared" si="3"/>
        <v>24335.63</v>
      </c>
      <c r="H47" s="12">
        <f t="shared" si="3"/>
        <v>19801.810000000001</v>
      </c>
      <c r="I47" s="12">
        <f t="shared" si="3"/>
        <v>10266.374500000002</v>
      </c>
      <c r="J47" s="12">
        <f t="shared" si="3"/>
        <v>9803.51</v>
      </c>
      <c r="K47" s="12">
        <f t="shared" si="3"/>
        <v>19658.400000000001</v>
      </c>
      <c r="L47" s="12">
        <f t="shared" si="3"/>
        <v>29365.47552</v>
      </c>
      <c r="M47" s="12">
        <f t="shared" si="3"/>
        <v>14339.879997999999</v>
      </c>
      <c r="N47" s="12">
        <f t="shared" si="3"/>
        <v>0</v>
      </c>
      <c r="O47" s="12">
        <f t="shared" si="3"/>
        <v>12335.44</v>
      </c>
      <c r="P47" s="12">
        <f t="shared" si="3"/>
        <v>10744.78044</v>
      </c>
      <c r="Q47" s="12">
        <f t="shared" si="3"/>
        <v>14017.45</v>
      </c>
      <c r="R47" s="12">
        <f t="shared" si="3"/>
        <v>8331.18</v>
      </c>
      <c r="S47" s="12">
        <f t="shared" si="3"/>
        <v>44713.160550000001</v>
      </c>
      <c r="T47" s="12">
        <f t="shared" si="3"/>
        <v>21049.78</v>
      </c>
      <c r="U47" s="12">
        <f t="shared" si="3"/>
        <v>17787.060000000001</v>
      </c>
      <c r="V47" s="12">
        <f t="shared" si="3"/>
        <v>10237.85</v>
      </c>
      <c r="W47" s="12">
        <f t="shared" si="3"/>
        <v>10822.16</v>
      </c>
      <c r="X47" s="12">
        <f t="shared" si="3"/>
        <v>9808.7000000000007</v>
      </c>
      <c r="Y47" s="12">
        <f t="shared" si="3"/>
        <v>55476.959999999999</v>
      </c>
      <c r="Z47" s="12">
        <f t="shared" si="3"/>
        <v>99711.461102460002</v>
      </c>
      <c r="AA47" s="12">
        <f t="shared" si="3"/>
        <v>0</v>
      </c>
      <c r="AB47" s="12">
        <f t="shared" si="3"/>
        <v>19600.53</v>
      </c>
      <c r="AC47" s="12">
        <f t="shared" si="3"/>
        <v>38354.410000000003</v>
      </c>
      <c r="AD47" s="12">
        <f t="shared" si="3"/>
        <v>30514.46</v>
      </c>
      <c r="AE47" s="12">
        <f t="shared" si="3"/>
        <v>23328.35</v>
      </c>
      <c r="AF47" s="12">
        <f t="shared" si="3"/>
        <v>9064</v>
      </c>
      <c r="AG47" s="12">
        <f t="shared" si="3"/>
        <v>12228.16</v>
      </c>
      <c r="AH47" s="12">
        <f t="shared" si="3"/>
        <v>17597.550000000003</v>
      </c>
      <c r="AI47" s="12">
        <f t="shared" si="3"/>
        <v>106218.51</v>
      </c>
      <c r="AJ47" s="12">
        <f t="shared" si="3"/>
        <v>14985.69</v>
      </c>
      <c r="AK47" s="12">
        <f t="shared" si="3"/>
        <v>11967.66</v>
      </c>
      <c r="AL47" s="12">
        <f t="shared" si="3"/>
        <v>11960.1</v>
      </c>
      <c r="AM47" s="12">
        <f t="shared" si="3"/>
        <v>523219.33</v>
      </c>
      <c r="AN47" s="12">
        <f t="shared" si="3"/>
        <v>0</v>
      </c>
      <c r="AO47" s="12">
        <f t="shared" si="3"/>
        <v>11960.1</v>
      </c>
      <c r="AP47" s="12">
        <f t="shared" si="3"/>
        <v>12091.18216335</v>
      </c>
      <c r="AQ47" s="12">
        <f t="shared" si="3"/>
        <v>11982.78</v>
      </c>
      <c r="AR47" s="12">
        <f t="shared" si="3"/>
        <v>12960.650000000001</v>
      </c>
      <c r="AS47" s="12">
        <f t="shared" si="3"/>
        <v>7671.64</v>
      </c>
      <c r="AT47" s="12">
        <f t="shared" si="3"/>
        <v>11589.75</v>
      </c>
      <c r="AU47" s="12">
        <f t="shared" si="3"/>
        <v>1381651.9566938099</v>
      </c>
    </row>
    <row r="48" spans="1:47" x14ac:dyDescent="0.2">
      <c r="A48" s="13" t="s">
        <v>94</v>
      </c>
      <c r="B48" s="12">
        <f t="shared" ref="B48:AU48" si="4">B26+0+0+B47</f>
        <v>945868.31055000005</v>
      </c>
      <c r="C48" s="12">
        <f t="shared" si="4"/>
        <v>960283.69212799997</v>
      </c>
      <c r="D48" s="12">
        <f t="shared" si="4"/>
        <v>1116349.909523</v>
      </c>
      <c r="E48" s="12">
        <f t="shared" si="4"/>
        <v>744888.86</v>
      </c>
      <c r="F48" s="12">
        <f t="shared" si="4"/>
        <v>843349.5480350001</v>
      </c>
      <c r="G48" s="12">
        <f t="shared" si="4"/>
        <v>948577.68585000001</v>
      </c>
      <c r="H48" s="12">
        <f t="shared" si="4"/>
        <v>1249506.2620900001</v>
      </c>
      <c r="I48" s="12">
        <f t="shared" si="4"/>
        <v>1270297.0629999998</v>
      </c>
      <c r="J48" s="12">
        <f t="shared" si="4"/>
        <v>1030958.9598600001</v>
      </c>
      <c r="K48" s="12">
        <f t="shared" si="4"/>
        <v>923282.21501500008</v>
      </c>
      <c r="L48" s="12">
        <f t="shared" si="4"/>
        <v>1149752.8182400002</v>
      </c>
      <c r="M48" s="12">
        <f t="shared" si="4"/>
        <v>1459116.6989829999</v>
      </c>
      <c r="N48" s="12">
        <f t="shared" si="4"/>
        <v>1.1368683772161603E-13</v>
      </c>
      <c r="O48" s="12">
        <f t="shared" si="4"/>
        <v>1024684.910632</v>
      </c>
      <c r="P48" s="12">
        <f t="shared" si="4"/>
        <v>1030685.52416</v>
      </c>
      <c r="Q48" s="12">
        <f t="shared" si="4"/>
        <v>1673760.0236439998</v>
      </c>
      <c r="R48" s="12">
        <f t="shared" si="4"/>
        <v>1699010.8575059997</v>
      </c>
      <c r="S48" s="12">
        <f t="shared" si="4"/>
        <v>1429178.568955</v>
      </c>
      <c r="T48" s="12">
        <f t="shared" si="4"/>
        <v>1466886.8084400001</v>
      </c>
      <c r="U48" s="12">
        <f t="shared" si="4"/>
        <v>1355207.5850490001</v>
      </c>
      <c r="V48" s="12">
        <f t="shared" si="4"/>
        <v>1292817.6037409999</v>
      </c>
      <c r="W48" s="12">
        <f t="shared" si="4"/>
        <v>1351199.119459</v>
      </c>
      <c r="X48" s="12">
        <f t="shared" si="4"/>
        <v>1463557.0950501</v>
      </c>
      <c r="Y48" s="12">
        <f t="shared" si="4"/>
        <v>1427673.5282912198</v>
      </c>
      <c r="Z48" s="12">
        <f t="shared" si="4"/>
        <v>1764145.8091750725</v>
      </c>
      <c r="AA48" s="12">
        <f t="shared" si="4"/>
        <v>0</v>
      </c>
      <c r="AB48" s="12">
        <f t="shared" si="4"/>
        <v>1288082.6962921803</v>
      </c>
      <c r="AC48" s="12">
        <f t="shared" si="4"/>
        <v>1571288.3270766099</v>
      </c>
      <c r="AD48" s="12">
        <f t="shared" si="4"/>
        <v>1612022.9826201801</v>
      </c>
      <c r="AE48" s="12">
        <f t="shared" si="4"/>
        <v>1478941.88393575</v>
      </c>
      <c r="AF48" s="12">
        <f t="shared" si="4"/>
        <v>1630470.5009976402</v>
      </c>
      <c r="AG48" s="12">
        <f t="shared" si="4"/>
        <v>1713475.8589361997</v>
      </c>
      <c r="AH48" s="12">
        <f t="shared" si="4"/>
        <v>1494190.90452783</v>
      </c>
      <c r="AI48" s="12">
        <f t="shared" si="4"/>
        <v>2068088.5501515002</v>
      </c>
      <c r="AJ48" s="12">
        <f t="shared" si="4"/>
        <v>1614747.5731146601</v>
      </c>
      <c r="AK48" s="12">
        <f t="shared" si="4"/>
        <v>2049885.0542412896</v>
      </c>
      <c r="AL48" s="12">
        <f t="shared" si="4"/>
        <v>2167148.0596011099</v>
      </c>
      <c r="AM48" s="12">
        <f t="shared" si="4"/>
        <v>4722631.2976745199</v>
      </c>
      <c r="AN48" s="12">
        <f t="shared" si="4"/>
        <v>0</v>
      </c>
      <c r="AO48" s="12">
        <f t="shared" si="4"/>
        <v>1767392.14475415</v>
      </c>
      <c r="AP48" s="12">
        <f t="shared" si="4"/>
        <v>1766270.3542433199</v>
      </c>
      <c r="AQ48" s="12">
        <f t="shared" si="4"/>
        <v>2303463.6758659198</v>
      </c>
      <c r="AR48" s="12">
        <f t="shared" si="4"/>
        <v>1714732.57723065</v>
      </c>
      <c r="AS48" s="12">
        <f t="shared" si="4"/>
        <v>1875083.63275427</v>
      </c>
      <c r="AT48" s="12">
        <f t="shared" si="4"/>
        <v>1845067.8432620799</v>
      </c>
      <c r="AU48" s="12">
        <f t="shared" si="4"/>
        <v>64304023.374656267</v>
      </c>
    </row>
    <row r="49" spans="1:47" x14ac:dyDescent="0.2">
      <c r="A49" s="7" t="s">
        <v>95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</row>
    <row r="50" spans="1:47" x14ac:dyDescent="0.2">
      <c r="A50" s="8" t="s">
        <v>96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</row>
    <row r="51" spans="1:47" x14ac:dyDescent="0.2">
      <c r="A51" s="9" t="s">
        <v>97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4.2</v>
      </c>
      <c r="AN51" s="10">
        <v>0</v>
      </c>
      <c r="AO51" s="10">
        <v>0</v>
      </c>
      <c r="AP51" s="10">
        <v>0</v>
      </c>
      <c r="AQ51" s="10">
        <v>191.8</v>
      </c>
      <c r="AR51" s="10">
        <v>0</v>
      </c>
      <c r="AS51" s="10">
        <v>0</v>
      </c>
      <c r="AT51" s="10">
        <v>0</v>
      </c>
      <c r="AU51" s="10">
        <f t="shared" ref="AU51:AU60" si="5">SUM(B51:AT51)</f>
        <v>196</v>
      </c>
    </row>
    <row r="52" spans="1:47" x14ac:dyDescent="0.2">
      <c r="A52" s="9" t="s">
        <v>98</v>
      </c>
      <c r="B52" s="10">
        <v>-2151.5</v>
      </c>
      <c r="C52" s="10">
        <v>-13593.6</v>
      </c>
      <c r="D52" s="10">
        <v>-191205.31</v>
      </c>
      <c r="E52" s="10">
        <v>-4536</v>
      </c>
      <c r="F52" s="10">
        <v>-194278.83</v>
      </c>
      <c r="G52" s="10">
        <v>-185024.02</v>
      </c>
      <c r="H52" s="10">
        <v>0</v>
      </c>
      <c r="I52" s="10">
        <v>0</v>
      </c>
      <c r="J52" s="10">
        <v>-17800.759999999998</v>
      </c>
      <c r="K52" s="10">
        <v>0</v>
      </c>
      <c r="L52" s="10">
        <v>0</v>
      </c>
      <c r="M52" s="10">
        <v>0</v>
      </c>
      <c r="N52" s="10">
        <v>19890</v>
      </c>
      <c r="O52" s="10">
        <v>0</v>
      </c>
      <c r="P52" s="10">
        <v>0</v>
      </c>
      <c r="Q52" s="10">
        <v>0</v>
      </c>
      <c r="R52" s="10">
        <v>0</v>
      </c>
      <c r="S52" s="10">
        <v>-14276.7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-16225.7436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-30540.833778</v>
      </c>
      <c r="AT52" s="10">
        <v>0</v>
      </c>
      <c r="AU52" s="10">
        <f t="shared" si="5"/>
        <v>-649743.29737799999</v>
      </c>
    </row>
    <row r="53" spans="1:47" x14ac:dyDescent="0.2">
      <c r="A53" s="9" t="s">
        <v>99</v>
      </c>
      <c r="B53" s="10">
        <v>0</v>
      </c>
      <c r="C53" s="10">
        <v>-14214.37</v>
      </c>
      <c r="D53" s="10">
        <v>-3346.37</v>
      </c>
      <c r="E53" s="10">
        <v>0</v>
      </c>
      <c r="F53" s="10">
        <v>0</v>
      </c>
      <c r="G53" s="10">
        <v>-3346.37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20907.11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f t="shared" si="5"/>
        <v>0</v>
      </c>
    </row>
    <row r="54" spans="1:47" x14ac:dyDescent="0.2">
      <c r="A54" s="9" t="s">
        <v>100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-4536</v>
      </c>
      <c r="I54" s="10">
        <v>-350261.78</v>
      </c>
      <c r="J54" s="10">
        <v>-2134.06</v>
      </c>
      <c r="K54" s="10">
        <v>-19890</v>
      </c>
      <c r="L54" s="10">
        <v>0</v>
      </c>
      <c r="M54" s="10">
        <v>0</v>
      </c>
      <c r="N54" s="10">
        <v>0</v>
      </c>
      <c r="O54" s="10">
        <v>-4643.8999999999996</v>
      </c>
      <c r="P54" s="10">
        <v>-453.6</v>
      </c>
      <c r="Q54" s="10">
        <v>-207349.68</v>
      </c>
      <c r="R54" s="10">
        <v>-267421.18</v>
      </c>
      <c r="S54" s="10">
        <v>-192650.08</v>
      </c>
      <c r="T54" s="10">
        <v>-45305.7</v>
      </c>
      <c r="U54" s="10">
        <v>-2630.65</v>
      </c>
      <c r="V54" s="10">
        <v>-59304</v>
      </c>
      <c r="W54" s="10">
        <v>-45111.12</v>
      </c>
      <c r="X54" s="10">
        <v>-87130.36</v>
      </c>
      <c r="Y54" s="10">
        <v>39900</v>
      </c>
      <c r="Z54" s="10">
        <v>-1091.5999999999999</v>
      </c>
      <c r="AA54" s="10">
        <v>0</v>
      </c>
      <c r="AB54" s="10">
        <v>-2151.5</v>
      </c>
      <c r="AC54" s="10">
        <v>0</v>
      </c>
      <c r="AD54" s="10">
        <v>-25676.81</v>
      </c>
      <c r="AE54" s="10">
        <v>-25397.62</v>
      </c>
      <c r="AF54" s="10">
        <v>-18024.2</v>
      </c>
      <c r="AG54" s="10">
        <v>-151785.76999999999</v>
      </c>
      <c r="AH54" s="10">
        <v>-9565.91</v>
      </c>
      <c r="AI54" s="10">
        <v>-25164</v>
      </c>
      <c r="AJ54" s="10">
        <v>-22040</v>
      </c>
      <c r="AK54" s="10">
        <v>-72652.679999999993</v>
      </c>
      <c r="AL54" s="10">
        <v>-64125</v>
      </c>
      <c r="AM54" s="10">
        <v>0</v>
      </c>
      <c r="AN54" s="10">
        <v>0</v>
      </c>
      <c r="AO54" s="10">
        <v>-2151.5</v>
      </c>
      <c r="AP54" s="10">
        <v>-24168</v>
      </c>
      <c r="AQ54" s="10">
        <v>-154450.23228299999</v>
      </c>
      <c r="AR54" s="10">
        <v>-7527.5</v>
      </c>
      <c r="AS54" s="10">
        <v>-19833.93</v>
      </c>
      <c r="AT54" s="10">
        <v>0</v>
      </c>
      <c r="AU54" s="10">
        <f t="shared" si="5"/>
        <v>-1874728.362283</v>
      </c>
    </row>
    <row r="55" spans="1:47" x14ac:dyDescent="0.2">
      <c r="A55" s="9" t="s">
        <v>101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-19890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f t="shared" si="5"/>
        <v>-19890</v>
      </c>
    </row>
    <row r="56" spans="1:47" x14ac:dyDescent="0.2">
      <c r="A56" s="9" t="s">
        <v>102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-0.04</v>
      </c>
      <c r="AG56" s="10">
        <v>0</v>
      </c>
      <c r="AH56" s="10">
        <v>0.03</v>
      </c>
      <c r="AI56" s="10">
        <v>-0.05</v>
      </c>
      <c r="AJ56" s="10">
        <v>-0.05</v>
      </c>
      <c r="AK56" s="10">
        <v>0.04</v>
      </c>
      <c r="AL56" s="10">
        <v>0.08</v>
      </c>
      <c r="AM56" s="10">
        <v>-0.01</v>
      </c>
      <c r="AN56" s="10">
        <v>0</v>
      </c>
      <c r="AO56" s="10">
        <v>-0.11</v>
      </c>
      <c r="AP56" s="10">
        <v>0.01</v>
      </c>
      <c r="AQ56" s="10">
        <v>-0.02</v>
      </c>
      <c r="AR56" s="10">
        <v>-0.08</v>
      </c>
      <c r="AS56" s="10">
        <v>0</v>
      </c>
      <c r="AT56" s="10">
        <v>0</v>
      </c>
      <c r="AU56" s="10">
        <f t="shared" si="5"/>
        <v>-0.2</v>
      </c>
    </row>
    <row r="57" spans="1:47" x14ac:dyDescent="0.2">
      <c r="A57" s="9" t="s">
        <v>103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0.02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f t="shared" si="5"/>
        <v>0.02</v>
      </c>
    </row>
    <row r="58" spans="1:47" x14ac:dyDescent="0.2">
      <c r="A58" s="9" t="s">
        <v>104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0.01</v>
      </c>
      <c r="L58" s="10">
        <v>0.02</v>
      </c>
      <c r="M58" s="10">
        <v>40.840000000000003</v>
      </c>
      <c r="N58" s="10">
        <v>0</v>
      </c>
      <c r="O58" s="10">
        <v>-0.01</v>
      </c>
      <c r="P58" s="10">
        <v>0.03</v>
      </c>
      <c r="Q58" s="10">
        <v>-0.06</v>
      </c>
      <c r="R58" s="10">
        <v>-0.01</v>
      </c>
      <c r="S58" s="10">
        <v>0.13</v>
      </c>
      <c r="T58" s="10">
        <v>-0.06</v>
      </c>
      <c r="U58" s="10">
        <v>-0.06</v>
      </c>
      <c r="V58" s="10">
        <v>-0.01</v>
      </c>
      <c r="W58" s="10">
        <v>-0.08</v>
      </c>
      <c r="X58" s="10">
        <v>-0.04</v>
      </c>
      <c r="Y58" s="10">
        <v>-0.01</v>
      </c>
      <c r="Z58" s="10">
        <v>-0.08</v>
      </c>
      <c r="AA58" s="10">
        <v>0</v>
      </c>
      <c r="AB58" s="10">
        <v>-4.1208670000000003E-2</v>
      </c>
      <c r="AC58" s="10">
        <v>-16.87</v>
      </c>
      <c r="AD58" s="10">
        <v>0.02</v>
      </c>
      <c r="AE58" s="10">
        <v>16.899999999999999</v>
      </c>
      <c r="AF58" s="10">
        <v>-0.11</v>
      </c>
      <c r="AG58" s="10">
        <v>0.02</v>
      </c>
      <c r="AH58" s="10">
        <v>36.79</v>
      </c>
      <c r="AI58" s="10">
        <v>0.01</v>
      </c>
      <c r="AJ58" s="10">
        <v>-0.01</v>
      </c>
      <c r="AK58" s="10">
        <v>0</v>
      </c>
      <c r="AL58" s="10">
        <v>0.08</v>
      </c>
      <c r="AM58" s="10">
        <v>-16.790289260000002</v>
      </c>
      <c r="AN58" s="10">
        <v>0</v>
      </c>
      <c r="AO58" s="10">
        <v>0.11</v>
      </c>
      <c r="AP58" s="10">
        <v>-0.1</v>
      </c>
      <c r="AQ58" s="10">
        <v>0</v>
      </c>
      <c r="AR58" s="10">
        <v>0</v>
      </c>
      <c r="AS58" s="10">
        <v>-0.01</v>
      </c>
      <c r="AT58" s="10">
        <v>-0.01</v>
      </c>
      <c r="AU58" s="10">
        <f t="shared" si="5"/>
        <v>60.598502070000009</v>
      </c>
    </row>
    <row r="59" spans="1:47" x14ac:dyDescent="0.2">
      <c r="A59" s="9" t="s">
        <v>105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27000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1140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f t="shared" si="5"/>
        <v>28140</v>
      </c>
    </row>
    <row r="60" spans="1:47" x14ac:dyDescent="0.2">
      <c r="A60" s="9" t="s">
        <v>106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3556.55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f t="shared" si="5"/>
        <v>3556.55</v>
      </c>
    </row>
    <row r="61" spans="1:47" x14ac:dyDescent="0.2">
      <c r="A61" s="11" t="s">
        <v>107</v>
      </c>
      <c r="B61" s="12">
        <f t="shared" ref="B61:AU61" si="6">SUM(B51:B60)</f>
        <v>-2151.5</v>
      </c>
      <c r="C61" s="12">
        <f t="shared" si="6"/>
        <v>-27807.97</v>
      </c>
      <c r="D61" s="12">
        <f t="shared" si="6"/>
        <v>-194551.67999999999</v>
      </c>
      <c r="E61" s="12">
        <f t="shared" si="6"/>
        <v>-4536</v>
      </c>
      <c r="F61" s="12">
        <f t="shared" si="6"/>
        <v>-194278.83</v>
      </c>
      <c r="G61" s="12">
        <f t="shared" si="6"/>
        <v>-188370.38999999998</v>
      </c>
      <c r="H61" s="12">
        <f t="shared" si="6"/>
        <v>-4536</v>
      </c>
      <c r="I61" s="12">
        <f t="shared" si="6"/>
        <v>-350261.78</v>
      </c>
      <c r="J61" s="12">
        <f t="shared" si="6"/>
        <v>-19934.82</v>
      </c>
      <c r="K61" s="12">
        <f t="shared" si="6"/>
        <v>-19889.990000000002</v>
      </c>
      <c r="L61" s="12">
        <f t="shared" si="6"/>
        <v>0.02</v>
      </c>
      <c r="M61" s="12">
        <f t="shared" si="6"/>
        <v>3597.3900000000003</v>
      </c>
      <c r="N61" s="12">
        <f t="shared" si="6"/>
        <v>20907.11</v>
      </c>
      <c r="O61" s="12">
        <f t="shared" si="6"/>
        <v>-4643.91</v>
      </c>
      <c r="P61" s="12">
        <f t="shared" si="6"/>
        <v>-453.57000000000005</v>
      </c>
      <c r="Q61" s="12">
        <f t="shared" si="6"/>
        <v>-207349.74</v>
      </c>
      <c r="R61" s="12">
        <f t="shared" si="6"/>
        <v>-267421.19</v>
      </c>
      <c r="S61" s="12">
        <f t="shared" si="6"/>
        <v>-206926.65</v>
      </c>
      <c r="T61" s="12">
        <f t="shared" si="6"/>
        <v>-45305.759999999995</v>
      </c>
      <c r="U61" s="12">
        <f t="shared" si="6"/>
        <v>-2630.71</v>
      </c>
      <c r="V61" s="12">
        <f t="shared" si="6"/>
        <v>-59304.01</v>
      </c>
      <c r="W61" s="12">
        <f t="shared" si="6"/>
        <v>-45111.200000000004</v>
      </c>
      <c r="X61" s="12">
        <f t="shared" si="6"/>
        <v>-87130.4</v>
      </c>
      <c r="Y61" s="12">
        <f t="shared" si="6"/>
        <v>66899.989999999991</v>
      </c>
      <c r="Z61" s="12">
        <f t="shared" si="6"/>
        <v>-1091.6799999999998</v>
      </c>
      <c r="AA61" s="12">
        <f t="shared" si="6"/>
        <v>0</v>
      </c>
      <c r="AB61" s="12">
        <f t="shared" si="6"/>
        <v>-2151.5412086699998</v>
      </c>
      <c r="AC61" s="12">
        <f t="shared" si="6"/>
        <v>-16.87</v>
      </c>
      <c r="AD61" s="12">
        <f t="shared" si="6"/>
        <v>-25676.79</v>
      </c>
      <c r="AE61" s="12">
        <f t="shared" si="6"/>
        <v>-25380.719999999998</v>
      </c>
      <c r="AF61" s="12">
        <f t="shared" si="6"/>
        <v>-34250.0936</v>
      </c>
      <c r="AG61" s="12">
        <f t="shared" si="6"/>
        <v>-151785.75</v>
      </c>
      <c r="AH61" s="12">
        <f t="shared" si="6"/>
        <v>-9529.0899999999983</v>
      </c>
      <c r="AI61" s="12">
        <f t="shared" si="6"/>
        <v>-25164.04</v>
      </c>
      <c r="AJ61" s="12">
        <f t="shared" si="6"/>
        <v>-22040.059999999998</v>
      </c>
      <c r="AK61" s="12">
        <f t="shared" si="6"/>
        <v>-72652.639999999999</v>
      </c>
      <c r="AL61" s="12">
        <f t="shared" si="6"/>
        <v>-64124.84</v>
      </c>
      <c r="AM61" s="12">
        <f t="shared" si="6"/>
        <v>1127.39971074</v>
      </c>
      <c r="AN61" s="12">
        <f t="shared" si="6"/>
        <v>0</v>
      </c>
      <c r="AO61" s="12">
        <f t="shared" si="6"/>
        <v>-2151.48</v>
      </c>
      <c r="AP61" s="12">
        <f t="shared" si="6"/>
        <v>-24168.09</v>
      </c>
      <c r="AQ61" s="12">
        <f t="shared" si="6"/>
        <v>-154258.45228299999</v>
      </c>
      <c r="AR61" s="12">
        <f t="shared" si="6"/>
        <v>-7527.58</v>
      </c>
      <c r="AS61" s="12">
        <f t="shared" si="6"/>
        <v>-50374.773778000002</v>
      </c>
      <c r="AT61" s="12">
        <f t="shared" si="6"/>
        <v>-0.01</v>
      </c>
      <c r="AU61" s="12">
        <f t="shared" si="6"/>
        <v>-2512408.6911589303</v>
      </c>
    </row>
    <row r="62" spans="1:47" x14ac:dyDescent="0.2">
      <c r="A62" s="8" t="s">
        <v>108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</row>
    <row r="63" spans="1:47" x14ac:dyDescent="0.2">
      <c r="A63" s="9" t="s">
        <v>109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3154.8</v>
      </c>
      <c r="N63" s="10">
        <v>-214678.99</v>
      </c>
      <c r="O63" s="10">
        <v>-19219.919999999998</v>
      </c>
      <c r="P63" s="10">
        <v>-9676.69</v>
      </c>
      <c r="Q63" s="10">
        <v>-39548.6</v>
      </c>
      <c r="R63" s="10">
        <v>-33903.800000000003</v>
      </c>
      <c r="S63" s="10">
        <v>-41704.57</v>
      </c>
      <c r="T63" s="10">
        <v>-53017.8</v>
      </c>
      <c r="U63" s="10">
        <v>-23039.18</v>
      </c>
      <c r="V63" s="10">
        <v>-37633.18</v>
      </c>
      <c r="W63" s="10">
        <v>-13272.81</v>
      </c>
      <c r="X63" s="10">
        <v>-13022.49</v>
      </c>
      <c r="Y63" s="10">
        <v>-9777.26</v>
      </c>
      <c r="Z63" s="10">
        <v>-20036.560000000001</v>
      </c>
      <c r="AA63" s="10">
        <v>0</v>
      </c>
      <c r="AB63" s="10">
        <v>-12186.1</v>
      </c>
      <c r="AC63" s="10">
        <v>-22954.02</v>
      </c>
      <c r="AD63" s="10">
        <v>-27153.01</v>
      </c>
      <c r="AE63" s="10">
        <v>-32269.48</v>
      </c>
      <c r="AF63" s="10">
        <v>-40829.379999999997</v>
      </c>
      <c r="AG63" s="10">
        <v>-49903.03</v>
      </c>
      <c r="AH63" s="10">
        <v>-12827.18</v>
      </c>
      <c r="AI63" s="10">
        <v>-98282.68</v>
      </c>
      <c r="AJ63" s="10">
        <v>-78716</v>
      </c>
      <c r="AK63" s="10">
        <v>-51050.42</v>
      </c>
      <c r="AL63" s="10">
        <v>-50633.599999999999</v>
      </c>
      <c r="AM63" s="10">
        <v>-25521.48</v>
      </c>
      <c r="AN63" s="10">
        <v>0</v>
      </c>
      <c r="AO63" s="10">
        <v>-40492.300000000003</v>
      </c>
      <c r="AP63" s="10">
        <v>-46901.27</v>
      </c>
      <c r="AQ63" s="10">
        <v>-73425.009999999995</v>
      </c>
      <c r="AR63" s="10">
        <v>-34648.839999999997</v>
      </c>
      <c r="AS63" s="10">
        <v>-99310.59</v>
      </c>
      <c r="AT63" s="10">
        <v>-63620.81</v>
      </c>
      <c r="AU63" s="10">
        <f t="shared" ref="AU63:AU68" si="7">SUM(B63:AT63)</f>
        <v>-1386102.2500000002</v>
      </c>
    </row>
    <row r="64" spans="1:47" x14ac:dyDescent="0.2">
      <c r="A64" s="9" t="s">
        <v>110</v>
      </c>
      <c r="B64" s="10">
        <v>-8647.75</v>
      </c>
      <c r="C64" s="10">
        <v>0</v>
      </c>
      <c r="D64" s="10">
        <v>0</v>
      </c>
      <c r="E64" s="10">
        <v>-8647.75</v>
      </c>
      <c r="F64" s="10">
        <v>0</v>
      </c>
      <c r="G64" s="10">
        <v>0</v>
      </c>
      <c r="H64" s="10">
        <v>-10251.81</v>
      </c>
      <c r="I64" s="10">
        <v>-2504.64</v>
      </c>
      <c r="J64" s="10">
        <v>-109074.89</v>
      </c>
      <c r="K64" s="10">
        <v>-82808.800000000003</v>
      </c>
      <c r="L64" s="10">
        <v>-70756.039999999994</v>
      </c>
      <c r="M64" s="10">
        <v>-37548.693271999997</v>
      </c>
      <c r="N64" s="10">
        <v>310890.25</v>
      </c>
      <c r="O64" s="10">
        <v>-9093.25</v>
      </c>
      <c r="P64" s="10">
        <v>-3450.67344</v>
      </c>
      <c r="Q64" s="10">
        <v>-143211.13039999999</v>
      </c>
      <c r="R64" s="10">
        <v>-179209.00109999999</v>
      </c>
      <c r="S64" s="10">
        <v>-61627.934249999998</v>
      </c>
      <c r="T64" s="10">
        <v>-118603.03200000001</v>
      </c>
      <c r="U64" s="10">
        <v>-104184.33534999999</v>
      </c>
      <c r="V64" s="10">
        <v>-80017.317999999999</v>
      </c>
      <c r="W64" s="10">
        <v>-126534.8664</v>
      </c>
      <c r="X64" s="10">
        <v>-113542.97087999999</v>
      </c>
      <c r="Y64" s="10">
        <v>-101610.34852</v>
      </c>
      <c r="Z64" s="10">
        <v>-136988.44793185001</v>
      </c>
      <c r="AA64" s="10">
        <v>0</v>
      </c>
      <c r="AB64" s="10">
        <v>-56491.131895999999</v>
      </c>
      <c r="AC64" s="10">
        <v>-88917.028449999998</v>
      </c>
      <c r="AD64" s="10">
        <v>-151161.659316</v>
      </c>
      <c r="AE64" s="10">
        <v>-91535.325328000006</v>
      </c>
      <c r="AF64" s="10">
        <v>-96790.933927999999</v>
      </c>
      <c r="AG64" s="10">
        <v>-86485.544016</v>
      </c>
      <c r="AH64" s="10">
        <v>-4549.83</v>
      </c>
      <c r="AI64" s="10">
        <v>-248213.133952</v>
      </c>
      <c r="AJ64" s="10">
        <v>-142902.90443200001</v>
      </c>
      <c r="AK64" s="10">
        <v>-105612.625805</v>
      </c>
      <c r="AL64" s="10">
        <v>-140565.85</v>
      </c>
      <c r="AM64" s="10">
        <v>-391436.54264642001</v>
      </c>
      <c r="AN64" s="10">
        <v>0</v>
      </c>
      <c r="AO64" s="10">
        <v>-147055.22463000001</v>
      </c>
      <c r="AP64" s="10">
        <v>-123798.330224</v>
      </c>
      <c r="AQ64" s="10">
        <v>-38590.032675000002</v>
      </c>
      <c r="AR64" s="10">
        <v>-52920.456525000001</v>
      </c>
      <c r="AS64" s="10">
        <v>-68057.292914000005</v>
      </c>
      <c r="AT64" s="10">
        <v>-94256.663996000003</v>
      </c>
      <c r="AU64" s="10">
        <f t="shared" si="7"/>
        <v>-3326763.9422772699</v>
      </c>
    </row>
    <row r="65" spans="1:47" x14ac:dyDescent="0.2">
      <c r="A65" s="9" t="s">
        <v>111</v>
      </c>
      <c r="B65" s="10">
        <v>-223.36</v>
      </c>
      <c r="C65" s="10">
        <v>-523.11</v>
      </c>
      <c r="D65" s="10">
        <v>-313.86</v>
      </c>
      <c r="E65" s="10">
        <v>-391.86</v>
      </c>
      <c r="F65" s="10">
        <v>-352.86</v>
      </c>
      <c r="G65" s="10">
        <v>-884.11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0.02</v>
      </c>
      <c r="N65" s="10">
        <v>-122173.17</v>
      </c>
      <c r="O65" s="10">
        <v>-13976.46</v>
      </c>
      <c r="P65" s="10">
        <v>-12294.64</v>
      </c>
      <c r="Q65" s="10">
        <v>-11294.64</v>
      </c>
      <c r="R65" s="10">
        <v>-294.64</v>
      </c>
      <c r="S65" s="10">
        <v>-71324.639999999999</v>
      </c>
      <c r="T65" s="10">
        <v>-6494.64</v>
      </c>
      <c r="U65" s="10">
        <v>-8404.64</v>
      </c>
      <c r="V65" s="10">
        <v>-6701.14</v>
      </c>
      <c r="W65" s="10">
        <v>-33087.75</v>
      </c>
      <c r="X65" s="10">
        <v>-51553.06</v>
      </c>
      <c r="Y65" s="10">
        <v>-10574.79</v>
      </c>
      <c r="Z65" s="10">
        <v>-120415.97</v>
      </c>
      <c r="AA65" s="10">
        <v>0</v>
      </c>
      <c r="AB65" s="10">
        <v>-13020.44</v>
      </c>
      <c r="AC65" s="10">
        <v>-301.08</v>
      </c>
      <c r="AD65" s="10">
        <v>-319.89999999999998</v>
      </c>
      <c r="AE65" s="10">
        <v>-311.08</v>
      </c>
      <c r="AF65" s="10">
        <v>-303.49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22895.99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f t="shared" si="7"/>
        <v>-462639.32000000012</v>
      </c>
    </row>
    <row r="66" spans="1:47" x14ac:dyDescent="0.2">
      <c r="A66" s="9" t="s">
        <v>112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-382901.72073920001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-2423772.8358919998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f t="shared" si="7"/>
        <v>-2806674.5566312</v>
      </c>
    </row>
    <row r="67" spans="1:47" x14ac:dyDescent="0.2">
      <c r="A67" s="9" t="s">
        <v>113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-35482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-11077.58</v>
      </c>
      <c r="AF67" s="10">
        <v>0</v>
      </c>
      <c r="AG67" s="10">
        <v>-3797.4</v>
      </c>
      <c r="AH67" s="10">
        <v>-1596.95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f t="shared" si="7"/>
        <v>-51953.93</v>
      </c>
    </row>
    <row r="68" spans="1:47" x14ac:dyDescent="0.2">
      <c r="A68" s="9" t="s">
        <v>114</v>
      </c>
      <c r="B68" s="10">
        <v>-800.8</v>
      </c>
      <c r="C68" s="10">
        <v>-33134.800000000003</v>
      </c>
      <c r="D68" s="10">
        <v>-800.8</v>
      </c>
      <c r="E68" s="10">
        <v>-800.8</v>
      </c>
      <c r="F68" s="10">
        <v>-800.8</v>
      </c>
      <c r="G68" s="10">
        <v>-1050.8</v>
      </c>
      <c r="H68" s="10">
        <v>-78852.12</v>
      </c>
      <c r="I68" s="10">
        <v>-23706.83</v>
      </c>
      <c r="J68" s="10">
        <v>-34946</v>
      </c>
      <c r="K68" s="10">
        <v>0</v>
      </c>
      <c r="L68" s="10">
        <v>-169770.83</v>
      </c>
      <c r="M68" s="10">
        <v>-170087</v>
      </c>
      <c r="N68" s="10">
        <v>5054.8</v>
      </c>
      <c r="O68" s="10">
        <v>-17572</v>
      </c>
      <c r="P68" s="10">
        <v>-39590.83</v>
      </c>
      <c r="Q68" s="10">
        <v>-20705</v>
      </c>
      <c r="R68" s="10">
        <v>-73473.2</v>
      </c>
      <c r="S68" s="10">
        <v>-17394</v>
      </c>
      <c r="T68" s="10">
        <v>-137489.82999999999</v>
      </c>
      <c r="U68" s="10">
        <v>-28747</v>
      </c>
      <c r="V68" s="10">
        <v>-41188.83</v>
      </c>
      <c r="W68" s="10">
        <v>-47338</v>
      </c>
      <c r="X68" s="10">
        <v>-101218.5</v>
      </c>
      <c r="Y68" s="10">
        <v>-44266</v>
      </c>
      <c r="Z68" s="10">
        <v>-93810.83</v>
      </c>
      <c r="AA68" s="10">
        <v>0</v>
      </c>
      <c r="AB68" s="10">
        <v>-64127</v>
      </c>
      <c r="AC68" s="10">
        <v>-114167.83</v>
      </c>
      <c r="AD68" s="10">
        <v>-87062</v>
      </c>
      <c r="AE68" s="10">
        <v>-71487.94</v>
      </c>
      <c r="AF68" s="10">
        <v>-93102.83</v>
      </c>
      <c r="AG68" s="10">
        <v>-77116</v>
      </c>
      <c r="AH68" s="10">
        <v>0</v>
      </c>
      <c r="AI68" s="10">
        <v>-170431.86</v>
      </c>
      <c r="AJ68" s="10">
        <v>-56692</v>
      </c>
      <c r="AK68" s="10">
        <v>-152.80000000000001</v>
      </c>
      <c r="AL68" s="10">
        <v>-189965.86</v>
      </c>
      <c r="AM68" s="10">
        <v>-68825</v>
      </c>
      <c r="AN68" s="10">
        <v>0</v>
      </c>
      <c r="AO68" s="10">
        <v>-63846</v>
      </c>
      <c r="AP68" s="10">
        <v>-80389.86</v>
      </c>
      <c r="AQ68" s="10">
        <v>-49224</v>
      </c>
      <c r="AR68" s="10">
        <v>-43755.29</v>
      </c>
      <c r="AS68" s="10">
        <v>-81245.61</v>
      </c>
      <c r="AT68" s="10">
        <v>-92642</v>
      </c>
      <c r="AU68" s="10">
        <f t="shared" si="7"/>
        <v>-2576724.6799999997</v>
      </c>
    </row>
    <row r="69" spans="1:47" x14ac:dyDescent="0.2">
      <c r="A69" s="11" t="s">
        <v>115</v>
      </c>
      <c r="B69" s="12">
        <f t="shared" ref="B69:AU69" si="8">SUM(B63:B68)</f>
        <v>-9671.91</v>
      </c>
      <c r="C69" s="12">
        <f t="shared" si="8"/>
        <v>-33657.910000000003</v>
      </c>
      <c r="D69" s="12">
        <f t="shared" si="8"/>
        <v>-1114.6599999999999</v>
      </c>
      <c r="E69" s="12">
        <f t="shared" si="8"/>
        <v>-9840.41</v>
      </c>
      <c r="F69" s="12">
        <f t="shared" si="8"/>
        <v>-1153.6599999999999</v>
      </c>
      <c r="G69" s="12">
        <f t="shared" si="8"/>
        <v>-1934.9099999999999</v>
      </c>
      <c r="H69" s="12">
        <f t="shared" si="8"/>
        <v>-89103.93</v>
      </c>
      <c r="I69" s="12">
        <f t="shared" si="8"/>
        <v>-26211.47</v>
      </c>
      <c r="J69" s="12">
        <f t="shared" si="8"/>
        <v>-144020.89000000001</v>
      </c>
      <c r="K69" s="12">
        <f t="shared" si="8"/>
        <v>-82808.800000000003</v>
      </c>
      <c r="L69" s="12">
        <f t="shared" si="8"/>
        <v>-240526.87</v>
      </c>
      <c r="M69" s="12">
        <f t="shared" si="8"/>
        <v>-239962.873272</v>
      </c>
      <c r="N69" s="12">
        <f t="shared" si="8"/>
        <v>-20907.10999999999</v>
      </c>
      <c r="O69" s="12">
        <f t="shared" si="8"/>
        <v>-59861.63</v>
      </c>
      <c r="P69" s="12">
        <f t="shared" si="8"/>
        <v>-65012.833440000002</v>
      </c>
      <c r="Q69" s="12">
        <f t="shared" si="8"/>
        <v>-214759.37040000001</v>
      </c>
      <c r="R69" s="12">
        <f t="shared" si="8"/>
        <v>-286880.64110000001</v>
      </c>
      <c r="S69" s="12">
        <f t="shared" si="8"/>
        <v>-192051.14425000001</v>
      </c>
      <c r="T69" s="12">
        <f t="shared" si="8"/>
        <v>-315605.30200000003</v>
      </c>
      <c r="U69" s="12">
        <f t="shared" si="8"/>
        <v>-164375.15535000002</v>
      </c>
      <c r="V69" s="12">
        <f t="shared" si="8"/>
        <v>-165540.46799999999</v>
      </c>
      <c r="W69" s="12">
        <f t="shared" si="8"/>
        <v>-220233.4264</v>
      </c>
      <c r="X69" s="12">
        <f t="shared" si="8"/>
        <v>-279337.02087999997</v>
      </c>
      <c r="Y69" s="12">
        <f t="shared" si="8"/>
        <v>-166228.39851999999</v>
      </c>
      <c r="Z69" s="12">
        <f t="shared" si="8"/>
        <v>-754153.52867104998</v>
      </c>
      <c r="AA69" s="12">
        <f t="shared" si="8"/>
        <v>0</v>
      </c>
      <c r="AB69" s="12">
        <f t="shared" si="8"/>
        <v>-145824.67189599999</v>
      </c>
      <c r="AC69" s="12">
        <f t="shared" si="8"/>
        <v>-226339.95845000001</v>
      </c>
      <c r="AD69" s="12">
        <f t="shared" si="8"/>
        <v>-265696.56931599998</v>
      </c>
      <c r="AE69" s="12">
        <f t="shared" si="8"/>
        <v>-206681.40532799999</v>
      </c>
      <c r="AF69" s="12">
        <f t="shared" si="8"/>
        <v>-231026.633928</v>
      </c>
      <c r="AG69" s="12">
        <f t="shared" si="8"/>
        <v>-217301.97401599999</v>
      </c>
      <c r="AH69" s="12">
        <f t="shared" si="8"/>
        <v>-18973.960000000003</v>
      </c>
      <c r="AI69" s="12">
        <f t="shared" si="8"/>
        <v>-516927.67395199998</v>
      </c>
      <c r="AJ69" s="12">
        <f t="shared" si="8"/>
        <v>-278310.90443200001</v>
      </c>
      <c r="AK69" s="12">
        <f t="shared" si="8"/>
        <v>-156815.84580499999</v>
      </c>
      <c r="AL69" s="12">
        <f t="shared" si="8"/>
        <v>-381165.31</v>
      </c>
      <c r="AM69" s="12">
        <f t="shared" si="8"/>
        <v>-2886659.8685384197</v>
      </c>
      <c r="AN69" s="12">
        <f t="shared" si="8"/>
        <v>0</v>
      </c>
      <c r="AO69" s="12">
        <f t="shared" si="8"/>
        <v>-251393.52463</v>
      </c>
      <c r="AP69" s="12">
        <f t="shared" si="8"/>
        <v>-251089.46022399998</v>
      </c>
      <c r="AQ69" s="12">
        <f t="shared" si="8"/>
        <v>-161239.042675</v>
      </c>
      <c r="AR69" s="12">
        <f t="shared" si="8"/>
        <v>-131324.58652499999</v>
      </c>
      <c r="AS69" s="12">
        <f t="shared" si="8"/>
        <v>-248613.492914</v>
      </c>
      <c r="AT69" s="12">
        <f t="shared" si="8"/>
        <v>-250519.47399600002</v>
      </c>
      <c r="AU69" s="12">
        <f t="shared" si="8"/>
        <v>-10610858.678908471</v>
      </c>
    </row>
    <row r="70" spans="1:47" x14ac:dyDescent="0.2">
      <c r="A70" s="13" t="s">
        <v>116</v>
      </c>
      <c r="B70" s="12">
        <f t="shared" ref="B70:AU70" si="9">B61+B69</f>
        <v>-11823.41</v>
      </c>
      <c r="C70" s="12">
        <f t="shared" si="9"/>
        <v>-61465.880000000005</v>
      </c>
      <c r="D70" s="12">
        <f t="shared" si="9"/>
        <v>-195666.34</v>
      </c>
      <c r="E70" s="12">
        <f t="shared" si="9"/>
        <v>-14376.41</v>
      </c>
      <c r="F70" s="12">
        <f t="shared" si="9"/>
        <v>-195432.49</v>
      </c>
      <c r="G70" s="12">
        <f t="shared" si="9"/>
        <v>-190305.3</v>
      </c>
      <c r="H70" s="12">
        <f t="shared" si="9"/>
        <v>-93639.93</v>
      </c>
      <c r="I70" s="12">
        <f t="shared" si="9"/>
        <v>-376473.25</v>
      </c>
      <c r="J70" s="12">
        <f t="shared" si="9"/>
        <v>-163955.71000000002</v>
      </c>
      <c r="K70" s="12">
        <f t="shared" si="9"/>
        <v>-102698.79000000001</v>
      </c>
      <c r="L70" s="12">
        <f t="shared" si="9"/>
        <v>-240526.85</v>
      </c>
      <c r="M70" s="12">
        <f t="shared" si="9"/>
        <v>-236365.48327199998</v>
      </c>
      <c r="N70" s="12">
        <f t="shared" si="9"/>
        <v>0</v>
      </c>
      <c r="O70" s="12">
        <f t="shared" si="9"/>
        <v>-64505.539999999994</v>
      </c>
      <c r="P70" s="12">
        <f t="shared" si="9"/>
        <v>-65466.403440000002</v>
      </c>
      <c r="Q70" s="12">
        <f t="shared" si="9"/>
        <v>-422109.11040000001</v>
      </c>
      <c r="R70" s="12">
        <f t="shared" si="9"/>
        <v>-554301.83110000007</v>
      </c>
      <c r="S70" s="12">
        <f t="shared" si="9"/>
        <v>-398977.79425000004</v>
      </c>
      <c r="T70" s="12">
        <f t="shared" si="9"/>
        <v>-360911.06200000003</v>
      </c>
      <c r="U70" s="12">
        <f t="shared" si="9"/>
        <v>-167005.86535000001</v>
      </c>
      <c r="V70" s="12">
        <f t="shared" si="9"/>
        <v>-224844.478</v>
      </c>
      <c r="W70" s="12">
        <f t="shared" si="9"/>
        <v>-265344.62640000001</v>
      </c>
      <c r="X70" s="12">
        <f t="shared" si="9"/>
        <v>-366467.42087999999</v>
      </c>
      <c r="Y70" s="12">
        <f t="shared" si="9"/>
        <v>-99328.408519999997</v>
      </c>
      <c r="Z70" s="12">
        <f t="shared" si="9"/>
        <v>-755245.20867105003</v>
      </c>
      <c r="AA70" s="12">
        <f t="shared" si="9"/>
        <v>0</v>
      </c>
      <c r="AB70" s="12">
        <f t="shared" si="9"/>
        <v>-147976.21310466999</v>
      </c>
      <c r="AC70" s="12">
        <f t="shared" si="9"/>
        <v>-226356.82845</v>
      </c>
      <c r="AD70" s="12">
        <f t="shared" si="9"/>
        <v>-291373.35931599996</v>
      </c>
      <c r="AE70" s="12">
        <f t="shared" si="9"/>
        <v>-232062.12532799999</v>
      </c>
      <c r="AF70" s="12">
        <f t="shared" si="9"/>
        <v>-265276.72752800002</v>
      </c>
      <c r="AG70" s="12">
        <f t="shared" si="9"/>
        <v>-369087.72401599999</v>
      </c>
      <c r="AH70" s="12">
        <f t="shared" si="9"/>
        <v>-28503.050000000003</v>
      </c>
      <c r="AI70" s="12">
        <f t="shared" si="9"/>
        <v>-542091.71395200002</v>
      </c>
      <c r="AJ70" s="12">
        <f t="shared" si="9"/>
        <v>-300350.96443200001</v>
      </c>
      <c r="AK70" s="12">
        <f t="shared" si="9"/>
        <v>-229468.485805</v>
      </c>
      <c r="AL70" s="12">
        <f t="shared" si="9"/>
        <v>-445290.15</v>
      </c>
      <c r="AM70" s="12">
        <f t="shared" si="9"/>
        <v>-2885532.4688276798</v>
      </c>
      <c r="AN70" s="12">
        <f t="shared" si="9"/>
        <v>0</v>
      </c>
      <c r="AO70" s="12">
        <f t="shared" si="9"/>
        <v>-253545.00463000001</v>
      </c>
      <c r="AP70" s="12">
        <f t="shared" si="9"/>
        <v>-275257.55022400001</v>
      </c>
      <c r="AQ70" s="12">
        <f t="shared" si="9"/>
        <v>-315497.49495800002</v>
      </c>
      <c r="AR70" s="12">
        <f t="shared" si="9"/>
        <v>-138852.16652499998</v>
      </c>
      <c r="AS70" s="12">
        <f t="shared" si="9"/>
        <v>-298988.26669199998</v>
      </c>
      <c r="AT70" s="12">
        <f t="shared" si="9"/>
        <v>-250519.48399600002</v>
      </c>
      <c r="AU70" s="12">
        <f t="shared" si="9"/>
        <v>-13123267.370067401</v>
      </c>
    </row>
    <row r="71" spans="1:47" x14ac:dyDescent="0.2">
      <c r="A71" s="14" t="s">
        <v>117</v>
      </c>
      <c r="B71" s="12">
        <f t="shared" ref="B71:AU71" si="10">B48+B70</f>
        <v>934044.90055000002</v>
      </c>
      <c r="C71" s="12">
        <f t="shared" si="10"/>
        <v>898817.81212799996</v>
      </c>
      <c r="D71" s="12">
        <f t="shared" si="10"/>
        <v>920683.56952300004</v>
      </c>
      <c r="E71" s="12">
        <f t="shared" si="10"/>
        <v>730512.45</v>
      </c>
      <c r="F71" s="12">
        <f t="shared" si="10"/>
        <v>647917.05803500011</v>
      </c>
      <c r="G71" s="12">
        <f t="shared" si="10"/>
        <v>758272.38584999996</v>
      </c>
      <c r="H71" s="12">
        <f t="shared" si="10"/>
        <v>1155866.3320900002</v>
      </c>
      <c r="I71" s="12">
        <f t="shared" si="10"/>
        <v>893823.81299999985</v>
      </c>
      <c r="J71" s="12">
        <f t="shared" si="10"/>
        <v>867003.2498600001</v>
      </c>
      <c r="K71" s="12">
        <f t="shared" si="10"/>
        <v>820583.42501500004</v>
      </c>
      <c r="L71" s="12">
        <f t="shared" si="10"/>
        <v>909225.96824000019</v>
      </c>
      <c r="M71" s="12">
        <f t="shared" si="10"/>
        <v>1222751.2157109999</v>
      </c>
      <c r="N71" s="12">
        <f t="shared" si="10"/>
        <v>1.1368683772161603E-13</v>
      </c>
      <c r="O71" s="12">
        <f t="shared" si="10"/>
        <v>960179.37063199992</v>
      </c>
      <c r="P71" s="12">
        <f t="shared" si="10"/>
        <v>965219.12072000001</v>
      </c>
      <c r="Q71" s="12">
        <f t="shared" si="10"/>
        <v>1251650.9132439997</v>
      </c>
      <c r="R71" s="12">
        <f t="shared" si="10"/>
        <v>1144709.0264059997</v>
      </c>
      <c r="S71" s="12">
        <f t="shared" si="10"/>
        <v>1030200.774705</v>
      </c>
      <c r="T71" s="12">
        <f t="shared" si="10"/>
        <v>1105975.7464399999</v>
      </c>
      <c r="U71" s="12">
        <f t="shared" si="10"/>
        <v>1188201.719699</v>
      </c>
      <c r="V71" s="12">
        <f t="shared" si="10"/>
        <v>1067973.1257409998</v>
      </c>
      <c r="W71" s="12">
        <f t="shared" si="10"/>
        <v>1085854.493059</v>
      </c>
      <c r="X71" s="12">
        <f t="shared" si="10"/>
        <v>1097089.6741701001</v>
      </c>
      <c r="Y71" s="12">
        <f t="shared" si="10"/>
        <v>1328345.1197712198</v>
      </c>
      <c r="Z71" s="12">
        <f t="shared" si="10"/>
        <v>1008900.6005040224</v>
      </c>
      <c r="AA71" s="12">
        <f t="shared" si="10"/>
        <v>0</v>
      </c>
      <c r="AB71" s="12">
        <f t="shared" si="10"/>
        <v>1140106.4831875104</v>
      </c>
      <c r="AC71" s="12">
        <f t="shared" si="10"/>
        <v>1344931.49862661</v>
      </c>
      <c r="AD71" s="12">
        <f t="shared" si="10"/>
        <v>1320649.6233041801</v>
      </c>
      <c r="AE71" s="12">
        <f t="shared" si="10"/>
        <v>1246879.7586077501</v>
      </c>
      <c r="AF71" s="12">
        <f t="shared" si="10"/>
        <v>1365193.7734696402</v>
      </c>
      <c r="AG71" s="12">
        <f t="shared" si="10"/>
        <v>1344388.1349201996</v>
      </c>
      <c r="AH71" s="12">
        <f t="shared" si="10"/>
        <v>1465687.8545278299</v>
      </c>
      <c r="AI71" s="12">
        <f t="shared" si="10"/>
        <v>1525996.8361995001</v>
      </c>
      <c r="AJ71" s="12">
        <f t="shared" si="10"/>
        <v>1314396.6086826602</v>
      </c>
      <c r="AK71" s="12">
        <f t="shared" si="10"/>
        <v>1820416.5684362897</v>
      </c>
      <c r="AL71" s="12">
        <f t="shared" si="10"/>
        <v>1721857.90960111</v>
      </c>
      <c r="AM71" s="12">
        <f t="shared" si="10"/>
        <v>1837098.8288468402</v>
      </c>
      <c r="AN71" s="12">
        <f t="shared" si="10"/>
        <v>0</v>
      </c>
      <c r="AO71" s="12">
        <f t="shared" si="10"/>
        <v>1513847.1401241499</v>
      </c>
      <c r="AP71" s="12">
        <f t="shared" si="10"/>
        <v>1491012.8040193198</v>
      </c>
      <c r="AQ71" s="12">
        <f t="shared" si="10"/>
        <v>1987966.1809079198</v>
      </c>
      <c r="AR71" s="12">
        <f t="shared" si="10"/>
        <v>1575880.41070565</v>
      </c>
      <c r="AS71" s="12">
        <f t="shared" si="10"/>
        <v>1576095.36606227</v>
      </c>
      <c r="AT71" s="12">
        <f t="shared" si="10"/>
        <v>1594548.35926608</v>
      </c>
      <c r="AU71" s="12">
        <f t="shared" si="10"/>
        <v>51180756.004588865</v>
      </c>
    </row>
    <row r="72" spans="1:47" x14ac:dyDescent="0.2">
      <c r="A72" s="6" t="s">
        <v>118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</row>
    <row r="73" spans="1:47" x14ac:dyDescent="0.2">
      <c r="A73" s="7" t="s">
        <v>119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</row>
    <row r="74" spans="1:47" x14ac:dyDescent="0.2">
      <c r="A74" s="8" t="s">
        <v>120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</row>
    <row r="75" spans="1:47" x14ac:dyDescent="0.2">
      <c r="A75" s="9" t="s">
        <v>121</v>
      </c>
      <c r="B75" s="10">
        <v>-2283.5807500000001</v>
      </c>
      <c r="C75" s="10">
        <v>-4286.7801950000003</v>
      </c>
      <c r="D75" s="10">
        <v>-3796.3015099999998</v>
      </c>
      <c r="E75" s="10">
        <v>-3388.9535700000001</v>
      </c>
      <c r="F75" s="10">
        <v>-2725.8163599999998</v>
      </c>
      <c r="G75" s="10">
        <v>-2003.86823</v>
      </c>
      <c r="H75" s="10">
        <v>-2157.2011149999998</v>
      </c>
      <c r="I75" s="10">
        <v>-2252.5573749999999</v>
      </c>
      <c r="J75" s="10">
        <v>-2323.5917650000001</v>
      </c>
      <c r="K75" s="10">
        <v>-2357.0635550000002</v>
      </c>
      <c r="L75" s="10">
        <v>-2666.46522</v>
      </c>
      <c r="M75" s="10">
        <v>-11252.61908</v>
      </c>
      <c r="N75" s="10">
        <v>0</v>
      </c>
      <c r="O75" s="10">
        <v>-2524.2698949999999</v>
      </c>
      <c r="P75" s="10">
        <v>-2532.81324</v>
      </c>
      <c r="Q75" s="10">
        <v>-4207.8971549999997</v>
      </c>
      <c r="R75" s="10">
        <v>-2731.9113200000002</v>
      </c>
      <c r="S75" s="10">
        <v>-2731.6</v>
      </c>
      <c r="T75" s="10">
        <v>-2952</v>
      </c>
      <c r="U75" s="10">
        <v>-2068</v>
      </c>
      <c r="V75" s="10">
        <v>-2061</v>
      </c>
      <c r="W75" s="10">
        <v>-2119</v>
      </c>
      <c r="X75" s="10">
        <v>-2139</v>
      </c>
      <c r="Y75" s="10">
        <v>-2159</v>
      </c>
      <c r="Z75" s="10">
        <v>-5496.9914988</v>
      </c>
      <c r="AA75" s="10">
        <v>0</v>
      </c>
      <c r="AB75" s="10">
        <v>-2077</v>
      </c>
      <c r="AC75" s="10">
        <v>-2607</v>
      </c>
      <c r="AD75" s="10">
        <v>-3571</v>
      </c>
      <c r="AE75" s="10">
        <v>8242.4</v>
      </c>
      <c r="AF75" s="10">
        <v>-823.94100000000003</v>
      </c>
      <c r="AG75" s="10">
        <v>-1872.5226</v>
      </c>
      <c r="AH75" s="10">
        <v>-1484.7695759999999</v>
      </c>
      <c r="AI75" s="10">
        <v>-1058.7501302999999</v>
      </c>
      <c r="AJ75" s="10">
        <v>-994.46696274999999</v>
      </c>
      <c r="AK75" s="10">
        <v>-1423.56924</v>
      </c>
      <c r="AL75" s="10">
        <v>-1167.140435</v>
      </c>
      <c r="AM75" s="10">
        <v>-19725.8052121</v>
      </c>
      <c r="AN75" s="10">
        <v>0</v>
      </c>
      <c r="AO75" s="10">
        <v>-6660.2556096999997</v>
      </c>
      <c r="AP75" s="10">
        <v>-1330.2467698</v>
      </c>
      <c r="AQ75" s="10">
        <v>-1237.88673365</v>
      </c>
      <c r="AR75" s="10">
        <v>-14977.383182199999</v>
      </c>
      <c r="AS75" s="10">
        <v>-2437.2774727999999</v>
      </c>
      <c r="AT75" s="10">
        <v>-93</v>
      </c>
      <c r="AU75" s="10">
        <f t="shared" ref="AU75:AU83" si="11">SUM(B75:AT75)</f>
        <v>-130517.89675809999</v>
      </c>
    </row>
    <row r="76" spans="1:47" x14ac:dyDescent="0.2">
      <c r="A76" s="9" t="s">
        <v>122</v>
      </c>
      <c r="B76" s="10">
        <v>-1815.56</v>
      </c>
      <c r="C76" s="10">
        <v>-1227.56</v>
      </c>
      <c r="D76" s="10">
        <v>-1632.24</v>
      </c>
      <c r="E76" s="10">
        <v>-1524.22</v>
      </c>
      <c r="F76" s="10">
        <v>-1488.22</v>
      </c>
      <c r="G76" s="10">
        <v>-1424.09</v>
      </c>
      <c r="H76" s="10">
        <v>-1392.16</v>
      </c>
      <c r="I76" s="10">
        <v>-1434.51</v>
      </c>
      <c r="J76" s="10">
        <v>-1434.64</v>
      </c>
      <c r="K76" s="10">
        <v>-1504.45</v>
      </c>
      <c r="L76" s="10">
        <v>-2641.94</v>
      </c>
      <c r="M76" s="10">
        <v>-1880.73</v>
      </c>
      <c r="N76" s="10">
        <v>0</v>
      </c>
      <c r="O76" s="10">
        <v>-1715.56</v>
      </c>
      <c r="P76" s="10">
        <v>-1537.35</v>
      </c>
      <c r="Q76" s="10">
        <v>-1538.48</v>
      </c>
      <c r="R76" s="10">
        <v>-1539.43</v>
      </c>
      <c r="S76" s="10">
        <v>-1640.14</v>
      </c>
      <c r="T76" s="10">
        <v>-1573.96</v>
      </c>
      <c r="U76" s="10">
        <v>-1521.38</v>
      </c>
      <c r="V76" s="10">
        <v>-1492.38</v>
      </c>
      <c r="W76" s="10">
        <v>-1820.8</v>
      </c>
      <c r="X76" s="10">
        <v>-1208.58</v>
      </c>
      <c r="Y76" s="10">
        <v>-1788.95</v>
      </c>
      <c r="Z76" s="10">
        <v>-1510.35</v>
      </c>
      <c r="AA76" s="10">
        <v>0</v>
      </c>
      <c r="AB76" s="10">
        <v>-2427.9899999999998</v>
      </c>
      <c r="AC76" s="10">
        <v>-1970.51</v>
      </c>
      <c r="AD76" s="10">
        <v>-1971.28</v>
      </c>
      <c r="AE76" s="10">
        <v>-1971.28</v>
      </c>
      <c r="AF76" s="10">
        <v>-1878.53</v>
      </c>
      <c r="AG76" s="10">
        <v>-1987</v>
      </c>
      <c r="AH76" s="10">
        <v>-1987.03</v>
      </c>
      <c r="AI76" s="10">
        <v>-1987.01</v>
      </c>
      <c r="AJ76" s="10">
        <v>-1988.07</v>
      </c>
      <c r="AK76" s="10">
        <v>-2103.8000000000002</v>
      </c>
      <c r="AL76" s="10">
        <v>-2724.02</v>
      </c>
      <c r="AM76" s="10">
        <v>-2015.75</v>
      </c>
      <c r="AN76" s="10">
        <v>0</v>
      </c>
      <c r="AO76" s="10">
        <v>-2081.04</v>
      </c>
      <c r="AP76" s="10">
        <v>-2186.65</v>
      </c>
      <c r="AQ76" s="10">
        <v>-2184.8200000000002</v>
      </c>
      <c r="AR76" s="10">
        <v>-2347.59</v>
      </c>
      <c r="AS76" s="10">
        <v>-2316.7399999999998</v>
      </c>
      <c r="AT76" s="10">
        <v>-2432.88</v>
      </c>
      <c r="AU76" s="10">
        <f t="shared" si="11"/>
        <v>-76849.670000000013</v>
      </c>
    </row>
    <row r="77" spans="1:47" x14ac:dyDescent="0.2">
      <c r="A77" s="9" t="s">
        <v>123</v>
      </c>
      <c r="B77" s="10">
        <v>-6407.52</v>
      </c>
      <c r="C77" s="10">
        <v>-6407.52</v>
      </c>
      <c r="D77" s="10">
        <v>-6693.15</v>
      </c>
      <c r="E77" s="10">
        <v>-6412.77</v>
      </c>
      <c r="F77" s="10">
        <v>-7032</v>
      </c>
      <c r="G77" s="10">
        <v>-7237.21</v>
      </c>
      <c r="H77" s="10">
        <v>-7061.1</v>
      </c>
      <c r="I77" s="10">
        <v>-7107.8</v>
      </c>
      <c r="J77" s="10">
        <v>-7061.1</v>
      </c>
      <c r="K77" s="10">
        <v>-7061.1</v>
      </c>
      <c r="L77" s="10">
        <v>-7290.94</v>
      </c>
      <c r="M77" s="10">
        <v>-7061.1</v>
      </c>
      <c r="N77" s="10">
        <v>0</v>
      </c>
      <c r="O77" s="10">
        <v>-7103.05</v>
      </c>
      <c r="P77" s="10">
        <v>-13948.36</v>
      </c>
      <c r="Q77" s="10">
        <v>-757.68</v>
      </c>
      <c r="R77" s="10">
        <v>-7167.89</v>
      </c>
      <c r="S77" s="10">
        <v>-15346.48</v>
      </c>
      <c r="T77" s="10">
        <v>-680.54</v>
      </c>
      <c r="U77" s="10">
        <v>-7851.36</v>
      </c>
      <c r="V77" s="10">
        <v>-7922.4</v>
      </c>
      <c r="W77" s="10">
        <v>-15415.23</v>
      </c>
      <c r="X77" s="10">
        <v>-429.57</v>
      </c>
      <c r="Y77" s="10">
        <v>-8299.4</v>
      </c>
      <c r="Z77" s="10">
        <v>-7922.4</v>
      </c>
      <c r="AA77" s="10">
        <v>0</v>
      </c>
      <c r="AB77" s="10">
        <v>-7924.04</v>
      </c>
      <c r="AC77" s="10">
        <v>-7946.45</v>
      </c>
      <c r="AD77" s="10">
        <v>-8289.34</v>
      </c>
      <c r="AE77" s="10">
        <v>-7983.24</v>
      </c>
      <c r="AF77" s="10">
        <v>-8732.52</v>
      </c>
      <c r="AG77" s="10">
        <v>-9159.18</v>
      </c>
      <c r="AH77" s="10">
        <v>-8732.52</v>
      </c>
      <c r="AI77" s="10">
        <v>-8732.52</v>
      </c>
      <c r="AJ77" s="10">
        <v>-8732.52</v>
      </c>
      <c r="AK77" s="10">
        <v>-8732.52</v>
      </c>
      <c r="AL77" s="10">
        <v>-9150.24</v>
      </c>
      <c r="AM77" s="10">
        <v>-33720.83</v>
      </c>
      <c r="AN77" s="10">
        <v>0</v>
      </c>
      <c r="AO77" s="10">
        <v>-8742.9699999999993</v>
      </c>
      <c r="AP77" s="10">
        <v>-8745.35</v>
      </c>
      <c r="AQ77" s="10">
        <v>-8787.92</v>
      </c>
      <c r="AR77" s="10">
        <v>-8876.23</v>
      </c>
      <c r="AS77" s="10">
        <v>-9839.75</v>
      </c>
      <c r="AT77" s="10">
        <v>-10183.35</v>
      </c>
      <c r="AU77" s="10">
        <f t="shared" si="11"/>
        <v>-358689.15999999986</v>
      </c>
    </row>
    <row r="78" spans="1:47" x14ac:dyDescent="0.2">
      <c r="A78" s="9" t="s">
        <v>124</v>
      </c>
      <c r="B78" s="10">
        <v>0</v>
      </c>
      <c r="C78" s="10">
        <v>-588</v>
      </c>
      <c r="D78" s="10">
        <v>-294</v>
      </c>
      <c r="E78" s="10">
        <v>-294</v>
      </c>
      <c r="F78" s="10">
        <v>-294</v>
      </c>
      <c r="G78" s="10">
        <v>-294</v>
      </c>
      <c r="H78" s="10">
        <v>-294</v>
      </c>
      <c r="I78" s="10">
        <v>-294</v>
      </c>
      <c r="J78" s="10">
        <v>-294</v>
      </c>
      <c r="K78" s="10">
        <v>-294</v>
      </c>
      <c r="L78" s="10">
        <v>-588</v>
      </c>
      <c r="M78" s="10">
        <v>0</v>
      </c>
      <c r="N78" s="10">
        <v>0</v>
      </c>
      <c r="O78" s="10">
        <v>-307.06</v>
      </c>
      <c r="P78" s="10">
        <v>-307.06</v>
      </c>
      <c r="Q78" s="10">
        <v>-307.56</v>
      </c>
      <c r="R78" s="10">
        <v>-307.56</v>
      </c>
      <c r="S78" s="10">
        <v>-307.56</v>
      </c>
      <c r="T78" s="10">
        <v>-307.56</v>
      </c>
      <c r="U78" s="10">
        <v>-307.56</v>
      </c>
      <c r="V78" s="10">
        <v>-307.56</v>
      </c>
      <c r="W78" s="10">
        <v>0</v>
      </c>
      <c r="X78" s="10">
        <v>-615.12</v>
      </c>
      <c r="Y78" s="10">
        <v>-307.56</v>
      </c>
      <c r="Z78" s="10">
        <v>-307.56</v>
      </c>
      <c r="AA78" s="10">
        <v>0</v>
      </c>
      <c r="AB78" s="10">
        <v>-320.62</v>
      </c>
      <c r="AC78" s="10">
        <v>-320.62</v>
      </c>
      <c r="AD78" s="10">
        <v>-320.62</v>
      </c>
      <c r="AE78" s="10">
        <v>-320.62</v>
      </c>
      <c r="AF78" s="10">
        <v>-320.62</v>
      </c>
      <c r="AG78" s="10">
        <v>-320.62</v>
      </c>
      <c r="AH78" s="10">
        <v>-320.62</v>
      </c>
      <c r="AI78" s="10">
        <v>-320.62</v>
      </c>
      <c r="AJ78" s="10">
        <v>-320.62</v>
      </c>
      <c r="AK78" s="10">
        <v>-320.62</v>
      </c>
      <c r="AL78" s="10">
        <v>-320.62</v>
      </c>
      <c r="AM78" s="10">
        <v>-333.67</v>
      </c>
      <c r="AN78" s="10">
        <v>0</v>
      </c>
      <c r="AO78" s="10">
        <v>-333.67</v>
      </c>
      <c r="AP78" s="10">
        <v>-333.67</v>
      </c>
      <c r="AQ78" s="10">
        <v>-333.67</v>
      </c>
      <c r="AR78" s="10">
        <v>-333.67</v>
      </c>
      <c r="AS78" s="10">
        <v>-333.67</v>
      </c>
      <c r="AT78" s="10">
        <v>-333.67</v>
      </c>
      <c r="AU78" s="10">
        <f t="shared" si="11"/>
        <v>-13080.230000000009</v>
      </c>
    </row>
    <row r="79" spans="1:47" x14ac:dyDescent="0.2">
      <c r="A79" s="9" t="s">
        <v>125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-1000</v>
      </c>
      <c r="AU79" s="10">
        <f t="shared" si="11"/>
        <v>-1000</v>
      </c>
    </row>
    <row r="80" spans="1:47" x14ac:dyDescent="0.2">
      <c r="A80" s="9" t="s">
        <v>126</v>
      </c>
      <c r="B80" s="10">
        <v>-105607.269</v>
      </c>
      <c r="C80" s="10">
        <v>-106792.205475</v>
      </c>
      <c r="D80" s="10">
        <v>-49099.431231000002</v>
      </c>
      <c r="E80" s="10">
        <v>-70866.535350000006</v>
      </c>
      <c r="F80" s="10">
        <v>-68583.963124000002</v>
      </c>
      <c r="G80" s="10">
        <v>-74939.532586000001</v>
      </c>
      <c r="H80" s="10">
        <v>-95898.121071999994</v>
      </c>
      <c r="I80" s="10">
        <v>-101780.196623</v>
      </c>
      <c r="J80" s="10">
        <v>-84709.912039999996</v>
      </c>
      <c r="K80" s="10">
        <v>-81984.013088000007</v>
      </c>
      <c r="L80" s="10">
        <v>-90124.844899999996</v>
      </c>
      <c r="M80" s="10">
        <v>-51749.319613</v>
      </c>
      <c r="N80" s="10">
        <v>0</v>
      </c>
      <c r="O80" s="10">
        <v>-113164.950172</v>
      </c>
      <c r="P80" s="10">
        <v>-114273.1474</v>
      </c>
      <c r="Q80" s="10">
        <v>-82951.727681999997</v>
      </c>
      <c r="R80" s="10">
        <v>-117005.41929400001</v>
      </c>
      <c r="S80" s="10">
        <v>-116894.452985</v>
      </c>
      <c r="T80" s="10">
        <v>-95246.820330000002</v>
      </c>
      <c r="U80" s="10">
        <v>-115087.23490900001</v>
      </c>
      <c r="V80" s="10">
        <v>-116997.246975</v>
      </c>
      <c r="W80" s="10">
        <v>-117955.48927999999</v>
      </c>
      <c r="X80" s="10">
        <v>-119457.45484809999</v>
      </c>
      <c r="Y80" s="10">
        <v>-122791.1555836</v>
      </c>
      <c r="Z80" s="10">
        <v>-12766.7662222625</v>
      </c>
      <c r="AA80" s="10">
        <v>0</v>
      </c>
      <c r="AB80" s="10">
        <v>-119540.40308552</v>
      </c>
      <c r="AC80" s="10">
        <v>-117184.69893155</v>
      </c>
      <c r="AD80" s="10">
        <v>-75901.465145719994</v>
      </c>
      <c r="AE80" s="10">
        <v>-124335.6339725</v>
      </c>
      <c r="AF80" s="10">
        <v>-125306.06420618</v>
      </c>
      <c r="AG80" s="10">
        <v>-103563.00249646</v>
      </c>
      <c r="AH80" s="10">
        <v>-125201.31004573</v>
      </c>
      <c r="AI80" s="10">
        <v>-126291.43170816</v>
      </c>
      <c r="AJ80" s="10">
        <v>-160765.27841406001</v>
      </c>
      <c r="AK80" s="10">
        <v>-136390.88771051</v>
      </c>
      <c r="AL80" s="10">
        <v>-138084.44691940001</v>
      </c>
      <c r="AM80" s="10">
        <v>-114173.360737946</v>
      </c>
      <c r="AN80" s="10">
        <v>0</v>
      </c>
      <c r="AO80" s="10">
        <v>-132374.09693589999</v>
      </c>
      <c r="AP80" s="10">
        <v>-134501.47258840001</v>
      </c>
      <c r="AQ80" s="10">
        <v>25779.886021720002</v>
      </c>
      <c r="AR80" s="10">
        <v>-157802.90952232</v>
      </c>
      <c r="AS80" s="10">
        <v>-157179.79366056001</v>
      </c>
      <c r="AT80" s="10">
        <v>-177364.22453024</v>
      </c>
      <c r="AU80" s="10">
        <f t="shared" si="11"/>
        <v>-4426907.8043723973</v>
      </c>
    </row>
    <row r="81" spans="1:47" x14ac:dyDescent="0.2">
      <c r="A81" s="9" t="s">
        <v>127</v>
      </c>
      <c r="B81" s="10">
        <v>0</v>
      </c>
      <c r="C81" s="10">
        <v>0</v>
      </c>
      <c r="D81" s="10">
        <v>0</v>
      </c>
      <c r="E81" s="10">
        <v>0</v>
      </c>
      <c r="F81" s="10">
        <v>-440.3</v>
      </c>
      <c r="G81" s="10">
        <v>-220.15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-660</v>
      </c>
      <c r="N81" s="10">
        <v>0</v>
      </c>
      <c r="O81" s="10">
        <v>0</v>
      </c>
      <c r="P81" s="10">
        <v>0</v>
      </c>
      <c r="Q81" s="10">
        <v>0</v>
      </c>
      <c r="R81" s="10">
        <v>-663.57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-660</v>
      </c>
      <c r="AA81" s="10">
        <v>0</v>
      </c>
      <c r="AB81" s="10">
        <v>0</v>
      </c>
      <c r="AC81" s="10">
        <v>0</v>
      </c>
      <c r="AD81" s="10">
        <v>0</v>
      </c>
      <c r="AE81" s="10">
        <v>-107.67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-719.54</v>
      </c>
      <c r="AS81" s="10">
        <v>-359.77</v>
      </c>
      <c r="AT81" s="10">
        <v>0</v>
      </c>
      <c r="AU81" s="10">
        <f t="shared" si="11"/>
        <v>-3831</v>
      </c>
    </row>
    <row r="82" spans="1:47" x14ac:dyDescent="0.2">
      <c r="A82" s="9" t="s">
        <v>128</v>
      </c>
      <c r="B82" s="10">
        <v>-13753.64</v>
      </c>
      <c r="C82" s="10">
        <v>-1072.45</v>
      </c>
      <c r="D82" s="10">
        <v>-1014.25505</v>
      </c>
      <c r="E82" s="10">
        <v>-44</v>
      </c>
      <c r="F82" s="10">
        <v>-481.5</v>
      </c>
      <c r="G82" s="10">
        <v>-437.5</v>
      </c>
      <c r="H82" s="10">
        <v>-467.2</v>
      </c>
      <c r="I82" s="10">
        <v>-738.5</v>
      </c>
      <c r="J82" s="10">
        <v>-880</v>
      </c>
      <c r="K82" s="10">
        <v>-524.39</v>
      </c>
      <c r="L82" s="10">
        <v>-3667.65</v>
      </c>
      <c r="M82" s="10">
        <v>-702.76</v>
      </c>
      <c r="N82" s="10">
        <v>0</v>
      </c>
      <c r="O82" s="10">
        <v>-4382.0200000000004</v>
      </c>
      <c r="P82" s="10">
        <v>-2599.5500000000002</v>
      </c>
      <c r="Q82" s="10">
        <v>-1417.46</v>
      </c>
      <c r="R82" s="10">
        <v>-648.69000000000005</v>
      </c>
      <c r="S82" s="10">
        <v>-677.5</v>
      </c>
      <c r="T82" s="10">
        <v>-633.63</v>
      </c>
      <c r="U82" s="10">
        <v>-691.21</v>
      </c>
      <c r="V82" s="10">
        <v>-2191.88</v>
      </c>
      <c r="W82" s="10">
        <v>-3330.36</v>
      </c>
      <c r="X82" s="10">
        <v>-871.39</v>
      </c>
      <c r="Y82" s="10">
        <v>-2031.38</v>
      </c>
      <c r="Z82" s="10">
        <v>-1262.92</v>
      </c>
      <c r="AA82" s="10">
        <v>0</v>
      </c>
      <c r="AB82" s="10">
        <v>-4606</v>
      </c>
      <c r="AC82" s="10">
        <v>-1732.74</v>
      </c>
      <c r="AD82" s="10">
        <v>-936.45</v>
      </c>
      <c r="AE82" s="10">
        <v>-1478.01</v>
      </c>
      <c r="AF82" s="10">
        <v>-1534.37</v>
      </c>
      <c r="AG82" s="10">
        <v>-1509.63</v>
      </c>
      <c r="AH82" s="10">
        <v>-2420.29</v>
      </c>
      <c r="AI82" s="10">
        <v>-6785</v>
      </c>
      <c r="AJ82" s="10">
        <v>-6572.84</v>
      </c>
      <c r="AK82" s="10">
        <v>-1527.04</v>
      </c>
      <c r="AL82" s="10">
        <v>-1981.58</v>
      </c>
      <c r="AM82" s="10">
        <v>-3804.62</v>
      </c>
      <c r="AN82" s="10">
        <v>0</v>
      </c>
      <c r="AO82" s="10">
        <v>-5494.03</v>
      </c>
      <c r="AP82" s="10">
        <v>-13146.67607299</v>
      </c>
      <c r="AQ82" s="10">
        <v>-14363.96543805</v>
      </c>
      <c r="AR82" s="10">
        <v>-2394.5500000000002</v>
      </c>
      <c r="AS82" s="10">
        <v>-2761.24</v>
      </c>
      <c r="AT82" s="10">
        <v>-2053.4899999999998</v>
      </c>
      <c r="AU82" s="10">
        <f t="shared" si="11"/>
        <v>-119624.35656103998</v>
      </c>
    </row>
    <row r="83" spans="1:47" x14ac:dyDescent="0.2">
      <c r="A83" s="9" t="s">
        <v>129</v>
      </c>
      <c r="B83" s="10">
        <v>-300</v>
      </c>
      <c r="C83" s="10">
        <v>0</v>
      </c>
      <c r="D83" s="10">
        <v>0</v>
      </c>
      <c r="E83" s="10">
        <v>-300</v>
      </c>
      <c r="F83" s="10">
        <v>0</v>
      </c>
      <c r="G83" s="10">
        <v>0</v>
      </c>
      <c r="H83" s="10">
        <v>-351.05</v>
      </c>
      <c r="I83" s="10">
        <v>-973</v>
      </c>
      <c r="J83" s="10">
        <v>0</v>
      </c>
      <c r="K83" s="10">
        <v>-300</v>
      </c>
      <c r="L83" s="10">
        <v>0</v>
      </c>
      <c r="M83" s="10">
        <v>0</v>
      </c>
      <c r="N83" s="10">
        <v>0</v>
      </c>
      <c r="O83" s="10">
        <v>-300</v>
      </c>
      <c r="P83" s="10">
        <v>0</v>
      </c>
      <c r="Q83" s="10">
        <v>0</v>
      </c>
      <c r="R83" s="10">
        <v>-1653.9</v>
      </c>
      <c r="S83" s="10">
        <v>-881.45</v>
      </c>
      <c r="T83" s="10">
        <v>-98.9</v>
      </c>
      <c r="U83" s="10">
        <v>-581.09</v>
      </c>
      <c r="V83" s="10">
        <v>-2066.65</v>
      </c>
      <c r="W83" s="10">
        <v>-509.42</v>
      </c>
      <c r="X83" s="10">
        <v>-101.09</v>
      </c>
      <c r="Y83" s="10">
        <v>-109.57</v>
      </c>
      <c r="Z83" s="10">
        <v>-833.14</v>
      </c>
      <c r="AA83" s="10">
        <v>0</v>
      </c>
      <c r="AB83" s="10">
        <v>-153.72</v>
      </c>
      <c r="AC83" s="10">
        <v>-793.05</v>
      </c>
      <c r="AD83" s="10">
        <v>-803.06</v>
      </c>
      <c r="AE83" s="10">
        <v>-150</v>
      </c>
      <c r="AF83" s="10">
        <v>-775.95</v>
      </c>
      <c r="AG83" s="10">
        <v>-73.77</v>
      </c>
      <c r="AH83" s="10">
        <v>-101.09</v>
      </c>
      <c r="AI83" s="10">
        <v>-780.47</v>
      </c>
      <c r="AJ83" s="10">
        <v>-222.78</v>
      </c>
      <c r="AK83" s="10">
        <v>-265.73</v>
      </c>
      <c r="AL83" s="10">
        <v>-97.83</v>
      </c>
      <c r="AM83" s="10">
        <v>-683.2</v>
      </c>
      <c r="AN83" s="10">
        <v>0</v>
      </c>
      <c r="AO83" s="10">
        <v>-103.33</v>
      </c>
      <c r="AP83" s="10">
        <v>-93.33</v>
      </c>
      <c r="AQ83" s="10">
        <v>-906.74</v>
      </c>
      <c r="AR83" s="10">
        <v>-98.9</v>
      </c>
      <c r="AS83" s="10">
        <v>-1172.02</v>
      </c>
      <c r="AT83" s="10">
        <v>-98.9</v>
      </c>
      <c r="AU83" s="10">
        <f t="shared" si="11"/>
        <v>-16733.13</v>
      </c>
    </row>
    <row r="84" spans="1:47" x14ac:dyDescent="0.2">
      <c r="A84" s="11" t="s">
        <v>130</v>
      </c>
      <c r="B84" s="12">
        <f t="shared" ref="B84:AU84" si="12">SUM(B75:B83)</f>
        <v>-130167.56975</v>
      </c>
      <c r="C84" s="12">
        <f t="shared" si="12"/>
        <v>-120374.51566999999</v>
      </c>
      <c r="D84" s="12">
        <f t="shared" si="12"/>
        <v>-62529.377790999999</v>
      </c>
      <c r="E84" s="12">
        <f t="shared" si="12"/>
        <v>-82830.478920000009</v>
      </c>
      <c r="F84" s="12">
        <f t="shared" si="12"/>
        <v>-81045.799484000003</v>
      </c>
      <c r="G84" s="12">
        <f t="shared" si="12"/>
        <v>-86556.350815999991</v>
      </c>
      <c r="H84" s="12">
        <f t="shared" si="12"/>
        <v>-107620.83218699999</v>
      </c>
      <c r="I84" s="12">
        <f t="shared" si="12"/>
        <v>-114580.563998</v>
      </c>
      <c r="J84" s="12">
        <f t="shared" si="12"/>
        <v>-96703.243804999991</v>
      </c>
      <c r="K84" s="12">
        <f t="shared" si="12"/>
        <v>-94025.01664300001</v>
      </c>
      <c r="L84" s="12">
        <f t="shared" si="12"/>
        <v>-106979.84011999999</v>
      </c>
      <c r="M84" s="12">
        <f t="shared" si="12"/>
        <v>-73306.528692999986</v>
      </c>
      <c r="N84" s="12">
        <f t="shared" si="12"/>
        <v>0</v>
      </c>
      <c r="O84" s="12">
        <f t="shared" si="12"/>
        <v>-129496.910067</v>
      </c>
      <c r="P84" s="12">
        <f t="shared" si="12"/>
        <v>-135198.28063999998</v>
      </c>
      <c r="Q84" s="12">
        <f t="shared" si="12"/>
        <v>-91180.804837000003</v>
      </c>
      <c r="R84" s="12">
        <f t="shared" si="12"/>
        <v>-131718.37061400001</v>
      </c>
      <c r="S84" s="12">
        <f t="shared" si="12"/>
        <v>-138479.18298500002</v>
      </c>
      <c r="T84" s="12">
        <f t="shared" si="12"/>
        <v>-101493.41033</v>
      </c>
      <c r="U84" s="12">
        <f t="shared" si="12"/>
        <v>-128107.83490900001</v>
      </c>
      <c r="V84" s="12">
        <f t="shared" si="12"/>
        <v>-133039.11697500001</v>
      </c>
      <c r="W84" s="12">
        <f t="shared" si="12"/>
        <v>-141150.29928000001</v>
      </c>
      <c r="X84" s="12">
        <f t="shared" si="12"/>
        <v>-124822.20484809999</v>
      </c>
      <c r="Y84" s="12">
        <f t="shared" si="12"/>
        <v>-137487.0155836</v>
      </c>
      <c r="Z84" s="12">
        <f t="shared" si="12"/>
        <v>-30760.127721062498</v>
      </c>
      <c r="AA84" s="12">
        <f t="shared" si="12"/>
        <v>0</v>
      </c>
      <c r="AB84" s="12">
        <f t="shared" si="12"/>
        <v>-137049.77308551999</v>
      </c>
      <c r="AC84" s="12">
        <f t="shared" si="12"/>
        <v>-132555.06893154999</v>
      </c>
      <c r="AD84" s="12">
        <f t="shared" si="12"/>
        <v>-91793.215145719994</v>
      </c>
      <c r="AE84" s="12">
        <f t="shared" si="12"/>
        <v>-128104.0539725</v>
      </c>
      <c r="AF84" s="12">
        <f t="shared" si="12"/>
        <v>-139371.99520618</v>
      </c>
      <c r="AG84" s="12">
        <f t="shared" si="12"/>
        <v>-118485.72509646001</v>
      </c>
      <c r="AH84" s="12">
        <f t="shared" si="12"/>
        <v>-140247.62962173001</v>
      </c>
      <c r="AI84" s="12">
        <f t="shared" si="12"/>
        <v>-145955.80183846</v>
      </c>
      <c r="AJ84" s="12">
        <f t="shared" si="12"/>
        <v>-179596.57537681001</v>
      </c>
      <c r="AK84" s="12">
        <f t="shared" si="12"/>
        <v>-150764.16695051003</v>
      </c>
      <c r="AL84" s="12">
        <f t="shared" si="12"/>
        <v>-153525.8773544</v>
      </c>
      <c r="AM84" s="12">
        <f t="shared" si="12"/>
        <v>-174457.23595004602</v>
      </c>
      <c r="AN84" s="12">
        <f t="shared" si="12"/>
        <v>0</v>
      </c>
      <c r="AO84" s="12">
        <f t="shared" si="12"/>
        <v>-155789.39254559996</v>
      </c>
      <c r="AP84" s="12">
        <f t="shared" si="12"/>
        <v>-160337.39543119</v>
      </c>
      <c r="AQ84" s="12">
        <f t="shared" si="12"/>
        <v>-2035.1161499799985</v>
      </c>
      <c r="AR84" s="12">
        <f t="shared" si="12"/>
        <v>-187550.77270451997</v>
      </c>
      <c r="AS84" s="12">
        <f t="shared" si="12"/>
        <v>-176400.26113335998</v>
      </c>
      <c r="AT84" s="12">
        <f t="shared" si="12"/>
        <v>-193559.51453023998</v>
      </c>
      <c r="AU84" s="12">
        <f t="shared" si="12"/>
        <v>-5147233.2476915363</v>
      </c>
    </row>
    <row r="85" spans="1:47" x14ac:dyDescent="0.2">
      <c r="A85" s="8" t="s">
        <v>131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</row>
    <row r="86" spans="1:47" x14ac:dyDescent="0.2">
      <c r="A86" s="9" t="s">
        <v>132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38000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f t="shared" ref="AU86:AU100" si="13">SUM(B86:AT86)</f>
        <v>38000</v>
      </c>
    </row>
    <row r="87" spans="1:47" x14ac:dyDescent="0.2">
      <c r="A87" s="9" t="s">
        <v>133</v>
      </c>
      <c r="B87" s="10">
        <v>-33.21</v>
      </c>
      <c r="C87" s="10">
        <v>-33.21</v>
      </c>
      <c r="D87" s="10">
        <v>-33.21</v>
      </c>
      <c r="E87" s="10">
        <v>-33.21</v>
      </c>
      <c r="F87" s="10">
        <v>-33.21</v>
      </c>
      <c r="G87" s="10">
        <v>-33.21</v>
      </c>
      <c r="H87" s="10">
        <v>-33.21</v>
      </c>
      <c r="I87" s="10">
        <v>-33.21</v>
      </c>
      <c r="J87" s="10">
        <v>-33.21</v>
      </c>
      <c r="K87" s="10">
        <v>-33.21</v>
      </c>
      <c r="L87" s="10">
        <v>-33.21</v>
      </c>
      <c r="M87" s="10">
        <v>-33.21</v>
      </c>
      <c r="N87" s="10">
        <v>0</v>
      </c>
      <c r="O87" s="10">
        <v>-33.11</v>
      </c>
      <c r="P87" s="10">
        <v>-33.11</v>
      </c>
      <c r="Q87" s="10">
        <v>-33.11</v>
      </c>
      <c r="R87" s="10">
        <v>-33.11</v>
      </c>
      <c r="S87" s="10">
        <v>-33.11</v>
      </c>
      <c r="T87" s="10">
        <v>-33.11</v>
      </c>
      <c r="U87" s="10">
        <v>-33.11</v>
      </c>
      <c r="V87" s="10">
        <v>-33.11</v>
      </c>
      <c r="W87" s="10">
        <v>-33.11</v>
      </c>
      <c r="X87" s="10">
        <v>-33.11</v>
      </c>
      <c r="Y87" s="10">
        <v>-33.11</v>
      </c>
      <c r="Z87" s="10">
        <v>-33.11</v>
      </c>
      <c r="AA87" s="10">
        <v>0</v>
      </c>
      <c r="AB87" s="10">
        <v>-33.11</v>
      </c>
      <c r="AC87" s="10">
        <v>-33.11</v>
      </c>
      <c r="AD87" s="10">
        <v>-33.11</v>
      </c>
      <c r="AE87" s="10">
        <v>-33.11</v>
      </c>
      <c r="AF87" s="10">
        <v>-33.11</v>
      </c>
      <c r="AG87" s="10">
        <v>-33.11</v>
      </c>
      <c r="AH87" s="10">
        <v>-33.11</v>
      </c>
      <c r="AI87" s="10">
        <v>-33.11</v>
      </c>
      <c r="AJ87" s="10">
        <v>-33.11</v>
      </c>
      <c r="AK87" s="10">
        <v>-33.11</v>
      </c>
      <c r="AL87" s="10">
        <v>-17305.259999999998</v>
      </c>
      <c r="AM87" s="10">
        <v>8392.2900000000009</v>
      </c>
      <c r="AN87" s="10">
        <v>0</v>
      </c>
      <c r="AO87" s="10">
        <v>-33.11</v>
      </c>
      <c r="AP87" s="10">
        <v>-33.11</v>
      </c>
      <c r="AQ87" s="10">
        <v>-106.21</v>
      </c>
      <c r="AR87" s="10">
        <v>-33.11</v>
      </c>
      <c r="AS87" s="10">
        <v>-33.11</v>
      </c>
      <c r="AT87" s="10">
        <v>-33.11</v>
      </c>
      <c r="AU87" s="10">
        <f t="shared" si="13"/>
        <v>-10311.669999999998</v>
      </c>
    </row>
    <row r="88" spans="1:47" x14ac:dyDescent="0.2">
      <c r="A88" s="9" t="s">
        <v>134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-1515.120817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1446.5764151999999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-8387.08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f t="shared" si="13"/>
        <v>-8455.6244017999998</v>
      </c>
    </row>
    <row r="89" spans="1:47" x14ac:dyDescent="0.2">
      <c r="A89" s="9" t="s">
        <v>135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-13.8</v>
      </c>
      <c r="Y89" s="10">
        <v>-9</v>
      </c>
      <c r="Z89" s="10">
        <v>-9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f t="shared" si="13"/>
        <v>-31.8</v>
      </c>
    </row>
    <row r="90" spans="1:47" x14ac:dyDescent="0.2">
      <c r="A90" s="9" t="s">
        <v>136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-1645.41</v>
      </c>
      <c r="AN90" s="10">
        <v>0</v>
      </c>
      <c r="AO90" s="10">
        <v>0</v>
      </c>
      <c r="AP90" s="10">
        <v>0</v>
      </c>
      <c r="AQ90" s="10">
        <v>-1196.29</v>
      </c>
      <c r="AR90" s="10">
        <v>0</v>
      </c>
      <c r="AS90" s="10">
        <v>-149.28</v>
      </c>
      <c r="AT90" s="10">
        <v>0</v>
      </c>
      <c r="AU90" s="10">
        <f t="shared" si="13"/>
        <v>-2990.98</v>
      </c>
    </row>
    <row r="91" spans="1:47" x14ac:dyDescent="0.2">
      <c r="A91" s="9" t="s">
        <v>137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-25416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f t="shared" si="13"/>
        <v>-25416</v>
      </c>
    </row>
    <row r="92" spans="1:47" x14ac:dyDescent="0.2">
      <c r="A92" s="9" t="s">
        <v>138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-3610.03</v>
      </c>
      <c r="P92" s="10">
        <v>-3610.03</v>
      </c>
      <c r="Q92" s="10">
        <v>-3610.03</v>
      </c>
      <c r="R92" s="10">
        <v>-3610.03</v>
      </c>
      <c r="S92" s="10">
        <v>-3610.03</v>
      </c>
      <c r="T92" s="10">
        <v>-3610.03</v>
      </c>
      <c r="U92" s="10">
        <v>-3610.03</v>
      </c>
      <c r="V92" s="10">
        <v>-3610.03</v>
      </c>
      <c r="W92" s="10">
        <v>-3610.03</v>
      </c>
      <c r="X92" s="10">
        <v>-3627.03</v>
      </c>
      <c r="Y92" s="10">
        <v>-3636.03</v>
      </c>
      <c r="Z92" s="10">
        <v>-3661.03</v>
      </c>
      <c r="AA92" s="10">
        <v>0</v>
      </c>
      <c r="AB92" s="10">
        <v>-6666.62</v>
      </c>
      <c r="AC92" s="10">
        <v>-6666.62</v>
      </c>
      <c r="AD92" s="10">
        <v>-6640.7</v>
      </c>
      <c r="AE92" s="10">
        <v>-8582.43</v>
      </c>
      <c r="AF92" s="10">
        <v>-7133.43</v>
      </c>
      <c r="AG92" s="10">
        <v>-7471.43</v>
      </c>
      <c r="AH92" s="10">
        <v>-7161.43</v>
      </c>
      <c r="AI92" s="10">
        <v>-7161.43</v>
      </c>
      <c r="AJ92" s="10">
        <v>-6833.43</v>
      </c>
      <c r="AK92" s="10">
        <v>-7161.43</v>
      </c>
      <c r="AL92" s="10">
        <v>-7152.43</v>
      </c>
      <c r="AM92" s="10">
        <v>-7170.43</v>
      </c>
      <c r="AN92" s="10">
        <v>0</v>
      </c>
      <c r="AO92" s="10">
        <v>-7152.43</v>
      </c>
      <c r="AP92" s="10">
        <v>-7170.43</v>
      </c>
      <c r="AQ92" s="10">
        <v>-7179.43</v>
      </c>
      <c r="AR92" s="10">
        <v>-7252.43</v>
      </c>
      <c r="AS92" s="10">
        <v>-6871.53</v>
      </c>
      <c r="AT92" s="10">
        <v>-7252.43</v>
      </c>
      <c r="AU92" s="10">
        <f t="shared" si="13"/>
        <v>-172094.84999999992</v>
      </c>
    </row>
    <row r="93" spans="1:47" x14ac:dyDescent="0.2">
      <c r="A93" s="9" t="s">
        <v>139</v>
      </c>
      <c r="B93" s="10">
        <v>-39080</v>
      </c>
      <c r="C93" s="10">
        <v>-37935</v>
      </c>
      <c r="D93" s="10">
        <v>0</v>
      </c>
      <c r="E93" s="10">
        <v>0</v>
      </c>
      <c r="F93" s="10">
        <v>0</v>
      </c>
      <c r="G93" s="10">
        <v>0</v>
      </c>
      <c r="H93" s="10">
        <v>-33220</v>
      </c>
      <c r="I93" s="10">
        <v>-38720</v>
      </c>
      <c r="J93" s="10">
        <v>0</v>
      </c>
      <c r="K93" s="10">
        <v>0</v>
      </c>
      <c r="L93" s="10">
        <v>0</v>
      </c>
      <c r="M93" s="10">
        <v>148955</v>
      </c>
      <c r="N93" s="10">
        <v>0</v>
      </c>
      <c r="O93" s="10">
        <v>-41618</v>
      </c>
      <c r="P93" s="10">
        <v>-41818</v>
      </c>
      <c r="Q93" s="10">
        <v>-43033</v>
      </c>
      <c r="R93" s="10">
        <v>-43442</v>
      </c>
      <c r="S93" s="10">
        <v>-43521</v>
      </c>
      <c r="T93" s="10">
        <v>-32314</v>
      </c>
      <c r="U93" s="10">
        <v>-42496</v>
      </c>
      <c r="V93" s="10">
        <v>-44392</v>
      </c>
      <c r="W93" s="10">
        <v>-45065</v>
      </c>
      <c r="X93" s="10">
        <v>-45056</v>
      </c>
      <c r="Y93" s="10">
        <v>-40838</v>
      </c>
      <c r="Z93" s="10">
        <v>123862.92</v>
      </c>
      <c r="AA93" s="10">
        <v>0</v>
      </c>
      <c r="AB93" s="10">
        <v>-43599.44</v>
      </c>
      <c r="AC93" s="10">
        <v>-40211.800000000003</v>
      </c>
      <c r="AD93" s="10">
        <v>-43316.47</v>
      </c>
      <c r="AE93" s="10">
        <v>-42511.79</v>
      </c>
      <c r="AF93" s="10">
        <v>-45416.959999999999</v>
      </c>
      <c r="AG93" s="10">
        <v>-43551.95</v>
      </c>
      <c r="AH93" s="10">
        <v>-43330.07</v>
      </c>
      <c r="AI93" s="10">
        <v>-44176.73</v>
      </c>
      <c r="AJ93" s="10">
        <v>-121765.03</v>
      </c>
      <c r="AK93" s="10">
        <v>-53290.69</v>
      </c>
      <c r="AL93" s="10">
        <v>-56248.63</v>
      </c>
      <c r="AM93" s="10">
        <v>-88457.17</v>
      </c>
      <c r="AN93" s="10">
        <v>0</v>
      </c>
      <c r="AO93" s="10">
        <v>-46878.27</v>
      </c>
      <c r="AP93" s="10">
        <v>-47804.37</v>
      </c>
      <c r="AQ93" s="10">
        <v>-51159.08</v>
      </c>
      <c r="AR93" s="10">
        <v>-56104.45</v>
      </c>
      <c r="AS93" s="10">
        <v>-53975.66</v>
      </c>
      <c r="AT93" s="10">
        <v>-98745.3</v>
      </c>
      <c r="AU93" s="10">
        <f t="shared" si="13"/>
        <v>-1360273.9400000002</v>
      </c>
    </row>
    <row r="94" spans="1:47" x14ac:dyDescent="0.2">
      <c r="A94" s="9" t="s">
        <v>140</v>
      </c>
      <c r="B94" s="10">
        <v>1049.07</v>
      </c>
      <c r="C94" s="10">
        <v>1789.59</v>
      </c>
      <c r="D94" s="10">
        <v>1913.01</v>
      </c>
      <c r="E94" s="10">
        <v>1357.62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4947.75</v>
      </c>
      <c r="U94" s="10">
        <v>2843.34</v>
      </c>
      <c r="V94" s="10">
        <v>2409.94</v>
      </c>
      <c r="W94" s="10">
        <v>2332.1999999999998</v>
      </c>
      <c r="X94" s="10">
        <v>1088.3599999999999</v>
      </c>
      <c r="Y94" s="10">
        <v>0</v>
      </c>
      <c r="Z94" s="10">
        <v>0</v>
      </c>
      <c r="AA94" s="10">
        <v>0</v>
      </c>
      <c r="AB94" s="10">
        <v>553.91999999999996</v>
      </c>
      <c r="AC94" s="10">
        <v>0</v>
      </c>
      <c r="AD94" s="10">
        <v>683.2</v>
      </c>
      <c r="AE94" s="10">
        <v>732</v>
      </c>
      <c r="AF94" s="10">
        <v>756.4</v>
      </c>
      <c r="AG94" s="10">
        <v>0</v>
      </c>
      <c r="AH94" s="10">
        <v>244</v>
      </c>
      <c r="AI94" s="10">
        <v>30.69</v>
      </c>
      <c r="AJ94" s="10">
        <v>0</v>
      </c>
      <c r="AK94" s="10">
        <v>508.93</v>
      </c>
      <c r="AL94" s="10">
        <v>0</v>
      </c>
      <c r="AM94" s="10">
        <v>-508.93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f t="shared" si="13"/>
        <v>22731.09</v>
      </c>
    </row>
    <row r="95" spans="1:47" x14ac:dyDescent="0.2">
      <c r="A95" s="9" t="s">
        <v>141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508.93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f t="shared" si="13"/>
        <v>508.93</v>
      </c>
    </row>
    <row r="96" spans="1:47" x14ac:dyDescent="0.2">
      <c r="A96" s="9" t="s">
        <v>142</v>
      </c>
      <c r="B96" s="10">
        <v>-555344.48704799998</v>
      </c>
      <c r="C96" s="10">
        <v>-583810.06364299997</v>
      </c>
      <c r="D96" s="10">
        <v>-586343.60291500005</v>
      </c>
      <c r="E96" s="10">
        <v>-452022.63880000002</v>
      </c>
      <c r="F96" s="10">
        <v>-436336.44365600002</v>
      </c>
      <c r="G96" s="10">
        <v>-474459.71423600003</v>
      </c>
      <c r="H96" s="10">
        <v>-507272.31342199998</v>
      </c>
      <c r="I96" s="10">
        <v>-539354.95083800005</v>
      </c>
      <c r="J96" s="10">
        <v>-532536.76009999996</v>
      </c>
      <c r="K96" s="10">
        <v>-541526.736255</v>
      </c>
      <c r="L96" s="10">
        <v>-604774.95597600006</v>
      </c>
      <c r="M96" s="10">
        <v>-615382.39601000003</v>
      </c>
      <c r="N96" s="10">
        <v>0</v>
      </c>
      <c r="O96" s="10">
        <v>-585824.81106900005</v>
      </c>
      <c r="P96" s="10">
        <v>-590434.35548000003</v>
      </c>
      <c r="Q96" s="10">
        <v>-608107.03268099995</v>
      </c>
      <c r="R96" s="10">
        <v>-601672.64111800003</v>
      </c>
      <c r="S96" s="10">
        <v>-597200.23216999997</v>
      </c>
      <c r="T96" s="10">
        <v>-619819.93075000006</v>
      </c>
      <c r="U96" s="10">
        <v>-589148.56114799995</v>
      </c>
      <c r="V96" s="10">
        <v>-594887.47351000004</v>
      </c>
      <c r="W96" s="10">
        <v>-600203.68972799997</v>
      </c>
      <c r="X96" s="10">
        <v>-613297.57680458005</v>
      </c>
      <c r="Y96" s="10">
        <v>-651173.4031156</v>
      </c>
      <c r="Z96" s="10">
        <v>-651157.05547620752</v>
      </c>
      <c r="AA96" s="10">
        <v>0</v>
      </c>
      <c r="AB96" s="10">
        <v>-628853.39971511997</v>
      </c>
      <c r="AC96" s="10">
        <v>-714155.08779725002</v>
      </c>
      <c r="AD96" s="10">
        <v>-645470.07490556</v>
      </c>
      <c r="AE96" s="10">
        <v>-644418.31365824002</v>
      </c>
      <c r="AF96" s="10">
        <v>-652443.37040686002</v>
      </c>
      <c r="AG96" s="10">
        <v>-710031.48722931999</v>
      </c>
      <c r="AH96" s="10">
        <v>-680076.59752254002</v>
      </c>
      <c r="AI96" s="10">
        <v>-675138.28362631996</v>
      </c>
      <c r="AJ96" s="10">
        <v>-734911.26113991998</v>
      </c>
      <c r="AK96" s="10">
        <v>-712647.72913760995</v>
      </c>
      <c r="AL96" s="10">
        <v>-731981.34902780002</v>
      </c>
      <c r="AM96" s="10">
        <v>-618357.38310766802</v>
      </c>
      <c r="AN96" s="10">
        <v>0</v>
      </c>
      <c r="AO96" s="10">
        <v>-704489.04679118004</v>
      </c>
      <c r="AP96" s="10">
        <v>-715247.31511600001</v>
      </c>
      <c r="AQ96" s="10">
        <v>-780849.28860612004</v>
      </c>
      <c r="AR96" s="10">
        <v>-830021.67861499998</v>
      </c>
      <c r="AS96" s="10">
        <v>-844323.19117424998</v>
      </c>
      <c r="AT96" s="10">
        <v>-845414.19653743994</v>
      </c>
      <c r="AU96" s="10">
        <f t="shared" si="13"/>
        <v>-26600920.88006359</v>
      </c>
    </row>
    <row r="97" spans="1:47" x14ac:dyDescent="0.2">
      <c r="A97" s="9" t="s">
        <v>143</v>
      </c>
      <c r="B97" s="10">
        <v>-75000</v>
      </c>
      <c r="C97" s="10">
        <v>-74565</v>
      </c>
      <c r="D97" s="10">
        <v>-25.54</v>
      </c>
      <c r="E97" s="10">
        <v>0</v>
      </c>
      <c r="F97" s="10">
        <v>0</v>
      </c>
      <c r="G97" s="10">
        <v>0</v>
      </c>
      <c r="H97" s="10">
        <v>-76193</v>
      </c>
      <c r="I97" s="10">
        <v>-76193</v>
      </c>
      <c r="J97" s="10">
        <v>0</v>
      </c>
      <c r="K97" s="10">
        <v>0</v>
      </c>
      <c r="L97" s="10">
        <v>0</v>
      </c>
      <c r="M97" s="10">
        <v>-105126.38</v>
      </c>
      <c r="N97" s="10">
        <v>0</v>
      </c>
      <c r="O97" s="10">
        <v>-76505</v>
      </c>
      <c r="P97" s="10">
        <v>-76835</v>
      </c>
      <c r="Q97" s="10">
        <v>-80684</v>
      </c>
      <c r="R97" s="10">
        <v>-80208</v>
      </c>
      <c r="S97" s="10">
        <v>-86348.71</v>
      </c>
      <c r="T97" s="10">
        <v>-79011</v>
      </c>
      <c r="U97" s="10">
        <v>-81410</v>
      </c>
      <c r="V97" s="10">
        <v>-81798</v>
      </c>
      <c r="W97" s="10">
        <v>-83318</v>
      </c>
      <c r="X97" s="10">
        <v>-85747</v>
      </c>
      <c r="Y97" s="10">
        <v>-82753</v>
      </c>
      <c r="Z97" s="10">
        <v>210720.18</v>
      </c>
      <c r="AA97" s="10">
        <v>0</v>
      </c>
      <c r="AB97" s="10">
        <v>-84001.68</v>
      </c>
      <c r="AC97" s="10">
        <v>-81161.7</v>
      </c>
      <c r="AD97" s="10">
        <v>-92141.73</v>
      </c>
      <c r="AE97" s="10">
        <v>-90520.07</v>
      </c>
      <c r="AF97" s="10">
        <v>-97027.55</v>
      </c>
      <c r="AG97" s="10">
        <v>-93429.49</v>
      </c>
      <c r="AH97" s="10">
        <v>-90224.3</v>
      </c>
      <c r="AI97" s="10">
        <v>-95353.56</v>
      </c>
      <c r="AJ97" s="10">
        <v>-204204.84</v>
      </c>
      <c r="AK97" s="10">
        <v>-111396.26</v>
      </c>
      <c r="AL97" s="10">
        <v>-114082.19</v>
      </c>
      <c r="AM97" s="10">
        <v>-163453.14000000001</v>
      </c>
      <c r="AN97" s="10">
        <v>0</v>
      </c>
      <c r="AO97" s="10">
        <v>-95602.81</v>
      </c>
      <c r="AP97" s="10">
        <v>-96295.2</v>
      </c>
      <c r="AQ97" s="10">
        <v>-107423.89</v>
      </c>
      <c r="AR97" s="10">
        <v>-108031.11</v>
      </c>
      <c r="AS97" s="10">
        <v>-99895.42</v>
      </c>
      <c r="AT97" s="10">
        <v>-197918.03</v>
      </c>
      <c r="AU97" s="10">
        <f t="shared" si="13"/>
        <v>-3113163.42</v>
      </c>
    </row>
    <row r="98" spans="1:47" x14ac:dyDescent="0.2">
      <c r="A98" s="9" t="s">
        <v>144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-33956.370000000003</v>
      </c>
      <c r="H98" s="10">
        <v>-1765.38</v>
      </c>
      <c r="I98" s="10">
        <v>-2144.2600000000002</v>
      </c>
      <c r="J98" s="10">
        <v>-12201.26</v>
      </c>
      <c r="K98" s="10">
        <v>-12156.41</v>
      </c>
      <c r="L98" s="10">
        <v>-21868.36</v>
      </c>
      <c r="M98" s="10">
        <v>-2813.75</v>
      </c>
      <c r="N98" s="10">
        <v>0</v>
      </c>
      <c r="O98" s="10">
        <v>-2396.21</v>
      </c>
      <c r="P98" s="10">
        <v>-1243.9100000000001</v>
      </c>
      <c r="Q98" s="10">
        <v>-8206.2099999999991</v>
      </c>
      <c r="R98" s="10">
        <v>-12231.21</v>
      </c>
      <c r="S98" s="10">
        <v>-2291.7199999999998</v>
      </c>
      <c r="T98" s="10">
        <v>-1811.16</v>
      </c>
      <c r="U98" s="10">
        <v>-51737.47</v>
      </c>
      <c r="V98" s="10">
        <v>-456.9</v>
      </c>
      <c r="W98" s="10">
        <v>-790.15</v>
      </c>
      <c r="X98" s="10">
        <v>-2857.04</v>
      </c>
      <c r="Y98" s="10">
        <v>-4270.13</v>
      </c>
      <c r="Z98" s="10">
        <v>-4015.03</v>
      </c>
      <c r="AA98" s="10">
        <v>0</v>
      </c>
      <c r="AB98" s="10">
        <v>-1248.26</v>
      </c>
      <c r="AC98" s="10">
        <v>-12554.9674</v>
      </c>
      <c r="AD98" s="10">
        <v>-1733.93</v>
      </c>
      <c r="AE98" s="10">
        <v>-31417.319715000001</v>
      </c>
      <c r="AF98" s="10">
        <v>-24662.687075360001</v>
      </c>
      <c r="AG98" s="10">
        <v>-14701.83</v>
      </c>
      <c r="AH98" s="10">
        <v>-8993.0300000000007</v>
      </c>
      <c r="AI98" s="10">
        <v>-25389.263500000001</v>
      </c>
      <c r="AJ98" s="10">
        <v>-6896.87</v>
      </c>
      <c r="AK98" s="10">
        <v>3324.5166399999998</v>
      </c>
      <c r="AL98" s="10">
        <v>-28225.51</v>
      </c>
      <c r="AM98" s="10">
        <v>-5278.36</v>
      </c>
      <c r="AN98" s="10">
        <v>0</v>
      </c>
      <c r="AO98" s="10">
        <v>3842.57</v>
      </c>
      <c r="AP98" s="10">
        <v>-32865.3295</v>
      </c>
      <c r="AQ98" s="10">
        <v>-36068.230000000003</v>
      </c>
      <c r="AR98" s="10">
        <v>-7219.86</v>
      </c>
      <c r="AS98" s="10">
        <v>-51532.800000000003</v>
      </c>
      <c r="AT98" s="10">
        <v>-94946.21</v>
      </c>
      <c r="AU98" s="10">
        <f t="shared" si="13"/>
        <v>-555780.30055036</v>
      </c>
    </row>
    <row r="99" spans="1:47" x14ac:dyDescent="0.2">
      <c r="A99" s="9" t="s">
        <v>145</v>
      </c>
      <c r="B99" s="10">
        <v>256</v>
      </c>
      <c r="C99" s="10">
        <v>0</v>
      </c>
      <c r="D99" s="10">
        <v>94567.03</v>
      </c>
      <c r="E99" s="10">
        <v>0</v>
      </c>
      <c r="F99" s="10">
        <v>0</v>
      </c>
      <c r="G99" s="10">
        <v>0</v>
      </c>
      <c r="H99" s="10">
        <v>0</v>
      </c>
      <c r="I99" s="10">
        <v>5684.21</v>
      </c>
      <c r="J99" s="10">
        <v>0</v>
      </c>
      <c r="K99" s="10">
        <v>0</v>
      </c>
      <c r="L99" s="10">
        <v>0</v>
      </c>
      <c r="M99" s="10">
        <v>-118466.88</v>
      </c>
      <c r="N99" s="10">
        <v>0</v>
      </c>
      <c r="O99" s="10">
        <v>914</v>
      </c>
      <c r="P99" s="10">
        <v>0</v>
      </c>
      <c r="Q99" s="10">
        <v>49435</v>
      </c>
      <c r="R99" s="10">
        <v>0</v>
      </c>
      <c r="S99" s="10">
        <v>0</v>
      </c>
      <c r="T99" s="10">
        <v>68117.88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-114600.56</v>
      </c>
      <c r="AA99" s="10">
        <v>0</v>
      </c>
      <c r="AB99" s="10">
        <v>27764.66</v>
      </c>
      <c r="AC99" s="10">
        <v>0</v>
      </c>
      <c r="AD99" s="10">
        <v>31679.26</v>
      </c>
      <c r="AE99" s="10">
        <v>16207.86</v>
      </c>
      <c r="AF99" s="10">
        <v>7080.91</v>
      </c>
      <c r="AG99" s="10">
        <v>8016.35</v>
      </c>
      <c r="AH99" s="10">
        <v>23130.37</v>
      </c>
      <c r="AI99" s="10">
        <v>0</v>
      </c>
      <c r="AJ99" s="10">
        <v>0</v>
      </c>
      <c r="AK99" s="10">
        <v>721.15</v>
      </c>
      <c r="AL99" s="10">
        <v>0</v>
      </c>
      <c r="AM99" s="10">
        <v>-166268.78</v>
      </c>
      <c r="AN99" s="10">
        <v>0</v>
      </c>
      <c r="AO99" s="10">
        <v>102188.99</v>
      </c>
      <c r="AP99" s="10">
        <v>11003.6</v>
      </c>
      <c r="AQ99" s="10">
        <v>2157.5700000000002</v>
      </c>
      <c r="AR99" s="10">
        <v>863.03</v>
      </c>
      <c r="AS99" s="10">
        <v>1726.05</v>
      </c>
      <c r="AT99" s="10">
        <v>15966.01</v>
      </c>
      <c r="AU99" s="10">
        <f t="shared" si="13"/>
        <v>68143.710000000006</v>
      </c>
    </row>
    <row r="100" spans="1:47" x14ac:dyDescent="0.2">
      <c r="A100" s="9" t="s">
        <v>146</v>
      </c>
      <c r="B100" s="10">
        <v>-1160.07</v>
      </c>
      <c r="C100" s="10">
        <v>-1197.25</v>
      </c>
      <c r="D100" s="10">
        <v>-1213.8</v>
      </c>
      <c r="E100" s="10">
        <v>-1099.8499999999999</v>
      </c>
      <c r="F100" s="10">
        <v>-1099.8499999999999</v>
      </c>
      <c r="G100" s="10">
        <v>-1099.8499999999999</v>
      </c>
      <c r="H100" s="10">
        <v>-1109.8399999999999</v>
      </c>
      <c r="I100" s="10">
        <v>-1511.6</v>
      </c>
      <c r="J100" s="10">
        <v>-1120.08</v>
      </c>
      <c r="K100" s="10">
        <v>-1099.8499999999999</v>
      </c>
      <c r="L100" s="10">
        <v>-1115.8399999999999</v>
      </c>
      <c r="M100" s="10">
        <v>-1128.04</v>
      </c>
      <c r="N100" s="10">
        <v>0</v>
      </c>
      <c r="O100" s="10">
        <v>-1161</v>
      </c>
      <c r="P100" s="10">
        <v>-1297.44</v>
      </c>
      <c r="Q100" s="10">
        <v>-1172.78</v>
      </c>
      <c r="R100" s="10">
        <v>-1161</v>
      </c>
      <c r="S100" s="10">
        <v>-1591.7</v>
      </c>
      <c r="T100" s="10">
        <v>-1220.53</v>
      </c>
      <c r="U100" s="10">
        <v>-1423.94</v>
      </c>
      <c r="V100" s="10">
        <v>-1161</v>
      </c>
      <c r="W100" s="10">
        <v>-1161</v>
      </c>
      <c r="X100" s="10">
        <v>-1161</v>
      </c>
      <c r="Y100" s="10">
        <v>-1197.96</v>
      </c>
      <c r="Z100" s="10">
        <v>-1341.55</v>
      </c>
      <c r="AA100" s="10">
        <v>0</v>
      </c>
      <c r="AB100" s="10">
        <v>-1227.51</v>
      </c>
      <c r="AC100" s="10">
        <v>-1241.1500000000001</v>
      </c>
      <c r="AD100" s="10">
        <v>-1227.51</v>
      </c>
      <c r="AE100" s="10">
        <v>-1315.22</v>
      </c>
      <c r="AF100" s="10">
        <v>-1688.1</v>
      </c>
      <c r="AG100" s="10">
        <v>-1244.48</v>
      </c>
      <c r="AH100" s="10">
        <v>-1227.51</v>
      </c>
      <c r="AI100" s="10">
        <v>-1822.23</v>
      </c>
      <c r="AJ100" s="10">
        <v>-1241.01</v>
      </c>
      <c r="AK100" s="10">
        <v>-1227.51</v>
      </c>
      <c r="AL100" s="10">
        <v>-1165.33</v>
      </c>
      <c r="AM100" s="10">
        <v>-1694.97</v>
      </c>
      <c r="AN100" s="10">
        <v>0</v>
      </c>
      <c r="AO100" s="10">
        <v>-1273.81</v>
      </c>
      <c r="AP100" s="10">
        <v>-1192.97</v>
      </c>
      <c r="AQ100" s="10">
        <v>-1211.1300000000001</v>
      </c>
      <c r="AR100" s="10">
        <v>-1276.8499999999999</v>
      </c>
      <c r="AS100" s="10">
        <v>-1949.23</v>
      </c>
      <c r="AT100" s="10">
        <v>-1789.77</v>
      </c>
      <c r="AU100" s="10">
        <f t="shared" si="13"/>
        <v>-54023.11</v>
      </c>
    </row>
    <row r="101" spans="1:47" x14ac:dyDescent="0.2">
      <c r="A101" s="11" t="s">
        <v>147</v>
      </c>
      <c r="B101" s="12">
        <f t="shared" ref="B101:AU101" si="14">SUM(B86:B100)</f>
        <v>-669312.69704799994</v>
      </c>
      <c r="C101" s="12">
        <f t="shared" si="14"/>
        <v>-695750.93364299997</v>
      </c>
      <c r="D101" s="12">
        <f t="shared" si="14"/>
        <v>-491136.11291500001</v>
      </c>
      <c r="E101" s="12">
        <f t="shared" si="14"/>
        <v>-451798.07880000002</v>
      </c>
      <c r="F101" s="12">
        <f t="shared" si="14"/>
        <v>-437469.50365600002</v>
      </c>
      <c r="G101" s="12">
        <f t="shared" si="14"/>
        <v>-509549.14423600002</v>
      </c>
      <c r="H101" s="12">
        <f t="shared" si="14"/>
        <v>-619593.74342199997</v>
      </c>
      <c r="I101" s="12">
        <f t="shared" si="14"/>
        <v>-652272.81083800003</v>
      </c>
      <c r="J101" s="12">
        <f t="shared" si="14"/>
        <v>-545891.31009999989</v>
      </c>
      <c r="K101" s="12">
        <f t="shared" si="14"/>
        <v>-554816.20625499997</v>
      </c>
      <c r="L101" s="12">
        <f t="shared" si="14"/>
        <v>-627792.36597599997</v>
      </c>
      <c r="M101" s="12">
        <f t="shared" si="14"/>
        <v>-693995.65601000004</v>
      </c>
      <c r="N101" s="12">
        <f t="shared" si="14"/>
        <v>0</v>
      </c>
      <c r="O101" s="12">
        <f t="shared" si="14"/>
        <v>-710234.16106900002</v>
      </c>
      <c r="P101" s="12">
        <f t="shared" si="14"/>
        <v>-715271.84548000002</v>
      </c>
      <c r="Q101" s="12">
        <f t="shared" si="14"/>
        <v>-695411.16268099996</v>
      </c>
      <c r="R101" s="12">
        <f t="shared" si="14"/>
        <v>-742357.99111800001</v>
      </c>
      <c r="S101" s="12">
        <f t="shared" si="14"/>
        <v>-734596.50216999988</v>
      </c>
      <c r="T101" s="12">
        <f t="shared" si="14"/>
        <v>-664754.13075000013</v>
      </c>
      <c r="U101" s="12">
        <f t="shared" si="14"/>
        <v>-768530.89196499984</v>
      </c>
      <c r="V101" s="12">
        <f t="shared" si="14"/>
        <v>-723928.57351000002</v>
      </c>
      <c r="W101" s="12">
        <f t="shared" si="14"/>
        <v>-731848.77972799994</v>
      </c>
      <c r="X101" s="12">
        <f t="shared" si="14"/>
        <v>-750704.19680458005</v>
      </c>
      <c r="Y101" s="12">
        <f t="shared" si="14"/>
        <v>-783910.63311559998</v>
      </c>
      <c r="Z101" s="12">
        <f t="shared" si="14"/>
        <v>-440234.23547620751</v>
      </c>
      <c r="AA101" s="12">
        <f t="shared" si="14"/>
        <v>0</v>
      </c>
      <c r="AB101" s="12">
        <f t="shared" si="14"/>
        <v>-737311.43971511989</v>
      </c>
      <c r="AC101" s="12">
        <f t="shared" si="14"/>
        <v>-818024.43519724999</v>
      </c>
      <c r="AD101" s="12">
        <f t="shared" si="14"/>
        <v>-756754.48849036009</v>
      </c>
      <c r="AE101" s="12">
        <f t="shared" si="14"/>
        <v>-801858.3933732399</v>
      </c>
      <c r="AF101" s="12">
        <f t="shared" si="14"/>
        <v>-820567.89748221997</v>
      </c>
      <c r="AG101" s="12">
        <f t="shared" si="14"/>
        <v>-862447.42722931993</v>
      </c>
      <c r="AH101" s="12">
        <f t="shared" si="14"/>
        <v>-807671.67752254009</v>
      </c>
      <c r="AI101" s="12">
        <f t="shared" si="14"/>
        <v>-849043.91712631995</v>
      </c>
      <c r="AJ101" s="12">
        <f t="shared" si="14"/>
        <v>-1075885.55113992</v>
      </c>
      <c r="AK101" s="12">
        <f t="shared" si="14"/>
        <v>-881202.13249760994</v>
      </c>
      <c r="AL101" s="12">
        <f t="shared" si="14"/>
        <v>-956160.69902779988</v>
      </c>
      <c r="AM101" s="12">
        <f t="shared" si="14"/>
        <v>-1077736.4331076681</v>
      </c>
      <c r="AN101" s="12">
        <f t="shared" si="14"/>
        <v>0</v>
      </c>
      <c r="AO101" s="12">
        <f t="shared" si="14"/>
        <v>-749397.91679118027</v>
      </c>
      <c r="AP101" s="12">
        <f t="shared" si="14"/>
        <v>-889605.12461599999</v>
      </c>
      <c r="AQ101" s="12">
        <f t="shared" si="14"/>
        <v>-983035.9786061201</v>
      </c>
      <c r="AR101" s="12">
        <f t="shared" si="14"/>
        <v>-1009076.4586149999</v>
      </c>
      <c r="AS101" s="12">
        <f t="shared" si="14"/>
        <v>-1057004.1711742498</v>
      </c>
      <c r="AT101" s="12">
        <f t="shared" si="14"/>
        <v>-1230133.0365374398</v>
      </c>
      <c r="AU101" s="12">
        <f t="shared" si="14"/>
        <v>-31774078.845015746</v>
      </c>
    </row>
    <row r="102" spans="1:47" x14ac:dyDescent="0.2">
      <c r="A102" s="13" t="s">
        <v>148</v>
      </c>
      <c r="B102" s="12">
        <f t="shared" ref="B102:AU102" si="15">B84+B101</f>
        <v>-799480.26679799997</v>
      </c>
      <c r="C102" s="12">
        <f t="shared" si="15"/>
        <v>-816125.44931299996</v>
      </c>
      <c r="D102" s="12">
        <f t="shared" si="15"/>
        <v>-553665.49070600001</v>
      </c>
      <c r="E102" s="12">
        <f t="shared" si="15"/>
        <v>-534628.55772000004</v>
      </c>
      <c r="F102" s="12">
        <f t="shared" si="15"/>
        <v>-518515.30314000003</v>
      </c>
      <c r="G102" s="12">
        <f t="shared" si="15"/>
        <v>-596105.49505200004</v>
      </c>
      <c r="H102" s="12">
        <f t="shared" si="15"/>
        <v>-727214.57560899993</v>
      </c>
      <c r="I102" s="12">
        <f t="shared" si="15"/>
        <v>-766853.37483600003</v>
      </c>
      <c r="J102" s="12">
        <f t="shared" si="15"/>
        <v>-642594.55390499986</v>
      </c>
      <c r="K102" s="12">
        <f t="shared" si="15"/>
        <v>-648841.22289799992</v>
      </c>
      <c r="L102" s="12">
        <f t="shared" si="15"/>
        <v>-734772.20609599992</v>
      </c>
      <c r="M102" s="12">
        <f t="shared" si="15"/>
        <v>-767302.18470300001</v>
      </c>
      <c r="N102" s="12">
        <f t="shared" si="15"/>
        <v>0</v>
      </c>
      <c r="O102" s="12">
        <f t="shared" si="15"/>
        <v>-839731.07113599998</v>
      </c>
      <c r="P102" s="12">
        <f t="shared" si="15"/>
        <v>-850470.12612000003</v>
      </c>
      <c r="Q102" s="12">
        <f t="shared" si="15"/>
        <v>-786591.96751799993</v>
      </c>
      <c r="R102" s="12">
        <f t="shared" si="15"/>
        <v>-874076.36173200002</v>
      </c>
      <c r="S102" s="12">
        <f t="shared" si="15"/>
        <v>-873075.68515499984</v>
      </c>
      <c r="T102" s="12">
        <f t="shared" si="15"/>
        <v>-766247.54108000011</v>
      </c>
      <c r="U102" s="12">
        <f t="shared" si="15"/>
        <v>-896638.72687399981</v>
      </c>
      <c r="V102" s="12">
        <f t="shared" si="15"/>
        <v>-856967.69048500003</v>
      </c>
      <c r="W102" s="12">
        <f t="shared" si="15"/>
        <v>-872999.07900799997</v>
      </c>
      <c r="X102" s="12">
        <f t="shared" si="15"/>
        <v>-875526.40165268001</v>
      </c>
      <c r="Y102" s="12">
        <f t="shared" si="15"/>
        <v>-921397.64869920001</v>
      </c>
      <c r="Z102" s="12">
        <f t="shared" si="15"/>
        <v>-470994.36319727002</v>
      </c>
      <c r="AA102" s="12">
        <f t="shared" si="15"/>
        <v>0</v>
      </c>
      <c r="AB102" s="12">
        <f t="shared" si="15"/>
        <v>-874361.21280063991</v>
      </c>
      <c r="AC102" s="12">
        <f t="shared" si="15"/>
        <v>-950579.50412880001</v>
      </c>
      <c r="AD102" s="12">
        <f t="shared" si="15"/>
        <v>-848547.70363608003</v>
      </c>
      <c r="AE102" s="12">
        <f t="shared" si="15"/>
        <v>-929962.44734573993</v>
      </c>
      <c r="AF102" s="12">
        <f t="shared" si="15"/>
        <v>-959939.8926884</v>
      </c>
      <c r="AG102" s="12">
        <f t="shared" si="15"/>
        <v>-980933.1523257799</v>
      </c>
      <c r="AH102" s="12">
        <f t="shared" si="15"/>
        <v>-947919.30714427005</v>
      </c>
      <c r="AI102" s="12">
        <f t="shared" si="15"/>
        <v>-994999.71896477998</v>
      </c>
      <c r="AJ102" s="12">
        <f t="shared" si="15"/>
        <v>-1255482.1265167301</v>
      </c>
      <c r="AK102" s="12">
        <f t="shared" si="15"/>
        <v>-1031966.2994481199</v>
      </c>
      <c r="AL102" s="12">
        <f t="shared" si="15"/>
        <v>-1109686.5763821998</v>
      </c>
      <c r="AM102" s="12">
        <f t="shared" si="15"/>
        <v>-1252193.6690577141</v>
      </c>
      <c r="AN102" s="12">
        <f t="shared" si="15"/>
        <v>0</v>
      </c>
      <c r="AO102" s="12">
        <f t="shared" si="15"/>
        <v>-905187.30933678022</v>
      </c>
      <c r="AP102" s="12">
        <f t="shared" si="15"/>
        <v>-1049942.5200471899</v>
      </c>
      <c r="AQ102" s="12">
        <f t="shared" si="15"/>
        <v>-985071.09475610009</v>
      </c>
      <c r="AR102" s="12">
        <f t="shared" si="15"/>
        <v>-1196627.2313195199</v>
      </c>
      <c r="AS102" s="12">
        <f t="shared" si="15"/>
        <v>-1233404.4323076098</v>
      </c>
      <c r="AT102" s="12">
        <f t="shared" si="15"/>
        <v>-1423692.5510676797</v>
      </c>
      <c r="AU102" s="12">
        <f t="shared" si="15"/>
        <v>-36921312.092707284</v>
      </c>
    </row>
    <row r="103" spans="1:47" x14ac:dyDescent="0.2">
      <c r="A103" s="7" t="s">
        <v>149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</row>
    <row r="104" spans="1:47" x14ac:dyDescent="0.2">
      <c r="A104" s="8" t="s">
        <v>150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</row>
    <row r="105" spans="1:47" x14ac:dyDescent="0.2">
      <c r="A105" s="9" t="s">
        <v>151</v>
      </c>
      <c r="B105" s="10">
        <v>-731.18</v>
      </c>
      <c r="C105" s="10">
        <v>-731.18</v>
      </c>
      <c r="D105" s="10">
        <v>-731.18</v>
      </c>
      <c r="E105" s="10">
        <v>-731.18</v>
      </c>
      <c r="F105" s="10">
        <v>-731.18</v>
      </c>
      <c r="G105" s="10">
        <v>-390.98</v>
      </c>
      <c r="H105" s="10">
        <v>-390.97</v>
      </c>
      <c r="I105" s="10">
        <v>-390.97</v>
      </c>
      <c r="J105" s="10">
        <v>-50.73</v>
      </c>
      <c r="K105" s="10">
        <v>-50.72</v>
      </c>
      <c r="L105" s="10">
        <v>-50.73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-38.89</v>
      </c>
      <c r="U105" s="10">
        <v>-38.89</v>
      </c>
      <c r="V105" s="10">
        <v>-38.89</v>
      </c>
      <c r="W105" s="10">
        <v>-38.89</v>
      </c>
      <c r="X105" s="10">
        <v>-38.89</v>
      </c>
      <c r="Y105" s="10">
        <v>-38.89</v>
      </c>
      <c r="Z105" s="10">
        <v>-38.89</v>
      </c>
      <c r="AA105" s="10">
        <v>0</v>
      </c>
      <c r="AB105" s="10">
        <v>-38.89</v>
      </c>
      <c r="AC105" s="10">
        <v>-38.89</v>
      </c>
      <c r="AD105" s="10">
        <v>-38.89</v>
      </c>
      <c r="AE105" s="10">
        <v>-38.89</v>
      </c>
      <c r="AF105" s="10">
        <v>-38.89</v>
      </c>
      <c r="AG105" s="10">
        <v>-38.89</v>
      </c>
      <c r="AH105" s="10">
        <v>-38.89</v>
      </c>
      <c r="AI105" s="10">
        <v>-38.89</v>
      </c>
      <c r="AJ105" s="10">
        <v>-38.89</v>
      </c>
      <c r="AK105" s="10">
        <v>-38.89</v>
      </c>
      <c r="AL105" s="10">
        <v>-38.89</v>
      </c>
      <c r="AM105" s="10">
        <v>-38.89</v>
      </c>
      <c r="AN105" s="10">
        <v>0</v>
      </c>
      <c r="AO105" s="10">
        <v>-38.89</v>
      </c>
      <c r="AP105" s="10">
        <v>-38.89</v>
      </c>
      <c r="AQ105" s="10">
        <v>-38.89</v>
      </c>
      <c r="AR105" s="10">
        <v>-38.89</v>
      </c>
      <c r="AS105" s="10">
        <v>-38.89</v>
      </c>
      <c r="AT105" s="10">
        <v>-38.89</v>
      </c>
      <c r="AU105" s="10">
        <f>SUM(B105:AT105)</f>
        <v>-5953.2500000000073</v>
      </c>
    </row>
    <row r="106" spans="1:47" x14ac:dyDescent="0.2">
      <c r="A106" s="9" t="s">
        <v>152</v>
      </c>
      <c r="B106" s="10">
        <v>-2862.96</v>
      </c>
      <c r="C106" s="10">
        <v>-2863.04</v>
      </c>
      <c r="D106" s="10">
        <v>-2825.66</v>
      </c>
      <c r="E106" s="10">
        <v>-2452.34</v>
      </c>
      <c r="F106" s="10">
        <v>-2362.1</v>
      </c>
      <c r="G106" s="10">
        <v>-1859.68</v>
      </c>
      <c r="H106" s="10">
        <v>-1859.71</v>
      </c>
      <c r="I106" s="10">
        <v>-1842.25</v>
      </c>
      <c r="J106" s="10">
        <v>-2160.0100000000002</v>
      </c>
      <c r="K106" s="10">
        <v>-2144.02</v>
      </c>
      <c r="L106" s="10">
        <v>-2143.87</v>
      </c>
      <c r="M106" s="10">
        <v>-2420.11</v>
      </c>
      <c r="N106" s="10">
        <v>0</v>
      </c>
      <c r="O106" s="10">
        <v>-1604.28</v>
      </c>
      <c r="P106" s="10">
        <v>-2752.08</v>
      </c>
      <c r="Q106" s="10">
        <v>-2012.13</v>
      </c>
      <c r="R106" s="10">
        <v>-1868.76</v>
      </c>
      <c r="S106" s="10">
        <v>-1845.41</v>
      </c>
      <c r="T106" s="10">
        <v>-1845.51</v>
      </c>
      <c r="U106" s="10">
        <v>-1845.41</v>
      </c>
      <c r="V106" s="10">
        <v>-1845.51</v>
      </c>
      <c r="W106" s="10">
        <v>-1845.43</v>
      </c>
      <c r="X106" s="10">
        <v>-1845.51</v>
      </c>
      <c r="Y106" s="10">
        <v>-1845.43</v>
      </c>
      <c r="Z106" s="10">
        <v>-2571.58</v>
      </c>
      <c r="AA106" s="10">
        <v>0</v>
      </c>
      <c r="AB106" s="10">
        <v>-2209.0500000000002</v>
      </c>
      <c r="AC106" s="10">
        <v>-1782.12</v>
      </c>
      <c r="AD106" s="10">
        <v>-1782.14</v>
      </c>
      <c r="AE106" s="10">
        <v>-2282.08</v>
      </c>
      <c r="AF106" s="10">
        <v>-2149.21</v>
      </c>
      <c r="AG106" s="10">
        <v>-2149.3200000000002</v>
      </c>
      <c r="AH106" s="10">
        <v>-2678.43</v>
      </c>
      <c r="AI106" s="10">
        <v>-2678.51</v>
      </c>
      <c r="AJ106" s="10">
        <v>-2678.42</v>
      </c>
      <c r="AK106" s="10">
        <v>-2306.12</v>
      </c>
      <c r="AL106" s="10">
        <v>-2306.12</v>
      </c>
      <c r="AM106" s="10">
        <v>-2394.2800000000002</v>
      </c>
      <c r="AN106" s="10">
        <v>0</v>
      </c>
      <c r="AO106" s="10">
        <v>-3444.12</v>
      </c>
      <c r="AP106" s="10">
        <v>-3507.43</v>
      </c>
      <c r="AQ106" s="10">
        <v>-3484.86</v>
      </c>
      <c r="AR106" s="10">
        <v>-4227.6499999999996</v>
      </c>
      <c r="AS106" s="10">
        <v>-4227.6499999999996</v>
      </c>
      <c r="AT106" s="10">
        <v>-4265.55</v>
      </c>
      <c r="AU106" s="10">
        <f>SUM(B106:AT106)</f>
        <v>-102075.84999999998</v>
      </c>
    </row>
    <row r="107" spans="1:47" x14ac:dyDescent="0.2">
      <c r="A107" s="9" t="s">
        <v>153</v>
      </c>
      <c r="B107" s="10">
        <v>-740</v>
      </c>
      <c r="C107" s="10">
        <v>-740</v>
      </c>
      <c r="D107" s="10">
        <v>-740</v>
      </c>
      <c r="E107" s="10">
        <v>-740</v>
      </c>
      <c r="F107" s="10">
        <v>-740</v>
      </c>
      <c r="G107" s="10">
        <v>-740</v>
      </c>
      <c r="H107" s="10">
        <v>-740</v>
      </c>
      <c r="I107" s="10">
        <v>-740</v>
      </c>
      <c r="J107" s="10">
        <v>-740</v>
      </c>
      <c r="K107" s="10">
        <v>-740</v>
      </c>
      <c r="L107" s="10">
        <v>-740</v>
      </c>
      <c r="M107" s="10">
        <v>-740</v>
      </c>
      <c r="N107" s="10">
        <v>0</v>
      </c>
      <c r="O107" s="10">
        <v>-739.94</v>
      </c>
      <c r="P107" s="10">
        <v>0</v>
      </c>
      <c r="Q107" s="10">
        <v>-739.94</v>
      </c>
      <c r="R107" s="10">
        <v>-739.94</v>
      </c>
      <c r="S107" s="10">
        <v>-739.94</v>
      </c>
      <c r="T107" s="10">
        <v>-739.94</v>
      </c>
      <c r="U107" s="10">
        <v>-739.94</v>
      </c>
      <c r="V107" s="10">
        <v>-739.94</v>
      </c>
      <c r="W107" s="10">
        <v>-739.94</v>
      </c>
      <c r="X107" s="10">
        <v>-739.94</v>
      </c>
      <c r="Y107" s="10">
        <v>-739.94</v>
      </c>
      <c r="Z107" s="10">
        <v>-1479.88</v>
      </c>
      <c r="AA107" s="10">
        <v>0</v>
      </c>
      <c r="AB107" s="10">
        <v>-739.94</v>
      </c>
      <c r="AC107" s="10">
        <v>-739.94</v>
      </c>
      <c r="AD107" s="10">
        <v>-739.94</v>
      </c>
      <c r="AE107" s="10">
        <v>-739.94</v>
      </c>
      <c r="AF107" s="10">
        <v>-739.94</v>
      </c>
      <c r="AG107" s="10">
        <v>-739.94</v>
      </c>
      <c r="AH107" s="10">
        <v>-739.94</v>
      </c>
      <c r="AI107" s="10">
        <v>-739.94</v>
      </c>
      <c r="AJ107" s="10">
        <v>-739.94</v>
      </c>
      <c r="AK107" s="10">
        <v>-739.94</v>
      </c>
      <c r="AL107" s="10">
        <v>-739.94</v>
      </c>
      <c r="AM107" s="10">
        <v>-739.94</v>
      </c>
      <c r="AN107" s="10">
        <v>0</v>
      </c>
      <c r="AO107" s="10">
        <v>-739.94</v>
      </c>
      <c r="AP107" s="10">
        <v>-739.94</v>
      </c>
      <c r="AQ107" s="10">
        <v>-739.94</v>
      </c>
      <c r="AR107" s="10">
        <v>-739.94</v>
      </c>
      <c r="AS107" s="10">
        <v>-739.94</v>
      </c>
      <c r="AT107" s="10">
        <v>-739.94</v>
      </c>
      <c r="AU107" s="10">
        <f>SUM(B107:AT107)</f>
        <v>-31078.199999999983</v>
      </c>
    </row>
    <row r="108" spans="1:47" x14ac:dyDescent="0.2">
      <c r="A108" s="9" t="s">
        <v>154</v>
      </c>
      <c r="B108" s="10">
        <v>-11</v>
      </c>
      <c r="C108" s="10">
        <v>-11</v>
      </c>
      <c r="D108" s="10">
        <v>-11</v>
      </c>
      <c r="E108" s="10">
        <v>-11</v>
      </c>
      <c r="F108" s="10">
        <v>-11</v>
      </c>
      <c r="G108" s="10">
        <v>-11</v>
      </c>
      <c r="H108" s="10">
        <v>-11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10">
        <v>0</v>
      </c>
      <c r="AU108" s="10">
        <f>SUM(B108:AT108)</f>
        <v>-77</v>
      </c>
    </row>
    <row r="109" spans="1:47" x14ac:dyDescent="0.2">
      <c r="A109" s="9" t="s">
        <v>155</v>
      </c>
      <c r="B109" s="10">
        <v>0</v>
      </c>
      <c r="C109" s="10">
        <v>-117.22</v>
      </c>
      <c r="D109" s="10">
        <v>-146.72</v>
      </c>
      <c r="E109" s="10">
        <v>-162.38999999999999</v>
      </c>
      <c r="F109" s="10">
        <v>-195.19800000000001</v>
      </c>
      <c r="G109" s="10">
        <v>-1964.729</v>
      </c>
      <c r="H109" s="10">
        <v>-1964.4745</v>
      </c>
      <c r="I109" s="10">
        <v>-2494.3724999999999</v>
      </c>
      <c r="J109" s="10">
        <v>-2715.7694999999999</v>
      </c>
      <c r="K109" s="10">
        <v>-13226.056500000001</v>
      </c>
      <c r="L109" s="10">
        <v>-2446.056</v>
      </c>
      <c r="M109" s="10">
        <v>-3425.1669999999999</v>
      </c>
      <c r="N109" s="10">
        <v>0</v>
      </c>
      <c r="O109" s="10">
        <v>-32.378500000000003</v>
      </c>
      <c r="P109" s="10">
        <v>-815.33199999999999</v>
      </c>
      <c r="Q109" s="10">
        <v>-5525.6350000000002</v>
      </c>
      <c r="R109" s="10">
        <v>0</v>
      </c>
      <c r="S109" s="10">
        <v>-740</v>
      </c>
      <c r="T109" s="10">
        <v>-386.48</v>
      </c>
      <c r="U109" s="10">
        <v>-2560.56</v>
      </c>
      <c r="V109" s="10">
        <v>-1659.33</v>
      </c>
      <c r="W109" s="10">
        <v>-3272.2</v>
      </c>
      <c r="X109" s="10">
        <v>-3238.2</v>
      </c>
      <c r="Y109" s="10">
        <v>-386.48</v>
      </c>
      <c r="Z109" s="10">
        <v>-565.79</v>
      </c>
      <c r="AA109" s="10">
        <v>0</v>
      </c>
      <c r="AB109" s="10">
        <v>-400.74</v>
      </c>
      <c r="AC109" s="10">
        <v>-1007.41</v>
      </c>
      <c r="AD109" s="10">
        <v>-572.82000000000005</v>
      </c>
      <c r="AE109" s="10">
        <v>-956.68</v>
      </c>
      <c r="AF109" s="10">
        <v>-2348.1999999999998</v>
      </c>
      <c r="AG109" s="10">
        <v>-378.62</v>
      </c>
      <c r="AH109" s="10">
        <v>0</v>
      </c>
      <c r="AI109" s="10">
        <v>-268.29000000000002</v>
      </c>
      <c r="AJ109" s="10">
        <v>-1842.53</v>
      </c>
      <c r="AK109" s="10">
        <v>-559.77</v>
      </c>
      <c r="AL109" s="10">
        <v>-5917.77</v>
      </c>
      <c r="AM109" s="10">
        <v>-1469.18</v>
      </c>
      <c r="AN109" s="10">
        <v>0</v>
      </c>
      <c r="AO109" s="10">
        <v>-1760</v>
      </c>
      <c r="AP109" s="10">
        <v>-2305.81</v>
      </c>
      <c r="AQ109" s="10">
        <v>-8768.44</v>
      </c>
      <c r="AR109" s="10">
        <v>-5256.3129546800001</v>
      </c>
      <c r="AS109" s="10">
        <v>-1143.6800551199999</v>
      </c>
      <c r="AT109" s="10">
        <v>-2303.7199999999998</v>
      </c>
      <c r="AU109" s="10">
        <f>SUM(B109:AT109)</f>
        <v>-85300.51150980001</v>
      </c>
    </row>
    <row r="110" spans="1:47" x14ac:dyDescent="0.2">
      <c r="A110" s="11" t="s">
        <v>156</v>
      </c>
      <c r="B110" s="12">
        <f t="shared" ref="B110:AU110" si="16">SUM(B105:B109)</f>
        <v>-4345.1399999999994</v>
      </c>
      <c r="C110" s="12">
        <f t="shared" si="16"/>
        <v>-4462.4399999999996</v>
      </c>
      <c r="D110" s="12">
        <f t="shared" si="16"/>
        <v>-4454.5600000000004</v>
      </c>
      <c r="E110" s="12">
        <f t="shared" si="16"/>
        <v>-4096.91</v>
      </c>
      <c r="F110" s="12">
        <f t="shared" si="16"/>
        <v>-4039.4779999999996</v>
      </c>
      <c r="G110" s="12">
        <f t="shared" si="16"/>
        <v>-4966.3890000000001</v>
      </c>
      <c r="H110" s="12">
        <f t="shared" si="16"/>
        <v>-4966.1545000000006</v>
      </c>
      <c r="I110" s="12">
        <f t="shared" si="16"/>
        <v>-5467.5925000000007</v>
      </c>
      <c r="J110" s="12">
        <f t="shared" si="16"/>
        <v>-5666.5095000000001</v>
      </c>
      <c r="K110" s="12">
        <f t="shared" si="16"/>
        <v>-16160.7965</v>
      </c>
      <c r="L110" s="12">
        <f t="shared" si="16"/>
        <v>-5380.6559999999999</v>
      </c>
      <c r="M110" s="12">
        <f t="shared" si="16"/>
        <v>-6585.277</v>
      </c>
      <c r="N110" s="12">
        <f t="shared" si="16"/>
        <v>0</v>
      </c>
      <c r="O110" s="12">
        <f t="shared" si="16"/>
        <v>-2376.5985000000001</v>
      </c>
      <c r="P110" s="12">
        <f t="shared" si="16"/>
        <v>-3567.4119999999998</v>
      </c>
      <c r="Q110" s="12">
        <f t="shared" si="16"/>
        <v>-8277.7049999999999</v>
      </c>
      <c r="R110" s="12">
        <f t="shared" si="16"/>
        <v>-2608.6999999999998</v>
      </c>
      <c r="S110" s="12">
        <f t="shared" si="16"/>
        <v>-3325.3500000000004</v>
      </c>
      <c r="T110" s="12">
        <f t="shared" si="16"/>
        <v>-3010.82</v>
      </c>
      <c r="U110" s="12">
        <f t="shared" si="16"/>
        <v>-5184.8</v>
      </c>
      <c r="V110" s="12">
        <f t="shared" si="16"/>
        <v>-4283.67</v>
      </c>
      <c r="W110" s="12">
        <f t="shared" si="16"/>
        <v>-5896.46</v>
      </c>
      <c r="X110" s="12">
        <f t="shared" si="16"/>
        <v>-5862.54</v>
      </c>
      <c r="Y110" s="12">
        <f t="shared" si="16"/>
        <v>-3010.7400000000002</v>
      </c>
      <c r="Z110" s="12">
        <f t="shared" si="16"/>
        <v>-4656.1399999999994</v>
      </c>
      <c r="AA110" s="12">
        <f t="shared" si="16"/>
        <v>0</v>
      </c>
      <c r="AB110" s="12">
        <f t="shared" si="16"/>
        <v>-3388.62</v>
      </c>
      <c r="AC110" s="12">
        <f t="shared" si="16"/>
        <v>-3568.3599999999997</v>
      </c>
      <c r="AD110" s="12">
        <f t="shared" si="16"/>
        <v>-3133.7900000000004</v>
      </c>
      <c r="AE110" s="12">
        <f t="shared" si="16"/>
        <v>-4017.5899999999997</v>
      </c>
      <c r="AF110" s="12">
        <f t="shared" si="16"/>
        <v>-5276.24</v>
      </c>
      <c r="AG110" s="12">
        <f t="shared" si="16"/>
        <v>-3306.77</v>
      </c>
      <c r="AH110" s="12">
        <f t="shared" si="16"/>
        <v>-3457.2599999999998</v>
      </c>
      <c r="AI110" s="12">
        <f t="shared" si="16"/>
        <v>-3725.63</v>
      </c>
      <c r="AJ110" s="12">
        <f t="shared" si="16"/>
        <v>-5299.78</v>
      </c>
      <c r="AK110" s="12">
        <f t="shared" si="16"/>
        <v>-3644.72</v>
      </c>
      <c r="AL110" s="12">
        <f t="shared" si="16"/>
        <v>-9002.7200000000012</v>
      </c>
      <c r="AM110" s="12">
        <f t="shared" si="16"/>
        <v>-4642.29</v>
      </c>
      <c r="AN110" s="12">
        <f t="shared" si="16"/>
        <v>0</v>
      </c>
      <c r="AO110" s="12">
        <f t="shared" si="16"/>
        <v>-5982.95</v>
      </c>
      <c r="AP110" s="12">
        <f t="shared" si="16"/>
        <v>-6592.07</v>
      </c>
      <c r="AQ110" s="12">
        <f t="shared" si="16"/>
        <v>-13032.130000000001</v>
      </c>
      <c r="AR110" s="12">
        <f t="shared" si="16"/>
        <v>-10262.792954680001</v>
      </c>
      <c r="AS110" s="12">
        <f t="shared" si="16"/>
        <v>-6150.160055119999</v>
      </c>
      <c r="AT110" s="12">
        <f t="shared" si="16"/>
        <v>-7348.1</v>
      </c>
      <c r="AU110" s="12">
        <f t="shared" si="16"/>
        <v>-224484.81150979997</v>
      </c>
    </row>
    <row r="111" spans="1:47" x14ac:dyDescent="0.2">
      <c r="A111" s="13" t="s">
        <v>157</v>
      </c>
      <c r="B111" s="12">
        <f t="shared" ref="B111:AU111" si="17">B110+0</f>
        <v>-4345.1399999999994</v>
      </c>
      <c r="C111" s="12">
        <f t="shared" si="17"/>
        <v>-4462.4399999999996</v>
      </c>
      <c r="D111" s="12">
        <f t="shared" si="17"/>
        <v>-4454.5600000000004</v>
      </c>
      <c r="E111" s="12">
        <f t="shared" si="17"/>
        <v>-4096.91</v>
      </c>
      <c r="F111" s="12">
        <f t="shared" si="17"/>
        <v>-4039.4779999999996</v>
      </c>
      <c r="G111" s="12">
        <f t="shared" si="17"/>
        <v>-4966.3890000000001</v>
      </c>
      <c r="H111" s="12">
        <f t="shared" si="17"/>
        <v>-4966.1545000000006</v>
      </c>
      <c r="I111" s="12">
        <f t="shared" si="17"/>
        <v>-5467.5925000000007</v>
      </c>
      <c r="J111" s="12">
        <f t="shared" si="17"/>
        <v>-5666.5095000000001</v>
      </c>
      <c r="K111" s="12">
        <f t="shared" si="17"/>
        <v>-16160.7965</v>
      </c>
      <c r="L111" s="12">
        <f t="shared" si="17"/>
        <v>-5380.6559999999999</v>
      </c>
      <c r="M111" s="12">
        <f t="shared" si="17"/>
        <v>-6585.277</v>
      </c>
      <c r="N111" s="12">
        <f t="shared" si="17"/>
        <v>0</v>
      </c>
      <c r="O111" s="12">
        <f t="shared" si="17"/>
        <v>-2376.5985000000001</v>
      </c>
      <c r="P111" s="12">
        <f t="shared" si="17"/>
        <v>-3567.4119999999998</v>
      </c>
      <c r="Q111" s="12">
        <f t="shared" si="17"/>
        <v>-8277.7049999999999</v>
      </c>
      <c r="R111" s="12">
        <f t="shared" si="17"/>
        <v>-2608.6999999999998</v>
      </c>
      <c r="S111" s="12">
        <f t="shared" si="17"/>
        <v>-3325.3500000000004</v>
      </c>
      <c r="T111" s="12">
        <f t="shared" si="17"/>
        <v>-3010.82</v>
      </c>
      <c r="U111" s="12">
        <f t="shared" si="17"/>
        <v>-5184.8</v>
      </c>
      <c r="V111" s="12">
        <f t="shared" si="17"/>
        <v>-4283.67</v>
      </c>
      <c r="W111" s="12">
        <f t="shared" si="17"/>
        <v>-5896.46</v>
      </c>
      <c r="X111" s="12">
        <f t="shared" si="17"/>
        <v>-5862.54</v>
      </c>
      <c r="Y111" s="12">
        <f t="shared" si="17"/>
        <v>-3010.7400000000002</v>
      </c>
      <c r="Z111" s="12">
        <f t="shared" si="17"/>
        <v>-4656.1399999999994</v>
      </c>
      <c r="AA111" s="12">
        <f t="shared" si="17"/>
        <v>0</v>
      </c>
      <c r="AB111" s="12">
        <f t="shared" si="17"/>
        <v>-3388.62</v>
      </c>
      <c r="AC111" s="12">
        <f t="shared" si="17"/>
        <v>-3568.3599999999997</v>
      </c>
      <c r="AD111" s="12">
        <f t="shared" si="17"/>
        <v>-3133.7900000000004</v>
      </c>
      <c r="AE111" s="12">
        <f t="shared" si="17"/>
        <v>-4017.5899999999997</v>
      </c>
      <c r="AF111" s="12">
        <f t="shared" si="17"/>
        <v>-5276.24</v>
      </c>
      <c r="AG111" s="12">
        <f t="shared" si="17"/>
        <v>-3306.77</v>
      </c>
      <c r="AH111" s="12">
        <f t="shared" si="17"/>
        <v>-3457.2599999999998</v>
      </c>
      <c r="AI111" s="12">
        <f t="shared" si="17"/>
        <v>-3725.63</v>
      </c>
      <c r="AJ111" s="12">
        <f t="shared" si="17"/>
        <v>-5299.78</v>
      </c>
      <c r="AK111" s="12">
        <f t="shared" si="17"/>
        <v>-3644.72</v>
      </c>
      <c r="AL111" s="12">
        <f t="shared" si="17"/>
        <v>-9002.7200000000012</v>
      </c>
      <c r="AM111" s="12">
        <f t="shared" si="17"/>
        <v>-4642.29</v>
      </c>
      <c r="AN111" s="12">
        <f t="shared" si="17"/>
        <v>0</v>
      </c>
      <c r="AO111" s="12">
        <f t="shared" si="17"/>
        <v>-5982.95</v>
      </c>
      <c r="AP111" s="12">
        <f t="shared" si="17"/>
        <v>-6592.07</v>
      </c>
      <c r="AQ111" s="12">
        <f t="shared" si="17"/>
        <v>-13032.130000000001</v>
      </c>
      <c r="AR111" s="12">
        <f t="shared" si="17"/>
        <v>-10262.792954680001</v>
      </c>
      <c r="AS111" s="12">
        <f t="shared" si="17"/>
        <v>-6150.160055119999</v>
      </c>
      <c r="AT111" s="12">
        <f t="shared" si="17"/>
        <v>-7348.1</v>
      </c>
      <c r="AU111" s="12">
        <f t="shared" si="17"/>
        <v>-224484.81150979997</v>
      </c>
    </row>
    <row r="112" spans="1:47" x14ac:dyDescent="0.2">
      <c r="A112" s="7" t="s">
        <v>158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</row>
    <row r="113" spans="1:47" x14ac:dyDescent="0.2">
      <c r="A113" s="15" t="s">
        <v>159</v>
      </c>
      <c r="B113" s="10">
        <v>-2807.0133959999998</v>
      </c>
      <c r="C113" s="10">
        <v>-2840.3425419999999</v>
      </c>
      <c r="D113" s="10">
        <v>-4202.6868670000003</v>
      </c>
      <c r="E113" s="10">
        <v>-64.710800000000006</v>
      </c>
      <c r="F113" s="10">
        <v>-1004.912991</v>
      </c>
      <c r="G113" s="10">
        <v>-6857.3929340000004</v>
      </c>
      <c r="H113" s="10">
        <v>-251.03756799999999</v>
      </c>
      <c r="I113" s="10">
        <v>-1741.775731</v>
      </c>
      <c r="J113" s="10">
        <v>-53.967984999999999</v>
      </c>
      <c r="K113" s="10">
        <v>-16047.777695000001</v>
      </c>
      <c r="L113" s="10">
        <v>-414.06828000000002</v>
      </c>
      <c r="M113" s="10">
        <v>-460.91290800000002</v>
      </c>
      <c r="N113" s="10">
        <v>0</v>
      </c>
      <c r="O113" s="10">
        <v>-396.9</v>
      </c>
      <c r="P113" s="10">
        <v>-269.99</v>
      </c>
      <c r="Q113" s="10">
        <v>-3164.6</v>
      </c>
      <c r="R113" s="10">
        <v>-1169.5899999999999</v>
      </c>
      <c r="S113" s="10">
        <v>-1245.24</v>
      </c>
      <c r="T113" s="10">
        <v>-1644.9949999999999</v>
      </c>
      <c r="U113" s="10">
        <v>0</v>
      </c>
      <c r="V113" s="10">
        <v>-600</v>
      </c>
      <c r="W113" s="10">
        <v>-123.29</v>
      </c>
      <c r="X113" s="10">
        <v>-2367.4</v>
      </c>
      <c r="Y113" s="10">
        <v>-5226.6499999999996</v>
      </c>
      <c r="Z113" s="10">
        <v>-767.4</v>
      </c>
      <c r="AA113" s="10">
        <v>0</v>
      </c>
      <c r="AB113" s="10">
        <v>-127.4</v>
      </c>
      <c r="AC113" s="10">
        <v>-3009.3087500000001</v>
      </c>
      <c r="AD113" s="10">
        <v>-127.4</v>
      </c>
      <c r="AE113" s="10">
        <v>-755.16189999999995</v>
      </c>
      <c r="AF113" s="10">
        <v>-1339.6682000000001</v>
      </c>
      <c r="AG113" s="10">
        <v>-358.19943000000001</v>
      </c>
      <c r="AH113" s="10">
        <v>-1336.828925</v>
      </c>
      <c r="AI113" s="10">
        <v>-6298.8688359999996</v>
      </c>
      <c r="AJ113" s="10">
        <v>0</v>
      </c>
      <c r="AK113" s="10">
        <v>-6759.8162011699997</v>
      </c>
      <c r="AL113" s="10">
        <v>-4687.2740000000003</v>
      </c>
      <c r="AM113" s="10">
        <v>555.94000000000005</v>
      </c>
      <c r="AN113" s="10">
        <v>0</v>
      </c>
      <c r="AO113" s="10">
        <v>-756.21</v>
      </c>
      <c r="AP113" s="10">
        <v>-471.8</v>
      </c>
      <c r="AQ113" s="10">
        <v>-1762.78188</v>
      </c>
      <c r="AR113" s="10">
        <v>-4800.5142594199997</v>
      </c>
      <c r="AS113" s="10">
        <v>-1986.62837986</v>
      </c>
      <c r="AT113" s="10">
        <v>-5902.5281640000003</v>
      </c>
      <c r="AU113" s="10">
        <f t="shared" ref="AU113:AU144" si="18">SUM(B113:AT113)</f>
        <v>-93647.103622450028</v>
      </c>
    </row>
    <row r="114" spans="1:47" x14ac:dyDescent="0.2">
      <c r="A114" s="15" t="s">
        <v>160</v>
      </c>
      <c r="B114" s="10">
        <v>0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-165</v>
      </c>
      <c r="V114" s="10">
        <v>-481.02</v>
      </c>
      <c r="W114" s="10">
        <v>-52.98</v>
      </c>
      <c r="X114" s="10">
        <v>-1736.7</v>
      </c>
      <c r="Y114" s="10">
        <v>-1803.12</v>
      </c>
      <c r="Z114" s="10">
        <v>4238.82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0">
        <v>0</v>
      </c>
      <c r="AT114" s="10">
        <v>0</v>
      </c>
      <c r="AU114" s="10">
        <f t="shared" si="18"/>
        <v>0</v>
      </c>
    </row>
    <row r="115" spans="1:47" x14ac:dyDescent="0.2">
      <c r="A115" s="15" t="s">
        <v>161</v>
      </c>
      <c r="B115" s="10">
        <v>0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-215.97</v>
      </c>
      <c r="Y115" s="10">
        <v>-341.03</v>
      </c>
      <c r="Z115" s="10">
        <v>-653.1</v>
      </c>
      <c r="AA115" s="10">
        <v>0</v>
      </c>
      <c r="AB115" s="10">
        <v>-806.37</v>
      </c>
      <c r="AC115" s="10">
        <v>-806.37</v>
      </c>
      <c r="AD115" s="10">
        <v>-971.1</v>
      </c>
      <c r="AE115" s="10">
        <v>-971.1</v>
      </c>
      <c r="AF115" s="10">
        <v>-971.1</v>
      </c>
      <c r="AG115" s="10">
        <v>-1105.3900000000001</v>
      </c>
      <c r="AH115" s="10">
        <v>-1338.71</v>
      </c>
      <c r="AI115" s="10">
        <v>-1338.71</v>
      </c>
      <c r="AJ115" s="10">
        <v>-1338.71</v>
      </c>
      <c r="AK115" s="10">
        <v>-1338.71</v>
      </c>
      <c r="AL115" s="10">
        <v>-1338.71</v>
      </c>
      <c r="AM115" s="10">
        <v>-1338.71</v>
      </c>
      <c r="AN115" s="10">
        <v>0</v>
      </c>
      <c r="AO115" s="10">
        <v>-1338.71</v>
      </c>
      <c r="AP115" s="10">
        <v>-1338.71</v>
      </c>
      <c r="AQ115" s="10">
        <v>-1831.04</v>
      </c>
      <c r="AR115" s="10">
        <v>-2563.66</v>
      </c>
      <c r="AS115" s="10">
        <v>-2563.66</v>
      </c>
      <c r="AT115" s="10">
        <v>-2563.66</v>
      </c>
      <c r="AU115" s="10">
        <f t="shared" si="18"/>
        <v>-27073.229999999996</v>
      </c>
    </row>
    <row r="116" spans="1:47" x14ac:dyDescent="0.2">
      <c r="A116" s="15" t="s">
        <v>162</v>
      </c>
      <c r="B116" s="10">
        <v>-1100</v>
      </c>
      <c r="C116" s="10">
        <v>-1100</v>
      </c>
      <c r="D116" s="10">
        <v>-1100</v>
      </c>
      <c r="E116" s="10">
        <v>-1100</v>
      </c>
      <c r="F116" s="10">
        <v>-1100</v>
      </c>
      <c r="G116" s="10">
        <v>-1100</v>
      </c>
      <c r="H116" s="10">
        <v>-1100</v>
      </c>
      <c r="I116" s="10">
        <v>-1100</v>
      </c>
      <c r="J116" s="10">
        <v>-1100</v>
      </c>
      <c r="K116" s="10">
        <v>-1100</v>
      </c>
      <c r="L116" s="10">
        <v>-1100</v>
      </c>
      <c r="M116" s="10">
        <v>-10739.406000000001</v>
      </c>
      <c r="N116" s="10">
        <v>0</v>
      </c>
      <c r="O116" s="10">
        <v>-1100</v>
      </c>
      <c r="P116" s="10">
        <v>-1100</v>
      </c>
      <c r="Q116" s="10">
        <v>-1100</v>
      </c>
      <c r="R116" s="10">
        <v>-1100</v>
      </c>
      <c r="S116" s="10">
        <v>-1100</v>
      </c>
      <c r="T116" s="10">
        <v>-1100</v>
      </c>
      <c r="U116" s="10">
        <v>-1100</v>
      </c>
      <c r="V116" s="10">
        <v>-1100</v>
      </c>
      <c r="W116" s="10">
        <v>-1100</v>
      </c>
      <c r="X116" s="10">
        <v>-1100</v>
      </c>
      <c r="Y116" s="10">
        <v>-1100</v>
      </c>
      <c r="Z116" s="10">
        <v>-15351.83706152</v>
      </c>
      <c r="AA116" s="10">
        <v>0</v>
      </c>
      <c r="AB116" s="10">
        <v>-1100</v>
      </c>
      <c r="AC116" s="10">
        <v>-1100</v>
      </c>
      <c r="AD116" s="10">
        <v>-1100</v>
      </c>
      <c r="AE116" s="10">
        <v>-1100</v>
      </c>
      <c r="AF116" s="10">
        <v>-1100</v>
      </c>
      <c r="AG116" s="10">
        <v>-1100</v>
      </c>
      <c r="AH116" s="10">
        <v>-1100</v>
      </c>
      <c r="AI116" s="10">
        <v>-1100</v>
      </c>
      <c r="AJ116" s="10">
        <v>-3800</v>
      </c>
      <c r="AK116" s="10">
        <v>-1400</v>
      </c>
      <c r="AL116" s="10">
        <v>-1400</v>
      </c>
      <c r="AM116" s="10">
        <v>-13540.621964559999</v>
      </c>
      <c r="AN116" s="10">
        <v>0</v>
      </c>
      <c r="AO116" s="10">
        <v>-1400</v>
      </c>
      <c r="AP116" s="10">
        <v>-1400</v>
      </c>
      <c r="AQ116" s="10">
        <v>-1400</v>
      </c>
      <c r="AR116" s="10">
        <v>-1500</v>
      </c>
      <c r="AS116" s="10">
        <v>-1500</v>
      </c>
      <c r="AT116" s="10">
        <v>-1807.65</v>
      </c>
      <c r="AU116" s="10">
        <f t="shared" si="18"/>
        <v>-88239.515026079986</v>
      </c>
    </row>
    <row r="117" spans="1:47" x14ac:dyDescent="0.2">
      <c r="A117" s="15" t="s">
        <v>163</v>
      </c>
      <c r="B117" s="10">
        <v>-2421.56</v>
      </c>
      <c r="C117" s="10">
        <v>-2550.92</v>
      </c>
      <c r="D117" s="10">
        <v>-2481.6799999999998</v>
      </c>
      <c r="E117" s="10">
        <v>-2115.31</v>
      </c>
      <c r="F117" s="10">
        <v>-2123</v>
      </c>
      <c r="G117" s="10">
        <v>-1736.57</v>
      </c>
      <c r="H117" s="10">
        <v>-1648.38</v>
      </c>
      <c r="I117" s="10">
        <v>-2603.15</v>
      </c>
      <c r="J117" s="10">
        <v>-2656.79</v>
      </c>
      <c r="K117" s="10">
        <v>-2765.86</v>
      </c>
      <c r="L117" s="10">
        <v>-2768.06</v>
      </c>
      <c r="M117" s="10">
        <v>-2782.5</v>
      </c>
      <c r="N117" s="10">
        <v>0</v>
      </c>
      <c r="O117" s="10">
        <v>-2735.04</v>
      </c>
      <c r="P117" s="10">
        <v>-2865.02</v>
      </c>
      <c r="Q117" s="10">
        <v>-2925.07</v>
      </c>
      <c r="R117" s="10">
        <v>-3203.1</v>
      </c>
      <c r="S117" s="10">
        <v>-2886.57</v>
      </c>
      <c r="T117" s="10">
        <v>-2752.28</v>
      </c>
      <c r="U117" s="10">
        <v>-2676.39</v>
      </c>
      <c r="V117" s="10">
        <v>-2865.14</v>
      </c>
      <c r="W117" s="10">
        <v>-2824.11</v>
      </c>
      <c r="X117" s="10">
        <v>-2940.59</v>
      </c>
      <c r="Y117" s="10">
        <v>-2781.38</v>
      </c>
      <c r="Z117" s="10">
        <v>-2794.58</v>
      </c>
      <c r="AA117" s="10">
        <v>0</v>
      </c>
      <c r="AB117" s="10">
        <v>-2764.34</v>
      </c>
      <c r="AC117" s="10">
        <v>-3048.89</v>
      </c>
      <c r="AD117" s="10">
        <v>-2520.2399999999998</v>
      </c>
      <c r="AE117" s="10">
        <v>-3004.33</v>
      </c>
      <c r="AF117" s="10">
        <v>-3194.26</v>
      </c>
      <c r="AG117" s="10">
        <v>-3644.48</v>
      </c>
      <c r="AH117" s="10">
        <v>-2283.85</v>
      </c>
      <c r="AI117" s="10">
        <v>-2301.71</v>
      </c>
      <c r="AJ117" s="10">
        <v>-2950.76</v>
      </c>
      <c r="AK117" s="10">
        <v>-3103.75</v>
      </c>
      <c r="AL117" s="10">
        <v>-3770.58</v>
      </c>
      <c r="AM117" s="10">
        <v>-3098.78</v>
      </c>
      <c r="AN117" s="10">
        <v>0</v>
      </c>
      <c r="AO117" s="10">
        <v>-3209.16</v>
      </c>
      <c r="AP117" s="10">
        <v>-3520.46</v>
      </c>
      <c r="AQ117" s="10">
        <v>-3266.18</v>
      </c>
      <c r="AR117" s="10">
        <v>-3762.04</v>
      </c>
      <c r="AS117" s="10">
        <v>-3321.6441794799998</v>
      </c>
      <c r="AT117" s="10">
        <v>-829.19</v>
      </c>
      <c r="AU117" s="10">
        <f t="shared" si="18"/>
        <v>-116497.69417948001</v>
      </c>
    </row>
    <row r="118" spans="1:47" x14ac:dyDescent="0.2">
      <c r="A118" s="15" t="s">
        <v>164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-2240</v>
      </c>
      <c r="AA118" s="10">
        <v>0</v>
      </c>
      <c r="AB118" s="10">
        <v>0</v>
      </c>
      <c r="AC118" s="10">
        <v>-3840</v>
      </c>
      <c r="AD118" s="10">
        <v>-3840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f t="shared" si="18"/>
        <v>-9920</v>
      </c>
    </row>
    <row r="119" spans="1:47" x14ac:dyDescent="0.2">
      <c r="A119" s="15" t="s">
        <v>165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-10108.85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10">
        <v>0</v>
      </c>
      <c r="AS119" s="10">
        <v>0</v>
      </c>
      <c r="AT119" s="10">
        <v>0</v>
      </c>
      <c r="AU119" s="10">
        <f t="shared" si="18"/>
        <v>-10108.85</v>
      </c>
    </row>
    <row r="120" spans="1:47" x14ac:dyDescent="0.2">
      <c r="A120" s="15" t="s">
        <v>166</v>
      </c>
      <c r="B120" s="10">
        <v>-4267.45</v>
      </c>
      <c r="C120" s="10">
        <v>-267.06148000000002</v>
      </c>
      <c r="D120" s="10">
        <v>-1577.3584000000001</v>
      </c>
      <c r="E120" s="10">
        <v>785.69833600000004</v>
      </c>
      <c r="F120" s="10">
        <v>-8141.9594999999999</v>
      </c>
      <c r="G120" s="10">
        <v>-8708.3558919999996</v>
      </c>
      <c r="H120" s="10">
        <v>268.82</v>
      </c>
      <c r="I120" s="10">
        <v>-330.17</v>
      </c>
      <c r="J120" s="10">
        <v>-154.4</v>
      </c>
      <c r="K120" s="10">
        <v>-395.08</v>
      </c>
      <c r="L120" s="10">
        <v>-185.09</v>
      </c>
      <c r="M120" s="10">
        <v>-13464.31417</v>
      </c>
      <c r="N120" s="10">
        <v>0</v>
      </c>
      <c r="O120" s="10">
        <v>-5403.3592399999998</v>
      </c>
      <c r="P120" s="10">
        <v>-1441.94</v>
      </c>
      <c r="Q120" s="10">
        <v>-4257.3500000000004</v>
      </c>
      <c r="R120" s="10">
        <v>-2587.1799999999998</v>
      </c>
      <c r="S120" s="10">
        <v>-7611.8131700000004</v>
      </c>
      <c r="T120" s="10">
        <v>-1362.6849999999999</v>
      </c>
      <c r="U120" s="10">
        <v>-2013.02</v>
      </c>
      <c r="V120" s="10">
        <v>-1517.9059999999999</v>
      </c>
      <c r="W120" s="10">
        <v>-804.21</v>
      </c>
      <c r="X120" s="10">
        <v>-946.2</v>
      </c>
      <c r="Y120" s="10">
        <v>-1381.19</v>
      </c>
      <c r="Z120" s="10">
        <v>-2105.13</v>
      </c>
      <c r="AA120" s="10">
        <v>0</v>
      </c>
      <c r="AB120" s="10">
        <v>-2833.13</v>
      </c>
      <c r="AC120" s="10">
        <v>-10363.75302968</v>
      </c>
      <c r="AD120" s="10">
        <v>-5053.74</v>
      </c>
      <c r="AE120" s="10">
        <v>-2932.1019200000001</v>
      </c>
      <c r="AF120" s="10">
        <v>-3183.7663210000001</v>
      </c>
      <c r="AG120" s="10">
        <v>-2342.21</v>
      </c>
      <c r="AH120" s="10">
        <v>-2025.77</v>
      </c>
      <c r="AI120" s="10">
        <v>-2037.03</v>
      </c>
      <c r="AJ120" s="10">
        <v>-2107.73</v>
      </c>
      <c r="AK120" s="10">
        <v>-1928.71</v>
      </c>
      <c r="AL120" s="10">
        <v>-1989.56</v>
      </c>
      <c r="AM120" s="10">
        <v>-1530.3875470800001</v>
      </c>
      <c r="AN120" s="10">
        <v>0</v>
      </c>
      <c r="AO120" s="10">
        <v>-3997.6568000000002</v>
      </c>
      <c r="AP120" s="10">
        <v>-4239.42</v>
      </c>
      <c r="AQ120" s="10">
        <v>-15129.55557067</v>
      </c>
      <c r="AR120" s="10">
        <v>-3400.6107637099999</v>
      </c>
      <c r="AS120" s="10">
        <v>-2352.131445</v>
      </c>
      <c r="AT120" s="10">
        <v>-1826.56</v>
      </c>
      <c r="AU120" s="10">
        <f t="shared" si="18"/>
        <v>-137142.52791314002</v>
      </c>
    </row>
    <row r="121" spans="1:47" x14ac:dyDescent="0.2">
      <c r="A121" s="15" t="s">
        <v>167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0</v>
      </c>
      <c r="AR121" s="10">
        <v>0</v>
      </c>
      <c r="AS121" s="10">
        <v>0</v>
      </c>
      <c r="AT121" s="10">
        <v>-35.74</v>
      </c>
      <c r="AU121" s="10">
        <f t="shared" si="18"/>
        <v>-35.74</v>
      </c>
    </row>
    <row r="122" spans="1:47" x14ac:dyDescent="0.2">
      <c r="A122" s="15" t="s">
        <v>168</v>
      </c>
      <c r="B122" s="10">
        <v>0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-2259.61</v>
      </c>
      <c r="N122" s="10">
        <v>0</v>
      </c>
      <c r="O122" s="10">
        <v>1920.13</v>
      </c>
      <c r="P122" s="10">
        <v>803.32</v>
      </c>
      <c r="Q122" s="10">
        <v>4859.1099999999997</v>
      </c>
      <c r="R122" s="10">
        <v>-7705.7</v>
      </c>
      <c r="S122" s="10">
        <v>-3179.37</v>
      </c>
      <c r="T122" s="10">
        <v>12298.12</v>
      </c>
      <c r="U122" s="10">
        <v>1775.95</v>
      </c>
      <c r="V122" s="10">
        <v>1998.34</v>
      </c>
      <c r="W122" s="10">
        <v>15679.14</v>
      </c>
      <c r="X122" s="10">
        <v>6145.11</v>
      </c>
      <c r="Y122" s="10">
        <v>-11626.6</v>
      </c>
      <c r="Z122" s="10">
        <v>-2244.15</v>
      </c>
      <c r="AA122" s="10">
        <v>0</v>
      </c>
      <c r="AB122" s="10">
        <v>6517.93</v>
      </c>
      <c r="AC122" s="10">
        <v>-2427.85</v>
      </c>
      <c r="AD122" s="10">
        <v>7776.94</v>
      </c>
      <c r="AE122" s="10">
        <v>40395.56</v>
      </c>
      <c r="AF122" s="10">
        <v>-14767.99</v>
      </c>
      <c r="AG122" s="10">
        <v>36009.49</v>
      </c>
      <c r="AH122" s="10">
        <v>19961.75</v>
      </c>
      <c r="AI122" s="10">
        <v>-48539.55</v>
      </c>
      <c r="AJ122" s="10">
        <v>13332.13</v>
      </c>
      <c r="AK122" s="10">
        <v>-25868.12</v>
      </c>
      <c r="AL122" s="10">
        <v>-24932.38</v>
      </c>
      <c r="AM122" s="10">
        <v>-7054.02</v>
      </c>
      <c r="AN122" s="10">
        <v>0</v>
      </c>
      <c r="AO122" s="10">
        <v>-10983.65</v>
      </c>
      <c r="AP122" s="10">
        <v>14399.33</v>
      </c>
      <c r="AQ122" s="10">
        <v>-12214.25</v>
      </c>
      <c r="AR122" s="10">
        <v>-7235.23</v>
      </c>
      <c r="AS122" s="10">
        <v>31066.58</v>
      </c>
      <c r="AT122" s="10">
        <v>-20876.5</v>
      </c>
      <c r="AU122" s="10">
        <f t="shared" si="18"/>
        <v>13023.960000000006</v>
      </c>
    </row>
    <row r="123" spans="1:47" x14ac:dyDescent="0.2">
      <c r="A123" s="15" t="s">
        <v>169</v>
      </c>
      <c r="B123" s="10">
        <v>0</v>
      </c>
      <c r="C123" s="10">
        <v>0</v>
      </c>
      <c r="D123" s="10">
        <v>0</v>
      </c>
      <c r="E123" s="10">
        <v>-1.4293659999999999</v>
      </c>
      <c r="F123" s="10">
        <v>0</v>
      </c>
      <c r="G123" s="10">
        <v>0</v>
      </c>
      <c r="H123" s="10">
        <v>0</v>
      </c>
      <c r="I123" s="10">
        <v>0</v>
      </c>
      <c r="J123" s="10">
        <v>-7153.22</v>
      </c>
      <c r="K123" s="10">
        <v>0</v>
      </c>
      <c r="L123" s="10">
        <v>0</v>
      </c>
      <c r="M123" s="10">
        <v>-5430.7691759999998</v>
      </c>
      <c r="N123" s="10">
        <v>0</v>
      </c>
      <c r="O123" s="10">
        <v>0</v>
      </c>
      <c r="P123" s="10">
        <v>0</v>
      </c>
      <c r="Q123" s="10">
        <v>0</v>
      </c>
      <c r="R123" s="10">
        <v>9.6347819999999995</v>
      </c>
      <c r="S123" s="10">
        <v>0</v>
      </c>
      <c r="T123" s="10">
        <v>0</v>
      </c>
      <c r="U123" s="10">
        <v>-0.64163099999999995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-459.05</v>
      </c>
      <c r="AJ123" s="10">
        <v>0</v>
      </c>
      <c r="AK123" s="10">
        <v>0</v>
      </c>
      <c r="AL123" s="10">
        <v>0</v>
      </c>
      <c r="AM123" s="10">
        <v>-38945.219271119997</v>
      </c>
      <c r="AN123" s="10">
        <v>0</v>
      </c>
      <c r="AO123" s="10">
        <v>0</v>
      </c>
      <c r="AP123" s="10">
        <v>0</v>
      </c>
      <c r="AQ123" s="10">
        <v>-1246.27</v>
      </c>
      <c r="AR123" s="10">
        <v>0</v>
      </c>
      <c r="AS123" s="10">
        <v>0</v>
      </c>
      <c r="AT123" s="10">
        <v>0</v>
      </c>
      <c r="AU123" s="10">
        <f t="shared" si="18"/>
        <v>-53226.964662119994</v>
      </c>
    </row>
    <row r="124" spans="1:47" x14ac:dyDescent="0.2">
      <c r="A124" s="15" t="s">
        <v>170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-1000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-1540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-1120</v>
      </c>
      <c r="AN124" s="10">
        <v>0</v>
      </c>
      <c r="AO124" s="10">
        <v>0</v>
      </c>
      <c r="AP124" s="10">
        <v>0</v>
      </c>
      <c r="AQ124" s="10">
        <v>0</v>
      </c>
      <c r="AR124" s="10">
        <v>0</v>
      </c>
      <c r="AS124" s="10">
        <v>0</v>
      </c>
      <c r="AT124" s="10">
        <v>0</v>
      </c>
      <c r="AU124" s="10">
        <f t="shared" si="18"/>
        <v>-3660</v>
      </c>
    </row>
    <row r="125" spans="1:47" x14ac:dyDescent="0.2">
      <c r="A125" s="15" t="s">
        <v>171</v>
      </c>
      <c r="B125" s="10">
        <v>0</v>
      </c>
      <c r="C125" s="10">
        <v>-1890.84</v>
      </c>
      <c r="D125" s="10">
        <v>-1330.41</v>
      </c>
      <c r="E125" s="10">
        <v>-1191.5999999999999</v>
      </c>
      <c r="F125" s="10">
        <v>0</v>
      </c>
      <c r="G125" s="10">
        <v>-198.2</v>
      </c>
      <c r="H125" s="10">
        <v>-474.17</v>
      </c>
      <c r="I125" s="10">
        <v>-935.4</v>
      </c>
      <c r="J125" s="10">
        <v>-2022.06</v>
      </c>
      <c r="K125" s="10">
        <v>-1630.2</v>
      </c>
      <c r="L125" s="10">
        <v>-1216.8</v>
      </c>
      <c r="M125" s="10">
        <v>-5442.12</v>
      </c>
      <c r="N125" s="10">
        <v>0</v>
      </c>
      <c r="O125" s="10">
        <v>0</v>
      </c>
      <c r="P125" s="10">
        <v>0</v>
      </c>
      <c r="Q125" s="10">
        <v>-927</v>
      </c>
      <c r="R125" s="10">
        <v>-735</v>
      </c>
      <c r="S125" s="10">
        <v>0</v>
      </c>
      <c r="T125" s="10">
        <v>-424.8</v>
      </c>
      <c r="U125" s="10">
        <v>0</v>
      </c>
      <c r="V125" s="10">
        <v>0</v>
      </c>
      <c r="W125" s="10">
        <v>-646.02</v>
      </c>
      <c r="X125" s="10">
        <v>0</v>
      </c>
      <c r="Y125" s="10">
        <v>0</v>
      </c>
      <c r="Z125" s="10">
        <v>-5432.22</v>
      </c>
      <c r="AA125" s="10">
        <v>0</v>
      </c>
      <c r="AB125" s="10">
        <v>0</v>
      </c>
      <c r="AC125" s="10">
        <v>-1847.1</v>
      </c>
      <c r="AD125" s="10">
        <v>-2338.14</v>
      </c>
      <c r="AE125" s="10">
        <v>-3333.78</v>
      </c>
      <c r="AF125" s="10">
        <v>-1203.6600000000001</v>
      </c>
      <c r="AG125" s="10">
        <v>-1662.6</v>
      </c>
      <c r="AH125" s="10">
        <v>-1758.6</v>
      </c>
      <c r="AI125" s="10">
        <v>-2142.6</v>
      </c>
      <c r="AJ125" s="10">
        <v>-622.5</v>
      </c>
      <c r="AK125" s="10">
        <v>-3473.4</v>
      </c>
      <c r="AL125" s="10">
        <v>-855.9</v>
      </c>
      <c r="AM125" s="10">
        <v>-3605.13</v>
      </c>
      <c r="AN125" s="10">
        <v>0</v>
      </c>
      <c r="AO125" s="10">
        <v>0</v>
      </c>
      <c r="AP125" s="10">
        <v>-1262.46</v>
      </c>
      <c r="AQ125" s="10">
        <v>-1906.56</v>
      </c>
      <c r="AR125" s="10">
        <v>-2391.4499999999998</v>
      </c>
      <c r="AS125" s="10">
        <v>-1185.9000000000001</v>
      </c>
      <c r="AT125" s="10">
        <v>-1507.5</v>
      </c>
      <c r="AU125" s="10">
        <f t="shared" si="18"/>
        <v>-55594.119999999988</v>
      </c>
    </row>
    <row r="126" spans="1:47" x14ac:dyDescent="0.2">
      <c r="A126" s="15" t="s">
        <v>172</v>
      </c>
      <c r="B126" s="10">
        <v>0</v>
      </c>
      <c r="C126" s="10">
        <v>-4224</v>
      </c>
      <c r="D126" s="10">
        <v>-3371.2</v>
      </c>
      <c r="E126" s="10">
        <v>-2011.2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-414.4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-770</v>
      </c>
      <c r="Z126" s="10">
        <v>-1584</v>
      </c>
      <c r="AA126" s="10">
        <v>0</v>
      </c>
      <c r="AB126" s="10">
        <v>0</v>
      </c>
      <c r="AC126" s="10">
        <v>-224</v>
      </c>
      <c r="AD126" s="10">
        <v>-565.6</v>
      </c>
      <c r="AE126" s="10">
        <v>-509.6</v>
      </c>
      <c r="AF126" s="10">
        <v>-364</v>
      </c>
      <c r="AG126" s="10">
        <v>-252</v>
      </c>
      <c r="AH126" s="10">
        <v>-140</v>
      </c>
      <c r="AI126" s="10">
        <v>-201.6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0">
        <v>0</v>
      </c>
      <c r="AT126" s="10">
        <v>0</v>
      </c>
      <c r="AU126" s="10">
        <f t="shared" si="18"/>
        <v>-14631.6</v>
      </c>
    </row>
    <row r="127" spans="1:47" x14ac:dyDescent="0.2">
      <c r="A127" s="15" t="s">
        <v>173</v>
      </c>
      <c r="B127" s="10">
        <v>-8047.94</v>
      </c>
      <c r="C127" s="10">
        <v>-13860.69</v>
      </c>
      <c r="D127" s="10">
        <v>3280.23</v>
      </c>
      <c r="E127" s="10">
        <v>-551.16</v>
      </c>
      <c r="F127" s="10">
        <v>0</v>
      </c>
      <c r="G127" s="10">
        <v>-381.4</v>
      </c>
      <c r="H127" s="10">
        <v>729.15</v>
      </c>
      <c r="I127" s="10">
        <v>328.82</v>
      </c>
      <c r="J127" s="10">
        <v>-884.27</v>
      </c>
      <c r="K127" s="10">
        <v>-1948.18</v>
      </c>
      <c r="L127" s="10">
        <v>568.54</v>
      </c>
      <c r="M127" s="10">
        <v>-153.80000000000001</v>
      </c>
      <c r="N127" s="10">
        <v>0</v>
      </c>
      <c r="O127" s="10">
        <v>-1427.37</v>
      </c>
      <c r="P127" s="10">
        <v>-112.19</v>
      </c>
      <c r="Q127" s="10">
        <v>-29.17</v>
      </c>
      <c r="R127" s="10">
        <v>-4261.5</v>
      </c>
      <c r="S127" s="10">
        <v>-1936.66</v>
      </c>
      <c r="T127" s="10">
        <v>-371.58</v>
      </c>
      <c r="U127" s="10">
        <v>-3237.11</v>
      </c>
      <c r="V127" s="10">
        <v>-4198.7</v>
      </c>
      <c r="W127" s="10">
        <v>-3033.61</v>
      </c>
      <c r="X127" s="10">
        <v>-2599.3200000000002</v>
      </c>
      <c r="Y127" s="10">
        <v>-16825.25</v>
      </c>
      <c r="Z127" s="10">
        <v>-4654.88</v>
      </c>
      <c r="AA127" s="10">
        <v>0</v>
      </c>
      <c r="AB127" s="10">
        <v>-2779.84</v>
      </c>
      <c r="AC127" s="10">
        <v>-3475.81</v>
      </c>
      <c r="AD127" s="10">
        <v>-8083.54</v>
      </c>
      <c r="AE127" s="10">
        <v>-10714.78</v>
      </c>
      <c r="AF127" s="10">
        <v>-8142.5</v>
      </c>
      <c r="AG127" s="10">
        <v>-3561.79</v>
      </c>
      <c r="AH127" s="10">
        <v>-7036.57</v>
      </c>
      <c r="AI127" s="10">
        <v>-3065.48</v>
      </c>
      <c r="AJ127" s="10">
        <v>-64755.49</v>
      </c>
      <c r="AK127" s="10">
        <v>-8310.82</v>
      </c>
      <c r="AL127" s="10">
        <v>-8650.99</v>
      </c>
      <c r="AM127" s="10">
        <v>-10809.96</v>
      </c>
      <c r="AN127" s="10">
        <v>0</v>
      </c>
      <c r="AO127" s="10">
        <v>-4635.78</v>
      </c>
      <c r="AP127" s="10">
        <v>-9870.9</v>
      </c>
      <c r="AQ127" s="10">
        <v>-8414.48</v>
      </c>
      <c r="AR127" s="10">
        <v>-11865.82</v>
      </c>
      <c r="AS127" s="10">
        <v>-10409.58</v>
      </c>
      <c r="AT127" s="10">
        <v>-8553.17</v>
      </c>
      <c r="AU127" s="10">
        <f t="shared" si="18"/>
        <v>-256745.33999999997</v>
      </c>
    </row>
    <row r="128" spans="1:47" x14ac:dyDescent="0.2">
      <c r="A128" s="15" t="s">
        <v>174</v>
      </c>
      <c r="B128" s="10">
        <v>-6955.24</v>
      </c>
      <c r="C128" s="10">
        <v>-12832.92</v>
      </c>
      <c r="D128" s="10">
        <v>-6272.45</v>
      </c>
      <c r="E128" s="10">
        <v>-561.19000000000005</v>
      </c>
      <c r="F128" s="10">
        <v>181.92</v>
      </c>
      <c r="G128" s="10">
        <v>-430.46</v>
      </c>
      <c r="H128" s="10">
        <v>-3023.65</v>
      </c>
      <c r="I128" s="10">
        <v>-1022.4</v>
      </c>
      <c r="J128" s="10">
        <v>-2916.9</v>
      </c>
      <c r="K128" s="10">
        <v>-2169.58</v>
      </c>
      <c r="L128" s="10">
        <v>-835.28</v>
      </c>
      <c r="M128" s="10">
        <v>-650.62</v>
      </c>
      <c r="N128" s="10">
        <v>0</v>
      </c>
      <c r="O128" s="10">
        <v>55.29</v>
      </c>
      <c r="P128" s="10">
        <v>0</v>
      </c>
      <c r="Q128" s="10">
        <v>-23.55</v>
      </c>
      <c r="R128" s="10">
        <v>0</v>
      </c>
      <c r="S128" s="10">
        <v>-833.89</v>
      </c>
      <c r="T128" s="10">
        <v>-496.93</v>
      </c>
      <c r="U128" s="10">
        <v>-1603.36</v>
      </c>
      <c r="V128" s="10">
        <v>-2324.85</v>
      </c>
      <c r="W128" s="10">
        <v>-2462.15</v>
      </c>
      <c r="X128" s="10">
        <v>-7470.32</v>
      </c>
      <c r="Y128" s="10">
        <v>-5451.09</v>
      </c>
      <c r="Z128" s="10">
        <v>-1111.05</v>
      </c>
      <c r="AA128" s="10">
        <v>0</v>
      </c>
      <c r="AB128" s="10">
        <v>-940.34</v>
      </c>
      <c r="AC128" s="10">
        <v>-2136.27</v>
      </c>
      <c r="AD128" s="10">
        <v>-5377.27</v>
      </c>
      <c r="AE128" s="10">
        <v>-4353.9399999999996</v>
      </c>
      <c r="AF128" s="10">
        <v>-7665.85</v>
      </c>
      <c r="AG128" s="10">
        <v>-3397.86</v>
      </c>
      <c r="AH128" s="10">
        <v>-3786.03</v>
      </c>
      <c r="AI128" s="10">
        <v>-5024.5600000000004</v>
      </c>
      <c r="AJ128" s="10">
        <v>-5718.5</v>
      </c>
      <c r="AK128" s="10">
        <v>-8760.44</v>
      </c>
      <c r="AL128" s="10">
        <v>-7060.34</v>
      </c>
      <c r="AM128" s="10">
        <v>-4444.0200000000004</v>
      </c>
      <c r="AN128" s="10">
        <v>0</v>
      </c>
      <c r="AO128" s="10">
        <v>-7133.33</v>
      </c>
      <c r="AP128" s="10">
        <v>-5063.1899999999996</v>
      </c>
      <c r="AQ128" s="10">
        <v>-4980.03</v>
      </c>
      <c r="AR128" s="10">
        <v>-6415.45</v>
      </c>
      <c r="AS128" s="10">
        <v>-5263.48</v>
      </c>
      <c r="AT128" s="10">
        <v>-5705.2</v>
      </c>
      <c r="AU128" s="10">
        <f t="shared" si="18"/>
        <v>-152436.77000000005</v>
      </c>
    </row>
    <row r="129" spans="1:47" x14ac:dyDescent="0.2">
      <c r="A129" s="15" t="s">
        <v>175</v>
      </c>
      <c r="B129" s="10">
        <v>-882.29</v>
      </c>
      <c r="C129" s="10">
        <v>-2644.29</v>
      </c>
      <c r="D129" s="10">
        <v>-4485.9799999999996</v>
      </c>
      <c r="E129" s="10">
        <v>3389.96</v>
      </c>
      <c r="F129" s="10">
        <v>0</v>
      </c>
      <c r="G129" s="10">
        <v>0</v>
      </c>
      <c r="H129" s="10">
        <v>-10.5</v>
      </c>
      <c r="I129" s="10">
        <v>-66</v>
      </c>
      <c r="J129" s="10">
        <v>-753.18</v>
      </c>
      <c r="K129" s="10">
        <v>-112.55</v>
      </c>
      <c r="L129" s="10">
        <v>-144</v>
      </c>
      <c r="M129" s="10">
        <v>-9909.0319319999999</v>
      </c>
      <c r="N129" s="10">
        <v>0</v>
      </c>
      <c r="O129" s="10">
        <v>0</v>
      </c>
      <c r="P129" s="10">
        <v>0</v>
      </c>
      <c r="Q129" s="10">
        <v>-3864</v>
      </c>
      <c r="R129" s="10">
        <v>1172.83</v>
      </c>
      <c r="S129" s="10">
        <v>0</v>
      </c>
      <c r="T129" s="10">
        <v>-3237.44</v>
      </c>
      <c r="U129" s="10">
        <v>-4362.76</v>
      </c>
      <c r="V129" s="10">
        <v>-4140</v>
      </c>
      <c r="W129" s="10">
        <v>-2455.83</v>
      </c>
      <c r="X129" s="10">
        <v>-8629.4500000000007</v>
      </c>
      <c r="Y129" s="10">
        <v>-992.35</v>
      </c>
      <c r="Z129" s="10">
        <v>-11404.7</v>
      </c>
      <c r="AA129" s="10">
        <v>0</v>
      </c>
      <c r="AB129" s="10">
        <v>0</v>
      </c>
      <c r="AC129" s="10">
        <v>0</v>
      </c>
      <c r="AD129" s="10">
        <v>-3457.24</v>
      </c>
      <c r="AE129" s="10">
        <v>-3730.93</v>
      </c>
      <c r="AF129" s="10">
        <v>-533.20000000000005</v>
      </c>
      <c r="AG129" s="10">
        <v>-3847.76</v>
      </c>
      <c r="AH129" s="10">
        <v>-2318.46</v>
      </c>
      <c r="AI129" s="10">
        <v>-2004.46</v>
      </c>
      <c r="AJ129" s="10">
        <v>-2900.91</v>
      </c>
      <c r="AK129" s="10">
        <v>-4521.8900000000003</v>
      </c>
      <c r="AL129" s="10">
        <v>-2506.2399999999998</v>
      </c>
      <c r="AM129" s="10">
        <v>20.38</v>
      </c>
      <c r="AN129" s="10">
        <v>0</v>
      </c>
      <c r="AO129" s="10">
        <v>-2896.25</v>
      </c>
      <c r="AP129" s="10">
        <v>-3023.17</v>
      </c>
      <c r="AQ129" s="10">
        <v>-1536.76</v>
      </c>
      <c r="AR129" s="10">
        <v>-3769.12</v>
      </c>
      <c r="AS129" s="10">
        <v>-5180.57</v>
      </c>
      <c r="AT129" s="10">
        <v>-3893.11</v>
      </c>
      <c r="AU129" s="10">
        <f t="shared" si="18"/>
        <v>-99631.251931999999</v>
      </c>
    </row>
    <row r="130" spans="1:47" x14ac:dyDescent="0.2">
      <c r="A130" s="15" t="s">
        <v>176</v>
      </c>
      <c r="B130" s="10">
        <v>-12616.95</v>
      </c>
      <c r="C130" s="10">
        <v>-10627.38</v>
      </c>
      <c r="D130" s="10">
        <v>-4749.74</v>
      </c>
      <c r="E130" s="10">
        <v>0</v>
      </c>
      <c r="F130" s="10">
        <v>-897.2</v>
      </c>
      <c r="G130" s="10">
        <v>-376.63</v>
      </c>
      <c r="H130" s="10">
        <v>-3515.41</v>
      </c>
      <c r="I130" s="10">
        <v>-3687.63</v>
      </c>
      <c r="J130" s="10">
        <v>-1071.3900000000001</v>
      </c>
      <c r="K130" s="10">
        <v>-1977.66</v>
      </c>
      <c r="L130" s="10">
        <v>-5766.38</v>
      </c>
      <c r="M130" s="10">
        <v>-1471.29</v>
      </c>
      <c r="N130" s="10">
        <v>0</v>
      </c>
      <c r="O130" s="10">
        <v>-406.08</v>
      </c>
      <c r="P130" s="10">
        <v>0</v>
      </c>
      <c r="Q130" s="10">
        <v>-257.94</v>
      </c>
      <c r="R130" s="10">
        <v>0</v>
      </c>
      <c r="S130" s="10">
        <v>-508.41</v>
      </c>
      <c r="T130" s="10">
        <v>0</v>
      </c>
      <c r="U130" s="10">
        <v>-177.1</v>
      </c>
      <c r="V130" s="10">
        <v>-1084.21</v>
      </c>
      <c r="W130" s="10">
        <v>-1115.28</v>
      </c>
      <c r="X130" s="10">
        <v>-9512.24</v>
      </c>
      <c r="Y130" s="10">
        <v>-2739.45</v>
      </c>
      <c r="Z130" s="10">
        <v>-785.04</v>
      </c>
      <c r="AA130" s="10">
        <v>0</v>
      </c>
      <c r="AB130" s="10">
        <v>-1852.34</v>
      </c>
      <c r="AC130" s="10">
        <v>-4354.6000000000004</v>
      </c>
      <c r="AD130" s="10">
        <v>-5880.44</v>
      </c>
      <c r="AE130" s="10">
        <v>-4034</v>
      </c>
      <c r="AF130" s="10">
        <v>-6008.8</v>
      </c>
      <c r="AG130" s="10">
        <v>-5390.44</v>
      </c>
      <c r="AH130" s="10">
        <v>-4084.93</v>
      </c>
      <c r="AI130" s="10">
        <v>-2479.23</v>
      </c>
      <c r="AJ130" s="10">
        <v>-7154.63</v>
      </c>
      <c r="AK130" s="10">
        <v>-9127.1299999999992</v>
      </c>
      <c r="AL130" s="10">
        <v>-6630.89</v>
      </c>
      <c r="AM130" s="10">
        <v>-9035.02</v>
      </c>
      <c r="AN130" s="10">
        <v>0</v>
      </c>
      <c r="AO130" s="10">
        <v>-4849.7700000000004</v>
      </c>
      <c r="AP130" s="10">
        <v>-7913.44</v>
      </c>
      <c r="AQ130" s="10">
        <v>-8298.08</v>
      </c>
      <c r="AR130" s="10">
        <v>-4394.32</v>
      </c>
      <c r="AS130" s="10">
        <v>-6790.71</v>
      </c>
      <c r="AT130" s="10">
        <v>-10336.67</v>
      </c>
      <c r="AU130" s="10">
        <f t="shared" si="18"/>
        <v>-171958.85</v>
      </c>
    </row>
    <row r="131" spans="1:47" x14ac:dyDescent="0.2">
      <c r="A131" s="15" t="s">
        <v>177</v>
      </c>
      <c r="B131" s="10">
        <v>-733.11</v>
      </c>
      <c r="C131" s="10">
        <v>-1035.2244840000001</v>
      </c>
      <c r="D131" s="10">
        <v>-111.15539099999999</v>
      </c>
      <c r="E131" s="10">
        <v>-16.809999999999999</v>
      </c>
      <c r="F131" s="10">
        <v>0</v>
      </c>
      <c r="G131" s="10">
        <v>-26.05</v>
      </c>
      <c r="H131" s="10">
        <v>-35.159999999999997</v>
      </c>
      <c r="I131" s="10">
        <v>-95.68</v>
      </c>
      <c r="J131" s="10">
        <v>-37.659999999999997</v>
      </c>
      <c r="K131" s="10">
        <v>-156.58000000000001</v>
      </c>
      <c r="L131" s="10">
        <v>-149.11000000000001</v>
      </c>
      <c r="M131" s="10">
        <v>-48.87</v>
      </c>
      <c r="N131" s="10">
        <v>0</v>
      </c>
      <c r="O131" s="10">
        <v>-10.08</v>
      </c>
      <c r="P131" s="10">
        <v>0</v>
      </c>
      <c r="Q131" s="10">
        <v>-5.04</v>
      </c>
      <c r="R131" s="10">
        <v>-16.809999999999999</v>
      </c>
      <c r="S131" s="10">
        <v>-3.78</v>
      </c>
      <c r="T131" s="10">
        <v>0</v>
      </c>
      <c r="U131" s="10">
        <v>-294.24790100000001</v>
      </c>
      <c r="V131" s="10">
        <v>-38.65</v>
      </c>
      <c r="W131" s="10">
        <v>-679.12617599999999</v>
      </c>
      <c r="X131" s="10">
        <v>-195.23</v>
      </c>
      <c r="Y131" s="10">
        <v>-22.96</v>
      </c>
      <c r="Z131" s="10">
        <v>0</v>
      </c>
      <c r="AA131" s="10">
        <v>0</v>
      </c>
      <c r="AB131" s="10">
        <v>-12.6</v>
      </c>
      <c r="AC131" s="10">
        <v>-44.06</v>
      </c>
      <c r="AD131" s="10">
        <v>-113.45</v>
      </c>
      <c r="AE131" s="10">
        <v>-1094.67923142</v>
      </c>
      <c r="AF131" s="10">
        <v>-753.49158095999996</v>
      </c>
      <c r="AG131" s="10">
        <v>-1132.4907900400001</v>
      </c>
      <c r="AH131" s="10">
        <v>-193.82</v>
      </c>
      <c r="AI131" s="10">
        <v>-29.67</v>
      </c>
      <c r="AJ131" s="10">
        <v>-4653.4473377599998</v>
      </c>
      <c r="AK131" s="10">
        <v>-212.02</v>
      </c>
      <c r="AL131" s="10">
        <v>-1034.2226306</v>
      </c>
      <c r="AM131" s="10">
        <v>-1463.46</v>
      </c>
      <c r="AN131" s="10">
        <v>0</v>
      </c>
      <c r="AO131" s="10">
        <v>-145.44</v>
      </c>
      <c r="AP131" s="10">
        <v>-246.54</v>
      </c>
      <c r="AQ131" s="10">
        <v>-173.93</v>
      </c>
      <c r="AR131" s="10">
        <v>-3337.7507368800002</v>
      </c>
      <c r="AS131" s="10">
        <v>-1028.30574379</v>
      </c>
      <c r="AT131" s="10">
        <v>-2753.32229856</v>
      </c>
      <c r="AU131" s="10">
        <f t="shared" si="18"/>
        <v>-22134.034302010001</v>
      </c>
    </row>
    <row r="132" spans="1:47" x14ac:dyDescent="0.2">
      <c r="A132" s="15" t="s">
        <v>178</v>
      </c>
      <c r="B132" s="10">
        <v>0</v>
      </c>
      <c r="C132" s="10">
        <v>-4945.7018520000001</v>
      </c>
      <c r="D132" s="10">
        <v>-6836.8</v>
      </c>
      <c r="E132" s="10">
        <v>-1875</v>
      </c>
      <c r="F132" s="10">
        <v>-137</v>
      </c>
      <c r="G132" s="10">
        <v>-28</v>
      </c>
      <c r="H132" s="10">
        <v>-358.4</v>
      </c>
      <c r="I132" s="10">
        <v>-1660.8</v>
      </c>
      <c r="J132" s="10">
        <v>-1880.2</v>
      </c>
      <c r="K132" s="10">
        <v>-1655.8</v>
      </c>
      <c r="L132" s="10">
        <v>-1131.2</v>
      </c>
      <c r="M132" s="10">
        <v>-3278.8</v>
      </c>
      <c r="N132" s="10">
        <v>0</v>
      </c>
      <c r="O132" s="10">
        <v>0</v>
      </c>
      <c r="P132" s="10">
        <v>0</v>
      </c>
      <c r="Q132" s="10">
        <v>-1953.4</v>
      </c>
      <c r="R132" s="10">
        <v>-1894.6</v>
      </c>
      <c r="S132" s="10">
        <v>0</v>
      </c>
      <c r="T132" s="10">
        <v>-416</v>
      </c>
      <c r="U132" s="10">
        <v>-1614</v>
      </c>
      <c r="V132" s="10">
        <v>-2393.4</v>
      </c>
      <c r="W132" s="10">
        <v>-2053.5680000000002</v>
      </c>
      <c r="X132" s="10">
        <v>-5104.8935076600001</v>
      </c>
      <c r="Y132" s="10">
        <v>-2911.6</v>
      </c>
      <c r="Z132" s="10">
        <v>-6126.8276562499996</v>
      </c>
      <c r="AA132" s="10">
        <v>0</v>
      </c>
      <c r="AB132" s="10">
        <v>0</v>
      </c>
      <c r="AC132" s="10">
        <v>-1346.8</v>
      </c>
      <c r="AD132" s="10">
        <v>-1717</v>
      </c>
      <c r="AE132" s="10">
        <v>-5308.6</v>
      </c>
      <c r="AF132" s="10">
        <v>-4683.1039199999996</v>
      </c>
      <c r="AG132" s="10">
        <v>-2820.7525599999999</v>
      </c>
      <c r="AH132" s="10">
        <v>-5378.2</v>
      </c>
      <c r="AI132" s="10">
        <v>-3687.3928000000001</v>
      </c>
      <c r="AJ132" s="10">
        <v>-2587.5299599999998</v>
      </c>
      <c r="AK132" s="10">
        <v>-5422.0402700000004</v>
      </c>
      <c r="AL132" s="10">
        <v>-6075.2748000000001</v>
      </c>
      <c r="AM132" s="10">
        <v>-7991.6910200000002</v>
      </c>
      <c r="AN132" s="10">
        <v>0</v>
      </c>
      <c r="AO132" s="10">
        <v>-230.98949999999999</v>
      </c>
      <c r="AP132" s="10">
        <v>-3942</v>
      </c>
      <c r="AQ132" s="10">
        <v>-4136.3999999999996</v>
      </c>
      <c r="AR132" s="10">
        <v>-4324.9546799999998</v>
      </c>
      <c r="AS132" s="10">
        <v>-4264.6641</v>
      </c>
      <c r="AT132" s="10">
        <v>-3303.9018000000001</v>
      </c>
      <c r="AU132" s="10">
        <f t="shared" si="18"/>
        <v>-115477.28642590999</v>
      </c>
    </row>
    <row r="133" spans="1:47" x14ac:dyDescent="0.2">
      <c r="A133" s="15" t="s">
        <v>179</v>
      </c>
      <c r="B133" s="10">
        <v>-9708.0116300000009</v>
      </c>
      <c r="C133" s="10">
        <v>-12864.976006000001</v>
      </c>
      <c r="D133" s="10">
        <v>-5660.5200100000002</v>
      </c>
      <c r="E133" s="10">
        <v>-762.30831999999998</v>
      </c>
      <c r="F133" s="10">
        <v>-162.19</v>
      </c>
      <c r="G133" s="10">
        <v>-420.18506000000002</v>
      </c>
      <c r="H133" s="10">
        <v>-1803.9383399999999</v>
      </c>
      <c r="I133" s="10">
        <v>-2136.1958749999999</v>
      </c>
      <c r="J133" s="10">
        <v>-1156.6420499999999</v>
      </c>
      <c r="K133" s="10">
        <v>-2364.4819689999999</v>
      </c>
      <c r="L133" s="10">
        <v>-1232.1645599999999</v>
      </c>
      <c r="M133" s="10">
        <v>2622.8049500000002</v>
      </c>
      <c r="N133" s="10">
        <v>0</v>
      </c>
      <c r="O133" s="10">
        <v>-1004.82</v>
      </c>
      <c r="P133" s="10">
        <v>-702.25</v>
      </c>
      <c r="Q133" s="10">
        <v>-1004.68</v>
      </c>
      <c r="R133" s="10">
        <v>-617.4</v>
      </c>
      <c r="S133" s="10">
        <v>-1070.46</v>
      </c>
      <c r="T133" s="10">
        <v>-849.16780000000006</v>
      </c>
      <c r="U133" s="10">
        <v>-1711.053185</v>
      </c>
      <c r="V133" s="10">
        <v>-2173.3859000000002</v>
      </c>
      <c r="W133" s="10">
        <v>-4757.3851059999997</v>
      </c>
      <c r="X133" s="10">
        <v>-6509.6831036599997</v>
      </c>
      <c r="Y133" s="10">
        <v>-3534.4377746099999</v>
      </c>
      <c r="Z133" s="10">
        <v>-1895.0706105625</v>
      </c>
      <c r="AA133" s="10">
        <v>0</v>
      </c>
      <c r="AB133" s="10">
        <v>-752.7</v>
      </c>
      <c r="AC133" s="10">
        <v>-1290.56</v>
      </c>
      <c r="AD133" s="10">
        <v>-12540.7924399</v>
      </c>
      <c r="AE133" s="10">
        <v>-4437.0724311100003</v>
      </c>
      <c r="AF133" s="10">
        <v>-14296.2685583</v>
      </c>
      <c r="AG133" s="10">
        <v>-11594.907879079999</v>
      </c>
      <c r="AH133" s="10">
        <v>-11743.334761599999</v>
      </c>
      <c r="AI133" s="10">
        <v>-10034.91705656</v>
      </c>
      <c r="AJ133" s="10">
        <v>-16525.625594730001</v>
      </c>
      <c r="AK133" s="10">
        <v>-14516.717726839999</v>
      </c>
      <c r="AL133" s="10">
        <v>-14760.10571548</v>
      </c>
      <c r="AM133" s="10">
        <v>-10052.804837746</v>
      </c>
      <c r="AN133" s="10">
        <v>0</v>
      </c>
      <c r="AO133" s="10">
        <v>-5179.8437725800004</v>
      </c>
      <c r="AP133" s="10">
        <v>-11837.398189060001</v>
      </c>
      <c r="AQ133" s="10">
        <v>-8789.5924806300009</v>
      </c>
      <c r="AR133" s="10">
        <v>-9472.3057193999994</v>
      </c>
      <c r="AS133" s="10">
        <v>-7035.4072119000002</v>
      </c>
      <c r="AT133" s="10">
        <v>-2531.3090636799998</v>
      </c>
      <c r="AU133" s="10">
        <f t="shared" si="18"/>
        <v>-228870.26578842849</v>
      </c>
    </row>
    <row r="134" spans="1:47" x14ac:dyDescent="0.2">
      <c r="A134" s="15" t="s">
        <v>180</v>
      </c>
      <c r="B134" s="10">
        <v>0</v>
      </c>
      <c r="C134" s="10">
        <v>-243.62</v>
      </c>
      <c r="D134" s="10">
        <v>-240.52</v>
      </c>
      <c r="E134" s="10">
        <v>-34.29</v>
      </c>
      <c r="F134" s="10">
        <v>0</v>
      </c>
      <c r="G134" s="10">
        <v>-79.819999999999993</v>
      </c>
      <c r="H134" s="10">
        <v>-46.65</v>
      </c>
      <c r="I134" s="10">
        <v>0</v>
      </c>
      <c r="J134" s="10">
        <v>-21.3</v>
      </c>
      <c r="K134" s="10">
        <v>-64.39</v>
      </c>
      <c r="L134" s="10">
        <v>0</v>
      </c>
      <c r="M134" s="10">
        <v>-457.05984999999998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-228.22</v>
      </c>
      <c r="X134" s="10">
        <v>-560.9</v>
      </c>
      <c r="Y134" s="10">
        <v>-267.18</v>
      </c>
      <c r="Z134" s="10">
        <v>-482.08</v>
      </c>
      <c r="AA134" s="10">
        <v>0</v>
      </c>
      <c r="AB134" s="10">
        <v>-33.46</v>
      </c>
      <c r="AC134" s="10">
        <v>-45.41</v>
      </c>
      <c r="AD134" s="10">
        <v>-39.76</v>
      </c>
      <c r="AE134" s="10">
        <v>-799.3</v>
      </c>
      <c r="AF134" s="10">
        <v>-168.65</v>
      </c>
      <c r="AG134" s="10">
        <v>-153.99</v>
      </c>
      <c r="AH134" s="10">
        <v>-563.73</v>
      </c>
      <c r="AI134" s="10">
        <v>-84.16</v>
      </c>
      <c r="AJ134" s="10">
        <v>-176.42</v>
      </c>
      <c r="AK134" s="10">
        <v>-60.56</v>
      </c>
      <c r="AL134" s="10">
        <v>-335.67</v>
      </c>
      <c r="AM134" s="10">
        <v>-1311.11</v>
      </c>
      <c r="AN134" s="10">
        <v>0</v>
      </c>
      <c r="AO134" s="10">
        <v>0</v>
      </c>
      <c r="AP134" s="10">
        <v>-869.5</v>
      </c>
      <c r="AQ134" s="10">
        <v>-413</v>
      </c>
      <c r="AR134" s="10">
        <v>-88.45</v>
      </c>
      <c r="AS134" s="10">
        <v>-1614.21</v>
      </c>
      <c r="AT134" s="10">
        <v>-240.17</v>
      </c>
      <c r="AU134" s="10">
        <f t="shared" si="18"/>
        <v>-9723.5798500000001</v>
      </c>
    </row>
    <row r="135" spans="1:47" x14ac:dyDescent="0.2">
      <c r="A135" s="15" t="s">
        <v>181</v>
      </c>
      <c r="B135" s="10">
        <v>0</v>
      </c>
      <c r="C135" s="10">
        <v>-1872</v>
      </c>
      <c r="D135" s="10">
        <v>-6239.7</v>
      </c>
      <c r="E135" s="10">
        <v>-17.34</v>
      </c>
      <c r="F135" s="10">
        <v>-10048.27</v>
      </c>
      <c r="G135" s="10">
        <v>-1047.73</v>
      </c>
      <c r="H135" s="10">
        <v>-335.05</v>
      </c>
      <c r="I135" s="10">
        <v>-5431.15</v>
      </c>
      <c r="J135" s="10">
        <v>-3283.32</v>
      </c>
      <c r="K135" s="10">
        <v>-1131.49</v>
      </c>
      <c r="L135" s="10">
        <v>-1755.1</v>
      </c>
      <c r="M135" s="10">
        <v>-3849.98</v>
      </c>
      <c r="N135" s="10">
        <v>0</v>
      </c>
      <c r="O135" s="10">
        <v>-8646.18</v>
      </c>
      <c r="P135" s="10">
        <v>-3111.97</v>
      </c>
      <c r="Q135" s="10">
        <v>-8668.52</v>
      </c>
      <c r="R135" s="10">
        <v>-3870.77</v>
      </c>
      <c r="S135" s="10">
        <v>-3757.69</v>
      </c>
      <c r="T135" s="10">
        <v>-5329.47</v>
      </c>
      <c r="U135" s="10">
        <v>-3388.68</v>
      </c>
      <c r="V135" s="10">
        <v>-3388.63</v>
      </c>
      <c r="W135" s="10">
        <v>-3315.74</v>
      </c>
      <c r="X135" s="10">
        <v>-2675.2</v>
      </c>
      <c r="Y135" s="10">
        <v>-3462.47</v>
      </c>
      <c r="Z135" s="10">
        <v>-5307.52</v>
      </c>
      <c r="AA135" s="10">
        <v>0</v>
      </c>
      <c r="AB135" s="10">
        <v>-3670.08</v>
      </c>
      <c r="AC135" s="10">
        <v>-3372.1</v>
      </c>
      <c r="AD135" s="10">
        <v>-8458</v>
      </c>
      <c r="AE135" s="10">
        <v>-3875.95</v>
      </c>
      <c r="AF135" s="10">
        <v>-3353.45</v>
      </c>
      <c r="AG135" s="10">
        <v>-2951.9</v>
      </c>
      <c r="AH135" s="10">
        <v>-3088.38</v>
      </c>
      <c r="AI135" s="10">
        <v>-3848.9</v>
      </c>
      <c r="AJ135" s="10">
        <v>-5677.1</v>
      </c>
      <c r="AK135" s="10">
        <v>-4300.16</v>
      </c>
      <c r="AL135" s="10">
        <v>-4550.04</v>
      </c>
      <c r="AM135" s="10">
        <v>-5954.89</v>
      </c>
      <c r="AN135" s="10">
        <v>0</v>
      </c>
      <c r="AO135" s="10">
        <v>-4437.4399999999996</v>
      </c>
      <c r="AP135" s="10">
        <v>-4862.32</v>
      </c>
      <c r="AQ135" s="10">
        <v>-9380.89</v>
      </c>
      <c r="AR135" s="10">
        <v>-7109.81</v>
      </c>
      <c r="AS135" s="10">
        <v>-6289.01</v>
      </c>
      <c r="AT135" s="10">
        <v>-8166.06</v>
      </c>
      <c r="AU135" s="10">
        <f t="shared" si="18"/>
        <v>-183280.45</v>
      </c>
    </row>
    <row r="136" spans="1:47" x14ac:dyDescent="0.2">
      <c r="A136" s="15" t="s">
        <v>182</v>
      </c>
      <c r="B136" s="10">
        <v>-998.22</v>
      </c>
      <c r="C136" s="10">
        <v>-713.91</v>
      </c>
      <c r="D136" s="10">
        <v>-663.63</v>
      </c>
      <c r="E136" s="10">
        <v>-998.22</v>
      </c>
      <c r="F136" s="10">
        <v>-700.65255999999999</v>
      </c>
      <c r="G136" s="10">
        <v>-710.64061000000004</v>
      </c>
      <c r="H136" s="10">
        <v>-1230.3643050000001</v>
      </c>
      <c r="I136" s="10">
        <v>-760.09412499999996</v>
      </c>
      <c r="J136" s="10">
        <v>-760.00385500000004</v>
      </c>
      <c r="K136" s="10">
        <v>-760.50602600000002</v>
      </c>
      <c r="L136" s="10">
        <v>-1028.49</v>
      </c>
      <c r="M136" s="10">
        <v>-210.23816400000001</v>
      </c>
      <c r="N136" s="10">
        <v>0</v>
      </c>
      <c r="O136" s="10">
        <v>-1082.3292510000001</v>
      </c>
      <c r="P136" s="10">
        <v>-709.32668000000001</v>
      </c>
      <c r="Q136" s="10">
        <v>-199.910585</v>
      </c>
      <c r="R136" s="10">
        <v>-515.11647000000005</v>
      </c>
      <c r="S136" s="10">
        <v>-154.58000000000001</v>
      </c>
      <c r="T136" s="10">
        <v>-154.58000000000001</v>
      </c>
      <c r="U136" s="10">
        <v>-1095.17</v>
      </c>
      <c r="V136" s="10">
        <v>-713.58</v>
      </c>
      <c r="W136" s="10">
        <v>-713.58</v>
      </c>
      <c r="X136" s="10">
        <v>-1049.25</v>
      </c>
      <c r="Y136" s="10">
        <v>-154.58000000000001</v>
      </c>
      <c r="Z136" s="10">
        <v>-730.25</v>
      </c>
      <c r="AA136" s="10">
        <v>0</v>
      </c>
      <c r="AB136" s="10">
        <v>-840.89</v>
      </c>
      <c r="AC136" s="10">
        <v>-806.4</v>
      </c>
      <c r="AD136" s="10">
        <v>-817.41</v>
      </c>
      <c r="AE136" s="10">
        <v>-813.1</v>
      </c>
      <c r="AF136" s="10">
        <v>-816.16</v>
      </c>
      <c r="AG136" s="10">
        <v>-933.28</v>
      </c>
      <c r="AH136" s="10">
        <v>-791.15</v>
      </c>
      <c r="AI136" s="10">
        <v>-793.39</v>
      </c>
      <c r="AJ136" s="10">
        <v>-831.57</v>
      </c>
      <c r="AK136" s="10">
        <v>-1119.75</v>
      </c>
      <c r="AL136" s="10">
        <v>-717.82</v>
      </c>
      <c r="AM136" s="10">
        <v>-717.82</v>
      </c>
      <c r="AN136" s="10">
        <v>0</v>
      </c>
      <c r="AO136" s="10">
        <v>-1072.9000000000001</v>
      </c>
      <c r="AP136" s="10">
        <v>-723.45</v>
      </c>
      <c r="AQ136" s="10">
        <v>-755.62939184000004</v>
      </c>
      <c r="AR136" s="10">
        <v>-759.41465796</v>
      </c>
      <c r="AS136" s="10">
        <v>-1129.95966924</v>
      </c>
      <c r="AT136" s="10">
        <v>-841.23</v>
      </c>
      <c r="AU136" s="10">
        <f t="shared" si="18"/>
        <v>-32088.54635004</v>
      </c>
    </row>
    <row r="137" spans="1:47" x14ac:dyDescent="0.2">
      <c r="A137" s="15" t="s">
        <v>183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-1829.14</v>
      </c>
      <c r="AJ137" s="10">
        <v>-1739.97</v>
      </c>
      <c r="AK137" s="10">
        <v>-531.13</v>
      </c>
      <c r="AL137" s="10">
        <v>0</v>
      </c>
      <c r="AM137" s="10">
        <v>0</v>
      </c>
      <c r="AN137" s="10">
        <v>0</v>
      </c>
      <c r="AO137" s="10">
        <v>0</v>
      </c>
      <c r="AP137" s="10">
        <v>0</v>
      </c>
      <c r="AQ137" s="10">
        <v>0</v>
      </c>
      <c r="AR137" s="10">
        <v>0</v>
      </c>
      <c r="AS137" s="10">
        <v>0</v>
      </c>
      <c r="AT137" s="10">
        <v>0</v>
      </c>
      <c r="AU137" s="10">
        <f t="shared" si="18"/>
        <v>-4100.24</v>
      </c>
    </row>
    <row r="138" spans="1:47" x14ac:dyDescent="0.2">
      <c r="A138" s="15" t="s">
        <v>184</v>
      </c>
      <c r="B138" s="10">
        <v>-7665.61</v>
      </c>
      <c r="C138" s="10">
        <v>-4503.3599999999997</v>
      </c>
      <c r="D138" s="10">
        <v>-7518.04</v>
      </c>
      <c r="E138" s="10">
        <v>-7518.04</v>
      </c>
      <c r="F138" s="10">
        <v>-7518.04</v>
      </c>
      <c r="G138" s="10">
        <v>-7429.04</v>
      </c>
      <c r="H138" s="10">
        <v>-8500.4500000000007</v>
      </c>
      <c r="I138" s="10">
        <v>-8948.85</v>
      </c>
      <c r="J138" s="10">
        <v>-8615.85</v>
      </c>
      <c r="K138" s="10">
        <v>-9619.48</v>
      </c>
      <c r="L138" s="10">
        <v>3062.6606959999999</v>
      </c>
      <c r="M138" s="10">
        <v>-10379.280612</v>
      </c>
      <c r="N138" s="10">
        <v>0</v>
      </c>
      <c r="O138" s="10">
        <v>-9620.02</v>
      </c>
      <c r="P138" s="10">
        <v>-9620.02</v>
      </c>
      <c r="Q138" s="10">
        <v>-4952.91</v>
      </c>
      <c r="R138" s="10">
        <v>-8808.66</v>
      </c>
      <c r="S138" s="10">
        <v>-9796.75</v>
      </c>
      <c r="T138" s="10">
        <v>-8729.34</v>
      </c>
      <c r="U138" s="10">
        <v>-8806.64</v>
      </c>
      <c r="V138" s="10">
        <v>-8937.82</v>
      </c>
      <c r="W138" s="10">
        <v>-8773.9789849999997</v>
      </c>
      <c r="X138" s="10">
        <v>-8717.1200000000008</v>
      </c>
      <c r="Y138" s="10">
        <v>-8717.1200000000008</v>
      </c>
      <c r="Z138" s="10">
        <v>-5287.66</v>
      </c>
      <c r="AA138" s="10">
        <v>0</v>
      </c>
      <c r="AB138" s="10">
        <v>-8711.65</v>
      </c>
      <c r="AC138" s="10">
        <v>-8670.9599999999991</v>
      </c>
      <c r="AD138" s="10">
        <v>-5589.37</v>
      </c>
      <c r="AE138" s="10">
        <v>-8576.44</v>
      </c>
      <c r="AF138" s="10">
        <v>-8899.7000000000007</v>
      </c>
      <c r="AG138" s="10">
        <v>-8576.44</v>
      </c>
      <c r="AH138" s="10">
        <v>-6677.23</v>
      </c>
      <c r="AI138" s="10">
        <v>-7020.87</v>
      </c>
      <c r="AJ138" s="10">
        <v>-6908.37</v>
      </c>
      <c r="AK138" s="10">
        <v>-10865.33</v>
      </c>
      <c r="AL138" s="10">
        <v>-10711.44</v>
      </c>
      <c r="AM138" s="10">
        <v>-4257.4399999999996</v>
      </c>
      <c r="AN138" s="10">
        <v>0</v>
      </c>
      <c r="AO138" s="10">
        <v>-9155.81</v>
      </c>
      <c r="AP138" s="10">
        <v>-13843.21</v>
      </c>
      <c r="AQ138" s="10">
        <v>-8438.2199999999993</v>
      </c>
      <c r="AR138" s="10">
        <v>-9608.6845806700003</v>
      </c>
      <c r="AS138" s="10">
        <v>-10788.69</v>
      </c>
      <c r="AT138" s="10">
        <v>-9821.26</v>
      </c>
      <c r="AU138" s="10">
        <f t="shared" si="18"/>
        <v>-343042.53348167002</v>
      </c>
    </row>
    <row r="139" spans="1:47" x14ac:dyDescent="0.2">
      <c r="A139" s="15" t="s">
        <v>185</v>
      </c>
      <c r="B139" s="10">
        <v>0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-93.94</v>
      </c>
      <c r="AN139" s="10">
        <v>0</v>
      </c>
      <c r="AO139" s="10">
        <v>0</v>
      </c>
      <c r="AP139" s="10">
        <v>0</v>
      </c>
      <c r="AQ139" s="10">
        <v>0</v>
      </c>
      <c r="AR139" s="10">
        <v>0</v>
      </c>
      <c r="AS139" s="10">
        <v>0</v>
      </c>
      <c r="AT139" s="10">
        <v>0</v>
      </c>
      <c r="AU139" s="10">
        <f t="shared" si="18"/>
        <v>-93.94</v>
      </c>
    </row>
    <row r="140" spans="1:47" x14ac:dyDescent="0.2">
      <c r="A140" s="15" t="s">
        <v>186</v>
      </c>
      <c r="B140" s="10">
        <v>0</v>
      </c>
      <c r="C140" s="10">
        <v>0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-68.62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-171.98</v>
      </c>
      <c r="AL140" s="10">
        <v>0</v>
      </c>
      <c r="AM140" s="10">
        <v>-36.97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0">
        <v>0</v>
      </c>
      <c r="AT140" s="10">
        <v>0</v>
      </c>
      <c r="AU140" s="10">
        <f t="shared" si="18"/>
        <v>-277.57</v>
      </c>
    </row>
    <row r="141" spans="1:47" x14ac:dyDescent="0.2">
      <c r="A141" s="15" t="s">
        <v>187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-93.28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-104.87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-297.5</v>
      </c>
      <c r="AM141" s="10">
        <v>0</v>
      </c>
      <c r="AN141" s="10">
        <v>0</v>
      </c>
      <c r="AO141" s="10">
        <v>0</v>
      </c>
      <c r="AP141" s="10">
        <v>0</v>
      </c>
      <c r="AQ141" s="10">
        <v>0</v>
      </c>
      <c r="AR141" s="10">
        <v>0</v>
      </c>
      <c r="AS141" s="10">
        <v>-130.80000000000001</v>
      </c>
      <c r="AT141" s="10">
        <v>-130.80000000000001</v>
      </c>
      <c r="AU141" s="10">
        <f t="shared" si="18"/>
        <v>-757.25</v>
      </c>
    </row>
    <row r="142" spans="1:47" x14ac:dyDescent="0.2">
      <c r="A142" s="15" t="s">
        <v>188</v>
      </c>
      <c r="B142" s="10">
        <v>-19274.2</v>
      </c>
      <c r="C142" s="10">
        <v>-9.41</v>
      </c>
      <c r="D142" s="10">
        <v>-9.5399999999999991</v>
      </c>
      <c r="E142" s="10">
        <v>-92.63</v>
      </c>
      <c r="F142" s="10">
        <v>-9.33</v>
      </c>
      <c r="G142" s="10">
        <v>-9.0299999999999994</v>
      </c>
      <c r="H142" s="10">
        <v>-8.7899999999999991</v>
      </c>
      <c r="I142" s="10">
        <v>-8.64</v>
      </c>
      <c r="J142" s="10">
        <v>-8.68</v>
      </c>
      <c r="K142" s="10">
        <v>-1860</v>
      </c>
      <c r="L142" s="10">
        <v>-8.57</v>
      </c>
      <c r="M142" s="10">
        <v>-8.34</v>
      </c>
      <c r="N142" s="10">
        <v>0</v>
      </c>
      <c r="O142" s="10">
        <v>-1644.57</v>
      </c>
      <c r="P142" s="10">
        <v>-3346.25</v>
      </c>
      <c r="Q142" s="10">
        <v>-1644.76</v>
      </c>
      <c r="R142" s="10">
        <v>-1591.87</v>
      </c>
      <c r="S142" s="10">
        <v>-1644.55</v>
      </c>
      <c r="T142" s="10">
        <v>-1591.97</v>
      </c>
      <c r="U142" s="10">
        <v>-1644.84</v>
      </c>
      <c r="V142" s="10">
        <v>-1644.91</v>
      </c>
      <c r="W142" s="10">
        <v>-1592.09</v>
      </c>
      <c r="X142" s="10">
        <v>-1644.95</v>
      </c>
      <c r="Y142" s="10">
        <v>-1592.45</v>
      </c>
      <c r="Z142" s="10">
        <v>-2405.11</v>
      </c>
      <c r="AA142" s="10">
        <v>0</v>
      </c>
      <c r="AB142" s="10">
        <v>-1645.19</v>
      </c>
      <c r="AC142" s="10">
        <v>-1486.85</v>
      </c>
      <c r="AD142" s="10">
        <v>-1645.47</v>
      </c>
      <c r="AE142" s="10">
        <v>-2702.84</v>
      </c>
      <c r="AF142" s="10">
        <v>-1645.84</v>
      </c>
      <c r="AG142" s="10">
        <v>-1593.11</v>
      </c>
      <c r="AH142" s="10">
        <v>-2531.23</v>
      </c>
      <c r="AI142" s="10">
        <v>-1636.21</v>
      </c>
      <c r="AJ142" s="10">
        <v>-1583.42</v>
      </c>
      <c r="AK142" s="10">
        <v>-1636.21</v>
      </c>
      <c r="AL142" s="10">
        <v>-1583.42</v>
      </c>
      <c r="AM142" s="10">
        <v>-1636.2</v>
      </c>
      <c r="AN142" s="10">
        <v>0</v>
      </c>
      <c r="AO142" s="10">
        <v>-1636.21</v>
      </c>
      <c r="AP142" s="10">
        <v>-1477.86</v>
      </c>
      <c r="AQ142" s="10">
        <v>-1667.46</v>
      </c>
      <c r="AR142" s="10">
        <v>-1800.92</v>
      </c>
      <c r="AS142" s="10">
        <v>-1636.21</v>
      </c>
      <c r="AT142" s="10">
        <v>-1583.42</v>
      </c>
      <c r="AU142" s="10">
        <f t="shared" si="18"/>
        <v>-74423.549999999988</v>
      </c>
    </row>
    <row r="143" spans="1:47" x14ac:dyDescent="0.2">
      <c r="A143" s="15" t="s">
        <v>189</v>
      </c>
      <c r="B143" s="10">
        <v>-267.24</v>
      </c>
      <c r="C143" s="10">
        <v>-3971.237564</v>
      </c>
      <c r="D143" s="10">
        <v>-1376.3925999999999</v>
      </c>
      <c r="E143" s="10">
        <v>-291.08999999999997</v>
      </c>
      <c r="F143" s="10">
        <v>-293.52</v>
      </c>
      <c r="G143" s="10">
        <v>-1466.7775999999999</v>
      </c>
      <c r="H143" s="10">
        <v>-1115.2460000000001</v>
      </c>
      <c r="I143" s="10">
        <v>-5285.97</v>
      </c>
      <c r="J143" s="10">
        <v>-1092.6339</v>
      </c>
      <c r="K143" s="10">
        <v>-312.76</v>
      </c>
      <c r="L143" s="10">
        <v>-303.73046199999999</v>
      </c>
      <c r="M143" s="10">
        <v>-1670.0624789999999</v>
      </c>
      <c r="N143" s="10">
        <v>0</v>
      </c>
      <c r="O143" s="10">
        <v>-261.13</v>
      </c>
      <c r="P143" s="10">
        <v>-4314.49</v>
      </c>
      <c r="Q143" s="10">
        <v>-1916.909508</v>
      </c>
      <c r="R143" s="10">
        <v>-1205.5846300000001</v>
      </c>
      <c r="S143" s="10">
        <v>-398.12591500000002</v>
      </c>
      <c r="T143" s="10">
        <v>-1653.6424</v>
      </c>
      <c r="U143" s="10">
        <v>-653.88599999999997</v>
      </c>
      <c r="V143" s="10">
        <v>-4234.74</v>
      </c>
      <c r="W143" s="10">
        <v>-1818.230695</v>
      </c>
      <c r="X143" s="10">
        <v>-491.32</v>
      </c>
      <c r="Y143" s="10">
        <v>-727.96659999999997</v>
      </c>
      <c r="Z143" s="10">
        <v>-8506.9229972800003</v>
      </c>
      <c r="AA143" s="10">
        <v>0</v>
      </c>
      <c r="AB143" s="10">
        <v>-351.45296000000002</v>
      </c>
      <c r="AC143" s="10">
        <v>-6120.1129800999997</v>
      </c>
      <c r="AD143" s="10">
        <v>4341.6510010000002</v>
      </c>
      <c r="AE143" s="10">
        <v>-663.29</v>
      </c>
      <c r="AF143" s="10">
        <v>-306.42</v>
      </c>
      <c r="AG143" s="10">
        <v>-1884.62766766</v>
      </c>
      <c r="AH143" s="10">
        <v>-338.46899999999999</v>
      </c>
      <c r="AI143" s="10">
        <v>-6971.3082000000004</v>
      </c>
      <c r="AJ143" s="10">
        <v>-1937.900425</v>
      </c>
      <c r="AK143" s="10">
        <v>-337.86715199999998</v>
      </c>
      <c r="AL143" s="10">
        <v>-341.03</v>
      </c>
      <c r="AM143" s="10">
        <v>-7356.9013568</v>
      </c>
      <c r="AN143" s="10">
        <v>0</v>
      </c>
      <c r="AO143" s="10">
        <v>-276.01</v>
      </c>
      <c r="AP143" s="10">
        <v>-420.17315000000002</v>
      </c>
      <c r="AQ143" s="10">
        <v>-1775.0686346</v>
      </c>
      <c r="AR143" s="10">
        <v>-465.92</v>
      </c>
      <c r="AS143" s="10">
        <v>-350.71</v>
      </c>
      <c r="AT143" s="10">
        <v>-1791.69</v>
      </c>
      <c r="AU143" s="10">
        <f t="shared" si="18"/>
        <v>-70976.909875440004</v>
      </c>
    </row>
    <row r="144" spans="1:47" x14ac:dyDescent="0.2">
      <c r="A144" s="15" t="s">
        <v>190</v>
      </c>
      <c r="B144" s="10">
        <v>-13811.789049999999</v>
      </c>
      <c r="C144" s="10">
        <v>-511.12972000000002</v>
      </c>
      <c r="D144" s="10">
        <v>-9.0132899999999996</v>
      </c>
      <c r="E144" s="10">
        <v>-161.66003000000001</v>
      </c>
      <c r="F144" s="10">
        <v>-8.9464400000000008</v>
      </c>
      <c r="G144" s="10">
        <v>-2455.1224699999998</v>
      </c>
      <c r="H144" s="10">
        <v>-714.96700499999997</v>
      </c>
      <c r="I144" s="10">
        <v>-603.194795</v>
      </c>
      <c r="J144" s="10">
        <v>-613.51513499999999</v>
      </c>
      <c r="K144" s="10">
        <v>-1535.8964599999999</v>
      </c>
      <c r="L144" s="10">
        <v>-1235.63661</v>
      </c>
      <c r="M144" s="10">
        <v>-1018.16177</v>
      </c>
      <c r="N144" s="10">
        <v>0</v>
      </c>
      <c r="O144" s="10">
        <v>-1036.724025</v>
      </c>
      <c r="P144" s="10">
        <v>-983.85176000000001</v>
      </c>
      <c r="Q144" s="10">
        <v>-983.79846999999995</v>
      </c>
      <c r="R144" s="10">
        <v>-1018.5</v>
      </c>
      <c r="S144" s="10">
        <v>-1019.88</v>
      </c>
      <c r="T144" s="10">
        <v>-1018.5</v>
      </c>
      <c r="U144" s="10">
        <v>-1019.88</v>
      </c>
      <c r="V144" s="10">
        <v>-1019.88</v>
      </c>
      <c r="W144" s="10">
        <v>-1018.5</v>
      </c>
      <c r="X144" s="10">
        <v>-1356.5406359999999</v>
      </c>
      <c r="Y144" s="10">
        <v>-1497.9246639999999</v>
      </c>
      <c r="Z144" s="10">
        <v>-1934.545312085</v>
      </c>
      <c r="AA144" s="10">
        <v>0</v>
      </c>
      <c r="AB144" s="10">
        <v>-8502.7662930000006</v>
      </c>
      <c r="AC144" s="10">
        <v>-1896.63445</v>
      </c>
      <c r="AD144" s="10">
        <v>-1277.29</v>
      </c>
      <c r="AE144" s="10">
        <v>-1194.82</v>
      </c>
      <c r="AF144" s="10">
        <v>-1248.3751402</v>
      </c>
      <c r="AG144" s="10">
        <v>-1542.5202999999999</v>
      </c>
      <c r="AH144" s="10">
        <v>-1254.9407550000001</v>
      </c>
      <c r="AI144" s="10">
        <v>-1966.5597799</v>
      </c>
      <c r="AJ144" s="10">
        <v>-1152.7826707500001</v>
      </c>
      <c r="AK144" s="10">
        <v>-1528.9728273999999</v>
      </c>
      <c r="AL144" s="10">
        <v>-1157.37221045</v>
      </c>
      <c r="AM144" s="10">
        <v>-974.35067779999997</v>
      </c>
      <c r="AN144" s="10">
        <v>0</v>
      </c>
      <c r="AO144" s="10">
        <v>-3541.0613231500001</v>
      </c>
      <c r="AP144" s="10">
        <v>-7343.3498900499999</v>
      </c>
      <c r="AQ144" s="10">
        <v>-1486.18875445</v>
      </c>
      <c r="AR144" s="10">
        <v>-2442.4122538000001</v>
      </c>
      <c r="AS144" s="10">
        <v>-1723.5819592</v>
      </c>
      <c r="AT144" s="10">
        <v>-2566.6062160000001</v>
      </c>
      <c r="AU144" s="10">
        <f t="shared" si="18"/>
        <v>-79388.143143235007</v>
      </c>
    </row>
    <row r="145" spans="1:47" x14ac:dyDescent="0.2">
      <c r="A145" s="15" t="s">
        <v>191</v>
      </c>
      <c r="B145" s="10">
        <v>-279.95999999999998</v>
      </c>
      <c r="C145" s="10">
        <v>-244.97</v>
      </c>
      <c r="D145" s="10">
        <v>-209.97</v>
      </c>
      <c r="E145" s="10">
        <v>-209.97</v>
      </c>
      <c r="F145" s="10">
        <v>-209.97</v>
      </c>
      <c r="G145" s="10">
        <v>-209.97</v>
      </c>
      <c r="H145" s="10">
        <v>-209.97</v>
      </c>
      <c r="I145" s="10">
        <v>-209.97</v>
      </c>
      <c r="J145" s="10">
        <v>-577.62</v>
      </c>
      <c r="K145" s="10">
        <v>-1206.08</v>
      </c>
      <c r="L145" s="10">
        <v>-209.97</v>
      </c>
      <c r="M145" s="10">
        <v>-209.97</v>
      </c>
      <c r="N145" s="10">
        <v>0</v>
      </c>
      <c r="O145" s="10">
        <v>-259.404</v>
      </c>
      <c r="P145" s="10">
        <v>-209.97</v>
      </c>
      <c r="Q145" s="10">
        <v>0</v>
      </c>
      <c r="R145" s="10">
        <v>-279.95999999999998</v>
      </c>
      <c r="S145" s="10">
        <v>-279.95999999999998</v>
      </c>
      <c r="T145" s="10">
        <v>-279.95999999999998</v>
      </c>
      <c r="U145" s="10">
        <v>-279.95999999999998</v>
      </c>
      <c r="V145" s="10">
        <v>-279.95999999999998</v>
      </c>
      <c r="W145" s="10">
        <v>-288.584</v>
      </c>
      <c r="X145" s="10">
        <v>-1076.6199999999999</v>
      </c>
      <c r="Y145" s="10">
        <v>-679.96</v>
      </c>
      <c r="Z145" s="10">
        <v>-279.95999999999998</v>
      </c>
      <c r="AA145" s="10">
        <v>0</v>
      </c>
      <c r="AB145" s="10">
        <v>-279.95999999999998</v>
      </c>
      <c r="AC145" s="10">
        <v>-386.93</v>
      </c>
      <c r="AD145" s="10">
        <v>-279.95999999999998</v>
      </c>
      <c r="AE145" s="10">
        <v>-279.95999999999998</v>
      </c>
      <c r="AF145" s="10">
        <v>-279.95999999999998</v>
      </c>
      <c r="AG145" s="10">
        <v>-279.95999999999998</v>
      </c>
      <c r="AH145" s="10">
        <v>-279.95999999999998</v>
      </c>
      <c r="AI145" s="10">
        <v>-279.95999999999998</v>
      </c>
      <c r="AJ145" s="10">
        <v>-335.79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f t="shared" ref="AU145:AU176" si="19">SUM(B145:AT145)</f>
        <v>-10865.127999999995</v>
      </c>
    </row>
    <row r="146" spans="1:47" x14ac:dyDescent="0.2">
      <c r="A146" s="15" t="s">
        <v>192</v>
      </c>
      <c r="B146" s="10">
        <v>-1726.1369999999999</v>
      </c>
      <c r="C146" s="10">
        <v>1555.162</v>
      </c>
      <c r="D146" s="10">
        <v>-1437.263565</v>
      </c>
      <c r="E146" s="10">
        <v>-1389.4</v>
      </c>
      <c r="F146" s="10">
        <v>-4690.5568560000002</v>
      </c>
      <c r="G146" s="10">
        <v>-647.17200000000003</v>
      </c>
      <c r="H146" s="10">
        <v>-1453.048</v>
      </c>
      <c r="I146" s="10">
        <v>-1236.9985979999999</v>
      </c>
      <c r="J146" s="10">
        <v>-1514.88</v>
      </c>
      <c r="K146" s="10">
        <v>-1622.1869999999999</v>
      </c>
      <c r="L146" s="10">
        <v>-675.702</v>
      </c>
      <c r="M146" s="10">
        <v>-1896.1814999999999</v>
      </c>
      <c r="N146" s="10">
        <v>0</v>
      </c>
      <c r="O146" s="10">
        <v>-643.2835</v>
      </c>
      <c r="P146" s="10">
        <v>-1554.1477199999999</v>
      </c>
      <c r="Q146" s="10">
        <v>-3874.0279999999998</v>
      </c>
      <c r="R146" s="10">
        <v>-946.928</v>
      </c>
      <c r="S146" s="10">
        <v>-1425.2908399999999</v>
      </c>
      <c r="T146" s="10">
        <v>-529.83000000000004</v>
      </c>
      <c r="U146" s="10">
        <v>-568.55250000000001</v>
      </c>
      <c r="V146" s="10">
        <v>-1568.8675249999999</v>
      </c>
      <c r="W146" s="10">
        <v>-465.69600000000003</v>
      </c>
      <c r="X146" s="10">
        <v>-467.36892</v>
      </c>
      <c r="Y146" s="10">
        <v>-8514.8513999999996</v>
      </c>
      <c r="Z146" s="10">
        <v>-1199.6318249999999</v>
      </c>
      <c r="AA146" s="10">
        <v>0</v>
      </c>
      <c r="AB146" s="10">
        <v>-2578.0919971200001</v>
      </c>
      <c r="AC146" s="10">
        <v>-734.94775000000004</v>
      </c>
      <c r="AD146" s="10">
        <v>-2474.857</v>
      </c>
      <c r="AE146" s="10">
        <v>-1423.599434</v>
      </c>
      <c r="AF146" s="10">
        <v>-1478.3337430399999</v>
      </c>
      <c r="AG146" s="10">
        <v>-719.1105</v>
      </c>
      <c r="AH146" s="10">
        <v>-537.80814999999996</v>
      </c>
      <c r="AI146" s="10">
        <v>-601.17840000000001</v>
      </c>
      <c r="AJ146" s="10">
        <v>-1626.0054466399999</v>
      </c>
      <c r="AK146" s="10">
        <v>-502.67950000000002</v>
      </c>
      <c r="AL146" s="10">
        <v>-6307.9579999999996</v>
      </c>
      <c r="AM146" s="10">
        <v>-8824.8730899999991</v>
      </c>
      <c r="AN146" s="10">
        <v>0</v>
      </c>
      <c r="AO146" s="10">
        <v>-1016.3538</v>
      </c>
      <c r="AP146" s="10">
        <v>-8927.0572800000009</v>
      </c>
      <c r="AQ146" s="10">
        <v>-12383.878199999999</v>
      </c>
      <c r="AR146" s="10">
        <v>-12441.37765</v>
      </c>
      <c r="AS146" s="10">
        <v>-16475.344582450001</v>
      </c>
      <c r="AT146" s="10">
        <v>-11505.949859959999</v>
      </c>
      <c r="AU146" s="10">
        <f t="shared" si="19"/>
        <v>-129052.24513221</v>
      </c>
    </row>
    <row r="147" spans="1:47" x14ac:dyDescent="0.2">
      <c r="A147" s="15" t="s">
        <v>193</v>
      </c>
      <c r="B147" s="10">
        <v>0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-9359</v>
      </c>
      <c r="L147" s="10">
        <v>0</v>
      </c>
      <c r="M147" s="10">
        <v>-476.51751999999999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-9221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-10060.56</v>
      </c>
      <c r="AL147" s="10">
        <v>0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f t="shared" si="19"/>
        <v>-29117.077519999999</v>
      </c>
    </row>
    <row r="148" spans="1:47" x14ac:dyDescent="0.2">
      <c r="A148" s="15" t="s">
        <v>194</v>
      </c>
      <c r="B148" s="10">
        <v>0</v>
      </c>
      <c r="C148" s="10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-22828.240000000002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-7956.04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-80495.56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0">
        <v>0</v>
      </c>
      <c r="AT148" s="10">
        <v>0</v>
      </c>
      <c r="AU148" s="10">
        <f t="shared" si="19"/>
        <v>-111279.84</v>
      </c>
    </row>
    <row r="149" spans="1:47" x14ac:dyDescent="0.2">
      <c r="A149" s="15" t="s">
        <v>195</v>
      </c>
      <c r="B149" s="10">
        <v>0</v>
      </c>
      <c r="C149" s="10">
        <v>-110.75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  <c r="AI149" s="10">
        <v>0</v>
      </c>
      <c r="AJ149" s="10">
        <v>0</v>
      </c>
      <c r="AK149" s="10">
        <v>0</v>
      </c>
      <c r="AL149" s="10">
        <v>0</v>
      </c>
      <c r="AM149" s="10">
        <v>-1996.96</v>
      </c>
      <c r="AN149" s="10">
        <v>0</v>
      </c>
      <c r="AO149" s="10">
        <v>0</v>
      </c>
      <c r="AP149" s="10">
        <v>0</v>
      </c>
      <c r="AQ149" s="10">
        <v>0</v>
      </c>
      <c r="AR149" s="10">
        <v>0</v>
      </c>
      <c r="AS149" s="10">
        <v>-128.63</v>
      </c>
      <c r="AT149" s="10">
        <v>0</v>
      </c>
      <c r="AU149" s="10">
        <f t="shared" si="19"/>
        <v>-2236.34</v>
      </c>
    </row>
    <row r="150" spans="1:47" x14ac:dyDescent="0.2">
      <c r="A150" s="15" t="s">
        <v>196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-537.04999999999995</v>
      </c>
      <c r="AE150" s="10">
        <v>-3596.5</v>
      </c>
      <c r="AF150" s="10">
        <v>-188</v>
      </c>
      <c r="AG150" s="10">
        <v>0</v>
      </c>
      <c r="AH150" s="10">
        <v>0</v>
      </c>
      <c r="AI150" s="10">
        <v>0</v>
      </c>
      <c r="AJ150" s="10">
        <v>0</v>
      </c>
      <c r="AK150" s="10">
        <v>-1267.0999999999999</v>
      </c>
      <c r="AL150" s="10">
        <v>-285</v>
      </c>
      <c r="AM150" s="10">
        <v>0</v>
      </c>
      <c r="AN150" s="10">
        <v>0</v>
      </c>
      <c r="AO150" s="10">
        <v>0</v>
      </c>
      <c r="AP150" s="10">
        <v>0</v>
      </c>
      <c r="AQ150" s="10">
        <v>-3940.24</v>
      </c>
      <c r="AR150" s="10">
        <v>-5002.53</v>
      </c>
      <c r="AS150" s="10">
        <v>49.42</v>
      </c>
      <c r="AT150" s="10">
        <v>0</v>
      </c>
      <c r="AU150" s="10">
        <f t="shared" si="19"/>
        <v>-14766.999999999998</v>
      </c>
    </row>
    <row r="151" spans="1:47" x14ac:dyDescent="0.2">
      <c r="A151" s="15" t="s">
        <v>197</v>
      </c>
      <c r="B151" s="10">
        <v>-87.37</v>
      </c>
      <c r="C151" s="10">
        <v>-69.72</v>
      </c>
      <c r="D151" s="10">
        <v>-46.19</v>
      </c>
      <c r="E151" s="10">
        <v>-40.65</v>
      </c>
      <c r="F151" s="10">
        <v>0</v>
      </c>
      <c r="G151" s="10">
        <v>-140.61000000000001</v>
      </c>
      <c r="H151" s="10">
        <v>-41.43</v>
      </c>
      <c r="I151" s="10">
        <v>0</v>
      </c>
      <c r="J151" s="10">
        <v>0</v>
      </c>
      <c r="K151" s="10">
        <v>-140.38499999999999</v>
      </c>
      <c r="L151" s="10">
        <v>-41.43</v>
      </c>
      <c r="M151" s="10">
        <v>-41.43</v>
      </c>
      <c r="N151" s="10">
        <v>0</v>
      </c>
      <c r="O151" s="10">
        <v>-38.049999999999997</v>
      </c>
      <c r="P151" s="10">
        <v>-140.05000000000001</v>
      </c>
      <c r="Q151" s="10">
        <v>-40.65</v>
      </c>
      <c r="R151" s="10">
        <v>0</v>
      </c>
      <c r="S151" s="10">
        <v>0</v>
      </c>
      <c r="T151" s="10">
        <v>-40.65</v>
      </c>
      <c r="U151" s="10">
        <v>0</v>
      </c>
      <c r="V151" s="10">
        <v>0</v>
      </c>
      <c r="W151" s="10">
        <v>-40.65</v>
      </c>
      <c r="X151" s="10">
        <v>0</v>
      </c>
      <c r="Y151" s="10">
        <v>0</v>
      </c>
      <c r="Z151" s="10">
        <v>-40.65</v>
      </c>
      <c r="AA151" s="10">
        <v>0</v>
      </c>
      <c r="AB151" s="10">
        <v>0</v>
      </c>
      <c r="AC151" s="10">
        <v>-255.37</v>
      </c>
      <c r="AD151" s="10">
        <v>0</v>
      </c>
      <c r="AE151" s="10">
        <v>0</v>
      </c>
      <c r="AF151" s="10">
        <v>0</v>
      </c>
      <c r="AG151" s="10">
        <v>-40.65</v>
      </c>
      <c r="AH151" s="10">
        <v>0</v>
      </c>
      <c r="AI151" s="10">
        <v>-40.65</v>
      </c>
      <c r="AJ151" s="10">
        <v>0</v>
      </c>
      <c r="AK151" s="10">
        <v>0</v>
      </c>
      <c r="AL151" s="10">
        <v>0</v>
      </c>
      <c r="AM151" s="10">
        <v>-14</v>
      </c>
      <c r="AN151" s="10">
        <v>0</v>
      </c>
      <c r="AO151" s="10">
        <v>-14</v>
      </c>
      <c r="AP151" s="10">
        <v>-25.23</v>
      </c>
      <c r="AQ151" s="10">
        <v>-27.63</v>
      </c>
      <c r="AR151" s="10">
        <v>-26.74</v>
      </c>
      <c r="AS151" s="10">
        <v>-41.32</v>
      </c>
      <c r="AT151" s="10">
        <v>-26.74</v>
      </c>
      <c r="AU151" s="10">
        <f t="shared" si="19"/>
        <v>-1502.2450000000001</v>
      </c>
    </row>
    <row r="152" spans="1:47" x14ac:dyDescent="0.2">
      <c r="A152" s="15" t="s">
        <v>198</v>
      </c>
      <c r="B152" s="10">
        <v>0</v>
      </c>
      <c r="C152" s="10">
        <v>0</v>
      </c>
      <c r="D152" s="10">
        <v>0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-1013.56</v>
      </c>
      <c r="AJ152" s="10">
        <v>0</v>
      </c>
      <c r="AK152" s="10">
        <v>-500</v>
      </c>
      <c r="AL152" s="10">
        <v>0</v>
      </c>
      <c r="AM152" s="10">
        <v>0</v>
      </c>
      <c r="AN152" s="10">
        <v>0</v>
      </c>
      <c r="AO152" s="10">
        <v>0</v>
      </c>
      <c r="AP152" s="10">
        <v>0</v>
      </c>
      <c r="AQ152" s="10">
        <v>0</v>
      </c>
      <c r="AR152" s="10">
        <v>0</v>
      </c>
      <c r="AS152" s="10">
        <v>0</v>
      </c>
      <c r="AT152" s="10">
        <v>0</v>
      </c>
      <c r="AU152" s="10">
        <f t="shared" si="19"/>
        <v>-1513.56</v>
      </c>
    </row>
    <row r="153" spans="1:47" x14ac:dyDescent="0.2">
      <c r="A153" s="15" t="s">
        <v>199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-1500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f t="shared" si="19"/>
        <v>-1500</v>
      </c>
    </row>
    <row r="154" spans="1:47" x14ac:dyDescent="0.2">
      <c r="A154" s="15" t="s">
        <v>200</v>
      </c>
      <c r="B154" s="10">
        <v>0</v>
      </c>
      <c r="C154" s="10">
        <v>0</v>
      </c>
      <c r="D154" s="10">
        <v>0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-3000</v>
      </c>
      <c r="Y154" s="10">
        <v>-5190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0">
        <v>-5000</v>
      </c>
      <c r="AM154" s="10">
        <v>0</v>
      </c>
      <c r="AN154" s="10">
        <v>0</v>
      </c>
      <c r="AO154" s="10">
        <v>0</v>
      </c>
      <c r="AP154" s="10">
        <v>0</v>
      </c>
      <c r="AQ154" s="10">
        <v>0</v>
      </c>
      <c r="AR154" s="10">
        <v>0</v>
      </c>
      <c r="AS154" s="10">
        <v>0</v>
      </c>
      <c r="AT154" s="10">
        <v>0</v>
      </c>
      <c r="AU154" s="10">
        <f t="shared" si="19"/>
        <v>-13190</v>
      </c>
    </row>
    <row r="155" spans="1:47" x14ac:dyDescent="0.2">
      <c r="A155" s="15" t="s">
        <v>201</v>
      </c>
      <c r="B155" s="10">
        <v>-22.973244000000001</v>
      </c>
      <c r="C155" s="10">
        <v>-170.72428400000001</v>
      </c>
      <c r="D155" s="10">
        <v>-142.549297</v>
      </c>
      <c r="E155" s="10">
        <v>-14.7</v>
      </c>
      <c r="F155" s="10">
        <v>0</v>
      </c>
      <c r="G155" s="10">
        <v>-34.21</v>
      </c>
      <c r="H155" s="10">
        <v>-19.989999999999998</v>
      </c>
      <c r="I155" s="10">
        <v>0</v>
      </c>
      <c r="J155" s="10">
        <v>-9.1300000000000008</v>
      </c>
      <c r="K155" s="10">
        <v>-27.59</v>
      </c>
      <c r="L155" s="10">
        <v>0</v>
      </c>
      <c r="M155" s="10">
        <v>-12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-90.48</v>
      </c>
      <c r="X155" s="10">
        <v>-240.39</v>
      </c>
      <c r="Y155" s="10">
        <v>-101.09</v>
      </c>
      <c r="Z155" s="10">
        <v>-260.78634134750001</v>
      </c>
      <c r="AA155" s="10">
        <v>0</v>
      </c>
      <c r="AB155" s="10">
        <v>-14.34</v>
      </c>
      <c r="AC155" s="10">
        <v>-19.46</v>
      </c>
      <c r="AD155" s="10">
        <v>-736.35043743999995</v>
      </c>
      <c r="AE155" s="10">
        <v>-342.56</v>
      </c>
      <c r="AF155" s="10">
        <v>-118.9057</v>
      </c>
      <c r="AG155" s="10">
        <v>-2238.4332323600001</v>
      </c>
      <c r="AH155" s="10">
        <v>-241.6</v>
      </c>
      <c r="AI155" s="10">
        <v>-475.09054623999998</v>
      </c>
      <c r="AJ155" s="10">
        <v>-449.85420227999998</v>
      </c>
      <c r="AK155" s="10">
        <v>-120.453746</v>
      </c>
      <c r="AL155" s="10">
        <v>-1462.9432979999999</v>
      </c>
      <c r="AM155" s="10">
        <v>-672.08313550000003</v>
      </c>
      <c r="AN155" s="10">
        <v>0</v>
      </c>
      <c r="AO155" s="10">
        <v>0</v>
      </c>
      <c r="AP155" s="10">
        <v>-372.64</v>
      </c>
      <c r="AQ155" s="10">
        <v>-278.39924895000001</v>
      </c>
      <c r="AR155" s="10">
        <v>-1841.90026008</v>
      </c>
      <c r="AS155" s="10">
        <v>-1069.2188190700001</v>
      </c>
      <c r="AT155" s="10">
        <v>-594.19565395999996</v>
      </c>
      <c r="AU155" s="10">
        <f t="shared" si="19"/>
        <v>-12195.041446227498</v>
      </c>
    </row>
    <row r="156" spans="1:47" x14ac:dyDescent="0.2">
      <c r="A156" s="15" t="s">
        <v>202</v>
      </c>
      <c r="B156" s="10">
        <v>0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0</v>
      </c>
      <c r="AP156" s="10">
        <v>0</v>
      </c>
      <c r="AQ156" s="10">
        <v>0</v>
      </c>
      <c r="AR156" s="10">
        <v>-272.25</v>
      </c>
      <c r="AS156" s="10">
        <v>-63.75</v>
      </c>
      <c r="AT156" s="10">
        <v>-125</v>
      </c>
      <c r="AU156" s="10">
        <f t="shared" si="19"/>
        <v>-461</v>
      </c>
    </row>
    <row r="157" spans="1:47" x14ac:dyDescent="0.2">
      <c r="A157" s="15" t="s">
        <v>203</v>
      </c>
      <c r="B157" s="10">
        <v>-784.81930199999999</v>
      </c>
      <c r="C157" s="10">
        <v>-745.39090799999997</v>
      </c>
      <c r="D157" s="10">
        <v>-1261.148522</v>
      </c>
      <c r="E157" s="10">
        <v>-368.18583999999998</v>
      </c>
      <c r="F157" s="10">
        <v>-545.45098800000005</v>
      </c>
      <c r="G157" s="10">
        <v>-474.11078199999997</v>
      </c>
      <c r="H157" s="10">
        <v>-1375.7946240000001</v>
      </c>
      <c r="I157" s="10">
        <v>-959.82214199999999</v>
      </c>
      <c r="J157" s="10">
        <v>-1453.57728</v>
      </c>
      <c r="K157" s="10">
        <v>-1635.4005299999999</v>
      </c>
      <c r="L157" s="10">
        <v>-738.29741999999999</v>
      </c>
      <c r="M157" s="10">
        <v>-397.432683</v>
      </c>
      <c r="N157" s="10">
        <v>0</v>
      </c>
      <c r="O157" s="10">
        <v>-1492.6731010000001</v>
      </c>
      <c r="P157" s="10">
        <v>-1034.14852</v>
      </c>
      <c r="Q157" s="10">
        <v>-367.62560000000002</v>
      </c>
      <c r="R157" s="10">
        <v>-73.627775</v>
      </c>
      <c r="S157" s="10">
        <v>-139.18318500000001</v>
      </c>
      <c r="T157" s="10">
        <v>-1200.71252</v>
      </c>
      <c r="U157" s="10">
        <v>-109.686556</v>
      </c>
      <c r="V157" s="10">
        <v>-917.92025000000001</v>
      </c>
      <c r="W157" s="10">
        <v>-298.95479999999998</v>
      </c>
      <c r="X157" s="10">
        <v>-1189.0386464000001</v>
      </c>
      <c r="Y157" s="10">
        <v>-836.86292600000002</v>
      </c>
      <c r="Z157" s="10">
        <v>-1555.2408373574999</v>
      </c>
      <c r="AA157" s="10">
        <v>0</v>
      </c>
      <c r="AB157" s="10">
        <v>-143.77623711999999</v>
      </c>
      <c r="AC157" s="10">
        <v>-674.72239000000002</v>
      </c>
      <c r="AD157" s="10">
        <v>-889.75149587999999</v>
      </c>
      <c r="AE157" s="10">
        <v>-446.07245025999998</v>
      </c>
      <c r="AF157" s="10">
        <v>-282.46518959999997</v>
      </c>
      <c r="AG157" s="10">
        <v>-181.68336948000001</v>
      </c>
      <c r="AH157" s="10">
        <v>-420.63098389999999</v>
      </c>
      <c r="AI157" s="10">
        <v>-1926.3418527599999</v>
      </c>
      <c r="AJ157" s="10">
        <v>-1423.1232371999999</v>
      </c>
      <c r="AK157" s="10">
        <v>-664.55840515</v>
      </c>
      <c r="AL157" s="10">
        <v>-1140.6645951</v>
      </c>
      <c r="AM157" s="10">
        <v>-548.99910296600001</v>
      </c>
      <c r="AN157" s="10">
        <v>0</v>
      </c>
      <c r="AO157" s="10">
        <v>-793.07297544000005</v>
      </c>
      <c r="AP157" s="10">
        <v>-405.25511103999997</v>
      </c>
      <c r="AQ157" s="10">
        <v>-2423.9873764700001</v>
      </c>
      <c r="AR157" s="10">
        <v>-2567.1577590299999</v>
      </c>
      <c r="AS157" s="10">
        <v>-3862.02091668</v>
      </c>
      <c r="AT157" s="10">
        <v>-1053.6261193600001</v>
      </c>
      <c r="AU157" s="10">
        <f t="shared" si="19"/>
        <v>-39803.015305193498</v>
      </c>
    </row>
    <row r="158" spans="1:47" x14ac:dyDescent="0.2">
      <c r="A158" s="15" t="s">
        <v>204</v>
      </c>
      <c r="B158" s="10">
        <v>-1840.5733600000001</v>
      </c>
      <c r="C158" s="10">
        <v>-1210.717498</v>
      </c>
      <c r="D158" s="10">
        <v>-864.59355000000005</v>
      </c>
      <c r="E158" s="10">
        <v>-2537.3613</v>
      </c>
      <c r="F158" s="10">
        <v>-820.49627999999996</v>
      </c>
      <c r="G158" s="10">
        <v>-1271.0488</v>
      </c>
      <c r="H158" s="10">
        <v>-796.17451000000005</v>
      </c>
      <c r="I158" s="10">
        <v>-813.69574999999998</v>
      </c>
      <c r="J158" s="10">
        <v>-793.60261000000003</v>
      </c>
      <c r="K158" s="10">
        <v>-864.11647000000005</v>
      </c>
      <c r="L158" s="10">
        <v>-791.80228</v>
      </c>
      <c r="M158" s="10">
        <v>-1475.383638</v>
      </c>
      <c r="N158" s="10">
        <v>0</v>
      </c>
      <c r="O158" s="10">
        <v>-1522.0670299999999</v>
      </c>
      <c r="P158" s="10">
        <v>-781.17175999999995</v>
      </c>
      <c r="Q158" s="10">
        <v>-774.91346999999996</v>
      </c>
      <c r="R158" s="10">
        <v>-8377.7113399999998</v>
      </c>
      <c r="S158" s="10">
        <v>1990.7159999999999</v>
      </c>
      <c r="T158" s="10">
        <v>0</v>
      </c>
      <c r="U158" s="10">
        <v>0</v>
      </c>
      <c r="V158" s="10">
        <v>-174.55</v>
      </c>
      <c r="W158" s="10">
        <v>-62</v>
      </c>
      <c r="X158" s="10">
        <v>0</v>
      </c>
      <c r="Y158" s="10">
        <v>0</v>
      </c>
      <c r="Z158" s="10">
        <v>7328.4522542000004</v>
      </c>
      <c r="AA158" s="10">
        <v>0</v>
      </c>
      <c r="AB158" s="10">
        <v>0</v>
      </c>
      <c r="AC158" s="10">
        <v>0</v>
      </c>
      <c r="AD158" s="10">
        <v>-29.64</v>
      </c>
      <c r="AE158" s="10">
        <v>-252.55085212</v>
      </c>
      <c r="AF158" s="10">
        <v>-4249.4176430799998</v>
      </c>
      <c r="AG158" s="10">
        <v>-432.91608952000001</v>
      </c>
      <c r="AH158" s="10">
        <v>0</v>
      </c>
      <c r="AI158" s="10">
        <v>-203.86</v>
      </c>
      <c r="AJ158" s="10">
        <v>-155.02790487999999</v>
      </c>
      <c r="AK158" s="10">
        <v>-45</v>
      </c>
      <c r="AL158" s="10">
        <v>0</v>
      </c>
      <c r="AM158" s="10">
        <v>2250.3917213</v>
      </c>
      <c r="AN158" s="10">
        <v>0</v>
      </c>
      <c r="AO158" s="10">
        <v>0</v>
      </c>
      <c r="AP158" s="10">
        <v>0</v>
      </c>
      <c r="AQ158" s="10">
        <v>0</v>
      </c>
      <c r="AR158" s="10">
        <v>-13416.81192679</v>
      </c>
      <c r="AS158" s="10">
        <v>-64.723413300000004</v>
      </c>
      <c r="AT158" s="10">
        <v>-310.16000000000003</v>
      </c>
      <c r="AU158" s="10">
        <f t="shared" si="19"/>
        <v>-33362.527500190008</v>
      </c>
    </row>
    <row r="159" spans="1:47" x14ac:dyDescent="0.2">
      <c r="A159" s="15" t="s">
        <v>205</v>
      </c>
      <c r="B159" s="10">
        <v>-8900</v>
      </c>
      <c r="C159" s="10">
        <v>-8900</v>
      </c>
      <c r="D159" s="10">
        <v>-8900</v>
      </c>
      <c r="E159" s="10">
        <v>-8900</v>
      </c>
      <c r="F159" s="10">
        <v>-8900</v>
      </c>
      <c r="G159" s="10">
        <v>-8900</v>
      </c>
      <c r="H159" s="10">
        <v>-8900</v>
      </c>
      <c r="I159" s="10">
        <v>-8900</v>
      </c>
      <c r="J159" s="10">
        <v>-8900</v>
      </c>
      <c r="K159" s="10">
        <v>-19075</v>
      </c>
      <c r="L159" s="10">
        <v>-8900</v>
      </c>
      <c r="M159" s="10">
        <v>-8900</v>
      </c>
      <c r="N159" s="10">
        <v>0</v>
      </c>
      <c r="O159" s="10">
        <v>-8900</v>
      </c>
      <c r="P159" s="10">
        <v>-8900</v>
      </c>
      <c r="Q159" s="10">
        <v>-8900</v>
      </c>
      <c r="R159" s="10">
        <v>-15000</v>
      </c>
      <c r="S159" s="10">
        <v>-15000</v>
      </c>
      <c r="T159" s="10">
        <v>-10000</v>
      </c>
      <c r="U159" s="10">
        <v>-10000</v>
      </c>
      <c r="V159" s="10">
        <v>-10000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-7225</v>
      </c>
      <c r="AC159" s="10">
        <v>-7225</v>
      </c>
      <c r="AD159" s="10">
        <v>-7225</v>
      </c>
      <c r="AE159" s="10">
        <v>-7225</v>
      </c>
      <c r="AF159" s="10">
        <v>-7225</v>
      </c>
      <c r="AG159" s="10">
        <v>-7225</v>
      </c>
      <c r="AH159" s="10">
        <v>-7225</v>
      </c>
      <c r="AI159" s="10">
        <v>-7225</v>
      </c>
      <c r="AJ159" s="10">
        <v>-12400</v>
      </c>
      <c r="AK159" s="10">
        <v>-12400</v>
      </c>
      <c r="AL159" s="10">
        <v>-12400</v>
      </c>
      <c r="AM159" s="10">
        <v>-12400</v>
      </c>
      <c r="AN159" s="10">
        <v>0</v>
      </c>
      <c r="AO159" s="10">
        <v>-12400</v>
      </c>
      <c r="AP159" s="10">
        <v>-12400</v>
      </c>
      <c r="AQ159" s="10">
        <v>-12400</v>
      </c>
      <c r="AR159" s="10">
        <v>-12400</v>
      </c>
      <c r="AS159" s="10">
        <v>-12400</v>
      </c>
      <c r="AT159" s="10">
        <v>-12400</v>
      </c>
      <c r="AU159" s="10">
        <f t="shared" si="19"/>
        <v>-385475</v>
      </c>
    </row>
    <row r="160" spans="1:47" x14ac:dyDescent="0.2">
      <c r="A160" s="15" t="s">
        <v>206</v>
      </c>
      <c r="B160" s="10">
        <v>0</v>
      </c>
      <c r="C160" s="10">
        <v>10850</v>
      </c>
      <c r="D160" s="10">
        <v>0</v>
      </c>
      <c r="E160" s="10">
        <v>0</v>
      </c>
      <c r="F160" s="10">
        <v>0</v>
      </c>
      <c r="G160" s="10">
        <v>0</v>
      </c>
      <c r="H160" s="10">
        <v>-45000</v>
      </c>
      <c r="I160" s="10">
        <v>0</v>
      </c>
      <c r="J160" s="10">
        <v>45000</v>
      </c>
      <c r="K160" s="10">
        <v>0</v>
      </c>
      <c r="L160" s="10">
        <v>0</v>
      </c>
      <c r="M160" s="10">
        <v>-50482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50482</v>
      </c>
      <c r="Z160" s="10">
        <v>-49668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17498</v>
      </c>
      <c r="AJ160" s="10">
        <v>0</v>
      </c>
      <c r="AK160" s="10">
        <v>0</v>
      </c>
      <c r="AL160" s="10">
        <v>32170</v>
      </c>
      <c r="AM160" s="10">
        <v>-80011</v>
      </c>
      <c r="AN160" s="10">
        <v>0</v>
      </c>
      <c r="AO160" s="10">
        <v>0</v>
      </c>
      <c r="AP160" s="10">
        <v>0</v>
      </c>
      <c r="AQ160" s="10">
        <v>0</v>
      </c>
      <c r="AR160" s="10">
        <v>0</v>
      </c>
      <c r="AS160" s="10">
        <v>80011</v>
      </c>
      <c r="AT160" s="10">
        <v>0</v>
      </c>
      <c r="AU160" s="10">
        <f t="shared" si="19"/>
        <v>10850</v>
      </c>
    </row>
    <row r="161" spans="1:47" x14ac:dyDescent="0.2">
      <c r="A161" s="15" t="s">
        <v>207</v>
      </c>
      <c r="B161" s="10">
        <v>0</v>
      </c>
      <c r="C161" s="10">
        <v>0</v>
      </c>
      <c r="D161" s="10">
        <v>0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-42.86</v>
      </c>
      <c r="AG161" s="10">
        <v>-7688</v>
      </c>
      <c r="AH161" s="10">
        <v>0</v>
      </c>
      <c r="AI161" s="10">
        <v>0</v>
      </c>
      <c r="AJ161" s="10">
        <v>0</v>
      </c>
      <c r="AK161" s="10">
        <v>0</v>
      </c>
      <c r="AL161" s="10">
        <v>0</v>
      </c>
      <c r="AM161" s="10">
        <v>0</v>
      </c>
      <c r="AN161" s="10">
        <v>0</v>
      </c>
      <c r="AO161" s="10">
        <v>0</v>
      </c>
      <c r="AP161" s="10">
        <v>0</v>
      </c>
      <c r="AQ161" s="10">
        <v>0</v>
      </c>
      <c r="AR161" s="10">
        <v>0</v>
      </c>
      <c r="AS161" s="10">
        <v>0</v>
      </c>
      <c r="AT161" s="10">
        <v>0</v>
      </c>
      <c r="AU161" s="10">
        <f t="shared" si="19"/>
        <v>-7730.86</v>
      </c>
    </row>
    <row r="162" spans="1:47" x14ac:dyDescent="0.2">
      <c r="A162" s="15" t="s">
        <v>208</v>
      </c>
      <c r="B162" s="10">
        <v>0</v>
      </c>
      <c r="C162" s="10">
        <v>-27.515630000000002</v>
      </c>
      <c r="D162" s="10">
        <v>-1732.5808500000001</v>
      </c>
      <c r="E162" s="10">
        <v>-242.70823999999999</v>
      </c>
      <c r="F162" s="10">
        <v>-35.551560000000002</v>
      </c>
      <c r="G162" s="10">
        <v>-1687.32</v>
      </c>
      <c r="H162" s="10">
        <v>-250.09890999999999</v>
      </c>
      <c r="I162" s="10">
        <v>-152.063625</v>
      </c>
      <c r="J162" s="10">
        <v>-1689.0322200000001</v>
      </c>
      <c r="K162" s="10">
        <v>-384.03720600000003</v>
      </c>
      <c r="L162" s="10">
        <v>-23.782699999999998</v>
      </c>
      <c r="M162" s="10">
        <v>-8115.9547199999997</v>
      </c>
      <c r="N162" s="10">
        <v>0</v>
      </c>
      <c r="O162" s="10">
        <v>0</v>
      </c>
      <c r="P162" s="10">
        <v>-1093.44</v>
      </c>
      <c r="Q162" s="10">
        <v>0</v>
      </c>
      <c r="R162" s="10">
        <v>0</v>
      </c>
      <c r="S162" s="10">
        <v>0</v>
      </c>
      <c r="T162" s="10">
        <v>-3607.7688320000002</v>
      </c>
      <c r="U162" s="10">
        <v>-16.738199999999999</v>
      </c>
      <c r="V162" s="10">
        <v>0</v>
      </c>
      <c r="W162" s="10">
        <v>0</v>
      </c>
      <c r="X162" s="10">
        <v>-2494.4620799999998</v>
      </c>
      <c r="Y162" s="10">
        <v>0</v>
      </c>
      <c r="Z162" s="10">
        <v>7547.3158822400001</v>
      </c>
      <c r="AA162" s="10">
        <v>0</v>
      </c>
      <c r="AB162" s="10">
        <v>0</v>
      </c>
      <c r="AC162" s="10">
        <v>-1489.1500593599999</v>
      </c>
      <c r="AD162" s="10">
        <v>-750.01823036999997</v>
      </c>
      <c r="AE162" s="10">
        <v>-1306.89245783</v>
      </c>
      <c r="AF162" s="10">
        <v>-951.94081224000001</v>
      </c>
      <c r="AG162" s="10">
        <v>-980.47999500000003</v>
      </c>
      <c r="AH162" s="10">
        <v>-1186.6341738000001</v>
      </c>
      <c r="AI162" s="10">
        <v>-716.31420000000003</v>
      </c>
      <c r="AJ162" s="10">
        <v>-876.9850801</v>
      </c>
      <c r="AK162" s="10">
        <v>-27.5659344</v>
      </c>
      <c r="AL162" s="10">
        <v>-3112.8132791799999</v>
      </c>
      <c r="AM162" s="10">
        <v>11408.18727208</v>
      </c>
      <c r="AN162" s="10">
        <v>0</v>
      </c>
      <c r="AO162" s="10">
        <v>-975.17726911</v>
      </c>
      <c r="AP162" s="10">
        <v>-791.37870614999997</v>
      </c>
      <c r="AQ162" s="10">
        <v>-1121.76505567</v>
      </c>
      <c r="AR162" s="10">
        <v>-1130.0105692899999</v>
      </c>
      <c r="AS162" s="10">
        <v>-2304.5236159199999</v>
      </c>
      <c r="AT162" s="10">
        <v>0</v>
      </c>
      <c r="AU162" s="10">
        <f t="shared" si="19"/>
        <v>-20319.201057099999</v>
      </c>
    </row>
    <row r="163" spans="1:47" x14ac:dyDescent="0.2">
      <c r="A163" s="15" t="s">
        <v>209</v>
      </c>
      <c r="B163" s="10">
        <v>-201.43</v>
      </c>
      <c r="C163" s="10">
        <v>0</v>
      </c>
      <c r="D163" s="10">
        <v>0</v>
      </c>
      <c r="E163" s="10">
        <v>-72.642083999999997</v>
      </c>
      <c r="F163" s="10">
        <v>0</v>
      </c>
      <c r="G163" s="10">
        <v>-33.61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-3250</v>
      </c>
      <c r="N163" s="10">
        <v>0</v>
      </c>
      <c r="O163" s="10">
        <v>0</v>
      </c>
      <c r="P163" s="10">
        <v>0</v>
      </c>
      <c r="Q163" s="10">
        <v>-374.2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-379.4</v>
      </c>
      <c r="X163" s="10">
        <v>0</v>
      </c>
      <c r="Y163" s="10">
        <v>-392.519248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-3806.6340496799999</v>
      </c>
      <c r="AG163" s="10">
        <v>0</v>
      </c>
      <c r="AH163" s="10">
        <v>0</v>
      </c>
      <c r="AI163" s="10">
        <v>0</v>
      </c>
      <c r="AJ163" s="10">
        <v>-1495.8712441</v>
      </c>
      <c r="AK163" s="10">
        <v>0</v>
      </c>
      <c r="AL163" s="10">
        <v>0</v>
      </c>
      <c r="AM163" s="10">
        <v>-36679.5</v>
      </c>
      <c r="AN163" s="10">
        <v>0</v>
      </c>
      <c r="AO163" s="10">
        <v>0</v>
      </c>
      <c r="AP163" s="10">
        <v>-303.23721284999999</v>
      </c>
      <c r="AQ163" s="10">
        <v>0</v>
      </c>
      <c r="AR163" s="10">
        <v>-1319.8</v>
      </c>
      <c r="AS163" s="10">
        <v>0</v>
      </c>
      <c r="AT163" s="10">
        <v>0</v>
      </c>
      <c r="AU163" s="10">
        <f t="shared" si="19"/>
        <v>-48308.843838630004</v>
      </c>
    </row>
    <row r="164" spans="1:47" x14ac:dyDescent="0.2">
      <c r="A164" s="15" t="s">
        <v>210</v>
      </c>
      <c r="B164" s="10">
        <v>0</v>
      </c>
      <c r="C164" s="10">
        <v>-482.27</v>
      </c>
      <c r="D164" s="10">
        <v>0</v>
      </c>
      <c r="E164" s="10">
        <v>-1132.45</v>
      </c>
      <c r="F164" s="10">
        <v>0</v>
      </c>
      <c r="G164" s="10">
        <v>12</v>
      </c>
      <c r="H164" s="10">
        <v>-2019.15</v>
      </c>
      <c r="I164" s="10">
        <v>41.6</v>
      </c>
      <c r="J164" s="10">
        <v>-61.6</v>
      </c>
      <c r="K164" s="10">
        <v>-2009.75</v>
      </c>
      <c r="L164" s="10">
        <v>0</v>
      </c>
      <c r="M164" s="10">
        <v>-20024.75</v>
      </c>
      <c r="N164" s="10">
        <v>0</v>
      </c>
      <c r="O164" s="10">
        <v>0</v>
      </c>
      <c r="P164" s="10">
        <v>-500.69</v>
      </c>
      <c r="Q164" s="10">
        <v>0</v>
      </c>
      <c r="R164" s="10">
        <v>-1351.25</v>
      </c>
      <c r="S164" s="10">
        <v>0</v>
      </c>
      <c r="T164" s="10">
        <v>0</v>
      </c>
      <c r="U164" s="10">
        <v>-6245.5</v>
      </c>
      <c r="V164" s="10">
        <v>-29.75</v>
      </c>
      <c r="W164" s="10">
        <v>0</v>
      </c>
      <c r="X164" s="10">
        <v>-2442.75</v>
      </c>
      <c r="Y164" s="10">
        <v>4800</v>
      </c>
      <c r="Z164" s="10">
        <v>-41003.227620719998</v>
      </c>
      <c r="AA164" s="10">
        <v>0</v>
      </c>
      <c r="AB164" s="10">
        <v>0</v>
      </c>
      <c r="AC164" s="10">
        <v>0</v>
      </c>
      <c r="AD164" s="10">
        <v>-691.46</v>
      </c>
      <c r="AE164" s="10">
        <v>-1573.45</v>
      </c>
      <c r="AF164" s="10">
        <v>-121.25</v>
      </c>
      <c r="AG164" s="10">
        <v>-462.5</v>
      </c>
      <c r="AH164" s="10">
        <v>-2363.9499999999998</v>
      </c>
      <c r="AI164" s="10">
        <v>0</v>
      </c>
      <c r="AJ164" s="10">
        <v>0</v>
      </c>
      <c r="AK164" s="10">
        <v>-2592.4499999999998</v>
      </c>
      <c r="AL164" s="10">
        <v>-102.27</v>
      </c>
      <c r="AM164" s="10">
        <v>-40154.966494220003</v>
      </c>
      <c r="AN164" s="10">
        <v>0</v>
      </c>
      <c r="AO164" s="10">
        <v>0</v>
      </c>
      <c r="AP164" s="10">
        <v>0</v>
      </c>
      <c r="AQ164" s="10">
        <v>0</v>
      </c>
      <c r="AR164" s="10">
        <v>-1912.1</v>
      </c>
      <c r="AS164" s="10">
        <v>0</v>
      </c>
      <c r="AT164" s="10">
        <v>-616.28</v>
      </c>
      <c r="AU164" s="10">
        <f t="shared" si="19"/>
        <v>-123040.21411494</v>
      </c>
    </row>
    <row r="165" spans="1:47" x14ac:dyDescent="0.2">
      <c r="A165" s="15" t="s">
        <v>211</v>
      </c>
      <c r="B165" s="10">
        <v>-378.98</v>
      </c>
      <c r="C165" s="10">
        <v>-19.29</v>
      </c>
      <c r="D165" s="10">
        <v>-132.47999999999999</v>
      </c>
      <c r="E165" s="10">
        <v>-57.19</v>
      </c>
      <c r="F165" s="10">
        <v>-218.06988000000001</v>
      </c>
      <c r="G165" s="10">
        <v>-89.81</v>
      </c>
      <c r="H165" s="10">
        <v>-180.53</v>
      </c>
      <c r="I165" s="10">
        <v>-26.28</v>
      </c>
      <c r="J165" s="10">
        <v>-368.74</v>
      </c>
      <c r="K165" s="10">
        <v>-103.07</v>
      </c>
      <c r="L165" s="10">
        <v>-43.06</v>
      </c>
      <c r="M165" s="10">
        <v>-236.61943199999999</v>
      </c>
      <c r="N165" s="10">
        <v>0</v>
      </c>
      <c r="O165" s="10">
        <v>-299.78403500000002</v>
      </c>
      <c r="P165" s="10">
        <v>-141.083968</v>
      </c>
      <c r="Q165" s="10">
        <v>-277.58999999999997</v>
      </c>
      <c r="R165" s="10">
        <v>-188.71</v>
      </c>
      <c r="S165" s="10">
        <v>-59.47</v>
      </c>
      <c r="T165" s="10">
        <v>-44.97</v>
      </c>
      <c r="U165" s="10">
        <v>-249.63771499999999</v>
      </c>
      <c r="V165" s="10">
        <v>-9.19</v>
      </c>
      <c r="W165" s="10">
        <v>-34.46</v>
      </c>
      <c r="X165" s="10">
        <v>-30.43</v>
      </c>
      <c r="Y165" s="10">
        <v>-173.69</v>
      </c>
      <c r="Z165" s="10">
        <v>-152.71</v>
      </c>
      <c r="AA165" s="10">
        <v>0</v>
      </c>
      <c r="AB165" s="10">
        <v>-140.06</v>
      </c>
      <c r="AC165" s="10">
        <v>-278.04000000000002</v>
      </c>
      <c r="AD165" s="10">
        <v>-322.05</v>
      </c>
      <c r="AE165" s="10">
        <v>-251.82</v>
      </c>
      <c r="AF165" s="10">
        <v>-165.36</v>
      </c>
      <c r="AG165" s="10">
        <v>-134.72999999999999</v>
      </c>
      <c r="AH165" s="10">
        <v>-60.95</v>
      </c>
      <c r="AI165" s="10">
        <v>-43.01</v>
      </c>
      <c r="AJ165" s="10">
        <v>-135.80000000000001</v>
      </c>
      <c r="AK165" s="10">
        <v>-7.2</v>
      </c>
      <c r="AL165" s="10">
        <v>-374.91</v>
      </c>
      <c r="AM165" s="10">
        <v>-32.6</v>
      </c>
      <c r="AN165" s="10">
        <v>0</v>
      </c>
      <c r="AO165" s="10">
        <v>-12.9</v>
      </c>
      <c r="AP165" s="10">
        <v>-120.75</v>
      </c>
      <c r="AQ165" s="10">
        <v>-42.01</v>
      </c>
      <c r="AR165" s="10">
        <v>-29.37</v>
      </c>
      <c r="AS165" s="10">
        <v>-182.13184000000001</v>
      </c>
      <c r="AT165" s="10">
        <v>-93.9</v>
      </c>
      <c r="AU165" s="10">
        <f t="shared" si="19"/>
        <v>-5943.4368699999977</v>
      </c>
    </row>
    <row r="166" spans="1:47" x14ac:dyDescent="0.2">
      <c r="A166" s="15" t="s">
        <v>212</v>
      </c>
      <c r="B166" s="10">
        <v>0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0">
        <v>0</v>
      </c>
      <c r="AK166" s="10">
        <v>-3607.95</v>
      </c>
      <c r="AL166" s="10">
        <v>0</v>
      </c>
      <c r="AM166" s="10">
        <v>-0.01</v>
      </c>
      <c r="AN166" s="10">
        <v>0</v>
      </c>
      <c r="AO166" s="10">
        <v>0.01</v>
      </c>
      <c r="AP166" s="10">
        <v>0</v>
      </c>
      <c r="AQ166" s="10">
        <v>0</v>
      </c>
      <c r="AR166" s="10">
        <v>0</v>
      </c>
      <c r="AS166" s="10">
        <v>0</v>
      </c>
      <c r="AT166" s="10">
        <v>0</v>
      </c>
      <c r="AU166" s="10">
        <f t="shared" si="19"/>
        <v>-3607.95</v>
      </c>
    </row>
    <row r="167" spans="1:47" x14ac:dyDescent="0.2">
      <c r="A167" s="15" t="s">
        <v>213</v>
      </c>
      <c r="B167" s="10">
        <v>0</v>
      </c>
      <c r="C167" s="10">
        <v>0</v>
      </c>
      <c r="D167" s="10">
        <v>0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0">
        <v>0</v>
      </c>
      <c r="AM167" s="10">
        <v>-87772.800000000003</v>
      </c>
      <c r="AN167" s="10">
        <v>0</v>
      </c>
      <c r="AO167" s="10">
        <v>0</v>
      </c>
      <c r="AP167" s="10">
        <v>0</v>
      </c>
      <c r="AQ167" s="10">
        <v>0</v>
      </c>
      <c r="AR167" s="10">
        <v>0</v>
      </c>
      <c r="AS167" s="10">
        <v>0</v>
      </c>
      <c r="AT167" s="10">
        <v>0</v>
      </c>
      <c r="AU167" s="10">
        <f t="shared" si="19"/>
        <v>-87772.800000000003</v>
      </c>
    </row>
    <row r="168" spans="1:47" x14ac:dyDescent="0.2">
      <c r="A168" s="15" t="s">
        <v>214</v>
      </c>
      <c r="B168" s="10">
        <v>-24792.628700000001</v>
      </c>
      <c r="C168" s="10">
        <v>-25596.700499999999</v>
      </c>
      <c r="D168" s="10">
        <v>-29357.7994</v>
      </c>
      <c r="E168" s="10">
        <v>-28132.4827</v>
      </c>
      <c r="F168" s="10">
        <v>-28071.7196</v>
      </c>
      <c r="G168" s="10">
        <v>-31829.5353</v>
      </c>
      <c r="H168" s="10">
        <v>-31008.11765</v>
      </c>
      <c r="I168" s="10">
        <v>-31006.016250000001</v>
      </c>
      <c r="J168" s="10">
        <v>-31001.923449999998</v>
      </c>
      <c r="K168" s="10">
        <v>-32460.796050000001</v>
      </c>
      <c r="L168" s="10">
        <v>-32439.154200000001</v>
      </c>
      <c r="M168" s="10">
        <v>-54611.238299999997</v>
      </c>
      <c r="N168" s="10">
        <v>0</v>
      </c>
      <c r="O168" s="10">
        <v>-26687.453450000001</v>
      </c>
      <c r="P168" s="10">
        <v>-26654.84116</v>
      </c>
      <c r="Q168" s="10">
        <v>-32385.731954999999</v>
      </c>
      <c r="R168" s="10">
        <v>-32944.75</v>
      </c>
      <c r="S168" s="10">
        <v>-32593.26</v>
      </c>
      <c r="T168" s="10">
        <v>-37089.370000000003</v>
      </c>
      <c r="U168" s="10">
        <v>-34285.65</v>
      </c>
      <c r="V168" s="10">
        <v>-34285.65</v>
      </c>
      <c r="W168" s="10">
        <v>-34285.65</v>
      </c>
      <c r="X168" s="10">
        <v>-58713.465552000001</v>
      </c>
      <c r="Y168" s="10">
        <v>-33152.519999999997</v>
      </c>
      <c r="Z168" s="10">
        <v>-49942.308452500001</v>
      </c>
      <c r="AA168" s="10">
        <v>0</v>
      </c>
      <c r="AB168" s="10">
        <v>-34348.75</v>
      </c>
      <c r="AC168" s="10">
        <v>-34348.75</v>
      </c>
      <c r="AD168" s="10">
        <v>-34348.769999999997</v>
      </c>
      <c r="AE168" s="10">
        <v>-34348.769999999997</v>
      </c>
      <c r="AF168" s="10">
        <v>-35285.699999999997</v>
      </c>
      <c r="AG168" s="10">
        <v>-36285.440000000002</v>
      </c>
      <c r="AH168" s="10">
        <v>-28343.45</v>
      </c>
      <c r="AI168" s="10">
        <v>-29343.45</v>
      </c>
      <c r="AJ168" s="10">
        <v>-28886.81612675</v>
      </c>
      <c r="AK168" s="10">
        <v>-70742.692416000005</v>
      </c>
      <c r="AL168" s="10">
        <v>-50240.971060000003</v>
      </c>
      <c r="AM168" s="10">
        <v>-38073.93</v>
      </c>
      <c r="AN168" s="10">
        <v>0</v>
      </c>
      <c r="AO168" s="10">
        <v>-38257.06</v>
      </c>
      <c r="AP168" s="10">
        <v>-42676.008009969999</v>
      </c>
      <c r="AQ168" s="10">
        <v>-60622.130142599999</v>
      </c>
      <c r="AR168" s="10">
        <v>-47466.126707099997</v>
      </c>
      <c r="AS168" s="10">
        <v>-43649.5695204</v>
      </c>
      <c r="AT168" s="10">
        <v>-40675.1</v>
      </c>
      <c r="AU168" s="10">
        <f t="shared" si="19"/>
        <v>-1541272.24665232</v>
      </c>
    </row>
    <row r="169" spans="1:47" x14ac:dyDescent="0.2">
      <c r="A169" s="15" t="s">
        <v>215</v>
      </c>
      <c r="B169" s="10">
        <v>-800</v>
      </c>
      <c r="C169" s="10">
        <v>-800</v>
      </c>
      <c r="D169" s="10">
        <v>-800</v>
      </c>
      <c r="E169" s="10">
        <v>-800</v>
      </c>
      <c r="F169" s="10">
        <v>-800</v>
      </c>
      <c r="G169" s="10">
        <v>-800</v>
      </c>
      <c r="H169" s="10">
        <v>-800</v>
      </c>
      <c r="I169" s="10">
        <v>-800</v>
      </c>
      <c r="J169" s="10">
        <v>-800</v>
      </c>
      <c r="K169" s="10">
        <v>-6575</v>
      </c>
      <c r="L169" s="10">
        <v>-800</v>
      </c>
      <c r="M169" s="10">
        <v>-800</v>
      </c>
      <c r="N169" s="10">
        <v>0</v>
      </c>
      <c r="O169" s="10">
        <v>-800</v>
      </c>
      <c r="P169" s="10">
        <v>-800</v>
      </c>
      <c r="Q169" s="10">
        <v>-800</v>
      </c>
      <c r="R169" s="10">
        <v>-800</v>
      </c>
      <c r="S169" s="10">
        <v>-800</v>
      </c>
      <c r="T169" s="10">
        <v>-800</v>
      </c>
      <c r="U169" s="10">
        <v>-800</v>
      </c>
      <c r="V169" s="10">
        <v>-800</v>
      </c>
      <c r="W169" s="10">
        <v>-800</v>
      </c>
      <c r="X169" s="10">
        <v>-800</v>
      </c>
      <c r="Y169" s="10">
        <v>-800</v>
      </c>
      <c r="Z169" s="10">
        <v>-800</v>
      </c>
      <c r="AA169" s="10">
        <v>0</v>
      </c>
      <c r="AB169" s="10">
        <v>-800</v>
      </c>
      <c r="AC169" s="10">
        <v>-800</v>
      </c>
      <c r="AD169" s="10">
        <v>-800</v>
      </c>
      <c r="AE169" s="10">
        <v>-800</v>
      </c>
      <c r="AF169" s="10">
        <v>-800</v>
      </c>
      <c r="AG169" s="10">
        <v>-800</v>
      </c>
      <c r="AH169" s="10">
        <v>-800</v>
      </c>
      <c r="AI169" s="10">
        <v>-800</v>
      </c>
      <c r="AJ169" s="10">
        <v>-800</v>
      </c>
      <c r="AK169" s="10">
        <v>-800</v>
      </c>
      <c r="AL169" s="10">
        <v>-800</v>
      </c>
      <c r="AM169" s="10">
        <v>-800</v>
      </c>
      <c r="AN169" s="10">
        <v>0</v>
      </c>
      <c r="AO169" s="10">
        <v>-800</v>
      </c>
      <c r="AP169" s="10">
        <v>-800</v>
      </c>
      <c r="AQ169" s="10">
        <v>-800</v>
      </c>
      <c r="AR169" s="10">
        <v>-800</v>
      </c>
      <c r="AS169" s="10">
        <v>-800</v>
      </c>
      <c r="AT169" s="10">
        <v>-800</v>
      </c>
      <c r="AU169" s="10">
        <f t="shared" si="19"/>
        <v>-39375</v>
      </c>
    </row>
    <row r="170" spans="1:47" x14ac:dyDescent="0.2">
      <c r="A170" s="15" t="s">
        <v>216</v>
      </c>
      <c r="B170" s="10">
        <v>0</v>
      </c>
      <c r="C170" s="10">
        <v>0</v>
      </c>
      <c r="D170" s="10">
        <v>0</v>
      </c>
      <c r="E170" s="10">
        <v>0</v>
      </c>
      <c r="F170" s="10">
        <v>0</v>
      </c>
      <c r="G170" s="10">
        <v>-18424.12</v>
      </c>
      <c r="H170" s="10">
        <v>18410.95</v>
      </c>
      <c r="I170" s="10">
        <v>0</v>
      </c>
      <c r="J170" s="10">
        <v>0</v>
      </c>
      <c r="K170" s="10">
        <v>0</v>
      </c>
      <c r="L170" s="10">
        <v>-528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-2547.44</v>
      </c>
      <c r="S170" s="10">
        <v>-241.62</v>
      </c>
      <c r="T170" s="10">
        <v>0</v>
      </c>
      <c r="U170" s="10">
        <v>-167.69</v>
      </c>
      <c r="V170" s="10">
        <v>0</v>
      </c>
      <c r="W170" s="10">
        <v>-30.23</v>
      </c>
      <c r="X170" s="10">
        <v>0</v>
      </c>
      <c r="Y170" s="10">
        <v>-24.55</v>
      </c>
      <c r="Z170" s="10">
        <v>-131.09</v>
      </c>
      <c r="AA170" s="10">
        <v>0</v>
      </c>
      <c r="AB170" s="10">
        <v>-428</v>
      </c>
      <c r="AC170" s="10">
        <v>-318.95999999999998</v>
      </c>
      <c r="AD170" s="10">
        <v>0</v>
      </c>
      <c r="AE170" s="10">
        <v>0</v>
      </c>
      <c r="AF170" s="10">
        <v>0</v>
      </c>
      <c r="AG170" s="10">
        <v>-29.22</v>
      </c>
      <c r="AH170" s="10">
        <v>0</v>
      </c>
      <c r="AI170" s="10">
        <v>0</v>
      </c>
      <c r="AJ170" s="10">
        <v>0</v>
      </c>
      <c r="AK170" s="10">
        <v>-62.4</v>
      </c>
      <c r="AL170" s="10">
        <v>0</v>
      </c>
      <c r="AM170" s="10">
        <v>348.18</v>
      </c>
      <c r="AN170" s="10">
        <v>0</v>
      </c>
      <c r="AO170" s="10">
        <v>-804.48</v>
      </c>
      <c r="AP170" s="10">
        <v>645</v>
      </c>
      <c r="AQ170" s="10">
        <v>0</v>
      </c>
      <c r="AR170" s="10">
        <v>-715</v>
      </c>
      <c r="AS170" s="10">
        <v>-152.5</v>
      </c>
      <c r="AT170" s="10">
        <v>625</v>
      </c>
      <c r="AU170" s="10">
        <f t="shared" si="19"/>
        <v>-4576.1699999999983</v>
      </c>
    </row>
    <row r="171" spans="1:47" x14ac:dyDescent="0.2">
      <c r="A171" s="15" t="s">
        <v>217</v>
      </c>
      <c r="B171" s="10">
        <v>905.80930000000001</v>
      </c>
      <c r="C171" s="10">
        <v>0</v>
      </c>
      <c r="D171" s="10">
        <v>0</v>
      </c>
      <c r="E171" s="10">
        <v>0</v>
      </c>
      <c r="F171" s="10">
        <v>0</v>
      </c>
      <c r="G171" s="10">
        <v>0</v>
      </c>
      <c r="H171" s="10">
        <v>0</v>
      </c>
      <c r="I171" s="10">
        <v>815.28177500000004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10">
        <v>0</v>
      </c>
      <c r="AQ171" s="10">
        <v>0</v>
      </c>
      <c r="AR171" s="10">
        <v>0</v>
      </c>
      <c r="AS171" s="10">
        <v>0</v>
      </c>
      <c r="AT171" s="10">
        <v>0</v>
      </c>
      <c r="AU171" s="10">
        <f t="shared" si="19"/>
        <v>1721.091075</v>
      </c>
    </row>
    <row r="172" spans="1:47" x14ac:dyDescent="0.2">
      <c r="A172" s="15" t="s">
        <v>218</v>
      </c>
      <c r="B172" s="10">
        <v>-10104.799999999999</v>
      </c>
      <c r="C172" s="10">
        <v>-10990.37</v>
      </c>
      <c r="D172" s="10">
        <v>-16212.5</v>
      </c>
      <c r="E172" s="10">
        <v>-8849.6</v>
      </c>
      <c r="F172" s="10">
        <v>-8546.4</v>
      </c>
      <c r="G172" s="10">
        <v>-19433.599999999999</v>
      </c>
      <c r="H172" s="10">
        <v>-10480.290000000001</v>
      </c>
      <c r="I172" s="10">
        <v>-9800</v>
      </c>
      <c r="J172" s="10">
        <v>-26922.080000000002</v>
      </c>
      <c r="K172" s="10">
        <v>-10578.33</v>
      </c>
      <c r="L172" s="10">
        <v>-9159.4500000000007</v>
      </c>
      <c r="M172" s="10">
        <v>-34071.29</v>
      </c>
      <c r="N172" s="10">
        <v>0</v>
      </c>
      <c r="O172" s="10">
        <v>-9849.58</v>
      </c>
      <c r="P172" s="10">
        <v>-9849.58</v>
      </c>
      <c r="Q172" s="10">
        <v>-44849.58</v>
      </c>
      <c r="R172" s="10">
        <v>-9849.58</v>
      </c>
      <c r="S172" s="10">
        <v>-9849.58</v>
      </c>
      <c r="T172" s="10">
        <v>-36235.910000000003</v>
      </c>
      <c r="U172" s="10">
        <v>-9849.58</v>
      </c>
      <c r="V172" s="10">
        <v>-9849.58</v>
      </c>
      <c r="W172" s="10">
        <v>-19949.580000000002</v>
      </c>
      <c r="X172" s="10">
        <v>-17885.689999999999</v>
      </c>
      <c r="Y172" s="10">
        <v>-10549.9</v>
      </c>
      <c r="Z172" s="10">
        <v>-41181.879999999997</v>
      </c>
      <c r="AA172" s="10">
        <v>0</v>
      </c>
      <c r="AB172" s="10">
        <v>-9940</v>
      </c>
      <c r="AC172" s="10">
        <v>-9999.6</v>
      </c>
      <c r="AD172" s="10">
        <v>-29949.82</v>
      </c>
      <c r="AE172" s="10">
        <v>-10000</v>
      </c>
      <c r="AF172" s="10">
        <v>-9800</v>
      </c>
      <c r="AG172" s="10">
        <v>-33264.81</v>
      </c>
      <c r="AH172" s="10">
        <v>-9905.2999999999993</v>
      </c>
      <c r="AI172" s="10">
        <v>-10000</v>
      </c>
      <c r="AJ172" s="10">
        <v>-23818.6</v>
      </c>
      <c r="AK172" s="10">
        <v>-11061.6</v>
      </c>
      <c r="AL172" s="10">
        <v>-10195.98</v>
      </c>
      <c r="AM172" s="10">
        <v>-17278.75</v>
      </c>
      <c r="AN172" s="10">
        <v>0</v>
      </c>
      <c r="AO172" s="10">
        <v>-9072.8700000000008</v>
      </c>
      <c r="AP172" s="10">
        <v>-9345.2999999999993</v>
      </c>
      <c r="AQ172" s="10">
        <v>-23692.27</v>
      </c>
      <c r="AR172" s="10">
        <v>-8000</v>
      </c>
      <c r="AS172" s="10">
        <v>-9194.2199999999993</v>
      </c>
      <c r="AT172" s="10">
        <v>-22957.32</v>
      </c>
      <c r="AU172" s="10">
        <f t="shared" si="19"/>
        <v>-672375.16999999993</v>
      </c>
    </row>
    <row r="173" spans="1:47" x14ac:dyDescent="0.2">
      <c r="A173" s="15" t="s">
        <v>219</v>
      </c>
      <c r="B173" s="10">
        <v>-1926.31</v>
      </c>
      <c r="C173" s="10">
        <v>-1585.57</v>
      </c>
      <c r="D173" s="10">
        <v>-1140</v>
      </c>
      <c r="E173" s="10">
        <v>-529.42999999999995</v>
      </c>
      <c r="F173" s="10">
        <v>-186.6</v>
      </c>
      <c r="G173" s="10">
        <v>-1039.6400000000001</v>
      </c>
      <c r="H173" s="10">
        <v>-829.71</v>
      </c>
      <c r="I173" s="10">
        <v>-1497.49</v>
      </c>
      <c r="J173" s="10">
        <v>-1091.8699999999999</v>
      </c>
      <c r="K173" s="10">
        <v>-1111.48</v>
      </c>
      <c r="L173" s="10">
        <v>-977.92</v>
      </c>
      <c r="M173" s="10">
        <v>-572.13</v>
      </c>
      <c r="N173" s="10">
        <v>0</v>
      </c>
      <c r="O173" s="10">
        <v>-308.11</v>
      </c>
      <c r="P173" s="10">
        <v>-575.53</v>
      </c>
      <c r="Q173" s="10">
        <v>-1467.74</v>
      </c>
      <c r="R173" s="10">
        <v>-435.22</v>
      </c>
      <c r="S173" s="10">
        <v>-340.16</v>
      </c>
      <c r="T173" s="10">
        <v>-923.62</v>
      </c>
      <c r="U173" s="10">
        <v>-457.81</v>
      </c>
      <c r="V173" s="10">
        <v>-869.67</v>
      </c>
      <c r="W173" s="10">
        <v>-1328.85</v>
      </c>
      <c r="X173" s="10">
        <v>-450.65</v>
      </c>
      <c r="Y173" s="10">
        <v>-1315.65</v>
      </c>
      <c r="Z173" s="10">
        <v>-698.87</v>
      </c>
      <c r="AA173" s="10">
        <v>0</v>
      </c>
      <c r="AB173" s="10">
        <v>-1208.76</v>
      </c>
      <c r="AC173" s="10">
        <v>-1166.8</v>
      </c>
      <c r="AD173" s="10">
        <v>-1036.6300000000001</v>
      </c>
      <c r="AE173" s="10">
        <v>-1694.29</v>
      </c>
      <c r="AF173" s="10">
        <v>-1023.12</v>
      </c>
      <c r="AG173" s="10">
        <v>-1838.22</v>
      </c>
      <c r="AH173" s="10">
        <v>-868.83</v>
      </c>
      <c r="AI173" s="10">
        <v>-1431.19</v>
      </c>
      <c r="AJ173" s="10">
        <v>-1813.88</v>
      </c>
      <c r="AK173" s="10">
        <v>-851.34</v>
      </c>
      <c r="AL173" s="10">
        <v>-1939.61</v>
      </c>
      <c r="AM173" s="10">
        <v>-1555.21</v>
      </c>
      <c r="AN173" s="10">
        <v>0</v>
      </c>
      <c r="AO173" s="10">
        <v>-1141.71</v>
      </c>
      <c r="AP173" s="10">
        <v>-1624.34</v>
      </c>
      <c r="AQ173" s="10">
        <v>-2383.62</v>
      </c>
      <c r="AR173" s="10">
        <v>-1170.76</v>
      </c>
      <c r="AS173" s="10">
        <v>-1818.78</v>
      </c>
      <c r="AT173" s="10">
        <v>-2380.86</v>
      </c>
      <c r="AU173" s="10">
        <f t="shared" si="19"/>
        <v>-48607.979999999996</v>
      </c>
    </row>
    <row r="174" spans="1:47" x14ac:dyDescent="0.2">
      <c r="A174" s="15" t="s">
        <v>220</v>
      </c>
      <c r="B174" s="10">
        <v>0</v>
      </c>
      <c r="C174" s="10">
        <v>0</v>
      </c>
      <c r="D174" s="10">
        <v>0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-400</v>
      </c>
      <c r="AA174" s="10">
        <v>0</v>
      </c>
      <c r="AB174" s="10">
        <v>0</v>
      </c>
      <c r="AC174" s="10">
        <v>0</v>
      </c>
      <c r="AD174" s="10">
        <v>0</v>
      </c>
      <c r="AE174" s="10">
        <v>-600</v>
      </c>
      <c r="AF174" s="10">
        <v>0</v>
      </c>
      <c r="AG174" s="10">
        <v>0</v>
      </c>
      <c r="AH174" s="10">
        <v>-600</v>
      </c>
      <c r="AI174" s="10">
        <v>0</v>
      </c>
      <c r="AJ174" s="10">
        <v>0</v>
      </c>
      <c r="AK174" s="10">
        <v>0</v>
      </c>
      <c r="AL174" s="10">
        <v>0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0">
        <v>0</v>
      </c>
      <c r="AT174" s="10">
        <v>0</v>
      </c>
      <c r="AU174" s="10">
        <f t="shared" si="19"/>
        <v>-1600</v>
      </c>
    </row>
    <row r="175" spans="1:47" x14ac:dyDescent="0.2">
      <c r="A175" s="15" t="s">
        <v>221</v>
      </c>
      <c r="B175" s="10">
        <v>-1500</v>
      </c>
      <c r="C175" s="10">
        <v>-25500</v>
      </c>
      <c r="D175" s="10">
        <v>-3503.65</v>
      </c>
      <c r="E175" s="10">
        <v>0</v>
      </c>
      <c r="F175" s="10">
        <v>0</v>
      </c>
      <c r="G175" s="10">
        <v>30503.65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0">
        <v>0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0">
        <v>0</v>
      </c>
      <c r="AT175" s="10">
        <v>0</v>
      </c>
      <c r="AU175" s="10">
        <f t="shared" si="19"/>
        <v>0</v>
      </c>
    </row>
    <row r="176" spans="1:47" x14ac:dyDescent="0.2">
      <c r="A176" s="15" t="s">
        <v>222</v>
      </c>
      <c r="B176" s="10">
        <v>0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-278.88</v>
      </c>
      <c r="AH176" s="10">
        <v>0</v>
      </c>
      <c r="AI176" s="10">
        <v>0</v>
      </c>
      <c r="AJ176" s="10">
        <v>0</v>
      </c>
      <c r="AK176" s="10">
        <v>0</v>
      </c>
      <c r="AL176" s="10">
        <v>-10</v>
      </c>
      <c r="AM176" s="10">
        <v>288.88</v>
      </c>
      <c r="AN176" s="10">
        <v>0</v>
      </c>
      <c r="AO176" s="10">
        <v>0</v>
      </c>
      <c r="AP176" s="10">
        <v>0</v>
      </c>
      <c r="AQ176" s="10">
        <v>0</v>
      </c>
      <c r="AR176" s="10">
        <v>0</v>
      </c>
      <c r="AS176" s="10">
        <v>0</v>
      </c>
      <c r="AT176" s="10">
        <v>0</v>
      </c>
      <c r="AU176" s="10">
        <f t="shared" si="19"/>
        <v>0</v>
      </c>
    </row>
    <row r="177" spans="1:47" x14ac:dyDescent="0.2">
      <c r="A177" s="15" t="s">
        <v>223</v>
      </c>
      <c r="B177" s="10">
        <v>-2853.4001859999998</v>
      </c>
      <c r="C177" s="10">
        <v>-3477.5447979999999</v>
      </c>
      <c r="D177" s="10">
        <v>-3545.564961</v>
      </c>
      <c r="E177" s="10">
        <v>-3761.3188300000002</v>
      </c>
      <c r="F177" s="10">
        <v>-2997.859962</v>
      </c>
      <c r="G177" s="10">
        <v>-3282.6213779999998</v>
      </c>
      <c r="H177" s="10">
        <v>-3060.9116330000002</v>
      </c>
      <c r="I177" s="10">
        <v>-2719.6824230000002</v>
      </c>
      <c r="J177" s="10">
        <v>-2545.645955</v>
      </c>
      <c r="K177" s="10">
        <v>-2620.3728259999998</v>
      </c>
      <c r="L177" s="10">
        <v>-2218.72136</v>
      </c>
      <c r="M177" s="10">
        <v>-3033.384818</v>
      </c>
      <c r="N177" s="10">
        <v>0</v>
      </c>
      <c r="O177" s="10">
        <v>-2315.980611</v>
      </c>
      <c r="P177" s="10">
        <v>-2597.0890800000002</v>
      </c>
      <c r="Q177" s="10">
        <v>-2519.7863900000002</v>
      </c>
      <c r="R177" s="10">
        <v>-2996.57</v>
      </c>
      <c r="S177" s="10">
        <v>-3398.7078649999999</v>
      </c>
      <c r="T177" s="10">
        <v>-2910.01</v>
      </c>
      <c r="U177" s="10">
        <v>-2351.8426399999998</v>
      </c>
      <c r="V177" s="10">
        <v>-2518.88247</v>
      </c>
      <c r="W177" s="10">
        <v>-2291.2532160000001</v>
      </c>
      <c r="X177" s="10">
        <v>-2412.9683349799998</v>
      </c>
      <c r="Y177" s="10">
        <v>-3143.74125</v>
      </c>
      <c r="Z177" s="10">
        <v>-2661.984046305</v>
      </c>
      <c r="AA177" s="10">
        <v>0</v>
      </c>
      <c r="AB177" s="10">
        <v>-2968.82810647</v>
      </c>
      <c r="AC177" s="10">
        <v>-3013.42373215</v>
      </c>
      <c r="AD177" s="10">
        <v>-2851.0423854800001</v>
      </c>
      <c r="AE177" s="10">
        <v>-2794.7690473399998</v>
      </c>
      <c r="AF177" s="10">
        <v>-3032.5496518800001</v>
      </c>
      <c r="AG177" s="10">
        <v>-3088.6785611400001</v>
      </c>
      <c r="AH177" s="10">
        <v>-2353.2924718300001</v>
      </c>
      <c r="AI177" s="10">
        <v>-3085.4168797399998</v>
      </c>
      <c r="AJ177" s="10">
        <v>-2785.0161448399999</v>
      </c>
      <c r="AK177" s="10">
        <v>-2820.64840409</v>
      </c>
      <c r="AL177" s="10">
        <v>-3025.6578030999999</v>
      </c>
      <c r="AM177" s="10">
        <v>-2347.8345780479999</v>
      </c>
      <c r="AN177" s="10">
        <v>0</v>
      </c>
      <c r="AO177" s="10">
        <v>-2783.1539050900001</v>
      </c>
      <c r="AP177" s="10">
        <v>-3061.1263580700002</v>
      </c>
      <c r="AQ177" s="10">
        <v>-2776.0392346799999</v>
      </c>
      <c r="AR177" s="10">
        <v>-3493.1710823600001</v>
      </c>
      <c r="AS177" s="10">
        <v>-2780.2964418800002</v>
      </c>
      <c r="AT177" s="10">
        <v>-2896.1998342400002</v>
      </c>
      <c r="AU177" s="10">
        <f t="shared" ref="AU177:AU208" si="20">SUM(B177:AT177)</f>
        <v>-120192.98965571301</v>
      </c>
    </row>
    <row r="178" spans="1:47" x14ac:dyDescent="0.2">
      <c r="A178" s="15" t="s">
        <v>224</v>
      </c>
      <c r="B178" s="10">
        <v>-297.47000000000003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35.450000000000003</v>
      </c>
      <c r="AJ178" s="10">
        <v>0</v>
      </c>
      <c r="AK178" s="10">
        <v>0</v>
      </c>
      <c r="AL178" s="10">
        <v>0</v>
      </c>
      <c r="AM178" s="10">
        <v>0</v>
      </c>
      <c r="AN178" s="10">
        <v>0</v>
      </c>
      <c r="AO178" s="10">
        <v>0</v>
      </c>
      <c r="AP178" s="10">
        <v>0</v>
      </c>
      <c r="AQ178" s="10">
        <v>0</v>
      </c>
      <c r="AR178" s="10">
        <v>0</v>
      </c>
      <c r="AS178" s="10">
        <v>0</v>
      </c>
      <c r="AT178" s="10">
        <v>0</v>
      </c>
      <c r="AU178" s="10">
        <f t="shared" si="20"/>
        <v>-262.02000000000004</v>
      </c>
    </row>
    <row r="179" spans="1:47" x14ac:dyDescent="0.2">
      <c r="A179" s="15" t="s">
        <v>225</v>
      </c>
      <c r="B179" s="10">
        <v>-54304.41</v>
      </c>
      <c r="C179" s="10">
        <v>-54304.2</v>
      </c>
      <c r="D179" s="10">
        <v>-54304.23</v>
      </c>
      <c r="E179" s="10">
        <v>-22981.52</v>
      </c>
      <c r="F179" s="10">
        <v>-22500</v>
      </c>
      <c r="G179" s="10">
        <v>-30000</v>
      </c>
      <c r="H179" s="10">
        <v>-40599.29</v>
      </c>
      <c r="I179" s="10">
        <v>-22500</v>
      </c>
      <c r="J179" s="10">
        <v>-43919.775000000001</v>
      </c>
      <c r="K179" s="10">
        <v>-50073.25</v>
      </c>
      <c r="L179" s="10">
        <v>-51700</v>
      </c>
      <c r="M179" s="10">
        <v>-56689.64</v>
      </c>
      <c r="N179" s="10">
        <v>0</v>
      </c>
      <c r="O179" s="10">
        <v>-60900</v>
      </c>
      <c r="P179" s="10">
        <v>-60900</v>
      </c>
      <c r="Q179" s="10">
        <v>-65286.38</v>
      </c>
      <c r="R179" s="10">
        <v>-61442.9</v>
      </c>
      <c r="S179" s="10">
        <v>-42000</v>
      </c>
      <c r="T179" s="10">
        <v>-30000</v>
      </c>
      <c r="U179" s="10">
        <v>-30573.15</v>
      </c>
      <c r="V179" s="10">
        <v>-30000</v>
      </c>
      <c r="W179" s="10">
        <v>-55200</v>
      </c>
      <c r="X179" s="10">
        <v>-55793.5</v>
      </c>
      <c r="Y179" s="10">
        <v>-55200</v>
      </c>
      <c r="Z179" s="10">
        <v>-66156.850000000006</v>
      </c>
      <c r="AA179" s="10">
        <v>0</v>
      </c>
      <c r="AB179" s="10">
        <v>-75700</v>
      </c>
      <c r="AC179" s="10">
        <v>-75700</v>
      </c>
      <c r="AD179" s="10">
        <v>-75700</v>
      </c>
      <c r="AE179" s="10">
        <v>-76337.350000000006</v>
      </c>
      <c r="AF179" s="10">
        <v>-78700</v>
      </c>
      <c r="AG179" s="10">
        <v>-65600</v>
      </c>
      <c r="AH179" s="10">
        <v>-66273.350000000006</v>
      </c>
      <c r="AI179" s="10">
        <v>-65580</v>
      </c>
      <c r="AJ179" s="10">
        <v>-73380</v>
      </c>
      <c r="AK179" s="10">
        <v>-74077.350000000006</v>
      </c>
      <c r="AL179" s="10">
        <v>-74285</v>
      </c>
      <c r="AM179" s="10">
        <v>-33371.949999999997</v>
      </c>
      <c r="AN179" s="10">
        <v>0</v>
      </c>
      <c r="AO179" s="10">
        <v>-65600</v>
      </c>
      <c r="AP179" s="10">
        <v>-65600</v>
      </c>
      <c r="AQ179" s="10">
        <v>-69854</v>
      </c>
      <c r="AR179" s="10">
        <v>-30584.9</v>
      </c>
      <c r="AS179" s="10">
        <v>-645</v>
      </c>
      <c r="AT179" s="10">
        <v>-50920</v>
      </c>
      <c r="AU179" s="10">
        <f t="shared" si="20"/>
        <v>-2235237.9950000006</v>
      </c>
    </row>
    <row r="180" spans="1:47" x14ac:dyDescent="0.2">
      <c r="A180" s="15" t="s">
        <v>226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-3000</v>
      </c>
      <c r="AE180" s="10">
        <v>0</v>
      </c>
      <c r="AF180" s="10">
        <v>-5009.16</v>
      </c>
      <c r="AG180" s="10">
        <v>-82.11</v>
      </c>
      <c r="AH180" s="10">
        <v>-790.89</v>
      </c>
      <c r="AI180" s="10">
        <v>-2909.01</v>
      </c>
      <c r="AJ180" s="10">
        <v>-82.11</v>
      </c>
      <c r="AK180" s="10">
        <v>-7720.65</v>
      </c>
      <c r="AL180" s="10">
        <v>-2082.11</v>
      </c>
      <c r="AM180" s="10">
        <v>-574.85</v>
      </c>
      <c r="AN180" s="10">
        <v>0</v>
      </c>
      <c r="AO180" s="10">
        <v>-84.85</v>
      </c>
      <c r="AP180" s="10">
        <v>-76.64</v>
      </c>
      <c r="AQ180" s="10">
        <v>-291.08999999999997</v>
      </c>
      <c r="AR180" s="10">
        <v>-82.11</v>
      </c>
      <c r="AS180" s="10">
        <v>-4584.7700000000004</v>
      </c>
      <c r="AT180" s="10">
        <v>-571.89</v>
      </c>
      <c r="AU180" s="10">
        <f t="shared" si="20"/>
        <v>-27942.239999999998</v>
      </c>
    </row>
    <row r="181" spans="1:47" x14ac:dyDescent="0.2">
      <c r="A181" s="15" t="s">
        <v>227</v>
      </c>
      <c r="B181" s="10">
        <v>-1845.72</v>
      </c>
      <c r="C181" s="10">
        <v>-6136.09</v>
      </c>
      <c r="D181" s="10">
        <v>-536.01</v>
      </c>
      <c r="E181" s="10">
        <v>-308.77</v>
      </c>
      <c r="F181" s="10">
        <v>-235</v>
      </c>
      <c r="G181" s="10">
        <v>-435</v>
      </c>
      <c r="H181" s="10">
        <v>-470</v>
      </c>
      <c r="I181" s="10">
        <v>-529.49</v>
      </c>
      <c r="J181" s="10">
        <v>-1270</v>
      </c>
      <c r="K181" s="10">
        <v>-518.94000000000005</v>
      </c>
      <c r="L181" s="10">
        <v>-330.05</v>
      </c>
      <c r="M181" s="10">
        <v>-435</v>
      </c>
      <c r="N181" s="10">
        <v>0</v>
      </c>
      <c r="O181" s="10">
        <v>-353.08</v>
      </c>
      <c r="P181" s="10">
        <v>-255</v>
      </c>
      <c r="Q181" s="10">
        <v>-1704.58</v>
      </c>
      <c r="R181" s="10">
        <v>-1140.3699999999999</v>
      </c>
      <c r="S181" s="10">
        <v>-978.88</v>
      </c>
      <c r="T181" s="10">
        <v>-898.88</v>
      </c>
      <c r="U181" s="10">
        <v>-1238.57</v>
      </c>
      <c r="V181" s="10">
        <v>-1768.11</v>
      </c>
      <c r="W181" s="10">
        <v>-2786.6</v>
      </c>
      <c r="X181" s="10">
        <v>-3694.53</v>
      </c>
      <c r="Y181" s="10">
        <v>-43703.49</v>
      </c>
      <c r="Z181" s="10">
        <v>-4963.8599999999997</v>
      </c>
      <c r="AA181" s="10">
        <v>0</v>
      </c>
      <c r="AB181" s="10">
        <v>-528.88</v>
      </c>
      <c r="AC181" s="10">
        <v>-1994.58</v>
      </c>
      <c r="AD181" s="10">
        <v>-1173.9100000000001</v>
      </c>
      <c r="AE181" s="10">
        <v>-3055.05</v>
      </c>
      <c r="AF181" s="10">
        <v>-9560.26</v>
      </c>
      <c r="AG181" s="10">
        <v>-757.21</v>
      </c>
      <c r="AH181" s="10">
        <v>-1047.81</v>
      </c>
      <c r="AI181" s="10">
        <v>-2250.39</v>
      </c>
      <c r="AJ181" s="10">
        <v>-778.21</v>
      </c>
      <c r="AK181" s="10">
        <v>-6632.7028</v>
      </c>
      <c r="AL181" s="10">
        <v>-46789.67</v>
      </c>
      <c r="AM181" s="10">
        <v>-2569.61</v>
      </c>
      <c r="AN181" s="10">
        <v>0</v>
      </c>
      <c r="AO181" s="10">
        <v>-829.83</v>
      </c>
      <c r="AP181" s="10">
        <v>-1014.75</v>
      </c>
      <c r="AQ181" s="10">
        <v>-2979.16</v>
      </c>
      <c r="AR181" s="10">
        <v>-2523.0023999999999</v>
      </c>
      <c r="AS181" s="10">
        <v>-3366.84</v>
      </c>
      <c r="AT181" s="10">
        <v>-1020.35</v>
      </c>
      <c r="AU181" s="10">
        <f t="shared" si="20"/>
        <v>-165408.2352</v>
      </c>
    </row>
    <row r="182" spans="1:47" x14ac:dyDescent="0.2">
      <c r="A182" s="15" t="s">
        <v>228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-7200</v>
      </c>
      <c r="I182" s="10">
        <v>-2400</v>
      </c>
      <c r="J182" s="10">
        <v>-2400</v>
      </c>
      <c r="K182" s="10">
        <v>-2400</v>
      </c>
      <c r="L182" s="10">
        <v>-2400</v>
      </c>
      <c r="M182" s="10">
        <v>-2400</v>
      </c>
      <c r="N182" s="10">
        <v>0</v>
      </c>
      <c r="O182" s="10">
        <v>-2400</v>
      </c>
      <c r="P182" s="10">
        <v>-2400</v>
      </c>
      <c r="Q182" s="10">
        <v>-2400</v>
      </c>
      <c r="R182" s="10">
        <v>-2400</v>
      </c>
      <c r="S182" s="10">
        <v>-2400</v>
      </c>
      <c r="T182" s="10">
        <v>-2400</v>
      </c>
      <c r="U182" s="10">
        <v>-2400</v>
      </c>
      <c r="V182" s="10">
        <v>-2400</v>
      </c>
      <c r="W182" s="10">
        <v>-2400</v>
      </c>
      <c r="X182" s="10">
        <v>-2400</v>
      </c>
      <c r="Y182" s="10">
        <v>-2400</v>
      </c>
      <c r="Z182" s="10">
        <v>-2400</v>
      </c>
      <c r="AA182" s="10">
        <v>0</v>
      </c>
      <c r="AB182" s="10">
        <v>-2400</v>
      </c>
      <c r="AC182" s="10">
        <v>-2400</v>
      </c>
      <c r="AD182" s="10">
        <v>-2400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0">
        <v>63888</v>
      </c>
      <c r="AK182" s="10">
        <v>0</v>
      </c>
      <c r="AL182" s="10">
        <v>0</v>
      </c>
      <c r="AM182" s="10">
        <v>-56688</v>
      </c>
      <c r="AN182" s="10">
        <v>0</v>
      </c>
      <c r="AO182" s="10">
        <v>0</v>
      </c>
      <c r="AP182" s="10">
        <v>0</v>
      </c>
      <c r="AQ182" s="10">
        <v>0</v>
      </c>
      <c r="AR182" s="10">
        <v>0</v>
      </c>
      <c r="AS182" s="10">
        <v>0</v>
      </c>
      <c r="AT182" s="10">
        <v>0</v>
      </c>
      <c r="AU182" s="10">
        <f t="shared" si="20"/>
        <v>-48000</v>
      </c>
    </row>
    <row r="183" spans="1:47" x14ac:dyDescent="0.2">
      <c r="A183" s="15" t="s">
        <v>229</v>
      </c>
      <c r="B183" s="10">
        <v>0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-1305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-1698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0">
        <v>0</v>
      </c>
      <c r="AM183" s="10">
        <v>753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0">
        <v>0</v>
      </c>
      <c r="AT183" s="10">
        <v>0</v>
      </c>
      <c r="AU183" s="10">
        <f t="shared" si="20"/>
        <v>-2250</v>
      </c>
    </row>
    <row r="184" spans="1:47" x14ac:dyDescent="0.2">
      <c r="A184" s="15" t="s">
        <v>230</v>
      </c>
      <c r="B184" s="10">
        <v>0</v>
      </c>
      <c r="C184" s="10">
        <v>0</v>
      </c>
      <c r="D184" s="10">
        <v>0</v>
      </c>
      <c r="E184" s="10">
        <v>-478.15</v>
      </c>
      <c r="F184" s="10">
        <v>0</v>
      </c>
      <c r="G184" s="10">
        <v>1527.39</v>
      </c>
      <c r="H184" s="10">
        <v>-4971.7299999999996</v>
      </c>
      <c r="I184" s="10">
        <v>2982.69</v>
      </c>
      <c r="J184" s="10">
        <v>0</v>
      </c>
      <c r="K184" s="10">
        <v>-514.54999999999995</v>
      </c>
      <c r="L184" s="10">
        <v>0</v>
      </c>
      <c r="M184" s="10">
        <v>-531.04999999999995</v>
      </c>
      <c r="N184" s="10">
        <v>0</v>
      </c>
      <c r="O184" s="10">
        <v>-1638.95</v>
      </c>
      <c r="P184" s="10">
        <v>-1613.62</v>
      </c>
      <c r="Q184" s="10">
        <v>3252.57</v>
      </c>
      <c r="R184" s="10">
        <v>-678.65</v>
      </c>
      <c r="S184" s="10">
        <v>-1912.57</v>
      </c>
      <c r="T184" s="10">
        <v>1912.57</v>
      </c>
      <c r="U184" s="10">
        <v>-678.65</v>
      </c>
      <c r="V184" s="10">
        <v>0</v>
      </c>
      <c r="W184" s="10">
        <v>0</v>
      </c>
      <c r="X184" s="10">
        <v>-749.55</v>
      </c>
      <c r="Y184" s="10">
        <v>0</v>
      </c>
      <c r="Z184" s="10">
        <v>3709.6</v>
      </c>
      <c r="AA184" s="10">
        <v>0</v>
      </c>
      <c r="AB184" s="10">
        <v>-4459.1499999999996</v>
      </c>
      <c r="AC184" s="10">
        <v>0</v>
      </c>
      <c r="AD184" s="10">
        <v>0</v>
      </c>
      <c r="AE184" s="10">
        <v>-933.05</v>
      </c>
      <c r="AF184" s="10">
        <v>146.4</v>
      </c>
      <c r="AG184" s="10">
        <v>0</v>
      </c>
      <c r="AH184" s="10">
        <v>-785.4</v>
      </c>
      <c r="AI184" s="10">
        <v>0</v>
      </c>
      <c r="AJ184" s="10">
        <v>0</v>
      </c>
      <c r="AK184" s="10">
        <v>-785.4</v>
      </c>
      <c r="AL184" s="10">
        <v>0</v>
      </c>
      <c r="AM184" s="10">
        <v>2357.4499999999998</v>
      </c>
      <c r="AN184" s="10">
        <v>0</v>
      </c>
      <c r="AO184" s="10">
        <v>0</v>
      </c>
      <c r="AP184" s="10">
        <v>11.2</v>
      </c>
      <c r="AQ184" s="10">
        <v>-259.8</v>
      </c>
      <c r="AR184" s="10">
        <v>-936.1</v>
      </c>
      <c r="AS184" s="10">
        <v>0</v>
      </c>
      <c r="AT184" s="10">
        <v>0</v>
      </c>
      <c r="AU184" s="10">
        <f t="shared" si="20"/>
        <v>-6026.5</v>
      </c>
    </row>
    <row r="185" spans="1:47" x14ac:dyDescent="0.2">
      <c r="A185" s="15" t="s">
        <v>231</v>
      </c>
      <c r="B185" s="10">
        <v>-3662.54</v>
      </c>
      <c r="C185" s="10">
        <v>-1375.44</v>
      </c>
      <c r="D185" s="10">
        <v>-1657.66</v>
      </c>
      <c r="E185" s="10">
        <v>-1280.0899999999999</v>
      </c>
      <c r="F185" s="10">
        <v>-1285.69</v>
      </c>
      <c r="G185" s="10">
        <v>-1369.14</v>
      </c>
      <c r="H185" s="10">
        <v>-1565.38</v>
      </c>
      <c r="I185" s="10">
        <v>-1378.31</v>
      </c>
      <c r="J185" s="10">
        <v>-1425.35</v>
      </c>
      <c r="K185" s="10">
        <v>-1753.44</v>
      </c>
      <c r="L185" s="10">
        <v>-1372.66</v>
      </c>
      <c r="M185" s="10">
        <v>-1287.53</v>
      </c>
      <c r="N185" s="10">
        <v>471</v>
      </c>
      <c r="O185" s="10">
        <v>-1474.82</v>
      </c>
      <c r="P185" s="10">
        <v>-1469.61</v>
      </c>
      <c r="Q185" s="10">
        <v>-1483.23</v>
      </c>
      <c r="R185" s="10">
        <v>-1642.25</v>
      </c>
      <c r="S185" s="10">
        <v>-1406.83</v>
      </c>
      <c r="T185" s="10">
        <v>-1491.22</v>
      </c>
      <c r="U185" s="10">
        <v>-1578.88</v>
      </c>
      <c r="V185" s="10">
        <v>-1553.29</v>
      </c>
      <c r="W185" s="10">
        <v>403.71</v>
      </c>
      <c r="X185" s="10">
        <v>-1953.32</v>
      </c>
      <c r="Y185" s="10">
        <v>-1507.83</v>
      </c>
      <c r="Z185" s="10">
        <v>-1135.1099999999999</v>
      </c>
      <c r="AA185" s="10">
        <v>0</v>
      </c>
      <c r="AB185" s="10">
        <v>-1522.2</v>
      </c>
      <c r="AC185" s="10">
        <v>-1753.57</v>
      </c>
      <c r="AD185" s="10">
        <v>-1584.17</v>
      </c>
      <c r="AE185" s="10">
        <v>-1699.94</v>
      </c>
      <c r="AF185" s="10">
        <v>-1800.38</v>
      </c>
      <c r="AG185" s="10">
        <v>-1593.93</v>
      </c>
      <c r="AH185" s="10">
        <v>-1810.8</v>
      </c>
      <c r="AI185" s="10">
        <v>-1506.32</v>
      </c>
      <c r="AJ185" s="10">
        <v>-1820</v>
      </c>
      <c r="AK185" s="10">
        <v>-2351.06</v>
      </c>
      <c r="AL185" s="10">
        <v>-2760.31</v>
      </c>
      <c r="AM185" s="10">
        <v>-1173.94</v>
      </c>
      <c r="AN185" s="10">
        <v>0</v>
      </c>
      <c r="AO185" s="10">
        <v>-1681.1</v>
      </c>
      <c r="AP185" s="10">
        <v>-1971.51</v>
      </c>
      <c r="AQ185" s="10">
        <v>-1774.57</v>
      </c>
      <c r="AR185" s="10">
        <v>-2396.8200000000002</v>
      </c>
      <c r="AS185" s="10">
        <v>-1588.71</v>
      </c>
      <c r="AT185" s="10">
        <v>-1529.12</v>
      </c>
      <c r="AU185" s="10">
        <f t="shared" si="20"/>
        <v>-67553.359999999986</v>
      </c>
    </row>
    <row r="186" spans="1:47" x14ac:dyDescent="0.2">
      <c r="A186" s="15" t="s">
        <v>232</v>
      </c>
      <c r="B186" s="10">
        <v>-93.5</v>
      </c>
      <c r="C186" s="10">
        <v>0</v>
      </c>
      <c r="D186" s="10">
        <v>0</v>
      </c>
      <c r="E186" s="10">
        <v>0</v>
      </c>
      <c r="F186" s="10">
        <v>-2496.14</v>
      </c>
      <c r="G186" s="10">
        <v>0</v>
      </c>
      <c r="H186" s="10">
        <v>-199.24</v>
      </c>
      <c r="I186" s="10">
        <v>-199.24</v>
      </c>
      <c r="J186" s="10">
        <v>-199.24</v>
      </c>
      <c r="K186" s="10">
        <v>-199.24</v>
      </c>
      <c r="L186" s="10">
        <v>-1045.3599999999999</v>
      </c>
      <c r="M186" s="10">
        <v>-199.24</v>
      </c>
      <c r="N186" s="10">
        <v>116</v>
      </c>
      <c r="O186" s="10">
        <v>-510.28</v>
      </c>
      <c r="P186" s="10">
        <v>-296.52999999999997</v>
      </c>
      <c r="Q186" s="10">
        <v>-296.52999999999997</v>
      </c>
      <c r="R186" s="10">
        <v>-412.53</v>
      </c>
      <c r="S186" s="10">
        <v>-296.52999999999997</v>
      </c>
      <c r="T186" s="10">
        <v>-299.75</v>
      </c>
      <c r="U186" s="10">
        <v>-356.92</v>
      </c>
      <c r="V186" s="10">
        <v>-403.24</v>
      </c>
      <c r="W186" s="10">
        <v>-356.05</v>
      </c>
      <c r="X186" s="10">
        <v>-395.01</v>
      </c>
      <c r="Y186" s="10">
        <v>-448.02</v>
      </c>
      <c r="Z186" s="10">
        <v>-400.7</v>
      </c>
      <c r="AA186" s="10">
        <v>0</v>
      </c>
      <c r="AB186" s="10">
        <v>-298.39</v>
      </c>
      <c r="AC186" s="10">
        <v>-677.46</v>
      </c>
      <c r="AD186" s="10">
        <v>-475.57</v>
      </c>
      <c r="AE186" s="10">
        <v>-295.19</v>
      </c>
      <c r="AF186" s="10">
        <v>-578.54</v>
      </c>
      <c r="AG186" s="10">
        <v>-365.17</v>
      </c>
      <c r="AH186" s="10">
        <v>-298.39</v>
      </c>
      <c r="AI186" s="10">
        <v>-361.88</v>
      </c>
      <c r="AJ186" s="10">
        <v>-359.14</v>
      </c>
      <c r="AK186" s="10">
        <v>-415.73</v>
      </c>
      <c r="AL186" s="10">
        <v>-382.17</v>
      </c>
      <c r="AM186" s="10">
        <v>-369.31</v>
      </c>
      <c r="AN186" s="10">
        <v>0</v>
      </c>
      <c r="AO186" s="10">
        <v>-321.91000000000003</v>
      </c>
      <c r="AP186" s="10">
        <v>-395.38</v>
      </c>
      <c r="AQ186" s="10">
        <v>-390.33</v>
      </c>
      <c r="AR186" s="10">
        <v>-1075.9000000000001</v>
      </c>
      <c r="AS186" s="10">
        <v>-321.91000000000003</v>
      </c>
      <c r="AT186" s="10">
        <v>-454.6</v>
      </c>
      <c r="AU186" s="10">
        <f t="shared" si="20"/>
        <v>-16824.259999999995</v>
      </c>
    </row>
    <row r="187" spans="1:47" x14ac:dyDescent="0.2">
      <c r="A187" s="15" t="s">
        <v>233</v>
      </c>
      <c r="B187" s="10">
        <v>3935.75</v>
      </c>
      <c r="C187" s="10">
        <v>-493</v>
      </c>
      <c r="D187" s="10">
        <v>-493</v>
      </c>
      <c r="E187" s="10">
        <v>-1016.53</v>
      </c>
      <c r="F187" s="10">
        <v>-755</v>
      </c>
      <c r="G187" s="10">
        <v>-1135.76</v>
      </c>
      <c r="H187" s="10">
        <v>-671.59</v>
      </c>
      <c r="I187" s="10">
        <v>1071.77</v>
      </c>
      <c r="J187" s="10">
        <v>0</v>
      </c>
      <c r="K187" s="10">
        <v>0</v>
      </c>
      <c r="L187" s="10">
        <v>0</v>
      </c>
      <c r="M187" s="10">
        <v>-842.42</v>
      </c>
      <c r="N187" s="10">
        <v>66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0</v>
      </c>
      <c r="AP187" s="10">
        <v>0</v>
      </c>
      <c r="AQ187" s="10">
        <v>0</v>
      </c>
      <c r="AR187" s="10">
        <v>0</v>
      </c>
      <c r="AS187" s="10">
        <v>0</v>
      </c>
      <c r="AT187" s="10">
        <v>0</v>
      </c>
      <c r="AU187" s="10">
        <f t="shared" si="20"/>
        <v>-333.78</v>
      </c>
    </row>
    <row r="188" spans="1:47" x14ac:dyDescent="0.2">
      <c r="A188" s="15" t="s">
        <v>234</v>
      </c>
      <c r="B188" s="10">
        <v>-37.15</v>
      </c>
      <c r="C188" s="10">
        <v>-39.700000000000003</v>
      </c>
      <c r="D188" s="10">
        <v>-40.74</v>
      </c>
      <c r="E188" s="10">
        <v>-46.2</v>
      </c>
      <c r="F188" s="10">
        <v>0</v>
      </c>
      <c r="G188" s="10">
        <v>0</v>
      </c>
      <c r="H188" s="10">
        <v>-43.97</v>
      </c>
      <c r="I188" s="10">
        <v>-78.91</v>
      </c>
      <c r="J188" s="10">
        <v>0</v>
      </c>
      <c r="K188" s="10">
        <v>-45.95</v>
      </c>
      <c r="L188" s="10">
        <v>-159.68</v>
      </c>
      <c r="M188" s="10">
        <v>0</v>
      </c>
      <c r="N188" s="10">
        <v>0</v>
      </c>
      <c r="O188" s="10">
        <v>0</v>
      </c>
      <c r="P188" s="10">
        <v>0</v>
      </c>
      <c r="Q188" s="10">
        <v>-43.25</v>
      </c>
      <c r="R188" s="10">
        <v>0</v>
      </c>
      <c r="S188" s="10">
        <v>0</v>
      </c>
      <c r="T188" s="10">
        <v>-139.16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  <c r="AL188" s="10">
        <v>0</v>
      </c>
      <c r="AM188" s="10">
        <v>0</v>
      </c>
      <c r="AN188" s="10">
        <v>0</v>
      </c>
      <c r="AO188" s="10">
        <v>0</v>
      </c>
      <c r="AP188" s="10">
        <v>0</v>
      </c>
      <c r="AQ188" s="10">
        <v>0</v>
      </c>
      <c r="AR188" s="10">
        <v>0</v>
      </c>
      <c r="AS188" s="10">
        <v>0</v>
      </c>
      <c r="AT188" s="10">
        <v>0</v>
      </c>
      <c r="AU188" s="10">
        <f t="shared" si="20"/>
        <v>-674.70999999999992</v>
      </c>
    </row>
    <row r="189" spans="1:47" x14ac:dyDescent="0.2">
      <c r="A189" s="15" t="s">
        <v>235</v>
      </c>
      <c r="B189" s="10">
        <v>-1671.39</v>
      </c>
      <c r="C189" s="10">
        <v>-180.08</v>
      </c>
      <c r="D189" s="10">
        <v>-180.08</v>
      </c>
      <c r="E189" s="10">
        <v>-217.9</v>
      </c>
      <c r="F189" s="10">
        <v>-180.08</v>
      </c>
      <c r="G189" s="10">
        <v>-180.08</v>
      </c>
      <c r="H189" s="10">
        <v>-180.08</v>
      </c>
      <c r="I189" s="10">
        <v>-180.08</v>
      </c>
      <c r="J189" s="10">
        <v>-180.08</v>
      </c>
      <c r="K189" s="10">
        <v>-180.08</v>
      </c>
      <c r="L189" s="10">
        <v>-301.89999999999998</v>
      </c>
      <c r="M189" s="10">
        <v>-180.08</v>
      </c>
      <c r="N189" s="10">
        <v>84</v>
      </c>
      <c r="O189" s="10">
        <v>-250.08</v>
      </c>
      <c r="P189" s="10">
        <v>-250.08</v>
      </c>
      <c r="Q189" s="10">
        <v>-250.08</v>
      </c>
      <c r="R189" s="10">
        <v>-291.26</v>
      </c>
      <c r="S189" s="10">
        <v>-250.08</v>
      </c>
      <c r="T189" s="10">
        <v>-250.08</v>
      </c>
      <c r="U189" s="10">
        <v>-250.08</v>
      </c>
      <c r="V189" s="10">
        <v>-826.09</v>
      </c>
      <c r="W189" s="10">
        <v>-250.08</v>
      </c>
      <c r="X189" s="10">
        <v>-353.26</v>
      </c>
      <c r="Y189" s="10">
        <v>-553.07000000000005</v>
      </c>
      <c r="Z189" s="10">
        <v>-217.67</v>
      </c>
      <c r="AA189" s="10">
        <v>0</v>
      </c>
      <c r="AB189" s="10">
        <v>-251.42</v>
      </c>
      <c r="AC189" s="10">
        <v>-244.52</v>
      </c>
      <c r="AD189" s="10">
        <v>-344.03</v>
      </c>
      <c r="AE189" s="10">
        <v>-326.51</v>
      </c>
      <c r="AF189" s="10">
        <v>-251.42</v>
      </c>
      <c r="AG189" s="10">
        <v>-499.39</v>
      </c>
      <c r="AH189" s="10">
        <v>-251.42</v>
      </c>
      <c r="AI189" s="10">
        <v>-493.05</v>
      </c>
      <c r="AJ189" s="10">
        <v>-303.33999999999997</v>
      </c>
      <c r="AK189" s="10">
        <v>-251.42</v>
      </c>
      <c r="AL189" s="10">
        <v>-442.06</v>
      </c>
      <c r="AM189" s="10">
        <v>-764.19</v>
      </c>
      <c r="AN189" s="10">
        <v>0</v>
      </c>
      <c r="AO189" s="10">
        <v>-268.27</v>
      </c>
      <c r="AP189" s="10">
        <v>-259.73</v>
      </c>
      <c r="AQ189" s="10">
        <v>-268.27</v>
      </c>
      <c r="AR189" s="10">
        <v>-318.12</v>
      </c>
      <c r="AS189" s="10">
        <v>-382.28</v>
      </c>
      <c r="AT189" s="10">
        <v>-439.39</v>
      </c>
      <c r="AU189" s="10">
        <f t="shared" si="20"/>
        <v>-14078.650000000001</v>
      </c>
    </row>
    <row r="190" spans="1:47" x14ac:dyDescent="0.2">
      <c r="A190" s="15" t="s">
        <v>236</v>
      </c>
      <c r="B190" s="10">
        <v>-1814</v>
      </c>
      <c r="C190" s="10">
        <v>-665.12</v>
      </c>
      <c r="D190" s="10">
        <v>-613.07000000000005</v>
      </c>
      <c r="E190" s="10">
        <v>-1029.92</v>
      </c>
      <c r="F190" s="10">
        <v>-368.97</v>
      </c>
      <c r="G190" s="10">
        <v>-464.26</v>
      </c>
      <c r="H190" s="10">
        <v>-383.18</v>
      </c>
      <c r="I190" s="10">
        <v>557.15</v>
      </c>
      <c r="J190" s="10">
        <v>0</v>
      </c>
      <c r="K190" s="10">
        <v>0</v>
      </c>
      <c r="L190" s="10">
        <v>0</v>
      </c>
      <c r="M190" s="10">
        <v>0</v>
      </c>
      <c r="N190" s="10">
        <v>83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  <c r="AI190" s="10">
        <v>0</v>
      </c>
      <c r="AJ190" s="10">
        <v>0</v>
      </c>
      <c r="AK190" s="10">
        <v>0</v>
      </c>
      <c r="AL190" s="10">
        <v>0</v>
      </c>
      <c r="AM190" s="10">
        <v>0</v>
      </c>
      <c r="AN190" s="10">
        <v>0</v>
      </c>
      <c r="AO190" s="10">
        <v>0</v>
      </c>
      <c r="AP190" s="10">
        <v>0</v>
      </c>
      <c r="AQ190" s="10">
        <v>0</v>
      </c>
      <c r="AR190" s="10">
        <v>0</v>
      </c>
      <c r="AS190" s="10">
        <v>0</v>
      </c>
      <c r="AT190" s="10">
        <v>0</v>
      </c>
      <c r="AU190" s="10">
        <f t="shared" si="20"/>
        <v>-4698.3700000000017</v>
      </c>
    </row>
    <row r="191" spans="1:47" x14ac:dyDescent="0.2">
      <c r="A191" s="15" t="s">
        <v>237</v>
      </c>
      <c r="B191" s="10">
        <v>0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-714.28</v>
      </c>
      <c r="I191" s="10">
        <v>-907.04</v>
      </c>
      <c r="J191" s="10">
        <v>-1482</v>
      </c>
      <c r="K191" s="10">
        <v>-494</v>
      </c>
      <c r="L191" s="10">
        <v>-528.4</v>
      </c>
      <c r="M191" s="10">
        <v>-494</v>
      </c>
      <c r="N191" s="10">
        <v>368</v>
      </c>
      <c r="O191" s="10">
        <v>-597</v>
      </c>
      <c r="P191" s="10">
        <v>-597</v>
      </c>
      <c r="Q191" s="10">
        <v>-597</v>
      </c>
      <c r="R191" s="10">
        <v>-630.53</v>
      </c>
      <c r="S191" s="10">
        <v>-597</v>
      </c>
      <c r="T191" s="10">
        <v>-597</v>
      </c>
      <c r="U191" s="10">
        <v>-965</v>
      </c>
      <c r="V191" s="10">
        <v>-597</v>
      </c>
      <c r="W191" s="10">
        <v>-597</v>
      </c>
      <c r="X191" s="10">
        <v>-478</v>
      </c>
      <c r="Y191" s="10">
        <v>-1301.31</v>
      </c>
      <c r="Z191" s="10">
        <v>-2158.41</v>
      </c>
      <c r="AA191" s="10">
        <v>0</v>
      </c>
      <c r="AB191" s="10">
        <v>-479.98</v>
      </c>
      <c r="AC191" s="10">
        <v>-619.82000000000005</v>
      </c>
      <c r="AD191" s="10">
        <v>-479.98</v>
      </c>
      <c r="AE191" s="10">
        <v>-476.59</v>
      </c>
      <c r="AF191" s="10">
        <v>-513.51</v>
      </c>
      <c r="AG191" s="10">
        <v>-476.59</v>
      </c>
      <c r="AH191" s="10">
        <v>-488.05</v>
      </c>
      <c r="AI191" s="10">
        <v>-511.23</v>
      </c>
      <c r="AJ191" s="10">
        <v>-506.84</v>
      </c>
      <c r="AK191" s="10">
        <v>-2041.7</v>
      </c>
      <c r="AL191" s="10">
        <v>-506.84</v>
      </c>
      <c r="AM191" s="10">
        <v>-4350.99</v>
      </c>
      <c r="AN191" s="10">
        <v>0</v>
      </c>
      <c r="AO191" s="10">
        <v>-536.14</v>
      </c>
      <c r="AP191" s="10">
        <v>-520.54999999999995</v>
      </c>
      <c r="AQ191" s="10">
        <v>-660.35</v>
      </c>
      <c r="AR191" s="10">
        <v>-530.95000000000005</v>
      </c>
      <c r="AS191" s="10">
        <v>-578.07000000000005</v>
      </c>
      <c r="AT191" s="10">
        <v>-530.95000000000005</v>
      </c>
      <c r="AU191" s="10">
        <f t="shared" si="20"/>
        <v>-28773.099999999995</v>
      </c>
    </row>
    <row r="192" spans="1:47" x14ac:dyDescent="0.2">
      <c r="A192" s="15" t="s">
        <v>238</v>
      </c>
      <c r="B192" s="10">
        <v>0</v>
      </c>
      <c r="C192" s="10">
        <v>0</v>
      </c>
      <c r="D192" s="10">
        <v>0</v>
      </c>
      <c r="E192" s="10">
        <v>0</v>
      </c>
      <c r="F192" s="10">
        <v>0</v>
      </c>
      <c r="G192" s="10">
        <v>-70.790000000000006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0">
        <v>0</v>
      </c>
      <c r="AM192" s="10">
        <v>0</v>
      </c>
      <c r="AN192" s="10">
        <v>0</v>
      </c>
      <c r="AO192" s="10">
        <v>0</v>
      </c>
      <c r="AP192" s="10">
        <v>0</v>
      </c>
      <c r="AQ192" s="10">
        <v>0</v>
      </c>
      <c r="AR192" s="10">
        <v>0</v>
      </c>
      <c r="AS192" s="10">
        <v>0</v>
      </c>
      <c r="AT192" s="10">
        <v>0</v>
      </c>
      <c r="AU192" s="10">
        <f t="shared" si="20"/>
        <v>-70.790000000000006</v>
      </c>
    </row>
    <row r="193" spans="1:47" x14ac:dyDescent="0.2">
      <c r="A193" s="15" t="s">
        <v>239</v>
      </c>
      <c r="B193" s="10">
        <v>-1309.02</v>
      </c>
      <c r="C193" s="10">
        <v>-314.44</v>
      </c>
      <c r="D193" s="10">
        <v>-300.77</v>
      </c>
      <c r="E193" s="10">
        <v>-392.65</v>
      </c>
      <c r="F193" s="10">
        <v>-275.94</v>
      </c>
      <c r="G193" s="10">
        <v>-379.42</v>
      </c>
      <c r="H193" s="10">
        <v>-381.44</v>
      </c>
      <c r="I193" s="10">
        <v>-417.56</v>
      </c>
      <c r="J193" s="10">
        <v>-357.96</v>
      </c>
      <c r="K193" s="10">
        <v>-617.21</v>
      </c>
      <c r="L193" s="10">
        <v>-483.78</v>
      </c>
      <c r="M193" s="10">
        <v>-386.13</v>
      </c>
      <c r="N193" s="10">
        <v>134</v>
      </c>
      <c r="O193" s="10">
        <v>-331.29</v>
      </c>
      <c r="P193" s="10">
        <v>-331.29</v>
      </c>
      <c r="Q193" s="10">
        <v>-407.09</v>
      </c>
      <c r="R193" s="10">
        <v>-504.32</v>
      </c>
      <c r="S193" s="10">
        <v>-364.82</v>
      </c>
      <c r="T193" s="10">
        <v>-386.99</v>
      </c>
      <c r="U193" s="10">
        <v>-420.42</v>
      </c>
      <c r="V193" s="10">
        <v>-331.29</v>
      </c>
      <c r="W193" s="10">
        <v>-750.94</v>
      </c>
      <c r="X193" s="10">
        <v>-443.25</v>
      </c>
      <c r="Y193" s="10">
        <v>-970.03</v>
      </c>
      <c r="Z193" s="10">
        <v>-338.2</v>
      </c>
      <c r="AA193" s="10">
        <v>0</v>
      </c>
      <c r="AB193" s="10">
        <v>-291.77999999999997</v>
      </c>
      <c r="AC193" s="10">
        <v>-372.03</v>
      </c>
      <c r="AD193" s="10">
        <v>-385.49</v>
      </c>
      <c r="AE193" s="10">
        <v>-519.75</v>
      </c>
      <c r="AF193" s="10">
        <v>-401.12</v>
      </c>
      <c r="AG193" s="10">
        <v>-444.71</v>
      </c>
      <c r="AH193" s="10">
        <v>-396.96</v>
      </c>
      <c r="AI193" s="10">
        <v>-390.81</v>
      </c>
      <c r="AJ193" s="10">
        <v>-1438.49</v>
      </c>
      <c r="AK193" s="10">
        <v>-475.67</v>
      </c>
      <c r="AL193" s="10">
        <v>-598.59</v>
      </c>
      <c r="AM193" s="10">
        <v>-444.86</v>
      </c>
      <c r="AN193" s="10">
        <v>0</v>
      </c>
      <c r="AO193" s="10">
        <v>-507.35</v>
      </c>
      <c r="AP193" s="10">
        <v>-496.51</v>
      </c>
      <c r="AQ193" s="10">
        <v>-680.76</v>
      </c>
      <c r="AR193" s="10">
        <v>-663.99</v>
      </c>
      <c r="AS193" s="10">
        <v>-650.66999999999996</v>
      </c>
      <c r="AT193" s="10">
        <v>-545.5</v>
      </c>
      <c r="AU193" s="10">
        <f t="shared" si="20"/>
        <v>-20767.289999999997</v>
      </c>
    </row>
    <row r="194" spans="1:47" x14ac:dyDescent="0.2">
      <c r="A194" s="15" t="s">
        <v>240</v>
      </c>
      <c r="B194" s="10">
        <v>-1584.62</v>
      </c>
      <c r="C194" s="10">
        <v>-1354.74</v>
      </c>
      <c r="D194" s="10">
        <v>-660.85</v>
      </c>
      <c r="E194" s="10">
        <v>-841.12</v>
      </c>
      <c r="F194" s="10">
        <v>0</v>
      </c>
      <c r="G194" s="10">
        <v>-1307.2</v>
      </c>
      <c r="H194" s="10">
        <v>-141.16999999999999</v>
      </c>
      <c r="I194" s="10">
        <v>-150</v>
      </c>
      <c r="J194" s="10">
        <v>-535.08000000000004</v>
      </c>
      <c r="K194" s="10">
        <v>-225.66</v>
      </c>
      <c r="L194" s="10">
        <v>-230.71</v>
      </c>
      <c r="M194" s="10">
        <v>-390.45</v>
      </c>
      <c r="N194" s="10">
        <v>308</v>
      </c>
      <c r="O194" s="10">
        <v>0</v>
      </c>
      <c r="P194" s="10">
        <v>0</v>
      </c>
      <c r="Q194" s="10">
        <v>-585.77</v>
      </c>
      <c r="R194" s="10">
        <v>-326.7</v>
      </c>
      <c r="S194" s="10">
        <v>0</v>
      </c>
      <c r="T194" s="10">
        <v>-701.46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0">
        <v>0</v>
      </c>
      <c r="AM194" s="10">
        <v>0</v>
      </c>
      <c r="AN194" s="10">
        <v>0</v>
      </c>
      <c r="AO194" s="10">
        <v>0</v>
      </c>
      <c r="AP194" s="10">
        <v>0</v>
      </c>
      <c r="AQ194" s="10">
        <v>0</v>
      </c>
      <c r="AR194" s="10">
        <v>0</v>
      </c>
      <c r="AS194" s="10">
        <v>0</v>
      </c>
      <c r="AT194" s="10">
        <v>0</v>
      </c>
      <c r="AU194" s="10">
        <f t="shared" si="20"/>
        <v>-8727.5299999999988</v>
      </c>
    </row>
    <row r="195" spans="1:47" x14ac:dyDescent="0.2">
      <c r="A195" s="15" t="s">
        <v>241</v>
      </c>
      <c r="B195" s="10">
        <v>0</v>
      </c>
      <c r="C195" s="10">
        <v>0</v>
      </c>
      <c r="D195" s="10">
        <v>0</v>
      </c>
      <c r="E195" s="10">
        <v>0</v>
      </c>
      <c r="F195" s="10">
        <v>0</v>
      </c>
      <c r="G195" s="10">
        <v>-851.2</v>
      </c>
      <c r="H195" s="10">
        <v>-1645.03</v>
      </c>
      <c r="I195" s="10">
        <v>-413.99</v>
      </c>
      <c r="J195" s="10">
        <v>-413.99</v>
      </c>
      <c r="K195" s="10">
        <v>-161.99</v>
      </c>
      <c r="L195" s="10">
        <v>-1137.23</v>
      </c>
      <c r="M195" s="10">
        <v>-375.35</v>
      </c>
      <c r="N195" s="10">
        <v>252</v>
      </c>
      <c r="O195" s="10">
        <v>-510.6</v>
      </c>
      <c r="P195" s="10">
        <v>-510.6</v>
      </c>
      <c r="Q195" s="10">
        <v>-510.6</v>
      </c>
      <c r="R195" s="10">
        <v>-606.4</v>
      </c>
      <c r="S195" s="10">
        <v>-471.96</v>
      </c>
      <c r="T195" s="10">
        <v>-762.6</v>
      </c>
      <c r="U195" s="10">
        <v>-781.05</v>
      </c>
      <c r="V195" s="10">
        <v>-721.85</v>
      </c>
      <c r="W195" s="10">
        <v>-510.6</v>
      </c>
      <c r="X195" s="10">
        <v>-1122.01</v>
      </c>
      <c r="Y195" s="10">
        <v>-899.94</v>
      </c>
      <c r="Z195" s="10">
        <v>-706.47</v>
      </c>
      <c r="AA195" s="10">
        <v>0</v>
      </c>
      <c r="AB195" s="10">
        <v>-512.45000000000005</v>
      </c>
      <c r="AC195" s="10">
        <v>-656.84</v>
      </c>
      <c r="AD195" s="10">
        <v>-668.4</v>
      </c>
      <c r="AE195" s="10">
        <v>-1229.8599999999999</v>
      </c>
      <c r="AF195" s="10">
        <v>-877.72</v>
      </c>
      <c r="AG195" s="10">
        <v>-1380.68</v>
      </c>
      <c r="AH195" s="10">
        <v>-855.49</v>
      </c>
      <c r="AI195" s="10">
        <v>-847.59</v>
      </c>
      <c r="AJ195" s="10">
        <v>-595.11</v>
      </c>
      <c r="AK195" s="10">
        <v>-1092.06</v>
      </c>
      <c r="AL195" s="10">
        <v>-1640.35</v>
      </c>
      <c r="AM195" s="10">
        <v>-1024.4100000000001</v>
      </c>
      <c r="AN195" s="10">
        <v>0</v>
      </c>
      <c r="AO195" s="10">
        <v>-557.20000000000005</v>
      </c>
      <c r="AP195" s="10">
        <v>-543.34</v>
      </c>
      <c r="AQ195" s="10">
        <v>-1133.75</v>
      </c>
      <c r="AR195" s="10">
        <v>-1025.44</v>
      </c>
      <c r="AS195" s="10">
        <v>-880.75</v>
      </c>
      <c r="AT195" s="10">
        <v>-2742.66</v>
      </c>
      <c r="AU195" s="10">
        <f t="shared" si="20"/>
        <v>-31125.560000000005</v>
      </c>
    </row>
    <row r="196" spans="1:47" x14ac:dyDescent="0.2">
      <c r="A196" s="15" t="s">
        <v>242</v>
      </c>
      <c r="B196" s="10">
        <v>-1451.08</v>
      </c>
      <c r="C196" s="10">
        <v>-364.21</v>
      </c>
      <c r="D196" s="10">
        <v>-242.5</v>
      </c>
      <c r="E196" s="10">
        <v>-242.5</v>
      </c>
      <c r="F196" s="10">
        <v>-495.53</v>
      </c>
      <c r="G196" s="10">
        <v>-284.81</v>
      </c>
      <c r="H196" s="10">
        <v>-377.46</v>
      </c>
      <c r="I196" s="10">
        <v>-410.5</v>
      </c>
      <c r="J196" s="10">
        <v>-242.5</v>
      </c>
      <c r="K196" s="10">
        <v>-1140.3</v>
      </c>
      <c r="L196" s="10">
        <v>-380.58</v>
      </c>
      <c r="M196" s="10">
        <v>-402.02</v>
      </c>
      <c r="N196" s="10">
        <v>0</v>
      </c>
      <c r="O196" s="10">
        <v>-343.22</v>
      </c>
      <c r="P196" s="10">
        <v>-343.22</v>
      </c>
      <c r="Q196" s="10">
        <v>-503.97</v>
      </c>
      <c r="R196" s="10">
        <v>-501.46</v>
      </c>
      <c r="S196" s="10">
        <v>-389.46</v>
      </c>
      <c r="T196" s="10">
        <v>-510.49</v>
      </c>
      <c r="U196" s="10">
        <v>-454.08</v>
      </c>
      <c r="V196" s="10">
        <v>-511.22</v>
      </c>
      <c r="W196" s="10">
        <v>-567.62</v>
      </c>
      <c r="X196" s="10">
        <v>-523.16999999999996</v>
      </c>
      <c r="Y196" s="10">
        <v>-1146.82</v>
      </c>
      <c r="Z196" s="10">
        <v>-344.89</v>
      </c>
      <c r="AA196" s="10">
        <v>0</v>
      </c>
      <c r="AB196" s="10">
        <v>-345.15</v>
      </c>
      <c r="AC196" s="10">
        <v>-456.94</v>
      </c>
      <c r="AD196" s="10">
        <v>-528.37</v>
      </c>
      <c r="AE196" s="10">
        <v>-496.02</v>
      </c>
      <c r="AF196" s="10">
        <v>-415.41</v>
      </c>
      <c r="AG196" s="10">
        <v>-388.08</v>
      </c>
      <c r="AH196" s="10">
        <v>-635.17999999999995</v>
      </c>
      <c r="AI196" s="10">
        <v>-644.25</v>
      </c>
      <c r="AJ196" s="10">
        <v>-594.66</v>
      </c>
      <c r="AK196" s="10">
        <v>-621.04999999999995</v>
      </c>
      <c r="AL196" s="10">
        <v>-459.5</v>
      </c>
      <c r="AM196" s="10">
        <v>-1274.8399999999999</v>
      </c>
      <c r="AN196" s="10">
        <v>0</v>
      </c>
      <c r="AO196" s="10">
        <v>-519.5</v>
      </c>
      <c r="AP196" s="10">
        <v>-474.26</v>
      </c>
      <c r="AQ196" s="10">
        <v>-498.37</v>
      </c>
      <c r="AR196" s="10">
        <v>-365.41</v>
      </c>
      <c r="AS196" s="10">
        <v>-667.08</v>
      </c>
      <c r="AT196" s="10">
        <v>-365.41</v>
      </c>
      <c r="AU196" s="10">
        <f t="shared" si="20"/>
        <v>-21923.09</v>
      </c>
    </row>
    <row r="197" spans="1:47" x14ac:dyDescent="0.2">
      <c r="A197" s="15" t="s">
        <v>243</v>
      </c>
      <c r="B197" s="10">
        <v>-2787.51</v>
      </c>
      <c r="C197" s="10">
        <v>0</v>
      </c>
      <c r="D197" s="10">
        <v>0</v>
      </c>
      <c r="E197" s="10">
        <v>-512.76</v>
      </c>
      <c r="F197" s="10">
        <v>-87.4</v>
      </c>
      <c r="G197" s="10">
        <v>0</v>
      </c>
      <c r="H197" s="10">
        <v>0</v>
      </c>
      <c r="I197" s="10">
        <v>0</v>
      </c>
      <c r="J197" s="10">
        <v>-496.16</v>
      </c>
      <c r="K197" s="10">
        <v>-115.62</v>
      </c>
      <c r="L197" s="10">
        <v>-84.08</v>
      </c>
      <c r="M197" s="10">
        <v>-403.05</v>
      </c>
      <c r="N197" s="10">
        <v>0</v>
      </c>
      <c r="O197" s="10">
        <v>-232.29</v>
      </c>
      <c r="P197" s="10">
        <v>-232.29</v>
      </c>
      <c r="Q197" s="10">
        <v>-358.04</v>
      </c>
      <c r="R197" s="10">
        <v>-232.29</v>
      </c>
      <c r="S197" s="10">
        <v>-232.29</v>
      </c>
      <c r="T197" s="10">
        <v>-232.29</v>
      </c>
      <c r="U197" s="10">
        <v>-551.64</v>
      </c>
      <c r="V197" s="10">
        <v>-232.29</v>
      </c>
      <c r="W197" s="10">
        <v>-232.29</v>
      </c>
      <c r="X197" s="10">
        <v>-232.29</v>
      </c>
      <c r="Y197" s="10">
        <v>-885.3</v>
      </c>
      <c r="Z197" s="10">
        <v>-316.39999999999998</v>
      </c>
      <c r="AA197" s="10">
        <v>0</v>
      </c>
      <c r="AB197" s="10">
        <v>-236.75</v>
      </c>
      <c r="AC197" s="10">
        <v>-213.84</v>
      </c>
      <c r="AD197" s="10">
        <v>-236.75</v>
      </c>
      <c r="AE197" s="10">
        <v>-229.11</v>
      </c>
      <c r="AF197" s="10">
        <v>113.25</v>
      </c>
      <c r="AG197" s="10">
        <v>-229.11</v>
      </c>
      <c r="AH197" s="10">
        <v>-735.48</v>
      </c>
      <c r="AI197" s="10">
        <v>-236.75</v>
      </c>
      <c r="AJ197" s="10">
        <v>-229.11</v>
      </c>
      <c r="AK197" s="10">
        <v>-236.75</v>
      </c>
      <c r="AL197" s="10">
        <v>-937.82</v>
      </c>
      <c r="AM197" s="10">
        <v>-469.66</v>
      </c>
      <c r="AN197" s="10">
        <v>0</v>
      </c>
      <c r="AO197" s="10">
        <v>-374.48</v>
      </c>
      <c r="AP197" s="10">
        <v>-264.89</v>
      </c>
      <c r="AQ197" s="10">
        <v>-293.27999999999997</v>
      </c>
      <c r="AR197" s="10">
        <v>-283.81</v>
      </c>
      <c r="AS197" s="10">
        <v>-293.27999999999997</v>
      </c>
      <c r="AT197" s="10">
        <v>-8.81</v>
      </c>
      <c r="AU197" s="10">
        <f t="shared" si="20"/>
        <v>-13852.710000000001</v>
      </c>
    </row>
    <row r="198" spans="1:47" x14ac:dyDescent="0.2">
      <c r="A198" s="15" t="s">
        <v>244</v>
      </c>
      <c r="B198" s="10">
        <v>0</v>
      </c>
      <c r="C198" s="10">
        <v>0</v>
      </c>
      <c r="D198" s="10">
        <v>0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-853.38</v>
      </c>
      <c r="AC198" s="10">
        <v>-2348.1799999999998</v>
      </c>
      <c r="AD198" s="10">
        <v>-599.34</v>
      </c>
      <c r="AE198" s="10">
        <v>-337.51</v>
      </c>
      <c r="AF198" s="10">
        <v>-393.93</v>
      </c>
      <c r="AG198" s="10">
        <v>-347.04</v>
      </c>
      <c r="AH198" s="10">
        <v>-393.54</v>
      </c>
      <c r="AI198" s="10">
        <v>-557.97</v>
      </c>
      <c r="AJ198" s="10">
        <v>-394.19</v>
      </c>
      <c r="AK198" s="10">
        <v>-361.9</v>
      </c>
      <c r="AL198" s="10">
        <v>-414.95</v>
      </c>
      <c r="AM198" s="10">
        <v>-561.92999999999995</v>
      </c>
      <c r="AN198" s="10">
        <v>0</v>
      </c>
      <c r="AO198" s="10">
        <v>-616.48</v>
      </c>
      <c r="AP198" s="10">
        <v>-653.55999999999995</v>
      </c>
      <c r="AQ198" s="10">
        <v>-496.53</v>
      </c>
      <c r="AR198" s="10">
        <v>-504.94</v>
      </c>
      <c r="AS198" s="10">
        <v>-527.91999999999996</v>
      </c>
      <c r="AT198" s="10">
        <v>-429.39</v>
      </c>
      <c r="AU198" s="10">
        <f t="shared" si="20"/>
        <v>-10792.68</v>
      </c>
    </row>
    <row r="199" spans="1:47" x14ac:dyDescent="0.2">
      <c r="A199" s="15" t="s">
        <v>245</v>
      </c>
      <c r="B199" s="10">
        <v>-1414.04</v>
      </c>
      <c r="C199" s="10">
        <v>-393.85</v>
      </c>
      <c r="D199" s="10">
        <v>-625.55999999999995</v>
      </c>
      <c r="E199" s="10">
        <v>-322.12</v>
      </c>
      <c r="F199" s="10">
        <v>-311.5</v>
      </c>
      <c r="G199" s="10">
        <v>-342.43</v>
      </c>
      <c r="H199" s="10">
        <v>-438.54</v>
      </c>
      <c r="I199" s="10">
        <v>-597.35</v>
      </c>
      <c r="J199" s="10">
        <v>-487.2</v>
      </c>
      <c r="K199" s="10">
        <v>-370.6</v>
      </c>
      <c r="L199" s="10">
        <v>-831.63</v>
      </c>
      <c r="M199" s="10">
        <v>-372.43</v>
      </c>
      <c r="N199" s="10">
        <v>106</v>
      </c>
      <c r="O199" s="10">
        <v>-456.58</v>
      </c>
      <c r="P199" s="10">
        <v>-466.13</v>
      </c>
      <c r="Q199" s="10">
        <v>-479.54</v>
      </c>
      <c r="R199" s="10">
        <v>-488.26</v>
      </c>
      <c r="S199" s="10">
        <v>-714.56</v>
      </c>
      <c r="T199" s="10">
        <v>-483.58</v>
      </c>
      <c r="U199" s="10">
        <v>-489.23</v>
      </c>
      <c r="V199" s="10">
        <v>-552.33000000000004</v>
      </c>
      <c r="W199" s="10">
        <v>-521.15</v>
      </c>
      <c r="X199" s="10">
        <v>-685.99</v>
      </c>
      <c r="Y199" s="10">
        <v>-965.38</v>
      </c>
      <c r="Z199" s="10">
        <v>-386.77</v>
      </c>
      <c r="AA199" s="10">
        <v>0</v>
      </c>
      <c r="AB199" s="10">
        <v>-363.25</v>
      </c>
      <c r="AC199" s="10">
        <v>913.47</v>
      </c>
      <c r="AD199" s="10">
        <v>-1288.8800000000001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0">
        <v>0</v>
      </c>
      <c r="AM199" s="10">
        <v>179</v>
      </c>
      <c r="AN199" s="10">
        <v>0</v>
      </c>
      <c r="AO199" s="10">
        <v>0</v>
      </c>
      <c r="AP199" s="10">
        <v>0</v>
      </c>
      <c r="AQ199" s="10">
        <v>0</v>
      </c>
      <c r="AR199" s="10">
        <v>0</v>
      </c>
      <c r="AS199" s="10">
        <v>0</v>
      </c>
      <c r="AT199" s="10">
        <v>0</v>
      </c>
      <c r="AU199" s="10">
        <f t="shared" si="20"/>
        <v>-13650.41</v>
      </c>
    </row>
    <row r="200" spans="1:47" x14ac:dyDescent="0.2">
      <c r="A200" s="15" t="s">
        <v>246</v>
      </c>
      <c r="B200" s="10">
        <v>-1519.45</v>
      </c>
      <c r="C200" s="10">
        <v>-526.97</v>
      </c>
      <c r="D200" s="10">
        <v>-468.37</v>
      </c>
      <c r="E200" s="10">
        <v>-1379.58</v>
      </c>
      <c r="F200" s="10">
        <v>-449.7</v>
      </c>
      <c r="G200" s="10">
        <v>-583.83000000000004</v>
      </c>
      <c r="H200" s="10">
        <v>-513.02</v>
      </c>
      <c r="I200" s="10">
        <v>-511.56</v>
      </c>
      <c r="J200" s="10">
        <v>324.85000000000002</v>
      </c>
      <c r="K200" s="10">
        <v>-551.21</v>
      </c>
      <c r="L200" s="10">
        <v>-209.34</v>
      </c>
      <c r="M200" s="10">
        <v>-243.68</v>
      </c>
      <c r="N200" s="10">
        <v>42</v>
      </c>
      <c r="O200" s="10">
        <v>0</v>
      </c>
      <c r="P200" s="10">
        <v>0</v>
      </c>
      <c r="Q200" s="10">
        <v>-363.21</v>
      </c>
      <c r="R200" s="10">
        <v>-145.93</v>
      </c>
      <c r="S200" s="10">
        <v>0</v>
      </c>
      <c r="T200" s="10">
        <v>-443.41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0">
        <v>0</v>
      </c>
      <c r="AM200" s="10">
        <v>0</v>
      </c>
      <c r="AN200" s="10">
        <v>0</v>
      </c>
      <c r="AO200" s="10">
        <v>0</v>
      </c>
      <c r="AP200" s="10">
        <v>0</v>
      </c>
      <c r="AQ200" s="10">
        <v>0</v>
      </c>
      <c r="AR200" s="10">
        <v>0</v>
      </c>
      <c r="AS200" s="10">
        <v>0</v>
      </c>
      <c r="AT200" s="10">
        <v>0</v>
      </c>
      <c r="AU200" s="10">
        <f t="shared" si="20"/>
        <v>-7542.4100000000008</v>
      </c>
    </row>
    <row r="201" spans="1:47" x14ac:dyDescent="0.2">
      <c r="A201" s="15" t="s">
        <v>247</v>
      </c>
      <c r="B201" s="10">
        <v>0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-138</v>
      </c>
      <c r="J201" s="10">
        <v>-1321.89</v>
      </c>
      <c r="K201" s="10">
        <v>0</v>
      </c>
      <c r="L201" s="10">
        <v>-1494.16</v>
      </c>
      <c r="M201" s="10">
        <v>-460</v>
      </c>
      <c r="N201" s="10">
        <v>138</v>
      </c>
      <c r="O201" s="10">
        <v>-95.13</v>
      </c>
      <c r="P201" s="10">
        <v>-325.13</v>
      </c>
      <c r="Q201" s="10">
        <v>-374.27</v>
      </c>
      <c r="R201" s="10">
        <v>-523.55999999999995</v>
      </c>
      <c r="S201" s="10">
        <v>-325.13</v>
      </c>
      <c r="T201" s="10">
        <v>-325.13</v>
      </c>
      <c r="U201" s="10">
        <v>-536.49</v>
      </c>
      <c r="V201" s="10">
        <v>-653.32000000000005</v>
      </c>
      <c r="W201" s="10">
        <v>-651.45000000000005</v>
      </c>
      <c r="X201" s="10">
        <v>-984.81</v>
      </c>
      <c r="Y201" s="10">
        <v>-552.28</v>
      </c>
      <c r="Z201" s="10">
        <v>-617.74</v>
      </c>
      <c r="AA201" s="10">
        <v>0</v>
      </c>
      <c r="AB201" s="10">
        <v>-326.95</v>
      </c>
      <c r="AC201" s="10">
        <v>-540.6</v>
      </c>
      <c r="AD201" s="10">
        <v>-543.58000000000004</v>
      </c>
      <c r="AE201" s="10">
        <v>-607.39</v>
      </c>
      <c r="AF201" s="10">
        <v>-849.47</v>
      </c>
      <c r="AG201" s="10">
        <v>-682</v>
      </c>
      <c r="AH201" s="10">
        <v>-635.36</v>
      </c>
      <c r="AI201" s="10">
        <v>-638.04999999999995</v>
      </c>
      <c r="AJ201" s="10">
        <v>-762.25</v>
      </c>
      <c r="AK201" s="10">
        <v>-1747.14</v>
      </c>
      <c r="AL201" s="10">
        <v>-562.30999999999995</v>
      </c>
      <c r="AM201" s="10">
        <v>-651.41</v>
      </c>
      <c r="AN201" s="10">
        <v>0</v>
      </c>
      <c r="AO201" s="10">
        <v>-361.66</v>
      </c>
      <c r="AP201" s="10">
        <v>-624.88</v>
      </c>
      <c r="AQ201" s="10">
        <v>-531.12</v>
      </c>
      <c r="AR201" s="10">
        <v>-1120.73</v>
      </c>
      <c r="AS201" s="10">
        <v>-773.41</v>
      </c>
      <c r="AT201" s="10">
        <v>-711.75</v>
      </c>
      <c r="AU201" s="10">
        <f t="shared" si="20"/>
        <v>-21910.55</v>
      </c>
    </row>
    <row r="202" spans="1:47" x14ac:dyDescent="0.2">
      <c r="A202" s="15" t="s">
        <v>248</v>
      </c>
      <c r="B202" s="10">
        <v>-1544.29</v>
      </c>
      <c r="C202" s="10">
        <v>-280.18</v>
      </c>
      <c r="D202" s="10">
        <v>-320.99</v>
      </c>
      <c r="E202" s="10">
        <v>-1019.98</v>
      </c>
      <c r="F202" s="10">
        <v>-1351.34</v>
      </c>
      <c r="G202" s="10">
        <v>1654.09</v>
      </c>
      <c r="H202" s="10">
        <v>0</v>
      </c>
      <c r="I202" s="10">
        <v>-140.12</v>
      </c>
      <c r="J202" s="10">
        <v>-40.06</v>
      </c>
      <c r="K202" s="10">
        <v>-225.63</v>
      </c>
      <c r="L202" s="10">
        <v>-89.85</v>
      </c>
      <c r="M202" s="10">
        <v>-97.36</v>
      </c>
      <c r="N202" s="10">
        <v>-30</v>
      </c>
      <c r="O202" s="10">
        <v>0</v>
      </c>
      <c r="P202" s="10">
        <v>0</v>
      </c>
      <c r="Q202" s="10">
        <v>-49.18</v>
      </c>
      <c r="R202" s="10">
        <v>-109.92</v>
      </c>
      <c r="S202" s="10">
        <v>0</v>
      </c>
      <c r="T202" s="10">
        <v>-130.38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0">
        <v>0</v>
      </c>
      <c r="AM202" s="10">
        <v>0</v>
      </c>
      <c r="AN202" s="10">
        <v>0</v>
      </c>
      <c r="AO202" s="10">
        <v>0</v>
      </c>
      <c r="AP202" s="10">
        <v>0</v>
      </c>
      <c r="AQ202" s="10">
        <v>0</v>
      </c>
      <c r="AR202" s="10">
        <v>0</v>
      </c>
      <c r="AS202" s="10">
        <v>0</v>
      </c>
      <c r="AT202" s="10">
        <v>0</v>
      </c>
      <c r="AU202" s="10">
        <f t="shared" si="20"/>
        <v>-3775.1899999999996</v>
      </c>
    </row>
    <row r="203" spans="1:47" x14ac:dyDescent="0.2">
      <c r="A203" s="15" t="s">
        <v>249</v>
      </c>
      <c r="B203" s="10">
        <v>-1124.08</v>
      </c>
      <c r="C203" s="10">
        <v>-404.69</v>
      </c>
      <c r="D203" s="10">
        <v>-244.23</v>
      </c>
      <c r="E203" s="10">
        <v>-358.63</v>
      </c>
      <c r="F203" s="10">
        <v>-408.97</v>
      </c>
      <c r="G203" s="10">
        <v>-257.23</v>
      </c>
      <c r="H203" s="10">
        <v>-367.03</v>
      </c>
      <c r="I203" s="10">
        <v>-244.94</v>
      </c>
      <c r="J203" s="10">
        <v>-316.54000000000002</v>
      </c>
      <c r="K203" s="10">
        <v>-198.2</v>
      </c>
      <c r="L203" s="10">
        <v>-449.35</v>
      </c>
      <c r="M203" s="10">
        <v>-446.58</v>
      </c>
      <c r="N203" s="10">
        <v>122</v>
      </c>
      <c r="O203" s="10">
        <v>-476.96</v>
      </c>
      <c r="P203" s="10">
        <v>-275.36</v>
      </c>
      <c r="Q203" s="10">
        <v>-357.11</v>
      </c>
      <c r="R203" s="10">
        <v>-321.60000000000002</v>
      </c>
      <c r="S203" s="10">
        <v>-397.36</v>
      </c>
      <c r="T203" s="10">
        <v>-562.95000000000005</v>
      </c>
      <c r="U203" s="10">
        <v>-510.11</v>
      </c>
      <c r="V203" s="10">
        <v>-275.36</v>
      </c>
      <c r="W203" s="10">
        <v>-401.18</v>
      </c>
      <c r="X203" s="10">
        <v>-492.23</v>
      </c>
      <c r="Y203" s="10">
        <v>-452.36</v>
      </c>
      <c r="Z203" s="10">
        <v>-472.1</v>
      </c>
      <c r="AA203" s="10">
        <v>0</v>
      </c>
      <c r="AB203" s="10">
        <v>-529.30999999999995</v>
      </c>
      <c r="AC203" s="10">
        <v>-384.51</v>
      </c>
      <c r="AD203" s="10">
        <v>-356.39</v>
      </c>
      <c r="AE203" s="10">
        <v>-274.3</v>
      </c>
      <c r="AF203" s="10">
        <v>-533.03</v>
      </c>
      <c r="AG203" s="10">
        <v>-584.25</v>
      </c>
      <c r="AH203" s="10">
        <v>-517.45000000000005</v>
      </c>
      <c r="AI203" s="10">
        <v>-551.49</v>
      </c>
      <c r="AJ203" s="10">
        <v>-391.25</v>
      </c>
      <c r="AK203" s="10">
        <v>-1360.6</v>
      </c>
      <c r="AL203" s="10">
        <v>-428.89</v>
      </c>
      <c r="AM203" s="10">
        <v>-421.2</v>
      </c>
      <c r="AN203" s="10">
        <v>0</v>
      </c>
      <c r="AO203" s="10">
        <v>-439.69</v>
      </c>
      <c r="AP203" s="10">
        <v>-359.09</v>
      </c>
      <c r="AQ203" s="10">
        <v>-305.79000000000002</v>
      </c>
      <c r="AR203" s="10">
        <v>-761.15</v>
      </c>
      <c r="AS203" s="10">
        <v>-519</v>
      </c>
      <c r="AT203" s="10">
        <v>-296.70999999999998</v>
      </c>
      <c r="AU203" s="10">
        <f t="shared" si="20"/>
        <v>-18707.25</v>
      </c>
    </row>
    <row r="204" spans="1:47" x14ac:dyDescent="0.2">
      <c r="A204" s="15" t="s">
        <v>250</v>
      </c>
      <c r="B204" s="10">
        <v>0</v>
      </c>
      <c r="C204" s="10">
        <v>0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-0.01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10">
        <v>0.01</v>
      </c>
      <c r="AN204" s="10">
        <v>0</v>
      </c>
      <c r="AO204" s="10">
        <v>0</v>
      </c>
      <c r="AP204" s="10">
        <v>0</v>
      </c>
      <c r="AQ204" s="10">
        <v>0</v>
      </c>
      <c r="AR204" s="10">
        <v>0</v>
      </c>
      <c r="AS204" s="10">
        <v>0</v>
      </c>
      <c r="AT204" s="10">
        <v>0</v>
      </c>
      <c r="AU204" s="10">
        <f t="shared" si="20"/>
        <v>0</v>
      </c>
    </row>
    <row r="205" spans="1:47" x14ac:dyDescent="0.2">
      <c r="A205" s="15" t="s">
        <v>251</v>
      </c>
      <c r="B205" s="10">
        <v>0</v>
      </c>
      <c r="C205" s="10">
        <v>0</v>
      </c>
      <c r="D205" s="10">
        <v>0</v>
      </c>
      <c r="E205" s="10">
        <v>0</v>
      </c>
      <c r="F205" s="10">
        <v>-233.84</v>
      </c>
      <c r="G205" s="10">
        <v>0</v>
      </c>
      <c r="H205" s="10">
        <v>-924.58</v>
      </c>
      <c r="I205" s="10">
        <v>-753.87</v>
      </c>
      <c r="J205" s="10">
        <v>-1070.9100000000001</v>
      </c>
      <c r="K205" s="10">
        <v>-1133.25</v>
      </c>
      <c r="L205" s="10">
        <v>-751.36</v>
      </c>
      <c r="M205" s="10">
        <v>0</v>
      </c>
      <c r="N205" s="10">
        <v>0</v>
      </c>
      <c r="O205" s="10">
        <v>0</v>
      </c>
      <c r="P205" s="10">
        <v>-498.22</v>
      </c>
      <c r="Q205" s="10">
        <v>-162.51</v>
      </c>
      <c r="R205" s="10">
        <v>-313.08</v>
      </c>
      <c r="S205" s="10">
        <v>-29.37</v>
      </c>
      <c r="T205" s="10">
        <v>-226.64</v>
      </c>
      <c r="U205" s="10">
        <v>-462.52</v>
      </c>
      <c r="V205" s="10">
        <v>-764.66</v>
      </c>
      <c r="W205" s="10">
        <v>-194.54</v>
      </c>
      <c r="X205" s="10">
        <v>-379.21</v>
      </c>
      <c r="Y205" s="10">
        <v>-220.27</v>
      </c>
      <c r="Z205" s="10">
        <v>-522.84</v>
      </c>
      <c r="AA205" s="10">
        <v>0</v>
      </c>
      <c r="AB205" s="10">
        <v>-399.31</v>
      </c>
      <c r="AC205" s="10">
        <v>-1251.5</v>
      </c>
      <c r="AD205" s="10">
        <v>-198.47</v>
      </c>
      <c r="AE205" s="10">
        <v>-1230.51</v>
      </c>
      <c r="AF205" s="10">
        <v>-65.28</v>
      </c>
      <c r="AG205" s="10">
        <v>-1463.95</v>
      </c>
      <c r="AH205" s="10">
        <v>-2645.36</v>
      </c>
      <c r="AI205" s="10">
        <v>-286.3</v>
      </c>
      <c r="AJ205" s="10">
        <v>-743.79</v>
      </c>
      <c r="AK205" s="10">
        <v>-453.32</v>
      </c>
      <c r="AL205" s="10">
        <v>-192.98</v>
      </c>
      <c r="AM205" s="10">
        <v>-674.35</v>
      </c>
      <c r="AN205" s="10">
        <v>0</v>
      </c>
      <c r="AO205" s="10">
        <v>-974.41</v>
      </c>
      <c r="AP205" s="10">
        <v>-1425.45</v>
      </c>
      <c r="AQ205" s="10">
        <v>-460.39</v>
      </c>
      <c r="AR205" s="10">
        <v>-1914.9</v>
      </c>
      <c r="AS205" s="10">
        <v>-326.42</v>
      </c>
      <c r="AT205" s="10">
        <v>-1809.41</v>
      </c>
      <c r="AU205" s="10">
        <f t="shared" si="20"/>
        <v>-25157.769999999997</v>
      </c>
    </row>
    <row r="206" spans="1:47" x14ac:dyDescent="0.2">
      <c r="A206" s="13" t="s">
        <v>252</v>
      </c>
      <c r="B206" s="12">
        <f t="shared" ref="B206:AU206" si="21">SUM(B113:B205)</f>
        <v>-219374.71656800003</v>
      </c>
      <c r="C206" s="12">
        <f t="shared" si="21"/>
        <v>-217868.09526599993</v>
      </c>
      <c r="D206" s="12">
        <f t="shared" si="21"/>
        <v>-184930.93670299998</v>
      </c>
      <c r="E206" s="12">
        <f t="shared" si="21"/>
        <v>-104654.83917399996</v>
      </c>
      <c r="F206" s="12">
        <f t="shared" si="21"/>
        <v>-119420.876617</v>
      </c>
      <c r="G206" s="12">
        <f t="shared" si="21"/>
        <v>-125722.80282599994</v>
      </c>
      <c r="H206" s="12">
        <f t="shared" si="21"/>
        <v>-172975.46854499998</v>
      </c>
      <c r="I206" s="12">
        <f t="shared" si="21"/>
        <v>-120692.76753900002</v>
      </c>
      <c r="J206" s="12">
        <f t="shared" si="21"/>
        <v>-124799.56944000002</v>
      </c>
      <c r="K206" s="12">
        <f t="shared" si="21"/>
        <v>-198299.98723199998</v>
      </c>
      <c r="L206" s="12">
        <f t="shared" si="21"/>
        <v>-138669.88917599997</v>
      </c>
      <c r="M206" s="12">
        <f t="shared" si="21"/>
        <v>-352014.19472200004</v>
      </c>
      <c r="N206" s="12">
        <f t="shared" si="21"/>
        <v>2260</v>
      </c>
      <c r="O206" s="12">
        <f t="shared" si="21"/>
        <v>-156485.84824300001</v>
      </c>
      <c r="P206" s="12">
        <f t="shared" si="21"/>
        <v>-153369.800648</v>
      </c>
      <c r="Q206" s="12">
        <f t="shared" si="21"/>
        <v>-202611.11397799995</v>
      </c>
      <c r="R206" s="12">
        <f t="shared" si="21"/>
        <v>-197731.52343300002</v>
      </c>
      <c r="S206" s="12">
        <f t="shared" si="21"/>
        <v>-152155.99497499998</v>
      </c>
      <c r="T206" s="12">
        <f t="shared" si="21"/>
        <v>-151427.501552</v>
      </c>
      <c r="U206" s="12">
        <f t="shared" si="21"/>
        <v>-141417.266328</v>
      </c>
      <c r="V206" s="12">
        <f t="shared" si="21"/>
        <v>-143752.55214499999</v>
      </c>
      <c r="W206" s="12">
        <f t="shared" si="21"/>
        <v>-158471.33697800004</v>
      </c>
      <c r="X206" s="12">
        <f t="shared" si="21"/>
        <v>-221562.13078070001</v>
      </c>
      <c r="Y206" s="12">
        <f t="shared" si="21"/>
        <v>-194726.23386260995</v>
      </c>
      <c r="Z206" s="12">
        <f t="shared" si="21"/>
        <v>-343288.27462448756</v>
      </c>
      <c r="AA206" s="12">
        <f t="shared" si="21"/>
        <v>0</v>
      </c>
      <c r="AB206" s="12">
        <f t="shared" si="21"/>
        <v>-180780.53559371005</v>
      </c>
      <c r="AC206" s="12">
        <f t="shared" si="21"/>
        <v>-211125.91314128999</v>
      </c>
      <c r="AD206" s="12">
        <f t="shared" si="21"/>
        <v>-232280.39098807005</v>
      </c>
      <c r="AE206" s="12">
        <f t="shared" si="21"/>
        <v>-179494.61972407997</v>
      </c>
      <c r="AF206" s="12">
        <f t="shared" si="21"/>
        <v>-253187.34050998004</v>
      </c>
      <c r="AG206" s="12">
        <f t="shared" si="21"/>
        <v>-194700.19037427998</v>
      </c>
      <c r="AH206" s="12">
        <f t="shared" si="21"/>
        <v>-173556.81922112999</v>
      </c>
      <c r="AI206" s="12">
        <f t="shared" si="21"/>
        <v>-232312.02855119997</v>
      </c>
      <c r="AJ206" s="12">
        <f t="shared" si="21"/>
        <v>-217284.49537502998</v>
      </c>
      <c r="AK206" s="12">
        <f t="shared" si="21"/>
        <v>-334054.2253830501</v>
      </c>
      <c r="AL206" s="12">
        <f t="shared" si="21"/>
        <v>-302099.08739190997</v>
      </c>
      <c r="AM206" s="12">
        <f t="shared" si="21"/>
        <v>-633252.60408245982</v>
      </c>
      <c r="AN206" s="12">
        <f t="shared" si="21"/>
        <v>0</v>
      </c>
      <c r="AO206" s="12">
        <f t="shared" si="21"/>
        <v>-208619.85934537006</v>
      </c>
      <c r="AP206" s="12">
        <f t="shared" si="21"/>
        <v>-224146.68390719005</v>
      </c>
      <c r="AQ206" s="12">
        <f t="shared" si="21"/>
        <v>-302771.89597056003</v>
      </c>
      <c r="AR206" s="12">
        <f t="shared" si="21"/>
        <v>-250602.21600648997</v>
      </c>
      <c r="AS206" s="12">
        <f t="shared" si="21"/>
        <v>-76511.991838170026</v>
      </c>
      <c r="AT206" s="12">
        <f t="shared" si="21"/>
        <v>-255753.51900976003</v>
      </c>
      <c r="AU206" s="12">
        <f t="shared" si="21"/>
        <v>-8756698.137769524</v>
      </c>
    </row>
    <row r="207" spans="1:47" x14ac:dyDescent="0.2">
      <c r="A207" s="14" t="s">
        <v>253</v>
      </c>
      <c r="B207" s="12">
        <f t="shared" ref="B207:AU207" si="22">B102+B111+B206</f>
        <v>-1023200.123366</v>
      </c>
      <c r="C207" s="12">
        <f t="shared" si="22"/>
        <v>-1038455.9845789998</v>
      </c>
      <c r="D207" s="12">
        <f t="shared" si="22"/>
        <v>-743050.98740900005</v>
      </c>
      <c r="E207" s="12">
        <f t="shared" si="22"/>
        <v>-643380.30689400004</v>
      </c>
      <c r="F207" s="12">
        <f t="shared" si="22"/>
        <v>-641975.65775700007</v>
      </c>
      <c r="G207" s="12">
        <f t="shared" si="22"/>
        <v>-726794.68687799992</v>
      </c>
      <c r="H207" s="12">
        <f t="shared" si="22"/>
        <v>-905156.19865399983</v>
      </c>
      <c r="I207" s="12">
        <f t="shared" si="22"/>
        <v>-893013.73487500008</v>
      </c>
      <c r="J207" s="12">
        <f t="shared" si="22"/>
        <v>-773060.6328449999</v>
      </c>
      <c r="K207" s="12">
        <f t="shared" si="22"/>
        <v>-863302.00662999996</v>
      </c>
      <c r="L207" s="12">
        <f t="shared" si="22"/>
        <v>-878822.75127199991</v>
      </c>
      <c r="M207" s="12">
        <f t="shared" si="22"/>
        <v>-1125901.6564250002</v>
      </c>
      <c r="N207" s="12">
        <f t="shared" si="22"/>
        <v>2260</v>
      </c>
      <c r="O207" s="12">
        <f t="shared" si="22"/>
        <v>-998593.51787899993</v>
      </c>
      <c r="P207" s="12">
        <f t="shared" si="22"/>
        <v>-1007407.338768</v>
      </c>
      <c r="Q207" s="12">
        <f t="shared" si="22"/>
        <v>-997480.7864959999</v>
      </c>
      <c r="R207" s="12">
        <f t="shared" si="22"/>
        <v>-1074416.5851650001</v>
      </c>
      <c r="S207" s="12">
        <f t="shared" si="22"/>
        <v>-1028557.0301299999</v>
      </c>
      <c r="T207" s="12">
        <f t="shared" si="22"/>
        <v>-920685.86263200012</v>
      </c>
      <c r="U207" s="12">
        <f t="shared" si="22"/>
        <v>-1043240.7932019999</v>
      </c>
      <c r="V207" s="12">
        <f t="shared" si="22"/>
        <v>-1005003.91263</v>
      </c>
      <c r="W207" s="12">
        <f t="shared" si="22"/>
        <v>-1037366.8759859999</v>
      </c>
      <c r="X207" s="12">
        <f t="shared" si="22"/>
        <v>-1102951.0724333799</v>
      </c>
      <c r="Y207" s="12">
        <f t="shared" si="22"/>
        <v>-1119134.6225618101</v>
      </c>
      <c r="Z207" s="12">
        <f t="shared" si="22"/>
        <v>-818938.7778217576</v>
      </c>
      <c r="AA207" s="12">
        <f t="shared" si="22"/>
        <v>0</v>
      </c>
      <c r="AB207" s="12">
        <f t="shared" si="22"/>
        <v>-1058530.3683943499</v>
      </c>
      <c r="AC207" s="12">
        <f t="shared" si="22"/>
        <v>-1165273.7772700901</v>
      </c>
      <c r="AD207" s="12">
        <f t="shared" si="22"/>
        <v>-1083961.8846241501</v>
      </c>
      <c r="AE207" s="12">
        <f t="shared" si="22"/>
        <v>-1113474.65706982</v>
      </c>
      <c r="AF207" s="12">
        <f t="shared" si="22"/>
        <v>-1218403.4731983801</v>
      </c>
      <c r="AG207" s="12">
        <f t="shared" si="22"/>
        <v>-1178940.11270006</v>
      </c>
      <c r="AH207" s="12">
        <f t="shared" si="22"/>
        <v>-1124933.3863654002</v>
      </c>
      <c r="AI207" s="12">
        <f t="shared" si="22"/>
        <v>-1231037.37751598</v>
      </c>
      <c r="AJ207" s="12">
        <f t="shared" si="22"/>
        <v>-1478066.4018917601</v>
      </c>
      <c r="AK207" s="12">
        <f t="shared" si="22"/>
        <v>-1369665.24483117</v>
      </c>
      <c r="AL207" s="12">
        <f t="shared" si="22"/>
        <v>-1420788.3837741097</v>
      </c>
      <c r="AM207" s="12">
        <f t="shared" si="22"/>
        <v>-1890088.5631401739</v>
      </c>
      <c r="AN207" s="12">
        <f t="shared" si="22"/>
        <v>0</v>
      </c>
      <c r="AO207" s="12">
        <f t="shared" si="22"/>
        <v>-1119790.1186821503</v>
      </c>
      <c r="AP207" s="12">
        <f t="shared" si="22"/>
        <v>-1280681.2739543801</v>
      </c>
      <c r="AQ207" s="12">
        <f t="shared" si="22"/>
        <v>-1300875.1207266601</v>
      </c>
      <c r="AR207" s="12">
        <f t="shared" si="22"/>
        <v>-1457492.2402806899</v>
      </c>
      <c r="AS207" s="12">
        <f t="shared" si="22"/>
        <v>-1316066.5842008998</v>
      </c>
      <c r="AT207" s="12">
        <f t="shared" si="22"/>
        <v>-1686794.1700774399</v>
      </c>
      <c r="AU207" s="12">
        <f t="shared" si="22"/>
        <v>-45902495.041986614</v>
      </c>
    </row>
    <row r="208" spans="1:47" x14ac:dyDescent="0.2">
      <c r="A208" s="16" t="s">
        <v>254</v>
      </c>
      <c r="B208" s="12">
        <f t="shared" ref="B208:AU208" si="23">B71+B207</f>
        <v>-89155.222815999994</v>
      </c>
      <c r="C208" s="12">
        <f t="shared" si="23"/>
        <v>-139638.17245099985</v>
      </c>
      <c r="D208" s="12">
        <f t="shared" si="23"/>
        <v>177632.58211399999</v>
      </c>
      <c r="E208" s="12">
        <f t="shared" si="23"/>
        <v>87132.143105999916</v>
      </c>
      <c r="F208" s="12">
        <f t="shared" si="23"/>
        <v>5941.4002780000446</v>
      </c>
      <c r="G208" s="12">
        <f t="shared" si="23"/>
        <v>31477.698972000042</v>
      </c>
      <c r="H208" s="12">
        <f t="shared" si="23"/>
        <v>250710.13343600032</v>
      </c>
      <c r="I208" s="12">
        <f t="shared" si="23"/>
        <v>810.07812499976717</v>
      </c>
      <c r="J208" s="12">
        <f t="shared" si="23"/>
        <v>93942.6170150002</v>
      </c>
      <c r="K208" s="12">
        <f t="shared" si="23"/>
        <v>-42718.581614999915</v>
      </c>
      <c r="L208" s="12">
        <f t="shared" si="23"/>
        <v>30403.216968000284</v>
      </c>
      <c r="M208" s="12">
        <f t="shared" si="23"/>
        <v>96849.559285999741</v>
      </c>
      <c r="N208" s="12">
        <f t="shared" si="23"/>
        <v>2260</v>
      </c>
      <c r="O208" s="12">
        <f t="shared" si="23"/>
        <v>-38414.147247000015</v>
      </c>
      <c r="P208" s="12">
        <f t="shared" si="23"/>
        <v>-42188.21804800001</v>
      </c>
      <c r="Q208" s="12">
        <f t="shared" si="23"/>
        <v>254170.12674799981</v>
      </c>
      <c r="R208" s="12">
        <f t="shared" si="23"/>
        <v>70292.441240999615</v>
      </c>
      <c r="S208" s="12">
        <f t="shared" si="23"/>
        <v>1643.7445750001352</v>
      </c>
      <c r="T208" s="12">
        <f t="shared" si="23"/>
        <v>185289.88380799978</v>
      </c>
      <c r="U208" s="12">
        <f t="shared" si="23"/>
        <v>144960.92649700015</v>
      </c>
      <c r="V208" s="12">
        <f t="shared" si="23"/>
        <v>62969.213110999786</v>
      </c>
      <c r="W208" s="12">
        <f t="shared" si="23"/>
        <v>48487.617073000059</v>
      </c>
      <c r="X208" s="12">
        <f t="shared" si="23"/>
        <v>-5861.3982632798143</v>
      </c>
      <c r="Y208" s="12">
        <f t="shared" si="23"/>
        <v>209210.49720940972</v>
      </c>
      <c r="Z208" s="12">
        <f t="shared" si="23"/>
        <v>189961.82268226484</v>
      </c>
      <c r="AA208" s="12">
        <f t="shared" si="23"/>
        <v>0</v>
      </c>
      <c r="AB208" s="12">
        <f t="shared" si="23"/>
        <v>81576.114793160465</v>
      </c>
      <c r="AC208" s="12">
        <f t="shared" si="23"/>
        <v>179657.72135651996</v>
      </c>
      <c r="AD208" s="12">
        <f t="shared" si="23"/>
        <v>236687.73868002999</v>
      </c>
      <c r="AE208" s="12">
        <f t="shared" si="23"/>
        <v>133405.10153793008</v>
      </c>
      <c r="AF208" s="12">
        <f t="shared" si="23"/>
        <v>146790.30027126009</v>
      </c>
      <c r="AG208" s="12">
        <f t="shared" si="23"/>
        <v>165448.02222013962</v>
      </c>
      <c r="AH208" s="12">
        <f t="shared" si="23"/>
        <v>340754.46816242975</v>
      </c>
      <c r="AI208" s="12">
        <f t="shared" si="23"/>
        <v>294959.45868352009</v>
      </c>
      <c r="AJ208" s="12">
        <f t="shared" si="23"/>
        <v>-163669.79320909991</v>
      </c>
      <c r="AK208" s="12">
        <f t="shared" si="23"/>
        <v>450751.32360511972</v>
      </c>
      <c r="AL208" s="12">
        <f t="shared" si="23"/>
        <v>301069.52582700038</v>
      </c>
      <c r="AM208" s="12">
        <f t="shared" si="23"/>
        <v>-52989.73429333372</v>
      </c>
      <c r="AN208" s="12">
        <f t="shared" si="23"/>
        <v>0</v>
      </c>
      <c r="AO208" s="12">
        <f t="shared" si="23"/>
        <v>394057.02144199959</v>
      </c>
      <c r="AP208" s="12">
        <f t="shared" si="23"/>
        <v>210331.53006493975</v>
      </c>
      <c r="AQ208" s="12">
        <f t="shared" si="23"/>
        <v>687091.06018125964</v>
      </c>
      <c r="AR208" s="12">
        <f t="shared" si="23"/>
        <v>118388.17042496009</v>
      </c>
      <c r="AS208" s="12">
        <f t="shared" si="23"/>
        <v>260028.7818613702</v>
      </c>
      <c r="AT208" s="12">
        <f t="shared" si="23"/>
        <v>-92245.810811359901</v>
      </c>
      <c r="AU208" s="12">
        <f t="shared" si="23"/>
        <v>5278260.9626022503</v>
      </c>
    </row>
    <row r="209" spans="1:47" x14ac:dyDescent="0.2">
      <c r="A209" s="5" t="s">
        <v>255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</row>
    <row r="210" spans="1:47" x14ac:dyDescent="0.2">
      <c r="A210" s="6" t="s">
        <v>256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</row>
    <row r="211" spans="1:47" x14ac:dyDescent="0.2">
      <c r="A211" s="17" t="s">
        <v>257</v>
      </c>
      <c r="B211" s="10">
        <v>0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4.42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1.58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2.21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0">
        <v>0</v>
      </c>
      <c r="AN211" s="10">
        <v>0.79</v>
      </c>
      <c r="AO211" s="10">
        <v>0</v>
      </c>
      <c r="AP211" s="10">
        <v>0</v>
      </c>
      <c r="AQ211" s="10">
        <v>0</v>
      </c>
      <c r="AR211" s="10">
        <v>0</v>
      </c>
      <c r="AS211" s="10">
        <v>2.21</v>
      </c>
      <c r="AT211" s="10">
        <v>0</v>
      </c>
      <c r="AU211" s="10">
        <f>SUM(B211:AT211)</f>
        <v>11.21</v>
      </c>
    </row>
    <row r="212" spans="1:47" x14ac:dyDescent="0.2">
      <c r="A212" s="14" t="s">
        <v>258</v>
      </c>
      <c r="B212" s="12">
        <f t="shared" ref="B212:AU212" si="24">SUM(B211)</f>
        <v>0</v>
      </c>
      <c r="C212" s="12">
        <f t="shared" si="24"/>
        <v>0</v>
      </c>
      <c r="D212" s="12">
        <f t="shared" si="24"/>
        <v>0</v>
      </c>
      <c r="E212" s="12">
        <f t="shared" si="24"/>
        <v>0</v>
      </c>
      <c r="F212" s="12">
        <f t="shared" si="24"/>
        <v>0</v>
      </c>
      <c r="G212" s="12">
        <f t="shared" si="24"/>
        <v>0</v>
      </c>
      <c r="H212" s="12">
        <f t="shared" si="24"/>
        <v>0</v>
      </c>
      <c r="I212" s="12">
        <f t="shared" si="24"/>
        <v>0</v>
      </c>
      <c r="J212" s="12">
        <f t="shared" si="24"/>
        <v>0</v>
      </c>
      <c r="K212" s="12">
        <f t="shared" si="24"/>
        <v>0</v>
      </c>
      <c r="L212" s="12">
        <f t="shared" si="24"/>
        <v>0</v>
      </c>
      <c r="M212" s="12">
        <f t="shared" si="24"/>
        <v>0</v>
      </c>
      <c r="N212" s="12">
        <f t="shared" si="24"/>
        <v>0</v>
      </c>
      <c r="O212" s="12">
        <f t="shared" si="24"/>
        <v>0</v>
      </c>
      <c r="P212" s="12">
        <f t="shared" si="24"/>
        <v>0</v>
      </c>
      <c r="Q212" s="12">
        <f t="shared" si="24"/>
        <v>0</v>
      </c>
      <c r="R212" s="12">
        <f t="shared" si="24"/>
        <v>0</v>
      </c>
      <c r="S212" s="12">
        <f t="shared" si="24"/>
        <v>4.42</v>
      </c>
      <c r="T212" s="12">
        <f t="shared" si="24"/>
        <v>0</v>
      </c>
      <c r="U212" s="12">
        <f t="shared" si="24"/>
        <v>0</v>
      </c>
      <c r="V212" s="12">
        <f t="shared" si="24"/>
        <v>0</v>
      </c>
      <c r="W212" s="12">
        <f t="shared" si="24"/>
        <v>0</v>
      </c>
      <c r="X212" s="12">
        <f t="shared" si="24"/>
        <v>0</v>
      </c>
      <c r="Y212" s="12">
        <f t="shared" si="24"/>
        <v>0</v>
      </c>
      <c r="Z212" s="12">
        <f t="shared" si="24"/>
        <v>1.58</v>
      </c>
      <c r="AA212" s="12">
        <f t="shared" si="24"/>
        <v>0</v>
      </c>
      <c r="AB212" s="12">
        <f t="shared" si="24"/>
        <v>0</v>
      </c>
      <c r="AC212" s="12">
        <f t="shared" si="24"/>
        <v>0</v>
      </c>
      <c r="AD212" s="12">
        <f t="shared" si="24"/>
        <v>0</v>
      </c>
      <c r="AE212" s="12">
        <f t="shared" si="24"/>
        <v>0</v>
      </c>
      <c r="AF212" s="12">
        <f t="shared" si="24"/>
        <v>2.21</v>
      </c>
      <c r="AG212" s="12">
        <f t="shared" si="24"/>
        <v>0</v>
      </c>
      <c r="AH212" s="12">
        <f t="shared" si="24"/>
        <v>0</v>
      </c>
      <c r="AI212" s="12">
        <f t="shared" si="24"/>
        <v>0</v>
      </c>
      <c r="AJ212" s="12">
        <f t="shared" si="24"/>
        <v>0</v>
      </c>
      <c r="AK212" s="12">
        <f t="shared" si="24"/>
        <v>0</v>
      </c>
      <c r="AL212" s="12">
        <f t="shared" si="24"/>
        <v>0</v>
      </c>
      <c r="AM212" s="12">
        <f t="shared" si="24"/>
        <v>0</v>
      </c>
      <c r="AN212" s="12">
        <f t="shared" si="24"/>
        <v>0.79</v>
      </c>
      <c r="AO212" s="12">
        <f t="shared" si="24"/>
        <v>0</v>
      </c>
      <c r="AP212" s="12">
        <f t="shared" si="24"/>
        <v>0</v>
      </c>
      <c r="AQ212" s="12">
        <f t="shared" si="24"/>
        <v>0</v>
      </c>
      <c r="AR212" s="12">
        <f t="shared" si="24"/>
        <v>0</v>
      </c>
      <c r="AS212" s="12">
        <f t="shared" si="24"/>
        <v>2.21</v>
      </c>
      <c r="AT212" s="12">
        <f t="shared" si="24"/>
        <v>0</v>
      </c>
      <c r="AU212" s="12">
        <f t="shared" si="24"/>
        <v>11.21</v>
      </c>
    </row>
    <row r="213" spans="1:47" x14ac:dyDescent="0.2">
      <c r="A213" s="6" t="s">
        <v>259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</row>
    <row r="214" spans="1:47" x14ac:dyDescent="0.2">
      <c r="A214" s="17" t="s">
        <v>260</v>
      </c>
      <c r="B214" s="10">
        <v>139.22</v>
      </c>
      <c r="C214" s="10">
        <v>138.65</v>
      </c>
      <c r="D214" s="10">
        <v>138.08000000000001</v>
      </c>
      <c r="E214" s="10">
        <v>274.43</v>
      </c>
      <c r="F214" s="10">
        <v>137.97</v>
      </c>
      <c r="G214" s="10">
        <v>136.35</v>
      </c>
      <c r="H214" s="10">
        <v>374.76</v>
      </c>
      <c r="I214" s="10">
        <v>259.54000000000002</v>
      </c>
      <c r="J214" s="10">
        <v>134.62</v>
      </c>
      <c r="K214" s="10">
        <v>134.05000000000001</v>
      </c>
      <c r="L214" s="10">
        <v>133.47</v>
      </c>
      <c r="M214" s="10">
        <v>14837.19</v>
      </c>
      <c r="N214" s="10">
        <v>0</v>
      </c>
      <c r="O214" s="10">
        <v>0</v>
      </c>
      <c r="P214" s="10">
        <v>131.72</v>
      </c>
      <c r="Q214" s="10">
        <v>131.13999999999999</v>
      </c>
      <c r="R214" s="10">
        <v>130.56</v>
      </c>
      <c r="S214" s="10">
        <v>129.97</v>
      </c>
      <c r="T214" s="10">
        <v>129.38</v>
      </c>
      <c r="U214" s="10">
        <v>128.80000000000001</v>
      </c>
      <c r="V214" s="10">
        <v>128.21</v>
      </c>
      <c r="W214" s="10">
        <v>127.62</v>
      </c>
      <c r="X214" s="10">
        <v>127.03</v>
      </c>
      <c r="Y214" s="10">
        <v>126.44</v>
      </c>
      <c r="Z214" s="10">
        <v>18149.240000000002</v>
      </c>
      <c r="AA214" s="10">
        <v>0</v>
      </c>
      <c r="AB214" s="10">
        <v>1193.79</v>
      </c>
      <c r="AC214" s="10">
        <v>7492.6</v>
      </c>
      <c r="AD214" s="10">
        <v>782.53</v>
      </c>
      <c r="AE214" s="10">
        <v>122.68</v>
      </c>
      <c r="AF214" s="10">
        <v>1536.09</v>
      </c>
      <c r="AG214" s="10">
        <v>119.9</v>
      </c>
      <c r="AH214" s="10">
        <v>126.76</v>
      </c>
      <c r="AI214" s="10">
        <v>117.11</v>
      </c>
      <c r="AJ214" s="10">
        <v>669.77</v>
      </c>
      <c r="AK214" s="10">
        <v>13.23</v>
      </c>
      <c r="AL214" s="10">
        <v>738.3</v>
      </c>
      <c r="AM214" s="10">
        <v>28061.56</v>
      </c>
      <c r="AN214" s="10">
        <v>0</v>
      </c>
      <c r="AO214" s="10">
        <v>0</v>
      </c>
      <c r="AP214" s="10">
        <v>7992.95</v>
      </c>
      <c r="AQ214" s="10">
        <v>917.81</v>
      </c>
      <c r="AR214" s="10">
        <v>41.21</v>
      </c>
      <c r="AS214" s="10">
        <v>1021.64</v>
      </c>
      <c r="AT214" s="10">
        <v>566.30999999999995</v>
      </c>
      <c r="AU214" s="10">
        <f>SUM(B214:AT214)</f>
        <v>87792.680000000008</v>
      </c>
    </row>
    <row r="215" spans="1:47" x14ac:dyDescent="0.2">
      <c r="A215" s="17" t="s">
        <v>261</v>
      </c>
      <c r="B215" s="10">
        <v>0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4999.6499999999996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685.03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280.98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0</v>
      </c>
      <c r="AM215" s="10">
        <v>9046.92</v>
      </c>
      <c r="AN215" s="10">
        <v>0</v>
      </c>
      <c r="AO215" s="10">
        <v>0</v>
      </c>
      <c r="AP215" s="10">
        <v>0</v>
      </c>
      <c r="AQ215" s="10">
        <v>0</v>
      </c>
      <c r="AR215" s="10">
        <v>0</v>
      </c>
      <c r="AS215" s="10">
        <v>8338.7199999999993</v>
      </c>
      <c r="AT215" s="10">
        <v>40.25</v>
      </c>
      <c r="AU215" s="10">
        <f>SUM(B215:AT215)</f>
        <v>23391.55</v>
      </c>
    </row>
    <row r="216" spans="1:47" x14ac:dyDescent="0.2">
      <c r="A216" s="14" t="s">
        <v>262</v>
      </c>
      <c r="B216" s="12">
        <f t="shared" ref="B216:AU216" si="25">SUM(B214:B215)</f>
        <v>139.22</v>
      </c>
      <c r="C216" s="12">
        <f t="shared" si="25"/>
        <v>138.65</v>
      </c>
      <c r="D216" s="12">
        <f t="shared" si="25"/>
        <v>138.08000000000001</v>
      </c>
      <c r="E216" s="12">
        <f t="shared" si="25"/>
        <v>274.43</v>
      </c>
      <c r="F216" s="12">
        <f t="shared" si="25"/>
        <v>137.97</v>
      </c>
      <c r="G216" s="12">
        <f t="shared" si="25"/>
        <v>136.35</v>
      </c>
      <c r="H216" s="12">
        <f t="shared" si="25"/>
        <v>374.76</v>
      </c>
      <c r="I216" s="12">
        <f t="shared" si="25"/>
        <v>259.54000000000002</v>
      </c>
      <c r="J216" s="12">
        <f t="shared" si="25"/>
        <v>134.62</v>
      </c>
      <c r="K216" s="12">
        <f t="shared" si="25"/>
        <v>134.05000000000001</v>
      </c>
      <c r="L216" s="12">
        <f t="shared" si="25"/>
        <v>133.47</v>
      </c>
      <c r="M216" s="12">
        <f t="shared" si="25"/>
        <v>19836.84</v>
      </c>
      <c r="N216" s="12">
        <f t="shared" si="25"/>
        <v>0</v>
      </c>
      <c r="O216" s="12">
        <f t="shared" si="25"/>
        <v>0</v>
      </c>
      <c r="P216" s="12">
        <f t="shared" si="25"/>
        <v>131.72</v>
      </c>
      <c r="Q216" s="12">
        <f t="shared" si="25"/>
        <v>131.13999999999999</v>
      </c>
      <c r="R216" s="12">
        <f t="shared" si="25"/>
        <v>130.56</v>
      </c>
      <c r="S216" s="12">
        <f t="shared" si="25"/>
        <v>129.97</v>
      </c>
      <c r="T216" s="12">
        <f t="shared" si="25"/>
        <v>129.38</v>
      </c>
      <c r="U216" s="12">
        <f t="shared" si="25"/>
        <v>128.80000000000001</v>
      </c>
      <c r="V216" s="12">
        <f t="shared" si="25"/>
        <v>128.21</v>
      </c>
      <c r="W216" s="12">
        <f t="shared" si="25"/>
        <v>127.62</v>
      </c>
      <c r="X216" s="12">
        <f t="shared" si="25"/>
        <v>127.03</v>
      </c>
      <c r="Y216" s="12">
        <f t="shared" si="25"/>
        <v>126.44</v>
      </c>
      <c r="Z216" s="12">
        <f t="shared" si="25"/>
        <v>18834.27</v>
      </c>
      <c r="AA216" s="12">
        <f t="shared" si="25"/>
        <v>0</v>
      </c>
      <c r="AB216" s="12">
        <f t="shared" si="25"/>
        <v>1193.79</v>
      </c>
      <c r="AC216" s="12">
        <f t="shared" si="25"/>
        <v>7492.6</v>
      </c>
      <c r="AD216" s="12">
        <f t="shared" si="25"/>
        <v>782.53</v>
      </c>
      <c r="AE216" s="12">
        <f t="shared" si="25"/>
        <v>122.68</v>
      </c>
      <c r="AF216" s="12">
        <f t="shared" si="25"/>
        <v>1817.07</v>
      </c>
      <c r="AG216" s="12">
        <f t="shared" si="25"/>
        <v>119.9</v>
      </c>
      <c r="AH216" s="12">
        <f t="shared" si="25"/>
        <v>126.76</v>
      </c>
      <c r="AI216" s="12">
        <f t="shared" si="25"/>
        <v>117.11</v>
      </c>
      <c r="AJ216" s="12">
        <f t="shared" si="25"/>
        <v>669.77</v>
      </c>
      <c r="AK216" s="12">
        <f t="shared" si="25"/>
        <v>13.23</v>
      </c>
      <c r="AL216" s="12">
        <f t="shared" si="25"/>
        <v>738.3</v>
      </c>
      <c r="AM216" s="12">
        <f t="shared" si="25"/>
        <v>37108.480000000003</v>
      </c>
      <c r="AN216" s="12">
        <f t="shared" si="25"/>
        <v>0</v>
      </c>
      <c r="AO216" s="12">
        <f t="shared" si="25"/>
        <v>0</v>
      </c>
      <c r="AP216" s="12">
        <f t="shared" si="25"/>
        <v>7992.95</v>
      </c>
      <c r="AQ216" s="12">
        <f t="shared" si="25"/>
        <v>917.81</v>
      </c>
      <c r="AR216" s="12">
        <f t="shared" si="25"/>
        <v>41.21</v>
      </c>
      <c r="AS216" s="12">
        <f t="shared" si="25"/>
        <v>9360.3599999999988</v>
      </c>
      <c r="AT216" s="12">
        <f t="shared" si="25"/>
        <v>606.55999999999995</v>
      </c>
      <c r="AU216" s="12">
        <f t="shared" si="25"/>
        <v>111184.23000000001</v>
      </c>
    </row>
    <row r="217" spans="1:47" x14ac:dyDescent="0.2">
      <c r="A217" s="6" t="s">
        <v>263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</row>
    <row r="218" spans="1:47" x14ac:dyDescent="0.2">
      <c r="A218" s="17" t="s">
        <v>264</v>
      </c>
      <c r="B218" s="10">
        <v>0</v>
      </c>
      <c r="C218" s="10">
        <v>0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0">
        <v>0</v>
      </c>
      <c r="AM218" s="10">
        <v>-33</v>
      </c>
      <c r="AN218" s="10">
        <v>0</v>
      </c>
      <c r="AO218" s="10">
        <v>0</v>
      </c>
      <c r="AP218" s="10">
        <v>0</v>
      </c>
      <c r="AQ218" s="10">
        <v>0</v>
      </c>
      <c r="AR218" s="10">
        <v>0</v>
      </c>
      <c r="AS218" s="10">
        <v>0</v>
      </c>
      <c r="AT218" s="10">
        <v>0</v>
      </c>
      <c r="AU218" s="10">
        <f>SUM(B218:AT218)</f>
        <v>-33</v>
      </c>
    </row>
    <row r="219" spans="1:47" x14ac:dyDescent="0.2">
      <c r="A219" s="17" t="s">
        <v>265</v>
      </c>
      <c r="B219" s="10">
        <v>0</v>
      </c>
      <c r="C219" s="10">
        <v>0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-123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0">
        <v>45</v>
      </c>
      <c r="AN219" s="10">
        <v>0</v>
      </c>
      <c r="AO219" s="10">
        <v>0</v>
      </c>
      <c r="AP219" s="10">
        <v>436</v>
      </c>
      <c r="AQ219" s="10">
        <v>0</v>
      </c>
      <c r="AR219" s="10">
        <v>0</v>
      </c>
      <c r="AS219" s="10">
        <v>0</v>
      </c>
      <c r="AT219" s="10">
        <v>0</v>
      </c>
      <c r="AU219" s="10">
        <f>SUM(B219:AT219)</f>
        <v>358</v>
      </c>
    </row>
    <row r="220" spans="1:47" x14ac:dyDescent="0.2">
      <c r="A220" s="17" t="s">
        <v>266</v>
      </c>
      <c r="B220" s="10">
        <v>1268.98</v>
      </c>
      <c r="C220" s="10">
        <v>1404.22</v>
      </c>
      <c r="D220" s="10">
        <v>768.03</v>
      </c>
      <c r="E220" s="10">
        <v>739.82</v>
      </c>
      <c r="F220" s="10">
        <v>0</v>
      </c>
      <c r="G220" s="10">
        <v>582.07000000000005</v>
      </c>
      <c r="H220" s="10">
        <v>0</v>
      </c>
      <c r="I220" s="10">
        <v>240.77</v>
      </c>
      <c r="J220" s="10">
        <v>173.55</v>
      </c>
      <c r="K220" s="10">
        <v>370.66</v>
      </c>
      <c r="L220" s="10">
        <v>279.64999999999998</v>
      </c>
      <c r="M220" s="10">
        <v>-5189.1899999999996</v>
      </c>
      <c r="N220" s="10">
        <v>0</v>
      </c>
      <c r="O220" s="10">
        <v>1013.17</v>
      </c>
      <c r="P220" s="10">
        <v>3807.01</v>
      </c>
      <c r="Q220" s="10">
        <v>1730.82</v>
      </c>
      <c r="R220" s="10">
        <v>444.29</v>
      </c>
      <c r="S220" s="10">
        <v>1046.82</v>
      </c>
      <c r="T220" s="10">
        <v>0</v>
      </c>
      <c r="U220" s="10">
        <v>2417.5300000000002</v>
      </c>
      <c r="V220" s="10">
        <v>172.18</v>
      </c>
      <c r="W220" s="10">
        <v>0</v>
      </c>
      <c r="X220" s="10">
        <v>845.7</v>
      </c>
      <c r="Y220" s="10">
        <v>0</v>
      </c>
      <c r="Z220" s="10">
        <v>-11056.2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0">
        <v>238.96</v>
      </c>
      <c r="AN220" s="10">
        <v>0</v>
      </c>
      <c r="AO220" s="10">
        <v>0</v>
      </c>
      <c r="AP220" s="10">
        <v>0</v>
      </c>
      <c r="AQ220" s="10">
        <v>107.07</v>
      </c>
      <c r="AR220" s="10">
        <v>0</v>
      </c>
      <c r="AS220" s="10">
        <v>111.36</v>
      </c>
      <c r="AT220" s="10">
        <v>525.84</v>
      </c>
      <c r="AU220" s="10">
        <f>SUM(B220:AT220)</f>
        <v>2043.110000000001</v>
      </c>
    </row>
    <row r="221" spans="1:47" x14ac:dyDescent="0.2">
      <c r="A221" s="17" t="s">
        <v>267</v>
      </c>
      <c r="B221" s="10">
        <v>0</v>
      </c>
      <c r="C221" s="10">
        <v>0</v>
      </c>
      <c r="D221" s="10">
        <v>0</v>
      </c>
      <c r="E221" s="10">
        <v>0</v>
      </c>
      <c r="F221" s="10">
        <v>0</v>
      </c>
      <c r="G221" s="10">
        <v>1900.02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1900.02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1900.02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1900.02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1900.02</v>
      </c>
      <c r="AH221" s="10">
        <v>0</v>
      </c>
      <c r="AI221" s="10">
        <v>316.67</v>
      </c>
      <c r="AJ221" s="10">
        <v>0</v>
      </c>
      <c r="AK221" s="10">
        <v>0</v>
      </c>
      <c r="AL221" s="10">
        <v>0</v>
      </c>
      <c r="AM221" s="10">
        <v>0</v>
      </c>
      <c r="AN221" s="10">
        <v>0</v>
      </c>
      <c r="AO221" s="10">
        <v>0</v>
      </c>
      <c r="AP221" s="10">
        <v>0</v>
      </c>
      <c r="AQ221" s="10">
        <v>0</v>
      </c>
      <c r="AR221" s="10">
        <v>0</v>
      </c>
      <c r="AS221" s="10">
        <v>0</v>
      </c>
      <c r="AT221" s="10">
        <v>0</v>
      </c>
      <c r="AU221" s="10">
        <f>SUM(B221:AT221)</f>
        <v>9816.77</v>
      </c>
    </row>
    <row r="222" spans="1:47" x14ac:dyDescent="0.2">
      <c r="A222" s="14" t="s">
        <v>268</v>
      </c>
      <c r="B222" s="12">
        <f t="shared" ref="B222:AU222" si="26">SUM(B218:B221)</f>
        <v>1268.98</v>
      </c>
      <c r="C222" s="12">
        <f t="shared" si="26"/>
        <v>1404.22</v>
      </c>
      <c r="D222" s="12">
        <f t="shared" si="26"/>
        <v>768.03</v>
      </c>
      <c r="E222" s="12">
        <f t="shared" si="26"/>
        <v>739.82</v>
      </c>
      <c r="F222" s="12">
        <f t="shared" si="26"/>
        <v>0</v>
      </c>
      <c r="G222" s="12">
        <f t="shared" si="26"/>
        <v>2482.09</v>
      </c>
      <c r="H222" s="12">
        <f t="shared" si="26"/>
        <v>0</v>
      </c>
      <c r="I222" s="12">
        <f t="shared" si="26"/>
        <v>240.77</v>
      </c>
      <c r="J222" s="12">
        <f t="shared" si="26"/>
        <v>173.55</v>
      </c>
      <c r="K222" s="12">
        <f t="shared" si="26"/>
        <v>370.66</v>
      </c>
      <c r="L222" s="12">
        <f t="shared" si="26"/>
        <v>156.64999999999998</v>
      </c>
      <c r="M222" s="12">
        <f t="shared" si="26"/>
        <v>-3289.1699999999996</v>
      </c>
      <c r="N222" s="12">
        <f t="shared" si="26"/>
        <v>0</v>
      </c>
      <c r="O222" s="12">
        <f t="shared" si="26"/>
        <v>1013.17</v>
      </c>
      <c r="P222" s="12">
        <f t="shared" si="26"/>
        <v>3807.01</v>
      </c>
      <c r="Q222" s="12">
        <f t="shared" si="26"/>
        <v>1730.82</v>
      </c>
      <c r="R222" s="12">
        <f t="shared" si="26"/>
        <v>444.29</v>
      </c>
      <c r="S222" s="12">
        <f t="shared" si="26"/>
        <v>1046.82</v>
      </c>
      <c r="T222" s="12">
        <f t="shared" si="26"/>
        <v>1900.02</v>
      </c>
      <c r="U222" s="12">
        <f t="shared" si="26"/>
        <v>2417.5300000000002</v>
      </c>
      <c r="V222" s="12">
        <f t="shared" si="26"/>
        <v>172.18</v>
      </c>
      <c r="W222" s="12">
        <f t="shared" si="26"/>
        <v>0</v>
      </c>
      <c r="X222" s="12">
        <f t="shared" si="26"/>
        <v>845.7</v>
      </c>
      <c r="Y222" s="12">
        <f t="shared" si="26"/>
        <v>0</v>
      </c>
      <c r="Z222" s="12">
        <f t="shared" si="26"/>
        <v>-9156.18</v>
      </c>
      <c r="AA222" s="12">
        <f t="shared" si="26"/>
        <v>0</v>
      </c>
      <c r="AB222" s="12">
        <f t="shared" si="26"/>
        <v>0</v>
      </c>
      <c r="AC222" s="12">
        <f t="shared" si="26"/>
        <v>0</v>
      </c>
      <c r="AD222" s="12">
        <f t="shared" si="26"/>
        <v>0</v>
      </c>
      <c r="AE222" s="12">
        <f t="shared" si="26"/>
        <v>0</v>
      </c>
      <c r="AF222" s="12">
        <f t="shared" si="26"/>
        <v>0</v>
      </c>
      <c r="AG222" s="12">
        <f t="shared" si="26"/>
        <v>1900.02</v>
      </c>
      <c r="AH222" s="12">
        <f t="shared" si="26"/>
        <v>0</v>
      </c>
      <c r="AI222" s="12">
        <f t="shared" si="26"/>
        <v>316.67</v>
      </c>
      <c r="AJ222" s="12">
        <f t="shared" si="26"/>
        <v>0</v>
      </c>
      <c r="AK222" s="12">
        <f t="shared" si="26"/>
        <v>0</v>
      </c>
      <c r="AL222" s="12">
        <f t="shared" si="26"/>
        <v>0</v>
      </c>
      <c r="AM222" s="12">
        <f t="shared" si="26"/>
        <v>250.96</v>
      </c>
      <c r="AN222" s="12">
        <f t="shared" si="26"/>
        <v>0</v>
      </c>
      <c r="AO222" s="12">
        <f t="shared" si="26"/>
        <v>0</v>
      </c>
      <c r="AP222" s="12">
        <f t="shared" si="26"/>
        <v>436</v>
      </c>
      <c r="AQ222" s="12">
        <f t="shared" si="26"/>
        <v>107.07</v>
      </c>
      <c r="AR222" s="12">
        <f t="shared" si="26"/>
        <v>0</v>
      </c>
      <c r="AS222" s="12">
        <f t="shared" si="26"/>
        <v>111.36</v>
      </c>
      <c r="AT222" s="12">
        <f t="shared" si="26"/>
        <v>525.84</v>
      </c>
      <c r="AU222" s="12">
        <f t="shared" si="26"/>
        <v>12184.880000000001</v>
      </c>
    </row>
    <row r="223" spans="1:47" x14ac:dyDescent="0.2">
      <c r="A223" s="6" t="s">
        <v>269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</row>
    <row r="224" spans="1:47" x14ac:dyDescent="0.2">
      <c r="A224" s="17" t="s">
        <v>270</v>
      </c>
      <c r="B224" s="10">
        <v>0</v>
      </c>
      <c r="C224" s="10">
        <v>0</v>
      </c>
      <c r="D224" s="10">
        <v>0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13886.696488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2839.7654664000002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0">
        <v>-112.8779756</v>
      </c>
      <c r="AN224" s="10">
        <v>0</v>
      </c>
      <c r="AO224" s="10">
        <v>0</v>
      </c>
      <c r="AP224" s="10">
        <v>0</v>
      </c>
      <c r="AQ224" s="10">
        <v>0</v>
      </c>
      <c r="AR224" s="10">
        <v>0</v>
      </c>
      <c r="AS224" s="10">
        <v>0</v>
      </c>
      <c r="AT224" s="10">
        <v>0</v>
      </c>
      <c r="AU224" s="10">
        <f>SUM(B224:AT224)</f>
        <v>16613.583978800001</v>
      </c>
    </row>
    <row r="225" spans="1:47" x14ac:dyDescent="0.2">
      <c r="A225" s="17" t="s">
        <v>271</v>
      </c>
      <c r="B225" s="10">
        <v>-470.64</v>
      </c>
      <c r="C225" s="10">
        <v>0</v>
      </c>
      <c r="D225" s="10">
        <v>0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-561.27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-168</v>
      </c>
      <c r="AI225" s="10">
        <v>0</v>
      </c>
      <c r="AJ225" s="10">
        <v>0</v>
      </c>
      <c r="AK225" s="10">
        <v>0</v>
      </c>
      <c r="AL225" s="10">
        <v>0</v>
      </c>
      <c r="AM225" s="10">
        <v>168</v>
      </c>
      <c r="AN225" s="10">
        <v>0</v>
      </c>
      <c r="AO225" s="10">
        <v>0</v>
      </c>
      <c r="AP225" s="10">
        <v>-12</v>
      </c>
      <c r="AQ225" s="10">
        <v>0</v>
      </c>
      <c r="AR225" s="10">
        <v>-72</v>
      </c>
      <c r="AS225" s="10">
        <v>-240</v>
      </c>
      <c r="AT225" s="10">
        <v>0</v>
      </c>
      <c r="AU225" s="10">
        <f>SUM(B225:AT225)</f>
        <v>-1355.9099999999999</v>
      </c>
    </row>
    <row r="226" spans="1:47" x14ac:dyDescent="0.2">
      <c r="A226" s="17" t="s">
        <v>272</v>
      </c>
      <c r="B226" s="10">
        <v>0</v>
      </c>
      <c r="C226" s="10">
        <v>0</v>
      </c>
      <c r="D226" s="10">
        <v>0</v>
      </c>
      <c r="E226" s="10">
        <v>0</v>
      </c>
      <c r="F226" s="10">
        <v>0</v>
      </c>
      <c r="G226" s="10">
        <v>-16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0">
        <v>0</v>
      </c>
      <c r="AM226" s="10">
        <v>0</v>
      </c>
      <c r="AN226" s="10">
        <v>0</v>
      </c>
      <c r="AO226" s="10">
        <v>0</v>
      </c>
      <c r="AP226" s="10">
        <v>0</v>
      </c>
      <c r="AQ226" s="10">
        <v>0</v>
      </c>
      <c r="AR226" s="10">
        <v>0</v>
      </c>
      <c r="AS226" s="10">
        <v>0</v>
      </c>
      <c r="AT226" s="10">
        <v>0</v>
      </c>
      <c r="AU226" s="10">
        <f>SUM(B226:AT226)</f>
        <v>-16</v>
      </c>
    </row>
    <row r="227" spans="1:47" x14ac:dyDescent="0.2">
      <c r="A227" s="17" t="s">
        <v>273</v>
      </c>
      <c r="B227" s="10">
        <v>0</v>
      </c>
      <c r="C227" s="10">
        <v>0</v>
      </c>
      <c r="D227" s="10">
        <v>0</v>
      </c>
      <c r="E227" s="10">
        <v>0</v>
      </c>
      <c r="F227" s="10">
        <v>0</v>
      </c>
      <c r="G227" s="10">
        <v>-1900.02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-1900.02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-1900.02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-1900.02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-1900.02</v>
      </c>
      <c r="AH227" s="10">
        <v>0</v>
      </c>
      <c r="AI227" s="10">
        <v>-316.67</v>
      </c>
      <c r="AJ227" s="10">
        <v>0</v>
      </c>
      <c r="AK227" s="10">
        <v>0</v>
      </c>
      <c r="AL227" s="10">
        <v>0</v>
      </c>
      <c r="AM227" s="10">
        <v>0</v>
      </c>
      <c r="AN227" s="10">
        <v>0</v>
      </c>
      <c r="AO227" s="10">
        <v>0</v>
      </c>
      <c r="AP227" s="10">
        <v>0</v>
      </c>
      <c r="AQ227" s="10">
        <v>0</v>
      </c>
      <c r="AR227" s="10">
        <v>0</v>
      </c>
      <c r="AS227" s="10">
        <v>0</v>
      </c>
      <c r="AT227" s="10">
        <v>0</v>
      </c>
      <c r="AU227" s="10">
        <f>SUM(B227:AT227)</f>
        <v>-9816.77</v>
      </c>
    </row>
    <row r="228" spans="1:47" x14ac:dyDescent="0.2">
      <c r="A228" s="14" t="s">
        <v>274</v>
      </c>
      <c r="B228" s="12">
        <f t="shared" ref="B228:AU228" si="27">SUM(B224:B227)</f>
        <v>-470.64</v>
      </c>
      <c r="C228" s="12">
        <f t="shared" si="27"/>
        <v>0</v>
      </c>
      <c r="D228" s="12">
        <f t="shared" si="27"/>
        <v>0</v>
      </c>
      <c r="E228" s="12">
        <f t="shared" si="27"/>
        <v>0</v>
      </c>
      <c r="F228" s="12">
        <f t="shared" si="27"/>
        <v>0</v>
      </c>
      <c r="G228" s="12">
        <f t="shared" si="27"/>
        <v>-1916.02</v>
      </c>
      <c r="H228" s="12">
        <f t="shared" si="27"/>
        <v>0</v>
      </c>
      <c r="I228" s="12">
        <f t="shared" si="27"/>
        <v>0</v>
      </c>
      <c r="J228" s="12">
        <f t="shared" si="27"/>
        <v>0</v>
      </c>
      <c r="K228" s="12">
        <f t="shared" si="27"/>
        <v>0</v>
      </c>
      <c r="L228" s="12">
        <f t="shared" si="27"/>
        <v>0</v>
      </c>
      <c r="M228" s="12">
        <f t="shared" si="27"/>
        <v>11425.406487999999</v>
      </c>
      <c r="N228" s="12">
        <f t="shared" si="27"/>
        <v>0</v>
      </c>
      <c r="O228" s="12">
        <f t="shared" si="27"/>
        <v>0</v>
      </c>
      <c r="P228" s="12">
        <f t="shared" si="27"/>
        <v>0</v>
      </c>
      <c r="Q228" s="12">
        <f t="shared" si="27"/>
        <v>0</v>
      </c>
      <c r="R228" s="12">
        <f t="shared" si="27"/>
        <v>0</v>
      </c>
      <c r="S228" s="12">
        <f t="shared" si="27"/>
        <v>0</v>
      </c>
      <c r="T228" s="12">
        <f t="shared" si="27"/>
        <v>-1900.02</v>
      </c>
      <c r="U228" s="12">
        <f t="shared" si="27"/>
        <v>0</v>
      </c>
      <c r="V228" s="12">
        <f t="shared" si="27"/>
        <v>0</v>
      </c>
      <c r="W228" s="12">
        <f t="shared" si="27"/>
        <v>0</v>
      </c>
      <c r="X228" s="12">
        <f t="shared" si="27"/>
        <v>0</v>
      </c>
      <c r="Y228" s="12">
        <f t="shared" si="27"/>
        <v>0</v>
      </c>
      <c r="Z228" s="12">
        <f t="shared" si="27"/>
        <v>939.74546640000017</v>
      </c>
      <c r="AA228" s="12">
        <f t="shared" si="27"/>
        <v>0</v>
      </c>
      <c r="AB228" s="12">
        <f t="shared" si="27"/>
        <v>0</v>
      </c>
      <c r="AC228" s="12">
        <f t="shared" si="27"/>
        <v>0</v>
      </c>
      <c r="AD228" s="12">
        <f t="shared" si="27"/>
        <v>0</v>
      </c>
      <c r="AE228" s="12">
        <f t="shared" si="27"/>
        <v>0</v>
      </c>
      <c r="AF228" s="12">
        <f t="shared" si="27"/>
        <v>0</v>
      </c>
      <c r="AG228" s="12">
        <f t="shared" si="27"/>
        <v>-1900.02</v>
      </c>
      <c r="AH228" s="12">
        <f t="shared" si="27"/>
        <v>-168</v>
      </c>
      <c r="AI228" s="12">
        <f t="shared" si="27"/>
        <v>-316.67</v>
      </c>
      <c r="AJ228" s="12">
        <f t="shared" si="27"/>
        <v>0</v>
      </c>
      <c r="AK228" s="12">
        <f t="shared" si="27"/>
        <v>0</v>
      </c>
      <c r="AL228" s="12">
        <f t="shared" si="27"/>
        <v>0</v>
      </c>
      <c r="AM228" s="12">
        <f t="shared" si="27"/>
        <v>55.122024400000001</v>
      </c>
      <c r="AN228" s="12">
        <f t="shared" si="27"/>
        <v>0</v>
      </c>
      <c r="AO228" s="12">
        <f t="shared" si="27"/>
        <v>0</v>
      </c>
      <c r="AP228" s="12">
        <f t="shared" si="27"/>
        <v>-12</v>
      </c>
      <c r="AQ228" s="12">
        <f t="shared" si="27"/>
        <v>0</v>
      </c>
      <c r="AR228" s="12">
        <f t="shared" si="27"/>
        <v>-72</v>
      </c>
      <c r="AS228" s="12">
        <f t="shared" si="27"/>
        <v>-240</v>
      </c>
      <c r="AT228" s="12">
        <f t="shared" si="27"/>
        <v>0</v>
      </c>
      <c r="AU228" s="12">
        <f t="shared" si="27"/>
        <v>5424.9039788000009</v>
      </c>
    </row>
    <row r="229" spans="1:47" x14ac:dyDescent="0.2">
      <c r="A229" s="16" t="s">
        <v>275</v>
      </c>
      <c r="B229" s="12">
        <f t="shared" ref="B229:AU229" si="28">B212+B216+B222+0+B228</f>
        <v>937.56000000000006</v>
      </c>
      <c r="C229" s="12">
        <f t="shared" si="28"/>
        <v>1542.8700000000001</v>
      </c>
      <c r="D229" s="12">
        <f t="shared" si="28"/>
        <v>906.11</v>
      </c>
      <c r="E229" s="12">
        <f t="shared" si="28"/>
        <v>1014.25</v>
      </c>
      <c r="F229" s="12">
        <f t="shared" si="28"/>
        <v>137.97</v>
      </c>
      <c r="G229" s="12">
        <f t="shared" si="28"/>
        <v>702.42000000000007</v>
      </c>
      <c r="H229" s="12">
        <f t="shared" si="28"/>
        <v>374.76</v>
      </c>
      <c r="I229" s="12">
        <f t="shared" si="28"/>
        <v>500.31000000000006</v>
      </c>
      <c r="J229" s="12">
        <f t="shared" si="28"/>
        <v>308.17</v>
      </c>
      <c r="K229" s="12">
        <f t="shared" si="28"/>
        <v>504.71000000000004</v>
      </c>
      <c r="L229" s="12">
        <f t="shared" si="28"/>
        <v>290.12</v>
      </c>
      <c r="M229" s="12">
        <f t="shared" si="28"/>
        <v>27973.076487999999</v>
      </c>
      <c r="N229" s="12">
        <f t="shared" si="28"/>
        <v>0</v>
      </c>
      <c r="O229" s="12">
        <f t="shared" si="28"/>
        <v>1013.17</v>
      </c>
      <c r="P229" s="12">
        <f t="shared" si="28"/>
        <v>3938.73</v>
      </c>
      <c r="Q229" s="12">
        <f t="shared" si="28"/>
        <v>1861.96</v>
      </c>
      <c r="R229" s="12">
        <f t="shared" si="28"/>
        <v>574.85</v>
      </c>
      <c r="S229" s="12">
        <f t="shared" si="28"/>
        <v>1181.21</v>
      </c>
      <c r="T229" s="12">
        <f t="shared" si="28"/>
        <v>129.38000000000011</v>
      </c>
      <c r="U229" s="12">
        <f t="shared" si="28"/>
        <v>2546.3300000000004</v>
      </c>
      <c r="V229" s="12">
        <f t="shared" si="28"/>
        <v>300.39</v>
      </c>
      <c r="W229" s="12">
        <f t="shared" si="28"/>
        <v>127.62</v>
      </c>
      <c r="X229" s="12">
        <f t="shared" si="28"/>
        <v>972.73</v>
      </c>
      <c r="Y229" s="12">
        <f t="shared" si="28"/>
        <v>126.44</v>
      </c>
      <c r="Z229" s="12">
        <f t="shared" si="28"/>
        <v>10619.415466400002</v>
      </c>
      <c r="AA229" s="12">
        <f t="shared" si="28"/>
        <v>0</v>
      </c>
      <c r="AB229" s="12">
        <f t="shared" si="28"/>
        <v>1193.79</v>
      </c>
      <c r="AC229" s="12">
        <f t="shared" si="28"/>
        <v>7492.6</v>
      </c>
      <c r="AD229" s="12">
        <f t="shared" si="28"/>
        <v>782.53</v>
      </c>
      <c r="AE229" s="12">
        <f t="shared" si="28"/>
        <v>122.68</v>
      </c>
      <c r="AF229" s="12">
        <f t="shared" si="28"/>
        <v>1819.28</v>
      </c>
      <c r="AG229" s="12">
        <f t="shared" si="28"/>
        <v>119.90000000000009</v>
      </c>
      <c r="AH229" s="12">
        <f t="shared" si="28"/>
        <v>-41.239999999999995</v>
      </c>
      <c r="AI229" s="12">
        <f t="shared" si="28"/>
        <v>117.11000000000001</v>
      </c>
      <c r="AJ229" s="12">
        <f t="shared" si="28"/>
        <v>669.77</v>
      </c>
      <c r="AK229" s="12">
        <f t="shared" si="28"/>
        <v>13.23</v>
      </c>
      <c r="AL229" s="12">
        <f t="shared" si="28"/>
        <v>738.3</v>
      </c>
      <c r="AM229" s="12">
        <f t="shared" si="28"/>
        <v>37414.562024400002</v>
      </c>
      <c r="AN229" s="12">
        <f t="shared" si="28"/>
        <v>0.79</v>
      </c>
      <c r="AO229" s="12">
        <f t="shared" si="28"/>
        <v>0</v>
      </c>
      <c r="AP229" s="12">
        <f t="shared" si="28"/>
        <v>8416.9500000000007</v>
      </c>
      <c r="AQ229" s="12">
        <f t="shared" si="28"/>
        <v>1024.8799999999999</v>
      </c>
      <c r="AR229" s="12">
        <f t="shared" si="28"/>
        <v>-30.79</v>
      </c>
      <c r="AS229" s="12">
        <f t="shared" si="28"/>
        <v>9233.9299999999985</v>
      </c>
      <c r="AT229" s="12">
        <f t="shared" si="28"/>
        <v>1132.4000000000001</v>
      </c>
      <c r="AU229" s="12">
        <f t="shared" si="28"/>
        <v>128805.22397880003</v>
      </c>
    </row>
    <row r="230" spans="1:47" x14ac:dyDescent="0.2">
      <c r="A230" s="5" t="s">
        <v>276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</row>
    <row r="231" spans="1:47" x14ac:dyDescent="0.2">
      <c r="A231" s="18" t="s">
        <v>277</v>
      </c>
      <c r="B231" s="10">
        <v>-24</v>
      </c>
      <c r="C231" s="10">
        <v>-20.170000000000002</v>
      </c>
      <c r="D231" s="10">
        <v>-12.19</v>
      </c>
      <c r="E231" s="10">
        <v>-8.8000000000000007</v>
      </c>
      <c r="F231" s="10">
        <v>-1.89</v>
      </c>
      <c r="G231" s="10">
        <v>-1.76</v>
      </c>
      <c r="H231" s="10">
        <v>-1.42</v>
      </c>
      <c r="I231" s="10">
        <v>-5</v>
      </c>
      <c r="J231" s="10">
        <v>-7.89</v>
      </c>
      <c r="K231" s="10">
        <v>-5.08</v>
      </c>
      <c r="L231" s="10">
        <v>-3.83</v>
      </c>
      <c r="M231" s="10">
        <v>-89.22</v>
      </c>
      <c r="N231" s="10">
        <v>0</v>
      </c>
      <c r="O231" s="10">
        <v>-13.92</v>
      </c>
      <c r="P231" s="10">
        <v>-33.590000000000003</v>
      </c>
      <c r="Q231" s="10">
        <v>-11.55</v>
      </c>
      <c r="R231" s="10">
        <v>-1.78</v>
      </c>
      <c r="S231" s="10">
        <v>-7.28</v>
      </c>
      <c r="T231" s="10">
        <v>0</v>
      </c>
      <c r="U231" s="10">
        <v>-27.79</v>
      </c>
      <c r="V231" s="10">
        <v>-2.35</v>
      </c>
      <c r="W231" s="10">
        <v>0</v>
      </c>
      <c r="X231" s="10">
        <v>-11.61</v>
      </c>
      <c r="Y231" s="10">
        <v>0</v>
      </c>
      <c r="Z231" s="10">
        <v>-45.23</v>
      </c>
      <c r="AA231" s="10">
        <v>0</v>
      </c>
      <c r="AB231" s="10">
        <v>-16.41</v>
      </c>
      <c r="AC231" s="10">
        <v>-70.709999999999994</v>
      </c>
      <c r="AD231" s="10">
        <v>-9.0500000000000007</v>
      </c>
      <c r="AE231" s="10">
        <v>0</v>
      </c>
      <c r="AF231" s="10">
        <v>-11.06</v>
      </c>
      <c r="AG231" s="10">
        <v>0</v>
      </c>
      <c r="AH231" s="10">
        <v>-0.11</v>
      </c>
      <c r="AI231" s="10">
        <v>0</v>
      </c>
      <c r="AJ231" s="10">
        <v>-6.03</v>
      </c>
      <c r="AK231" s="10">
        <v>-0.18</v>
      </c>
      <c r="AL231" s="10">
        <v>-8.59</v>
      </c>
      <c r="AM231" s="10">
        <v>-42.28</v>
      </c>
      <c r="AN231" s="10">
        <v>-0.04</v>
      </c>
      <c r="AO231" s="10">
        <v>0</v>
      </c>
      <c r="AP231" s="10">
        <v>-76.11</v>
      </c>
      <c r="AQ231" s="10">
        <v>-10.45</v>
      </c>
      <c r="AR231" s="10">
        <v>-0.56000000000000005</v>
      </c>
      <c r="AS231" s="10">
        <v>-106.06</v>
      </c>
      <c r="AT231" s="10">
        <v>-14.59</v>
      </c>
      <c r="AU231" s="10">
        <f t="shared" ref="AU231:AU239" si="29">SUM(B231:AT231)</f>
        <v>-708.58</v>
      </c>
    </row>
    <row r="232" spans="1:47" x14ac:dyDescent="0.2">
      <c r="A232" s="18" t="s">
        <v>278</v>
      </c>
      <c r="B232" s="10">
        <v>0</v>
      </c>
      <c r="C232" s="10">
        <v>0</v>
      </c>
      <c r="D232" s="10">
        <v>0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-1617.27</v>
      </c>
      <c r="M232" s="10">
        <v>1612.23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-299.88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-1.07</v>
      </c>
      <c r="AI232" s="10">
        <v>0</v>
      </c>
      <c r="AJ232" s="10">
        <v>0</v>
      </c>
      <c r="AK232" s="10">
        <v>0</v>
      </c>
      <c r="AL232" s="10">
        <v>0</v>
      </c>
      <c r="AM232" s="10">
        <v>-743.31</v>
      </c>
      <c r="AN232" s="10">
        <v>0</v>
      </c>
      <c r="AO232" s="10">
        <v>0</v>
      </c>
      <c r="AP232" s="10">
        <v>0</v>
      </c>
      <c r="AQ232" s="10">
        <v>0</v>
      </c>
      <c r="AR232" s="10">
        <v>0</v>
      </c>
      <c r="AS232" s="10">
        <v>0</v>
      </c>
      <c r="AT232" s="10">
        <v>0</v>
      </c>
      <c r="AU232" s="10">
        <f t="shared" si="29"/>
        <v>-1049.3</v>
      </c>
    </row>
    <row r="233" spans="1:47" x14ac:dyDescent="0.2">
      <c r="A233" s="18" t="s">
        <v>279</v>
      </c>
      <c r="B233" s="10">
        <v>0</v>
      </c>
      <c r="C233" s="10">
        <v>0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-299.88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299.88</v>
      </c>
      <c r="AA233" s="10">
        <v>0</v>
      </c>
      <c r="AB233" s="10">
        <v>-743.31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0">
        <v>743.31</v>
      </c>
      <c r="AN233" s="10">
        <v>0</v>
      </c>
      <c r="AO233" s="10">
        <v>0</v>
      </c>
      <c r="AP233" s="10">
        <v>0</v>
      </c>
      <c r="AQ233" s="10">
        <v>0</v>
      </c>
      <c r="AR233" s="10">
        <v>0</v>
      </c>
      <c r="AS233" s="10">
        <v>0</v>
      </c>
      <c r="AT233" s="10">
        <v>0</v>
      </c>
      <c r="AU233" s="10">
        <f t="shared" si="29"/>
        <v>0</v>
      </c>
    </row>
    <row r="234" spans="1:47" x14ac:dyDescent="0.2">
      <c r="A234" s="18" t="s">
        <v>280</v>
      </c>
      <c r="B234" s="10">
        <v>0</v>
      </c>
      <c r="C234" s="10">
        <v>-2500</v>
      </c>
      <c r="D234" s="10">
        <v>-112090</v>
      </c>
      <c r="E234" s="10">
        <v>110504</v>
      </c>
      <c r="F234" s="10">
        <v>-437</v>
      </c>
      <c r="G234" s="10">
        <v>-3649</v>
      </c>
      <c r="H234" s="10">
        <v>0</v>
      </c>
      <c r="I234" s="10">
        <v>-437</v>
      </c>
      <c r="J234" s="10">
        <v>0</v>
      </c>
      <c r="K234" s="10">
        <v>0</v>
      </c>
      <c r="L234" s="10">
        <v>-439</v>
      </c>
      <c r="M234" s="10">
        <v>-90706.655469999998</v>
      </c>
      <c r="N234" s="10">
        <v>814</v>
      </c>
      <c r="O234" s="10">
        <v>0</v>
      </c>
      <c r="P234" s="10">
        <v>-580.14952000000005</v>
      </c>
      <c r="Q234" s="10">
        <v>-22913.299630000001</v>
      </c>
      <c r="R234" s="10">
        <v>0</v>
      </c>
      <c r="S234" s="10">
        <v>-478.83785</v>
      </c>
      <c r="T234" s="10">
        <v>-22938.880000000001</v>
      </c>
      <c r="U234" s="10">
        <v>-726.51085</v>
      </c>
      <c r="V234" s="10">
        <v>-263.63537000000002</v>
      </c>
      <c r="W234" s="10">
        <v>-23783.93</v>
      </c>
      <c r="X234" s="10">
        <v>0</v>
      </c>
      <c r="Y234" s="10">
        <v>-409</v>
      </c>
      <c r="Z234" s="10">
        <v>-49340.608039999999</v>
      </c>
      <c r="AA234" s="10">
        <v>0</v>
      </c>
      <c r="AB234" s="10">
        <v>0</v>
      </c>
      <c r="AC234" s="10">
        <v>-409</v>
      </c>
      <c r="AD234" s="10">
        <v>-23756.175039500002</v>
      </c>
      <c r="AE234" s="10">
        <v>0</v>
      </c>
      <c r="AF234" s="10">
        <v>-269</v>
      </c>
      <c r="AG234" s="10">
        <v>-24405.512050000001</v>
      </c>
      <c r="AH234" s="10">
        <v>0</v>
      </c>
      <c r="AI234" s="10">
        <v>-339</v>
      </c>
      <c r="AJ234" s="10">
        <v>-36551</v>
      </c>
      <c r="AK234" s="10">
        <v>436.12527599999999</v>
      </c>
      <c r="AL234" s="10">
        <v>-341</v>
      </c>
      <c r="AM234" s="10">
        <v>-147251.04</v>
      </c>
      <c r="AN234" s="10">
        <v>0</v>
      </c>
      <c r="AO234" s="10">
        <v>0</v>
      </c>
      <c r="AP234" s="10">
        <v>-339</v>
      </c>
      <c r="AQ234" s="10">
        <v>-29999</v>
      </c>
      <c r="AR234" s="10">
        <v>0</v>
      </c>
      <c r="AS234" s="10">
        <v>-339</v>
      </c>
      <c r="AT234" s="10">
        <v>-30574.959999999999</v>
      </c>
      <c r="AU234" s="10">
        <f t="shared" si="29"/>
        <v>-514513.06854349998</v>
      </c>
    </row>
    <row r="235" spans="1:47" x14ac:dyDescent="0.2">
      <c r="A235" s="18" t="s">
        <v>281</v>
      </c>
      <c r="B235" s="10">
        <v>0</v>
      </c>
      <c r="C235" s="10">
        <v>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1250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676</v>
      </c>
      <c r="V235" s="10">
        <v>0</v>
      </c>
      <c r="W235" s="10">
        <v>0</v>
      </c>
      <c r="X235" s="10">
        <v>0</v>
      </c>
      <c r="Y235" s="10">
        <v>0</v>
      </c>
      <c r="Z235" s="10">
        <v>-5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10">
        <v>0</v>
      </c>
      <c r="AN235" s="10">
        <v>0</v>
      </c>
      <c r="AO235" s="10">
        <v>0</v>
      </c>
      <c r="AP235" s="10">
        <v>0</v>
      </c>
      <c r="AQ235" s="10">
        <v>0</v>
      </c>
      <c r="AR235" s="10">
        <v>0</v>
      </c>
      <c r="AS235" s="10">
        <v>0</v>
      </c>
      <c r="AT235" s="10">
        <v>0</v>
      </c>
      <c r="AU235" s="10">
        <f t="shared" si="29"/>
        <v>1921</v>
      </c>
    </row>
    <row r="236" spans="1:47" x14ac:dyDescent="0.2">
      <c r="A236" s="18" t="s">
        <v>282</v>
      </c>
      <c r="B236" s="10">
        <v>0</v>
      </c>
      <c r="C236" s="10">
        <v>0</v>
      </c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90.102093300000007</v>
      </c>
      <c r="AJ236" s="10">
        <v>0</v>
      </c>
      <c r="AK236" s="10">
        <v>0</v>
      </c>
      <c r="AL236" s="10">
        <v>0</v>
      </c>
      <c r="AM236" s="10">
        <v>-88.898978099999994</v>
      </c>
      <c r="AN236" s="10">
        <v>0</v>
      </c>
      <c r="AO236" s="10">
        <v>0</v>
      </c>
      <c r="AP236" s="10">
        <v>0</v>
      </c>
      <c r="AQ236" s="10">
        <v>0</v>
      </c>
      <c r="AR236" s="10">
        <v>0</v>
      </c>
      <c r="AS236" s="10">
        <v>0</v>
      </c>
      <c r="AT236" s="10">
        <v>0</v>
      </c>
      <c r="AU236" s="10">
        <f t="shared" si="29"/>
        <v>1.2031152000000134</v>
      </c>
    </row>
    <row r="237" spans="1:47" x14ac:dyDescent="0.2">
      <c r="A237" s="18" t="s">
        <v>283</v>
      </c>
      <c r="B237" s="10">
        <v>0</v>
      </c>
      <c r="C237" s="10">
        <v>0</v>
      </c>
      <c r="D237" s="10">
        <v>-6278.41</v>
      </c>
      <c r="E237" s="10">
        <v>6077.72</v>
      </c>
      <c r="F237" s="10">
        <v>0</v>
      </c>
      <c r="G237" s="10">
        <v>-200.69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-4914.88</v>
      </c>
      <c r="N237" s="10">
        <v>44.76</v>
      </c>
      <c r="O237" s="10">
        <v>0</v>
      </c>
      <c r="P237" s="10">
        <v>0</v>
      </c>
      <c r="Q237" s="10">
        <v>-1237.5</v>
      </c>
      <c r="R237" s="10">
        <v>0</v>
      </c>
      <c r="S237" s="10">
        <v>0</v>
      </c>
      <c r="T237" s="10">
        <v>-1237.5</v>
      </c>
      <c r="U237" s="10">
        <v>0</v>
      </c>
      <c r="V237" s="10">
        <v>0</v>
      </c>
      <c r="W237" s="10">
        <v>-1237.5</v>
      </c>
      <c r="X237" s="10">
        <v>0</v>
      </c>
      <c r="Y237" s="10">
        <v>0</v>
      </c>
      <c r="Z237" s="10">
        <v>-2887.71</v>
      </c>
      <c r="AA237" s="10">
        <v>0</v>
      </c>
      <c r="AB237" s="10">
        <v>0</v>
      </c>
      <c r="AC237" s="10">
        <v>0</v>
      </c>
      <c r="AD237" s="10">
        <v>-1264.45</v>
      </c>
      <c r="AE237" s="10">
        <v>0</v>
      </c>
      <c r="AF237" s="10">
        <v>0</v>
      </c>
      <c r="AG237" s="10">
        <v>-1296.95</v>
      </c>
      <c r="AH237" s="10">
        <v>0</v>
      </c>
      <c r="AI237" s="10">
        <v>0</v>
      </c>
      <c r="AJ237" s="10">
        <v>-2010.3</v>
      </c>
      <c r="AK237" s="10">
        <v>0</v>
      </c>
      <c r="AL237" s="10">
        <v>0</v>
      </c>
      <c r="AM237" s="10">
        <v>-6059.84</v>
      </c>
      <c r="AN237" s="10">
        <v>0</v>
      </c>
      <c r="AO237" s="10">
        <v>0</v>
      </c>
      <c r="AP237" s="10">
        <v>0</v>
      </c>
      <c r="AQ237" s="10">
        <v>-1649.93</v>
      </c>
      <c r="AR237" s="10">
        <v>0</v>
      </c>
      <c r="AS237" s="10">
        <v>0</v>
      </c>
      <c r="AT237" s="10">
        <v>-1649.93</v>
      </c>
      <c r="AU237" s="10">
        <f t="shared" si="29"/>
        <v>-25803.11</v>
      </c>
    </row>
    <row r="238" spans="1:47" x14ac:dyDescent="0.2">
      <c r="A238" s="18" t="s">
        <v>284</v>
      </c>
      <c r="B238" s="10">
        <v>0</v>
      </c>
      <c r="C238" s="10">
        <v>-27264</v>
      </c>
      <c r="D238" s="10">
        <v>0</v>
      </c>
      <c r="E238" s="10">
        <v>0</v>
      </c>
      <c r="F238" s="10">
        <v>21040</v>
      </c>
      <c r="G238" s="10">
        <v>4475.8</v>
      </c>
      <c r="H238" s="10">
        <v>0</v>
      </c>
      <c r="I238" s="10">
        <v>0</v>
      </c>
      <c r="J238" s="10">
        <v>0</v>
      </c>
      <c r="K238" s="10">
        <v>0</v>
      </c>
      <c r="L238" s="10">
        <v>-19928</v>
      </c>
      <c r="M238" s="10">
        <v>-67739</v>
      </c>
      <c r="N238" s="10">
        <v>319</v>
      </c>
      <c r="O238" s="10">
        <v>0</v>
      </c>
      <c r="P238" s="10">
        <v>-20701</v>
      </c>
      <c r="Q238" s="10">
        <v>0</v>
      </c>
      <c r="R238" s="10">
        <v>0</v>
      </c>
      <c r="S238" s="10">
        <v>-20701</v>
      </c>
      <c r="T238" s="10">
        <v>0</v>
      </c>
      <c r="U238" s="10">
        <v>0</v>
      </c>
      <c r="V238" s="10">
        <v>-21994</v>
      </c>
      <c r="W238" s="10">
        <v>0</v>
      </c>
      <c r="X238" s="10">
        <v>0</v>
      </c>
      <c r="Y238" s="10">
        <v>-23074</v>
      </c>
      <c r="Z238" s="10">
        <v>-28438</v>
      </c>
      <c r="AA238" s="10">
        <v>0</v>
      </c>
      <c r="AB238" s="10">
        <v>0</v>
      </c>
      <c r="AC238" s="10">
        <v>-21616</v>
      </c>
      <c r="AD238" s="10">
        <v>0</v>
      </c>
      <c r="AE238" s="10">
        <v>0</v>
      </c>
      <c r="AF238" s="10">
        <v>-21616</v>
      </c>
      <c r="AG238" s="10">
        <v>94</v>
      </c>
      <c r="AH238" s="10">
        <v>0</v>
      </c>
      <c r="AI238" s="10">
        <v>-35883</v>
      </c>
      <c r="AJ238" s="10">
        <v>0</v>
      </c>
      <c r="AK238" s="10">
        <v>0</v>
      </c>
      <c r="AL238" s="10">
        <v>-35883</v>
      </c>
      <c r="AM238" s="10">
        <v>-67658</v>
      </c>
      <c r="AN238" s="10">
        <v>0</v>
      </c>
      <c r="AO238" s="10">
        <v>0</v>
      </c>
      <c r="AP238" s="10">
        <v>-28724</v>
      </c>
      <c r="AQ238" s="10">
        <v>0</v>
      </c>
      <c r="AR238" s="10">
        <v>0</v>
      </c>
      <c r="AS238" s="10">
        <v>-28724</v>
      </c>
      <c r="AT238" s="10">
        <v>0</v>
      </c>
      <c r="AU238" s="10">
        <f t="shared" si="29"/>
        <v>-444014.2</v>
      </c>
    </row>
    <row r="239" spans="1:47" x14ac:dyDescent="0.2">
      <c r="A239" s="18" t="s">
        <v>285</v>
      </c>
      <c r="B239" s="10">
        <v>-436.85</v>
      </c>
      <c r="C239" s="10">
        <v>-367.47</v>
      </c>
      <c r="D239" s="10">
        <v>-221.8</v>
      </c>
      <c r="E239" s="10">
        <v>-160.13</v>
      </c>
      <c r="F239" s="10">
        <v>-34.49</v>
      </c>
      <c r="G239" s="10">
        <v>-32.01</v>
      </c>
      <c r="H239" s="10">
        <v>-25.93</v>
      </c>
      <c r="I239" s="10">
        <v>-91.28</v>
      </c>
      <c r="J239" s="10">
        <v>-143.74</v>
      </c>
      <c r="K239" s="10">
        <v>-92.67</v>
      </c>
      <c r="L239" s="10">
        <v>-69.92</v>
      </c>
      <c r="M239" s="10">
        <v>-1623.03</v>
      </c>
      <c r="N239" s="10">
        <v>0</v>
      </c>
      <c r="O239" s="10">
        <v>-253.3</v>
      </c>
      <c r="P239" s="10">
        <v>-610.9</v>
      </c>
      <c r="Q239" s="10">
        <v>-210.69</v>
      </c>
      <c r="R239" s="10">
        <v>-32.450000000000003</v>
      </c>
      <c r="S239" s="10">
        <v>-132.44</v>
      </c>
      <c r="T239" s="10">
        <v>0</v>
      </c>
      <c r="U239" s="10">
        <v>-505.72</v>
      </c>
      <c r="V239" s="10">
        <v>-43.05</v>
      </c>
      <c r="W239" s="10">
        <v>0</v>
      </c>
      <c r="X239" s="10">
        <v>-211.43</v>
      </c>
      <c r="Y239" s="10">
        <v>0</v>
      </c>
      <c r="Z239" s="10">
        <v>-823.13</v>
      </c>
      <c r="AA239" s="10">
        <v>0</v>
      </c>
      <c r="AB239" s="10">
        <v>-298.45</v>
      </c>
      <c r="AC239" s="10">
        <v>-1285.72</v>
      </c>
      <c r="AD239" s="10">
        <v>-164.62</v>
      </c>
      <c r="AE239" s="10">
        <v>0</v>
      </c>
      <c r="AF239" s="10">
        <v>-201.19</v>
      </c>
      <c r="AG239" s="10">
        <v>0</v>
      </c>
      <c r="AH239" s="10">
        <v>-2.06</v>
      </c>
      <c r="AI239" s="10">
        <v>0</v>
      </c>
      <c r="AJ239" s="10">
        <v>-109.93</v>
      </c>
      <c r="AK239" s="10">
        <v>-3.31</v>
      </c>
      <c r="AL239" s="10">
        <v>-156.35</v>
      </c>
      <c r="AM239" s="10">
        <v>-769.34</v>
      </c>
      <c r="AN239" s="10">
        <v>-0.75</v>
      </c>
      <c r="AO239" s="10">
        <v>0</v>
      </c>
      <c r="AP239" s="10">
        <v>-1384.12</v>
      </c>
      <c r="AQ239" s="10">
        <v>-190.33</v>
      </c>
      <c r="AR239" s="10">
        <v>-10.3</v>
      </c>
      <c r="AS239" s="10">
        <v>-1928.68</v>
      </c>
      <c r="AT239" s="10">
        <v>-265.7</v>
      </c>
      <c r="AU239" s="10">
        <f t="shared" si="29"/>
        <v>-12893.28</v>
      </c>
    </row>
    <row r="240" spans="1:47" x14ac:dyDescent="0.2">
      <c r="A240" s="16" t="s">
        <v>286</v>
      </c>
      <c r="B240" s="12">
        <f t="shared" ref="B240:AU240" si="30">SUM(B231:B239)</f>
        <v>-460.85</v>
      </c>
      <c r="C240" s="12">
        <f t="shared" si="30"/>
        <v>-30151.64</v>
      </c>
      <c r="D240" s="12">
        <f t="shared" si="30"/>
        <v>-118602.40000000001</v>
      </c>
      <c r="E240" s="12">
        <f t="shared" si="30"/>
        <v>116412.79</v>
      </c>
      <c r="F240" s="12">
        <f t="shared" si="30"/>
        <v>20566.62</v>
      </c>
      <c r="G240" s="12">
        <f t="shared" si="30"/>
        <v>592.33999999999992</v>
      </c>
      <c r="H240" s="12">
        <f t="shared" si="30"/>
        <v>-27.35</v>
      </c>
      <c r="I240" s="12">
        <f t="shared" si="30"/>
        <v>-533.28</v>
      </c>
      <c r="J240" s="12">
        <f t="shared" si="30"/>
        <v>-151.63</v>
      </c>
      <c r="K240" s="12">
        <f t="shared" si="30"/>
        <v>-97.75</v>
      </c>
      <c r="L240" s="12">
        <f t="shared" si="30"/>
        <v>-22058.019999999997</v>
      </c>
      <c r="M240" s="12">
        <f t="shared" si="30"/>
        <v>-162210.55546999999</v>
      </c>
      <c r="N240" s="12">
        <f t="shared" si="30"/>
        <v>1177.76</v>
      </c>
      <c r="O240" s="12">
        <f t="shared" si="30"/>
        <v>-567.1</v>
      </c>
      <c r="P240" s="12">
        <f t="shared" si="30"/>
        <v>-21925.639520000001</v>
      </c>
      <c r="Q240" s="12">
        <f t="shared" si="30"/>
        <v>-24373.039629999999</v>
      </c>
      <c r="R240" s="12">
        <f t="shared" si="30"/>
        <v>-34.230000000000004</v>
      </c>
      <c r="S240" s="12">
        <f t="shared" si="30"/>
        <v>-21319.557849999997</v>
      </c>
      <c r="T240" s="12">
        <f t="shared" si="30"/>
        <v>-24176.38</v>
      </c>
      <c r="U240" s="12">
        <f t="shared" si="30"/>
        <v>-584.02085</v>
      </c>
      <c r="V240" s="12">
        <f t="shared" si="30"/>
        <v>-22303.035369999998</v>
      </c>
      <c r="W240" s="12">
        <f t="shared" si="30"/>
        <v>-25021.43</v>
      </c>
      <c r="X240" s="12">
        <f t="shared" si="30"/>
        <v>-223.04000000000002</v>
      </c>
      <c r="Y240" s="12">
        <f t="shared" si="30"/>
        <v>-23483</v>
      </c>
      <c r="Z240" s="12">
        <f t="shared" si="30"/>
        <v>-81539.678039999999</v>
      </c>
      <c r="AA240" s="12">
        <f t="shared" si="30"/>
        <v>0</v>
      </c>
      <c r="AB240" s="12">
        <f t="shared" si="30"/>
        <v>-1058.1699999999998</v>
      </c>
      <c r="AC240" s="12">
        <f t="shared" si="30"/>
        <v>-23381.43</v>
      </c>
      <c r="AD240" s="12">
        <f t="shared" si="30"/>
        <v>-25194.295039500001</v>
      </c>
      <c r="AE240" s="12">
        <f t="shared" si="30"/>
        <v>0</v>
      </c>
      <c r="AF240" s="12">
        <f t="shared" si="30"/>
        <v>-22097.25</v>
      </c>
      <c r="AG240" s="12">
        <f t="shared" si="30"/>
        <v>-25608.462050000002</v>
      </c>
      <c r="AH240" s="12">
        <f t="shared" si="30"/>
        <v>-3.24</v>
      </c>
      <c r="AI240" s="12">
        <f t="shared" si="30"/>
        <v>-36131.897906699996</v>
      </c>
      <c r="AJ240" s="12">
        <f t="shared" si="30"/>
        <v>-38677.26</v>
      </c>
      <c r="AK240" s="12">
        <f t="shared" si="30"/>
        <v>432.63527599999998</v>
      </c>
      <c r="AL240" s="12">
        <f t="shared" si="30"/>
        <v>-36388.939999999995</v>
      </c>
      <c r="AM240" s="12">
        <f t="shared" si="30"/>
        <v>-221869.39897810001</v>
      </c>
      <c r="AN240" s="12">
        <f t="shared" si="30"/>
        <v>-0.79</v>
      </c>
      <c r="AO240" s="12">
        <f t="shared" si="30"/>
        <v>0</v>
      </c>
      <c r="AP240" s="12">
        <f t="shared" si="30"/>
        <v>-30523.23</v>
      </c>
      <c r="AQ240" s="12">
        <f t="shared" si="30"/>
        <v>-31849.710000000003</v>
      </c>
      <c r="AR240" s="12">
        <f t="shared" si="30"/>
        <v>-10.860000000000001</v>
      </c>
      <c r="AS240" s="12">
        <f t="shared" si="30"/>
        <v>-31097.74</v>
      </c>
      <c r="AT240" s="12">
        <f t="shared" si="30"/>
        <v>-32505.18</v>
      </c>
      <c r="AU240" s="12">
        <f t="shared" si="30"/>
        <v>-997059.33542830008</v>
      </c>
    </row>
    <row r="241" spans="1:47" x14ac:dyDescent="0.2">
      <c r="A241" s="5" t="s">
        <v>287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</row>
    <row r="242" spans="1:47" x14ac:dyDescent="0.2">
      <c r="A242" s="18" t="s">
        <v>288</v>
      </c>
      <c r="B242" s="10">
        <v>0</v>
      </c>
      <c r="C242" s="10">
        <v>0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-2021.18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-4376.3999999999996</v>
      </c>
      <c r="AI242" s="10">
        <v>0</v>
      </c>
      <c r="AJ242" s="10">
        <v>0</v>
      </c>
      <c r="AK242" s="10">
        <v>0</v>
      </c>
      <c r="AL242" s="10">
        <v>0</v>
      </c>
      <c r="AM242" s="10">
        <v>0</v>
      </c>
      <c r="AN242" s="10">
        <v>0</v>
      </c>
      <c r="AO242" s="10">
        <v>0</v>
      </c>
      <c r="AP242" s="10">
        <v>0</v>
      </c>
      <c r="AQ242" s="10">
        <v>0</v>
      </c>
      <c r="AR242" s="10">
        <v>0</v>
      </c>
      <c r="AS242" s="10">
        <v>0</v>
      </c>
      <c r="AT242" s="10">
        <v>0</v>
      </c>
      <c r="AU242" s="10">
        <f>SUM(B242:AT242)</f>
        <v>-6397.58</v>
      </c>
    </row>
    <row r="243" spans="1:47" x14ac:dyDescent="0.2">
      <c r="A243" s="18" t="s">
        <v>289</v>
      </c>
      <c r="B243" s="10">
        <v>0</v>
      </c>
      <c r="C243" s="10">
        <v>0</v>
      </c>
      <c r="D243" s="10">
        <v>0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-2260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-1959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0">
        <v>0</v>
      </c>
      <c r="AM243" s="10">
        <v>-2032</v>
      </c>
      <c r="AN243" s="10">
        <v>0</v>
      </c>
      <c r="AO243" s="10">
        <v>0</v>
      </c>
      <c r="AP243" s="10">
        <v>0</v>
      </c>
      <c r="AQ243" s="10">
        <v>0</v>
      </c>
      <c r="AR243" s="10">
        <v>0</v>
      </c>
      <c r="AS243" s="10">
        <v>0</v>
      </c>
      <c r="AT243" s="10">
        <v>0</v>
      </c>
      <c r="AU243" s="10">
        <f>SUM(B243:AT243)</f>
        <v>-6251</v>
      </c>
    </row>
    <row r="244" spans="1:47" x14ac:dyDescent="0.2">
      <c r="A244" s="16" t="s">
        <v>290</v>
      </c>
      <c r="B244" s="12">
        <f t="shared" ref="B244:AU244" si="31">SUM(B242:B243)</f>
        <v>0</v>
      </c>
      <c r="C244" s="12">
        <f t="shared" si="31"/>
        <v>0</v>
      </c>
      <c r="D244" s="12">
        <f t="shared" si="31"/>
        <v>0</v>
      </c>
      <c r="E244" s="12">
        <f t="shared" si="31"/>
        <v>0</v>
      </c>
      <c r="F244" s="12">
        <f t="shared" si="31"/>
        <v>0</v>
      </c>
      <c r="G244" s="12">
        <f t="shared" si="31"/>
        <v>0</v>
      </c>
      <c r="H244" s="12">
        <f t="shared" si="31"/>
        <v>0</v>
      </c>
      <c r="I244" s="12">
        <f t="shared" si="31"/>
        <v>0</v>
      </c>
      <c r="J244" s="12">
        <f t="shared" si="31"/>
        <v>0</v>
      </c>
      <c r="K244" s="12">
        <f t="shared" si="31"/>
        <v>0</v>
      </c>
      <c r="L244" s="12">
        <f t="shared" si="31"/>
        <v>0</v>
      </c>
      <c r="M244" s="12">
        <f t="shared" si="31"/>
        <v>0</v>
      </c>
      <c r="N244" s="12">
        <f t="shared" si="31"/>
        <v>-2260</v>
      </c>
      <c r="O244" s="12">
        <f t="shared" si="31"/>
        <v>0</v>
      </c>
      <c r="P244" s="12">
        <f t="shared" si="31"/>
        <v>0</v>
      </c>
      <c r="Q244" s="12">
        <f t="shared" si="31"/>
        <v>0</v>
      </c>
      <c r="R244" s="12">
        <f t="shared" si="31"/>
        <v>0</v>
      </c>
      <c r="S244" s="12">
        <f t="shared" si="31"/>
        <v>0</v>
      </c>
      <c r="T244" s="12">
        <f t="shared" si="31"/>
        <v>0</v>
      </c>
      <c r="U244" s="12">
        <f t="shared" si="31"/>
        <v>0</v>
      </c>
      <c r="V244" s="12">
        <f t="shared" si="31"/>
        <v>0</v>
      </c>
      <c r="W244" s="12">
        <f t="shared" si="31"/>
        <v>0</v>
      </c>
      <c r="X244" s="12">
        <f t="shared" si="31"/>
        <v>0</v>
      </c>
      <c r="Y244" s="12">
        <f t="shared" si="31"/>
        <v>0</v>
      </c>
      <c r="Z244" s="12">
        <f t="shared" si="31"/>
        <v>-3980.1800000000003</v>
      </c>
      <c r="AA244" s="12">
        <f t="shared" si="31"/>
        <v>0</v>
      </c>
      <c r="AB244" s="12">
        <f t="shared" si="31"/>
        <v>0</v>
      </c>
      <c r="AC244" s="12">
        <f t="shared" si="31"/>
        <v>0</v>
      </c>
      <c r="AD244" s="12">
        <f t="shared" si="31"/>
        <v>0</v>
      </c>
      <c r="AE244" s="12">
        <f t="shared" si="31"/>
        <v>0</v>
      </c>
      <c r="AF244" s="12">
        <f t="shared" si="31"/>
        <v>0</v>
      </c>
      <c r="AG244" s="12">
        <f t="shared" si="31"/>
        <v>0</v>
      </c>
      <c r="AH244" s="12">
        <f t="shared" si="31"/>
        <v>-4376.3999999999996</v>
      </c>
      <c r="AI244" s="12">
        <f t="shared" si="31"/>
        <v>0</v>
      </c>
      <c r="AJ244" s="12">
        <f t="shared" si="31"/>
        <v>0</v>
      </c>
      <c r="AK244" s="12">
        <f t="shared" si="31"/>
        <v>0</v>
      </c>
      <c r="AL244" s="12">
        <f t="shared" si="31"/>
        <v>0</v>
      </c>
      <c r="AM244" s="12">
        <f t="shared" si="31"/>
        <v>-2032</v>
      </c>
      <c r="AN244" s="12">
        <f t="shared" si="31"/>
        <v>0</v>
      </c>
      <c r="AO244" s="12">
        <f t="shared" si="31"/>
        <v>0</v>
      </c>
      <c r="AP244" s="12">
        <f t="shared" si="31"/>
        <v>0</v>
      </c>
      <c r="AQ244" s="12">
        <f t="shared" si="31"/>
        <v>0</v>
      </c>
      <c r="AR244" s="12">
        <f t="shared" si="31"/>
        <v>0</v>
      </c>
      <c r="AS244" s="12">
        <f t="shared" si="31"/>
        <v>0</v>
      </c>
      <c r="AT244" s="12">
        <f t="shared" si="31"/>
        <v>0</v>
      </c>
      <c r="AU244" s="12">
        <f t="shared" si="31"/>
        <v>-12648.58</v>
      </c>
    </row>
    <row r="245" spans="1:47" x14ac:dyDescent="0.2">
      <c r="A245" s="19" t="s">
        <v>291</v>
      </c>
      <c r="B245" s="12">
        <f t="shared" ref="B245:AU245" si="32">B208+B229+B240+B244</f>
        <v>-88678.512816000002</v>
      </c>
      <c r="C245" s="12">
        <f t="shared" si="32"/>
        <v>-168246.94245099986</v>
      </c>
      <c r="D245" s="12">
        <f t="shared" si="32"/>
        <v>59936.292113999967</v>
      </c>
      <c r="E245" s="12">
        <f t="shared" si="32"/>
        <v>204559.18310599989</v>
      </c>
      <c r="F245" s="12">
        <f t="shared" si="32"/>
        <v>26645.990278000045</v>
      </c>
      <c r="G245" s="12">
        <f t="shared" si="32"/>
        <v>32772.458972000037</v>
      </c>
      <c r="H245" s="12">
        <f t="shared" si="32"/>
        <v>251057.54343600033</v>
      </c>
      <c r="I245" s="12">
        <f t="shared" si="32"/>
        <v>777.10812499976714</v>
      </c>
      <c r="J245" s="12">
        <f t="shared" si="32"/>
        <v>94099.157015000193</v>
      </c>
      <c r="K245" s="12">
        <f t="shared" si="32"/>
        <v>-42311.621614999916</v>
      </c>
      <c r="L245" s="12">
        <f t="shared" si="32"/>
        <v>8635.3169680002866</v>
      </c>
      <c r="M245" s="12">
        <f t="shared" si="32"/>
        <v>-37387.919696000259</v>
      </c>
      <c r="N245" s="12">
        <f t="shared" si="32"/>
        <v>1177.7600000000002</v>
      </c>
      <c r="O245" s="12">
        <f t="shared" si="32"/>
        <v>-37968.077247000016</v>
      </c>
      <c r="P245" s="12">
        <f t="shared" si="32"/>
        <v>-60175.127568000011</v>
      </c>
      <c r="Q245" s="12">
        <f t="shared" si="32"/>
        <v>231659.04711799981</v>
      </c>
      <c r="R245" s="12">
        <f t="shared" si="32"/>
        <v>70833.061240999625</v>
      </c>
      <c r="S245" s="12">
        <f t="shared" si="32"/>
        <v>-18494.603274999863</v>
      </c>
      <c r="T245" s="12">
        <f t="shared" si="32"/>
        <v>161242.88380799978</v>
      </c>
      <c r="U245" s="12">
        <f t="shared" si="32"/>
        <v>146923.23564700014</v>
      </c>
      <c r="V245" s="12">
        <f t="shared" si="32"/>
        <v>40966.567740999788</v>
      </c>
      <c r="W245" s="12">
        <f t="shared" si="32"/>
        <v>23593.807073000062</v>
      </c>
      <c r="X245" s="12">
        <f t="shared" si="32"/>
        <v>-5111.7082632798147</v>
      </c>
      <c r="Y245" s="12">
        <f t="shared" si="32"/>
        <v>185853.93720940972</v>
      </c>
      <c r="Z245" s="12">
        <f t="shared" si="32"/>
        <v>115061.38010866486</v>
      </c>
      <c r="AA245" s="12">
        <f t="shared" si="32"/>
        <v>0</v>
      </c>
      <c r="AB245" s="12">
        <f t="shared" si="32"/>
        <v>81711.73479316046</v>
      </c>
      <c r="AC245" s="12">
        <f t="shared" si="32"/>
        <v>163768.89135651998</v>
      </c>
      <c r="AD245" s="12">
        <f t="shared" si="32"/>
        <v>212275.97364052999</v>
      </c>
      <c r="AE245" s="12">
        <f t="shared" si="32"/>
        <v>133527.78153793007</v>
      </c>
      <c r="AF245" s="12">
        <f t="shared" si="32"/>
        <v>126512.33027126009</v>
      </c>
      <c r="AG245" s="12">
        <f t="shared" si="32"/>
        <v>139959.46017013962</v>
      </c>
      <c r="AH245" s="12">
        <f t="shared" si="32"/>
        <v>336333.58816242975</v>
      </c>
      <c r="AI245" s="12">
        <f t="shared" si="32"/>
        <v>258944.67077682007</v>
      </c>
      <c r="AJ245" s="12">
        <f t="shared" si="32"/>
        <v>-201677.28320909993</v>
      </c>
      <c r="AK245" s="12">
        <f t="shared" si="32"/>
        <v>451197.18888111971</v>
      </c>
      <c r="AL245" s="12">
        <f t="shared" si="32"/>
        <v>265418.88582700037</v>
      </c>
      <c r="AM245" s="12">
        <f t="shared" si="32"/>
        <v>-239476.57124703372</v>
      </c>
      <c r="AN245" s="12">
        <f t="shared" si="32"/>
        <v>0</v>
      </c>
      <c r="AO245" s="12">
        <f t="shared" si="32"/>
        <v>394057.02144199959</v>
      </c>
      <c r="AP245" s="12">
        <f t="shared" si="32"/>
        <v>188225.25006493976</v>
      </c>
      <c r="AQ245" s="12">
        <f t="shared" si="32"/>
        <v>656266.23018125969</v>
      </c>
      <c r="AR245" s="12">
        <f t="shared" si="32"/>
        <v>118346.52042496009</v>
      </c>
      <c r="AS245" s="12">
        <f t="shared" si="32"/>
        <v>238164.9718613702</v>
      </c>
      <c r="AT245" s="12">
        <f t="shared" si="32"/>
        <v>-123618.5908113599</v>
      </c>
      <c r="AU245" s="12">
        <f t="shared" si="32"/>
        <v>4397358.2711527497</v>
      </c>
    </row>
  </sheetData>
  <mergeCells count="3">
    <mergeCell ref="A1:AU1"/>
    <mergeCell ref="A2:AU2"/>
    <mergeCell ref="A3:AU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PGPLConsolidated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2023-08-08T21:09:03Z</dcterms:created>
  <dcterms:modified xsi:type="dcterms:W3CDTF">2023-08-08T21:13:16Z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