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2\"/>
    </mc:Choice>
  </mc:AlternateContent>
  <xr:revisionPtr revIDLastSave="0" documentId="13_ncr:40009_{A62AB3D9-4583-4ABA-93B8-D292A7925731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1" i="1" l="1"/>
  <c r="M211" i="1"/>
  <c r="L211" i="1"/>
  <c r="K211" i="1"/>
  <c r="J211" i="1"/>
  <c r="I211" i="1"/>
  <c r="H211" i="1"/>
  <c r="G211" i="1"/>
  <c r="F211" i="1"/>
  <c r="E211" i="1"/>
  <c r="D211" i="1"/>
  <c r="C211" i="1"/>
  <c r="B211" i="1"/>
  <c r="O210" i="1"/>
  <c r="O209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O206" i="1"/>
  <c r="O205" i="1"/>
  <c r="O204" i="1"/>
  <c r="O203" i="1"/>
  <c r="O202" i="1"/>
  <c r="O201" i="1"/>
  <c r="O200" i="1"/>
  <c r="O199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O195" i="1"/>
  <c r="O194" i="1"/>
  <c r="O193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O190" i="1"/>
  <c r="O189" i="1"/>
  <c r="O188" i="1"/>
  <c r="O187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O184" i="1"/>
  <c r="O183" i="1"/>
  <c r="O185" i="1" s="1"/>
  <c r="N181" i="1"/>
  <c r="M181" i="1"/>
  <c r="L181" i="1"/>
  <c r="L197" i="1" s="1"/>
  <c r="K181" i="1"/>
  <c r="J181" i="1"/>
  <c r="I181" i="1"/>
  <c r="H181" i="1"/>
  <c r="G181" i="1"/>
  <c r="F181" i="1"/>
  <c r="E181" i="1"/>
  <c r="D181" i="1"/>
  <c r="D197" i="1" s="1"/>
  <c r="C181" i="1"/>
  <c r="B181" i="1"/>
  <c r="O180" i="1"/>
  <c r="O181" i="1" s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N93" i="1"/>
  <c r="N94" i="1" s="1"/>
  <c r="M93" i="1"/>
  <c r="M94" i="1" s="1"/>
  <c r="L93" i="1"/>
  <c r="L94" i="1" s="1"/>
  <c r="K93" i="1"/>
  <c r="K94" i="1" s="1"/>
  <c r="J93" i="1"/>
  <c r="J94" i="1" s="1"/>
  <c r="I93" i="1"/>
  <c r="I94" i="1" s="1"/>
  <c r="H93" i="1"/>
  <c r="H94" i="1" s="1"/>
  <c r="G93" i="1"/>
  <c r="G94" i="1" s="1"/>
  <c r="F93" i="1"/>
  <c r="F94" i="1" s="1"/>
  <c r="E93" i="1"/>
  <c r="E94" i="1" s="1"/>
  <c r="D93" i="1"/>
  <c r="D94" i="1" s="1"/>
  <c r="C93" i="1"/>
  <c r="C94" i="1" s="1"/>
  <c r="B93" i="1"/>
  <c r="B94" i="1" s="1"/>
  <c r="O92" i="1"/>
  <c r="O91" i="1"/>
  <c r="O90" i="1"/>
  <c r="O89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N69" i="1"/>
  <c r="M69" i="1"/>
  <c r="L69" i="1"/>
  <c r="K69" i="1"/>
  <c r="J69" i="1"/>
  <c r="I69" i="1"/>
  <c r="I86" i="1" s="1"/>
  <c r="H69" i="1"/>
  <c r="H86" i="1" s="1"/>
  <c r="H176" i="1" s="1"/>
  <c r="G69" i="1"/>
  <c r="F69" i="1"/>
  <c r="E69" i="1"/>
  <c r="D69" i="1"/>
  <c r="C69" i="1"/>
  <c r="B69" i="1"/>
  <c r="O68" i="1"/>
  <c r="O67" i="1"/>
  <c r="O66" i="1"/>
  <c r="O65" i="1"/>
  <c r="O64" i="1"/>
  <c r="O63" i="1"/>
  <c r="O62" i="1"/>
  <c r="O61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O54" i="1"/>
  <c r="O53" i="1"/>
  <c r="O52" i="1"/>
  <c r="O51" i="1"/>
  <c r="O50" i="1"/>
  <c r="O49" i="1"/>
  <c r="N47" i="1"/>
  <c r="M47" i="1"/>
  <c r="L47" i="1"/>
  <c r="K47" i="1"/>
  <c r="J47" i="1"/>
  <c r="J56" i="1" s="1"/>
  <c r="I47" i="1"/>
  <c r="H47" i="1"/>
  <c r="H56" i="1" s="1"/>
  <c r="G47" i="1"/>
  <c r="F47" i="1"/>
  <c r="E47" i="1"/>
  <c r="D47" i="1"/>
  <c r="C47" i="1"/>
  <c r="C56" i="1" s="1"/>
  <c r="B47" i="1"/>
  <c r="B56" i="1" s="1"/>
  <c r="O46" i="1"/>
  <c r="O45" i="1"/>
  <c r="O44" i="1"/>
  <c r="O43" i="1"/>
  <c r="O42" i="1"/>
  <c r="O41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O36" i="1"/>
  <c r="O35" i="1"/>
  <c r="O34" i="1"/>
  <c r="O33" i="1"/>
  <c r="O32" i="1"/>
  <c r="O31" i="1"/>
  <c r="O30" i="1"/>
  <c r="O29" i="1"/>
  <c r="O28" i="1"/>
  <c r="O27" i="1"/>
  <c r="O26" i="1"/>
  <c r="O25" i="1"/>
  <c r="N23" i="1"/>
  <c r="N38" i="1" s="1"/>
  <c r="M23" i="1"/>
  <c r="M38" i="1" s="1"/>
  <c r="L23" i="1"/>
  <c r="L38" i="1" s="1"/>
  <c r="K23" i="1"/>
  <c r="J23" i="1"/>
  <c r="I23" i="1"/>
  <c r="H23" i="1"/>
  <c r="H38" i="1" s="1"/>
  <c r="G23" i="1"/>
  <c r="F23" i="1"/>
  <c r="F38" i="1" s="1"/>
  <c r="E23" i="1"/>
  <c r="E38" i="1" s="1"/>
  <c r="D23" i="1"/>
  <c r="D38" i="1" s="1"/>
  <c r="C23" i="1"/>
  <c r="B23" i="1"/>
  <c r="O22" i="1"/>
  <c r="O21" i="1"/>
  <c r="O20" i="1"/>
  <c r="O19" i="1"/>
  <c r="O18" i="1"/>
  <c r="O17" i="1"/>
  <c r="O16" i="1"/>
  <c r="O15" i="1"/>
  <c r="O14" i="1"/>
  <c r="O13" i="1"/>
  <c r="O12" i="1"/>
  <c r="O11" i="1"/>
  <c r="E197" i="1" l="1"/>
  <c r="M197" i="1"/>
  <c r="O211" i="1"/>
  <c r="O191" i="1"/>
  <c r="M86" i="1"/>
  <c r="O196" i="1"/>
  <c r="O197" i="1" s="1"/>
  <c r="F86" i="1"/>
  <c r="F176" i="1" s="1"/>
  <c r="N86" i="1"/>
  <c r="N176" i="1" s="1"/>
  <c r="C86" i="1"/>
  <c r="K86" i="1"/>
  <c r="K176" i="1" s="1"/>
  <c r="G86" i="1"/>
  <c r="G176" i="1" s="1"/>
  <c r="I176" i="1"/>
  <c r="G38" i="1"/>
  <c r="K56" i="1"/>
  <c r="B86" i="1"/>
  <c r="B176" i="1" s="1"/>
  <c r="J86" i="1"/>
  <c r="J176" i="1" s="1"/>
  <c r="D56" i="1"/>
  <c r="D57" i="1" s="1"/>
  <c r="D177" i="1" s="1"/>
  <c r="D212" i="1" s="1"/>
  <c r="O93" i="1"/>
  <c r="O94" i="1" s="1"/>
  <c r="L56" i="1"/>
  <c r="L57" i="1" s="1"/>
  <c r="I38" i="1"/>
  <c r="C197" i="1"/>
  <c r="K197" i="1"/>
  <c r="B38" i="1"/>
  <c r="B57" i="1" s="1"/>
  <c r="B177" i="1" s="1"/>
  <c r="J38" i="1"/>
  <c r="J57" i="1" s="1"/>
  <c r="J177" i="1" s="1"/>
  <c r="J212" i="1" s="1"/>
  <c r="E86" i="1"/>
  <c r="E176" i="1"/>
  <c r="F197" i="1"/>
  <c r="N197" i="1"/>
  <c r="O69" i="1"/>
  <c r="G197" i="1"/>
  <c r="H197" i="1"/>
  <c r="H57" i="1"/>
  <c r="H177" i="1" s="1"/>
  <c r="O37" i="1"/>
  <c r="O47" i="1"/>
  <c r="I56" i="1"/>
  <c r="I197" i="1"/>
  <c r="O207" i="1"/>
  <c r="I57" i="1"/>
  <c r="I177" i="1" s="1"/>
  <c r="I212" i="1" s="1"/>
  <c r="E56" i="1"/>
  <c r="E57" i="1" s="1"/>
  <c r="M56" i="1"/>
  <c r="B197" i="1"/>
  <c r="J197" i="1"/>
  <c r="M176" i="1"/>
  <c r="O55" i="1"/>
  <c r="O23" i="1"/>
  <c r="F56" i="1"/>
  <c r="F57" i="1" s="1"/>
  <c r="F177" i="1" s="1"/>
  <c r="F212" i="1" s="1"/>
  <c r="N56" i="1"/>
  <c r="N57" i="1" s="1"/>
  <c r="N177" i="1" s="1"/>
  <c r="N212" i="1" s="1"/>
  <c r="O175" i="1"/>
  <c r="O85" i="1"/>
  <c r="C38" i="1"/>
  <c r="C57" i="1" s="1"/>
  <c r="K38" i="1"/>
  <c r="K57" i="1" s="1"/>
  <c r="G56" i="1"/>
  <c r="G57" i="1" s="1"/>
  <c r="D86" i="1"/>
  <c r="D176" i="1" s="1"/>
  <c r="L86" i="1"/>
  <c r="L176" i="1" s="1"/>
  <c r="M57" i="1"/>
  <c r="C176" i="1"/>
  <c r="C177" i="1" s="1"/>
  <c r="C212" i="1" s="1"/>
  <c r="E177" i="1" l="1"/>
  <c r="E212" i="1" s="1"/>
  <c r="G177" i="1"/>
  <c r="G212" i="1" s="1"/>
  <c r="L177" i="1"/>
  <c r="L212" i="1" s="1"/>
  <c r="K177" i="1"/>
  <c r="K212" i="1" s="1"/>
  <c r="O38" i="1"/>
  <c r="O56" i="1"/>
  <c r="O57" i="1" s="1"/>
  <c r="O177" i="1" s="1"/>
  <c r="O212" i="1" s="1"/>
  <c r="B212" i="1"/>
  <c r="M177" i="1"/>
  <c r="M212" i="1" s="1"/>
  <c r="O86" i="1"/>
  <c r="O176" i="1" s="1"/>
  <c r="H212" i="1"/>
</calcChain>
</file>

<file path=xl/sharedStrings.xml><?xml version="1.0" encoding="utf-8"?>
<sst xmlns="http://schemas.openxmlformats.org/spreadsheetml/2006/main" count="240" uniqueCount="227">
  <si>
    <t>Firma (Consolidated)</t>
  </si>
  <si>
    <t>PG P+L Consolidated</t>
  </si>
  <si>
    <t>From Jan 2022 to Adjust 2022</t>
  </si>
  <si>
    <t>Financial Row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</si>
  <si>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</si>
  <si>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</si>
  <si>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</si>
  <si>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</si>
  <si>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</si>
  <si>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</si>
  <si>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</si>
  <si>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</si>
  <si>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</si>
  <si>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</si>
  <si>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</si>
  <si>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</si>
  <si>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 xml:space="preserve">Adjust 2022 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</si>
  <si>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</si>
  <si>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</si>
  <si>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</si>
  <si>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</si>
  <si>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</si>
  <si>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</si>
  <si>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</si>
  <si>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</si>
  <si>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477200 - Discounts granted §13b - Third country</t>
  </si>
  <si>
    <t>477000 - Rebates granted</t>
  </si>
  <si>
    <t>477100 - Rebates granted §13b- EU-nation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</si>
  <si>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</si>
  <si>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</si>
  <si>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</si>
  <si>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</si>
  <si>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</si>
  <si>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</si>
  <si>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474000 - Volume discounts granted</t>
  </si>
  <si>
    <t>476000 - Volume discounts granted, Standard VAT</t>
  </si>
  <si>
    <t>470000 - taxes directly linked to sales</t>
  </si>
  <si>
    <t>Total Revenue</t>
  </si>
  <si>
    <t>4. Other operating income</t>
  </si>
  <si>
    <t>494700 - Alloc. other non-cash benefits from provi. of car, Std VAT</t>
  </si>
  <si>
    <t>494000 - Allocated other non-cash benefits (excluding goods)</t>
  </si>
  <si>
    <t>494800 - Allocated other non-cash benefits, Standard VAT</t>
  </si>
  <si>
    <t>494900 - Allocated other non-cash benefits, no VAT</t>
  </si>
  <si>
    <t>490000 - Income from disposal of fixed assets</t>
  </si>
  <si>
    <t>493200 - Income from remission of liabilities</t>
  </si>
  <si>
    <t>498000 - Investment grants (tax-exempt)</t>
  </si>
  <si>
    <t>483900 - Other infrequent income</t>
  </si>
  <si>
    <t>483000 - Other operating income</t>
  </si>
  <si>
    <t>484000 - Realized Foreign Exchange Gain</t>
  </si>
  <si>
    <t>454000 - Revenue infrastructure standard VAT</t>
  </si>
  <si>
    <t>484700 - Rounding Gain/Loss</t>
  </si>
  <si>
    <t>Total Other operating income</t>
  </si>
  <si>
    <t>Total Operating income</t>
  </si>
  <si>
    <t>5. Cost of materials</t>
  </si>
  <si>
    <t>a) Cost of raw materials, consum, supplies and purchased merch.</t>
  </si>
  <si>
    <t>573000 - Cash discounts received</t>
  </si>
  <si>
    <t>520000 - Cost of merchandise</t>
  </si>
  <si>
    <t>540000 - Cost of merchandise, Standard input tax</t>
  </si>
  <si>
    <t>581300 - Invoice PO price variance goods third country</t>
  </si>
  <si>
    <t>580010 - Invoice PO price variance standard rate</t>
  </si>
  <si>
    <t>580020 - Invoice PO qty variance standard rate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</si>
  <si>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</si>
  <si>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</si>
  <si>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</si>
  <si>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</si>
  <si>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590600 - Purchased services, Standard input tax</t>
  </si>
  <si>
    <t>590900 - Purchased services, no input tax</t>
  </si>
  <si>
    <t>592500 - Serv.s supplied by foreign contractor, Std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</si>
  <si>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</si>
  <si>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</si>
  <si>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</si>
  <si>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</si>
  <si>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</si>
  <si>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</si>
  <si>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</si>
  <si>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</si>
  <si>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</si>
  <si>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</si>
  <si>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</si>
  <si>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</si>
  <si>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</si>
  <si>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</si>
  <si>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</si>
  <si>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</si>
  <si>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</si>
  <si>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607500 - Employment agency subsidies (credit balances)</t>
  </si>
  <si>
    <t>606900 - Flat-rate tax on other benefits (e.g. travel allowances)</t>
  </si>
  <si>
    <t>603900 - Flat-rate taxes for employees</t>
  </si>
  <si>
    <t>660700 - HCM Marketing</t>
  </si>
  <si>
    <t>607300 - Non-cash bene and services provided to shareholder managers</t>
  </si>
  <si>
    <t>607200 - Non-cash benefits and services provided to employees</t>
  </si>
  <si>
    <t>602300 - Profit-sharing salary management</t>
  </si>
  <si>
    <t>497200 - Refunds Act on Reimbursement of Employers' Expenses (AAG)</t>
  </si>
  <si>
    <t>607800 - Refunds Expenditure Compensation Act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</si>
  <si>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</si>
  <si>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</si>
  <si>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</si>
  <si>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</si>
  <si>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</si>
  <si>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</si>
  <si>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</si>
  <si>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</si>
  <si>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</si>
  <si>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</si>
  <si>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</si>
  <si>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</si>
  <si>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</si>
  <si>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</si>
  <si>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</si>
  <si>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</si>
  <si>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</si>
  <si>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656300 - Bike leasing</t>
  </si>
  <si>
    <t>683000 - Bookkeeping costs</t>
  </si>
  <si>
    <t>633000 - Cleaning</t>
  </si>
  <si>
    <t>660500 - Conception</t>
  </si>
  <si>
    <t>642000 - Contributions</t>
  </si>
  <si>
    <t>688100 - Currency Exchange Losses</t>
  </si>
  <si>
    <t>688000 - Currency translation losses</t>
  </si>
  <si>
    <t>644000 - Disabled persons equalisation levy</t>
  </si>
  <si>
    <t>666800 - Employee mileage reimbursement</t>
  </si>
  <si>
    <t>666500 - Employee travel expens, add. sub costs,Income tax liability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</si>
  <si>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</si>
  <si>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</si>
  <si>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</si>
  <si>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</si>
  <si>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</si>
  <si>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</si>
  <si>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</si>
  <si>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</si>
  <si>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</si>
  <si>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</si>
  <si>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680100 - Further training costs §13b UStG Supplier 3. country service</t>
  </si>
  <si>
    <t>632500 - Gas, electricity, water</t>
  </si>
  <si>
    <t>662500 - Gifts used exclusively for operating purposes</t>
  </si>
  <si>
    <t>661000 - Gifts, deductible, without s. 37b EStG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</si>
  <si>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</si>
  <si>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</si>
  <si>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</si>
  <si>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</si>
  <si>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683600 - Leases (movable assets)</t>
  </si>
  <si>
    <t>682500 - Legal and consulting costs</t>
  </si>
  <si>
    <t>682800 - Legal and consulting fees §13b UStG Supplier EU service</t>
  </si>
  <si>
    <t>690000 - Losses on disposal of fixed assets</t>
  </si>
  <si>
    <t>633500 - Maintenance of operating premises</t>
  </si>
  <si>
    <t>660400 - Marketing material</t>
  </si>
  <si>
    <t>682000 - Newspapers, books</t>
  </si>
  <si>
    <t>639200 - Non-cash benefits, donations for charitable purposes</t>
  </si>
  <si>
    <t>639100 - Non-cash benefits, donations for scient. and cult. purposes</t>
  </si>
  <si>
    <t>664400 - Non-deductible entertainment expenses</t>
  </si>
  <si>
    <t>681500 - Office supplies</t>
  </si>
  <si>
    <t>656000 - Operating leases (motor vehicles)</t>
  </si>
  <si>
    <t>684000 - Operating leases (mov. assets)</t>
  </si>
  <si>
    <t>696900 - Other infrequent expenses</t>
  </si>
  <si>
    <t>634500 - Other occupancy costs</t>
  </si>
  <si>
    <t>685000 - Other operating supplies</t>
  </si>
  <si>
    <t>649000 - Other repairs and maintenance</t>
  </si>
  <si>
    <t>682700 - Period-end closing and audit costs</t>
  </si>
  <si>
    <t>680000 - Postage</t>
  </si>
  <si>
    <t>696000 - Prior-period expenses if not extraordinary</t>
  </si>
  <si>
    <t>630300 - Purchased services/third-party services</t>
  </si>
  <si>
    <t>631000 - Rent (immovable property)</t>
  </si>
  <si>
    <t>683500 - Rent of fixtures and fittings (movable assets)</t>
  </si>
  <si>
    <t>646000 - Repairs and maintenance of technical equipment and machinery</t>
  </si>
  <si>
    <t>699400 - Selling expenses</t>
  </si>
  <si>
    <t>664300 - Small gifts</t>
  </si>
  <si>
    <t>660600 - Sponsoring</t>
  </si>
  <si>
    <t>643600 - Tax-deductible late filing penalties and administrativ fines</t>
  </si>
  <si>
    <t>680500 - Telephone</t>
  </si>
  <si>
    <t>681400 - Third country service</t>
  </si>
  <si>
    <t>678000 - Third-party services (distribution)</t>
  </si>
  <si>
    <t>660100 - Trade fare costs</t>
  </si>
  <si>
    <t>682100 - Training costs</t>
  </si>
  <si>
    <t>692300 - Transfer to specific valuation allowance on receivables</t>
  </si>
  <si>
    <t>692000 - Transfers to global valuation allowance on receivables</t>
  </si>
  <si>
    <t>669900 - Travel costs liability adjustment account</t>
  </si>
  <si>
    <t>650035 - Vehicle Expenses KA-FS 5712/2 BMW 740d xDrive Limousine</t>
  </si>
  <si>
    <t>650033 - Vehicle expenses  KA-MW 8801 Mazda CX30</t>
  </si>
  <si>
    <t>650036 - Vehicle expenses KA-B 9884 Skodia Fabia</t>
  </si>
  <si>
    <t>650021 - Vehicle expenses KA-EW 1155 Skoda KODIAQ Drive 2.0 TDI</t>
  </si>
  <si>
    <t>650017 - Vehicle expenses KA-JM 1075 Skoda Superb</t>
  </si>
  <si>
    <t>650037 - Vehicle expenses KA-JR 1240 Audi Q3 Sportsback 45 TFSI</t>
  </si>
  <si>
    <t>650014 - Vehicle expenses KA-KS 1186 Mercedes GLA</t>
  </si>
  <si>
    <t>650012 - Vehicle expenses KA-M 3390 Tesla</t>
  </si>
  <si>
    <t>650042 - Vehicle expenses KA-MA 8090 Skoda Octavia Combi 2.0 TDI</t>
  </si>
  <si>
    <t>650019 - Vehicle expenses KA-MA 9080 Skoda Superb Combi 1.8 TSI</t>
  </si>
  <si>
    <t>650034 - Vehicle expenses KA-MP 1019 KIA Xceed 1.4 T-GDI</t>
  </si>
  <si>
    <t>650011 - Vehicle expenses KA-S 2730 Skoda Octavia</t>
  </si>
  <si>
    <t>691000 - Write-downs of current assets ex inventories and securities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</si>
  <si>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</si>
  <si>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</si>
  <si>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</si>
  <si>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</si>
  <si>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</si>
  <si>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</si>
  <si>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</si>
  <si>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</si>
  <si>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</si>
  <si>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</si>
  <si>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</si>
  <si>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</si>
  <si>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</si>
  <si>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730500 - Interest expenses, section 233a AO, operating taxes</t>
  </si>
  <si>
    <t>730800 - Interest expenses, section 233a AO, section 4(5b) EStG</t>
  </si>
  <si>
    <t>710000 - Other interest and similar income</t>
  </si>
  <si>
    <t>711900 - Other interest income from affiliated companies</t>
  </si>
  <si>
    <t>Total Other interest and similar income</t>
  </si>
  <si>
    <t>13. Interest and similar expenses</t>
  </si>
  <si>
    <t>740200 - Extraordinary income standard</t>
  </si>
  <si>
    <t>736000 - Interest cost included in additions to pension provisions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</si>
  <si>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</si>
  <si>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</si>
  <si>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</si>
  <si>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</si>
  <si>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</si>
  <si>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764100 - Backpayments and refunds of trade tax for prior years</t>
  </si>
  <si>
    <t>764000 - Backpayments of trade tax for prior years</t>
  </si>
  <si>
    <t>760000 - Corporate income tax</t>
  </si>
  <si>
    <t>763900 - Deductible foreign withholding tax</t>
  </si>
  <si>
    <t>760800 - Solidarity surcharge</t>
  </si>
  <si>
    <t>761000 - Trade tax</t>
  </si>
  <si>
    <t>763000 - Withholding tax on investment income, 25%</t>
  </si>
  <si>
    <t>Total Taxes on income</t>
  </si>
  <si>
    <t>16. Other taxes</t>
  </si>
  <si>
    <t>769000 - Backpayments of other taxes for prior years</t>
  </si>
  <si>
    <t>768500 - Motor vehicle tax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</si>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</sst>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72.5" bestFit="1" customWidth="1"/>
    <col min="2" max="15" width="15.83203125" bestFit="1" customWidth="1"/>
  </cols>
  <sheetData>
    <row r="1" spans="1:15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 x14ac:dyDescent="0.2">
      <c r="A5" s="3" t="s">
        <v>18</v>
      </c>
      <c r="B5" s="4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</row>
    <row r="6" spans="1:15" x14ac:dyDescent="0.2">
      <c r="A6" s="5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">
      <c r="A7" s="7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">
      <c r="A8" s="8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9" t="s">
        <v>23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">
      <c r="A11" s="11" t="s">
        <v>25</v>
      </c>
      <c r="B11" s="12">
        <v>0</v>
      </c>
      <c r="C11" s="12">
        <v>0</v>
      </c>
      <c r="D11" s="12">
        <v>0</v>
      </c>
      <c r="E11" s="12">
        <v>0</v>
      </c>
      <c r="F11" s="12">
        <v>-11001.83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f t="shared" ref="O11:O22" si="0">SUM(B11:N11)</f>
        <v>-11001.83</v>
      </c>
    </row>
    <row r="12" spans="1:15" x14ac:dyDescent="0.2">
      <c r="A12" s="11" t="s">
        <v>26</v>
      </c>
      <c r="B12" s="12">
        <v>0</v>
      </c>
      <c r="C12" s="12">
        <v>0</v>
      </c>
      <c r="D12" s="12">
        <v>0</v>
      </c>
      <c r="E12" s="12">
        <v>0</v>
      </c>
      <c r="F12" s="12">
        <v>-3564</v>
      </c>
      <c r="G12" s="12">
        <v>0</v>
      </c>
      <c r="H12" s="12">
        <v>-4431.33</v>
      </c>
      <c r="I12" s="12">
        <v>-4751.33</v>
      </c>
      <c r="J12" s="12">
        <v>-4751.33</v>
      </c>
      <c r="K12" s="12">
        <v>-5149.66</v>
      </c>
      <c r="L12" s="12">
        <v>-5674.66</v>
      </c>
      <c r="M12" s="12">
        <v>28322.31</v>
      </c>
      <c r="N12" s="12">
        <v>0</v>
      </c>
      <c r="O12" s="12">
        <f t="shared" si="0"/>
        <v>3.637978807091713E-12</v>
      </c>
    </row>
    <row r="13" spans="1:15" x14ac:dyDescent="0.2">
      <c r="A13" s="11" t="s">
        <v>27</v>
      </c>
      <c r="B13" s="12">
        <v>-38.4</v>
      </c>
      <c r="C13" s="12">
        <v>-38.4</v>
      </c>
      <c r="D13" s="12">
        <v>-38.4</v>
      </c>
      <c r="E13" s="12">
        <v>-39.549999999999997</v>
      </c>
      <c r="F13" s="12">
        <v>-39.549999999999997</v>
      </c>
      <c r="G13" s="12">
        <v>-39.549999999999997</v>
      </c>
      <c r="H13" s="12">
        <v>0</v>
      </c>
      <c r="I13" s="12">
        <v>0</v>
      </c>
      <c r="J13" s="12">
        <v>0</v>
      </c>
      <c r="K13" s="12">
        <v>-6000</v>
      </c>
      <c r="L13" s="12">
        <v>0</v>
      </c>
      <c r="M13" s="12">
        <v>-237.3</v>
      </c>
      <c r="N13" s="12">
        <v>0</v>
      </c>
      <c r="O13" s="12">
        <f t="shared" si="0"/>
        <v>-6471.1500000000005</v>
      </c>
    </row>
    <row r="14" spans="1:15" x14ac:dyDescent="0.2">
      <c r="A14" s="11" t="s">
        <v>28</v>
      </c>
      <c r="B14" s="12">
        <v>-3139.45</v>
      </c>
      <c r="C14" s="12">
        <v>-3139.65</v>
      </c>
      <c r="D14" s="12">
        <v>-2753.91</v>
      </c>
      <c r="E14" s="12">
        <v>-3013.92</v>
      </c>
      <c r="F14" s="12">
        <v>0</v>
      </c>
      <c r="G14" s="12">
        <v>-3957.32</v>
      </c>
      <c r="H14" s="12">
        <v>0</v>
      </c>
      <c r="I14" s="12">
        <v>0</v>
      </c>
      <c r="J14" s="12">
        <v>-560</v>
      </c>
      <c r="K14" s="12">
        <v>0</v>
      </c>
      <c r="L14" s="12">
        <v>0</v>
      </c>
      <c r="M14" s="12">
        <v>-33759.57</v>
      </c>
      <c r="N14" s="12">
        <v>0</v>
      </c>
      <c r="O14" s="12">
        <f t="shared" si="0"/>
        <v>-50323.82</v>
      </c>
    </row>
    <row r="15" spans="1:15" x14ac:dyDescent="0.2">
      <c r="A15" s="11" t="s">
        <v>29</v>
      </c>
      <c r="B15" s="12">
        <v>52206.37</v>
      </c>
      <c r="C15" s="12">
        <v>86088.02</v>
      </c>
      <c r="D15" s="12">
        <v>-76039.497604000004</v>
      </c>
      <c r="E15" s="12">
        <v>-135722.20655800001</v>
      </c>
      <c r="F15" s="12">
        <v>-81554.934127999994</v>
      </c>
      <c r="G15" s="12">
        <v>-113731.727</v>
      </c>
      <c r="H15" s="12">
        <v>24463.97</v>
      </c>
      <c r="I15" s="12">
        <v>-176694.608828</v>
      </c>
      <c r="J15" s="12">
        <v>-141947.17674</v>
      </c>
      <c r="K15" s="12">
        <v>-196140.48644000001</v>
      </c>
      <c r="L15" s="12">
        <v>-118241.118262</v>
      </c>
      <c r="M15" s="12">
        <v>2204882.4946699999</v>
      </c>
      <c r="N15" s="12">
        <v>0</v>
      </c>
      <c r="O15" s="12">
        <f t="shared" si="0"/>
        <v>1327569.0991099998</v>
      </c>
    </row>
    <row r="16" spans="1:15" x14ac:dyDescent="0.2">
      <c r="A16" s="11" t="s">
        <v>30</v>
      </c>
      <c r="B16" s="12">
        <v>83932.763352159993</v>
      </c>
      <c r="C16" s="12">
        <v>118930.90472325</v>
      </c>
      <c r="D16" s="12">
        <v>197811.945205</v>
      </c>
      <c r="E16" s="12">
        <v>131913.67318417999</v>
      </c>
      <c r="F16" s="12">
        <v>152528.59203912001</v>
      </c>
      <c r="G16" s="12">
        <v>139685.5846412</v>
      </c>
      <c r="H16" s="12">
        <v>191127.15017502999</v>
      </c>
      <c r="I16" s="12">
        <v>238809.46243104001</v>
      </c>
      <c r="J16" s="12">
        <v>200246.35065876</v>
      </c>
      <c r="K16" s="12">
        <v>144293.53720600999</v>
      </c>
      <c r="L16" s="12">
        <v>188276.73019989999</v>
      </c>
      <c r="M16" s="12">
        <v>131496.43764026</v>
      </c>
      <c r="N16" s="12">
        <v>0</v>
      </c>
      <c r="O16" s="12">
        <f t="shared" si="0"/>
        <v>1919053.1314559099</v>
      </c>
    </row>
    <row r="17" spans="1:15" x14ac:dyDescent="0.2">
      <c r="A17" s="11" t="s">
        <v>31</v>
      </c>
      <c r="B17" s="12">
        <v>1058307.2629400201</v>
      </c>
      <c r="C17" s="12">
        <v>1127350.2323533599</v>
      </c>
      <c r="D17" s="12">
        <v>1134696.74501918</v>
      </c>
      <c r="E17" s="12">
        <v>1130752.5973095701</v>
      </c>
      <c r="F17" s="12">
        <v>1255803.1730865201</v>
      </c>
      <c r="G17" s="12">
        <v>1393466.8412949999</v>
      </c>
      <c r="H17" s="12">
        <v>1315312.4343528</v>
      </c>
      <c r="I17" s="12">
        <v>1268581.85654846</v>
      </c>
      <c r="J17" s="12">
        <v>1218748.0591959001</v>
      </c>
      <c r="K17" s="12">
        <v>1699072.1334752799</v>
      </c>
      <c r="L17" s="12">
        <v>1648694.06766321</v>
      </c>
      <c r="M17" s="12">
        <v>1471365.22436426</v>
      </c>
      <c r="N17" s="12">
        <v>0</v>
      </c>
      <c r="O17" s="12">
        <f t="shared" si="0"/>
        <v>15722150.627603559</v>
      </c>
    </row>
    <row r="18" spans="1:15" x14ac:dyDescent="0.2">
      <c r="A18" s="11" t="s">
        <v>32</v>
      </c>
      <c r="B18" s="12">
        <v>11276.5</v>
      </c>
      <c r="C18" s="12">
        <v>18722.25</v>
      </c>
      <c r="D18" s="12">
        <v>23790.25</v>
      </c>
      <c r="E18" s="12">
        <v>28668.560000000001</v>
      </c>
      <c r="F18" s="12">
        <v>35304</v>
      </c>
      <c r="G18" s="12">
        <v>47710.75</v>
      </c>
      <c r="H18" s="12">
        <v>0</v>
      </c>
      <c r="I18" s="12">
        <v>78050.5</v>
      </c>
      <c r="J18" s="12">
        <v>49185.25</v>
      </c>
      <c r="K18" s="12">
        <v>33775.75</v>
      </c>
      <c r="L18" s="12">
        <v>32317.5</v>
      </c>
      <c r="M18" s="12">
        <v>12344.31</v>
      </c>
      <c r="N18" s="12">
        <v>0</v>
      </c>
      <c r="O18" s="12">
        <f t="shared" si="0"/>
        <v>371145.62</v>
      </c>
    </row>
    <row r="19" spans="1:15" x14ac:dyDescent="0.2">
      <c r="A19" s="11" t="s">
        <v>33</v>
      </c>
      <c r="B19" s="12">
        <v>65937.119999999995</v>
      </c>
      <c r="C19" s="12">
        <v>185020.56</v>
      </c>
      <c r="D19" s="12">
        <v>304041.39</v>
      </c>
      <c r="E19" s="12">
        <v>303054.38</v>
      </c>
      <c r="F19" s="12">
        <v>273931.05</v>
      </c>
      <c r="G19" s="12">
        <v>288113.12</v>
      </c>
      <c r="H19" s="12">
        <v>121.13</v>
      </c>
      <c r="I19" s="12">
        <v>581874.16</v>
      </c>
      <c r="J19" s="12">
        <v>286840.73</v>
      </c>
      <c r="K19" s="12">
        <v>305066.12</v>
      </c>
      <c r="L19" s="12">
        <v>414815.44</v>
      </c>
      <c r="M19" s="12">
        <v>345830.71</v>
      </c>
      <c r="N19" s="12">
        <v>0</v>
      </c>
      <c r="O19" s="12">
        <f t="shared" si="0"/>
        <v>3354645.91</v>
      </c>
    </row>
    <row r="20" spans="1:15" x14ac:dyDescent="0.2">
      <c r="A20" s="11" t="s">
        <v>34</v>
      </c>
      <c r="B20" s="12">
        <v>0</v>
      </c>
      <c r="C20" s="12">
        <v>0</v>
      </c>
      <c r="D20" s="12">
        <v>146391.93</v>
      </c>
      <c r="E20" s="12">
        <v>0</v>
      </c>
      <c r="F20" s="12">
        <v>0</v>
      </c>
      <c r="G20" s="12">
        <v>-50000</v>
      </c>
      <c r="H20" s="12">
        <v>-50000</v>
      </c>
      <c r="I20" s="12">
        <v>-24000</v>
      </c>
      <c r="J20" s="12">
        <v>-8000</v>
      </c>
      <c r="K20" s="12">
        <v>63000</v>
      </c>
      <c r="L20" s="12">
        <v>-5000</v>
      </c>
      <c r="M20" s="12">
        <v>74000</v>
      </c>
      <c r="N20" s="12">
        <v>0</v>
      </c>
      <c r="O20" s="12">
        <f t="shared" si="0"/>
        <v>146391.93</v>
      </c>
    </row>
    <row r="21" spans="1:15" x14ac:dyDescent="0.2">
      <c r="A21" s="11" t="s">
        <v>35</v>
      </c>
      <c r="B21" s="12">
        <v>0</v>
      </c>
      <c r="C21" s="12">
        <v>0</v>
      </c>
      <c r="D21" s="12">
        <v>-146391.93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f t="shared" si="0"/>
        <v>-146391.93</v>
      </c>
    </row>
    <row r="22" spans="1:15" x14ac:dyDescent="0.2">
      <c r="A22" s="11" t="s">
        <v>36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-34832.648999999998</v>
      </c>
      <c r="N22" s="12">
        <v>0</v>
      </c>
      <c r="O22" s="12">
        <f t="shared" si="0"/>
        <v>-34832.648999999998</v>
      </c>
    </row>
    <row r="23" spans="1:15" x14ac:dyDescent="0.2">
      <c r="A23" s="13" t="s">
        <v>37</v>
      </c>
      <c r="B23" s="14">
        <f t="shared" ref="B23:O23" si="1">SUM(B11:B22)</f>
        <v>1268482.1662921803</v>
      </c>
      <c r="C23" s="14">
        <f t="shared" si="1"/>
        <v>1532933.91707661</v>
      </c>
      <c r="D23" s="14">
        <f t="shared" si="1"/>
        <v>1581508.5226201802</v>
      </c>
      <c r="E23" s="14">
        <f t="shared" si="1"/>
        <v>1455613.5339357499</v>
      </c>
      <c r="F23" s="14">
        <f t="shared" si="1"/>
        <v>1621406.5009976402</v>
      </c>
      <c r="G23" s="14">
        <f t="shared" si="1"/>
        <v>1701247.6989361998</v>
      </c>
      <c r="H23" s="14">
        <f t="shared" si="1"/>
        <v>1476593.3545278299</v>
      </c>
      <c r="I23" s="14">
        <f t="shared" si="1"/>
        <v>1961870.0401515001</v>
      </c>
      <c r="J23" s="14">
        <f t="shared" si="1"/>
        <v>1599761.8831146602</v>
      </c>
      <c r="K23" s="14">
        <f t="shared" si="1"/>
        <v>2037917.3942412897</v>
      </c>
      <c r="L23" s="14">
        <f t="shared" si="1"/>
        <v>2155187.9596011098</v>
      </c>
      <c r="M23" s="14">
        <f t="shared" si="1"/>
        <v>4199411.9676745199</v>
      </c>
      <c r="N23" s="14">
        <f t="shared" si="1"/>
        <v>0</v>
      </c>
      <c r="O23" s="14">
        <f t="shared" si="1"/>
        <v>22591934.93916947</v>
      </c>
    </row>
    <row r="24" spans="1:15" x14ac:dyDescent="0.2">
      <c r="A24" s="10" t="s">
        <v>38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">
      <c r="A25" s="11" t="s">
        <v>39</v>
      </c>
      <c r="B25" s="12">
        <v>8333.6</v>
      </c>
      <c r="C25" s="12">
        <v>8333.6</v>
      </c>
      <c r="D25" s="12">
        <v>8300.8799999999992</v>
      </c>
      <c r="E25" s="12">
        <v>8430.25</v>
      </c>
      <c r="F25" s="12">
        <v>7180.27</v>
      </c>
      <c r="G25" s="12">
        <v>7455.9</v>
      </c>
      <c r="H25" s="12">
        <v>7180.27</v>
      </c>
      <c r="I25" s="12">
        <v>7180.27</v>
      </c>
      <c r="J25" s="12">
        <v>6904.64</v>
      </c>
      <c r="K25" s="12">
        <v>7180.27</v>
      </c>
      <c r="L25" s="12">
        <v>7180.27</v>
      </c>
      <c r="M25" s="12">
        <v>7180.27</v>
      </c>
      <c r="N25" s="12">
        <v>0</v>
      </c>
      <c r="O25" s="12">
        <f t="shared" ref="O25:O36" si="2">SUM(B25:N25)</f>
        <v>90840.49000000002</v>
      </c>
    </row>
    <row r="26" spans="1:15" x14ac:dyDescent="0.2">
      <c r="A26" s="11" t="s">
        <v>40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25416</v>
      </c>
      <c r="N26" s="12">
        <v>0</v>
      </c>
      <c r="O26" s="12">
        <f t="shared" si="2"/>
        <v>25416</v>
      </c>
    </row>
    <row r="27" spans="1:15" x14ac:dyDescent="0.2">
      <c r="A27" s="11" t="s">
        <v>41</v>
      </c>
      <c r="B27" s="12">
        <v>52.94</v>
      </c>
      <c r="C27" s="12">
        <v>52.94</v>
      </c>
      <c r="D27" s="12">
        <v>63.86</v>
      </c>
      <c r="E27" s="12">
        <v>63.86</v>
      </c>
      <c r="F27" s="12">
        <v>63.86</v>
      </c>
      <c r="G27" s="12">
        <v>72.260000000000005</v>
      </c>
      <c r="H27" s="12">
        <v>87.39</v>
      </c>
      <c r="I27" s="12">
        <v>87.39</v>
      </c>
      <c r="J27" s="12">
        <v>87.39</v>
      </c>
      <c r="K27" s="12">
        <v>87.39</v>
      </c>
      <c r="L27" s="12">
        <v>79.83</v>
      </c>
      <c r="M27" s="12">
        <v>94.96</v>
      </c>
      <c r="N27" s="12">
        <v>0</v>
      </c>
      <c r="O27" s="12">
        <f t="shared" si="2"/>
        <v>894.07</v>
      </c>
    </row>
    <row r="28" spans="1:15" x14ac:dyDescent="0.2">
      <c r="A28" s="11" t="s">
        <v>42</v>
      </c>
      <c r="B28" s="12">
        <v>0</v>
      </c>
      <c r="C28" s="12">
        <v>0</v>
      </c>
      <c r="D28" s="12">
        <v>0</v>
      </c>
      <c r="E28" s="12">
        <v>0</v>
      </c>
      <c r="F28" s="12">
        <v>460.59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f t="shared" si="2"/>
        <v>460.59</v>
      </c>
    </row>
    <row r="29" spans="1:15" x14ac:dyDescent="0.2">
      <c r="A29" s="11" t="s">
        <v>43</v>
      </c>
      <c r="B29" s="12">
        <v>0</v>
      </c>
      <c r="C29" s="12">
        <v>383.7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f t="shared" si="2"/>
        <v>383.7</v>
      </c>
    </row>
    <row r="30" spans="1:15" x14ac:dyDescent="0.2">
      <c r="A30" s="11" t="s">
        <v>44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2740</v>
      </c>
      <c r="N30" s="12">
        <v>0</v>
      </c>
      <c r="O30" s="12">
        <f t="shared" si="2"/>
        <v>2740</v>
      </c>
    </row>
    <row r="31" spans="1:15" x14ac:dyDescent="0.2">
      <c r="A31" s="11" t="s">
        <v>45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488375</v>
      </c>
      <c r="N31" s="12">
        <v>0</v>
      </c>
      <c r="O31" s="12">
        <f t="shared" si="2"/>
        <v>488375</v>
      </c>
    </row>
    <row r="32" spans="1:15" x14ac:dyDescent="0.2">
      <c r="A32" s="11" t="s">
        <v>46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40200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f t="shared" si="2"/>
        <v>40200</v>
      </c>
    </row>
    <row r="33" spans="1:15" x14ac:dyDescent="0.2">
      <c r="A33" s="11" t="s">
        <v>47</v>
      </c>
      <c r="B33" s="12">
        <v>6513.99</v>
      </c>
      <c r="C33" s="12">
        <v>24884.17</v>
      </c>
      <c r="D33" s="12">
        <v>17449.72</v>
      </c>
      <c r="E33" s="12">
        <v>7858.6</v>
      </c>
      <c r="F33" s="12">
        <v>0</v>
      </c>
      <c r="G33" s="12">
        <v>0</v>
      </c>
      <c r="H33" s="12">
        <v>0</v>
      </c>
      <c r="I33" s="12">
        <v>0</v>
      </c>
      <c r="J33" s="12">
        <v>3293.67</v>
      </c>
      <c r="K33" s="12">
        <v>0</v>
      </c>
      <c r="L33" s="12">
        <v>0</v>
      </c>
      <c r="M33" s="12">
        <v>-20264</v>
      </c>
      <c r="N33" s="12">
        <v>0</v>
      </c>
      <c r="O33" s="12">
        <f t="shared" si="2"/>
        <v>39736.149999999994</v>
      </c>
    </row>
    <row r="34" spans="1:15" x14ac:dyDescent="0.2">
      <c r="A34" s="11" t="s">
        <v>48</v>
      </c>
      <c r="B34" s="12">
        <v>0</v>
      </c>
      <c r="C34" s="12">
        <v>0</v>
      </c>
      <c r="D34" s="12">
        <v>0</v>
      </c>
      <c r="E34" s="12">
        <v>2275.63</v>
      </c>
      <c r="F34" s="12">
        <v>-3340.7</v>
      </c>
      <c r="G34" s="12">
        <v>0</v>
      </c>
      <c r="H34" s="12">
        <v>5629.89</v>
      </c>
      <c r="I34" s="12">
        <v>54050.84</v>
      </c>
      <c r="J34" s="12">
        <v>0</v>
      </c>
      <c r="K34" s="12">
        <v>0</v>
      </c>
      <c r="L34" s="12">
        <v>0</v>
      </c>
      <c r="M34" s="12">
        <v>14977.09</v>
      </c>
      <c r="N34" s="12">
        <v>0</v>
      </c>
      <c r="O34" s="12">
        <f t="shared" si="2"/>
        <v>73592.75</v>
      </c>
    </row>
    <row r="35" spans="1:15" x14ac:dyDescent="0.2">
      <c r="A35" s="11" t="s">
        <v>49</v>
      </c>
      <c r="B35" s="12">
        <v>4700</v>
      </c>
      <c r="C35" s="12">
        <v>4700</v>
      </c>
      <c r="D35" s="12">
        <v>4700</v>
      </c>
      <c r="E35" s="12">
        <v>4700</v>
      </c>
      <c r="F35" s="12">
        <v>4700</v>
      </c>
      <c r="G35" s="12">
        <v>4700</v>
      </c>
      <c r="H35" s="12">
        <v>4700</v>
      </c>
      <c r="I35" s="12">
        <v>4700</v>
      </c>
      <c r="J35" s="12">
        <v>4700</v>
      </c>
      <c r="K35" s="12">
        <v>4700</v>
      </c>
      <c r="L35" s="12">
        <v>4700</v>
      </c>
      <c r="M35" s="12">
        <v>4700</v>
      </c>
      <c r="N35" s="12">
        <v>0</v>
      </c>
      <c r="O35" s="12">
        <f t="shared" si="2"/>
        <v>56400</v>
      </c>
    </row>
    <row r="36" spans="1:15" x14ac:dyDescent="0.2">
      <c r="A36" s="11" t="s">
        <v>50</v>
      </c>
      <c r="B36" s="12">
        <v>0</v>
      </c>
      <c r="C36" s="12">
        <v>0</v>
      </c>
      <c r="D36" s="12">
        <v>0</v>
      </c>
      <c r="E36" s="12">
        <v>0.01</v>
      </c>
      <c r="F36" s="12">
        <v>-0.02</v>
      </c>
      <c r="G36" s="12">
        <v>0</v>
      </c>
      <c r="H36" s="12">
        <v>0</v>
      </c>
      <c r="I36" s="12">
        <v>0.01</v>
      </c>
      <c r="J36" s="12">
        <v>-0.01</v>
      </c>
      <c r="K36" s="12">
        <v>0</v>
      </c>
      <c r="L36" s="12">
        <v>0</v>
      </c>
      <c r="M36" s="12">
        <v>0.01</v>
      </c>
      <c r="N36" s="12">
        <v>0</v>
      </c>
      <c r="O36" s="12">
        <f t="shared" si="2"/>
        <v>0</v>
      </c>
    </row>
    <row r="37" spans="1:15" x14ac:dyDescent="0.2">
      <c r="A37" s="13" t="s">
        <v>51</v>
      </c>
      <c r="B37" s="14">
        <f t="shared" ref="B37:O37" si="3">SUM(B25:B36)</f>
        <v>19600.53</v>
      </c>
      <c r="C37" s="14">
        <f t="shared" si="3"/>
        <v>38354.410000000003</v>
      </c>
      <c r="D37" s="14">
        <f t="shared" si="3"/>
        <v>30514.46</v>
      </c>
      <c r="E37" s="14">
        <f t="shared" si="3"/>
        <v>23328.35</v>
      </c>
      <c r="F37" s="14">
        <f t="shared" si="3"/>
        <v>9064</v>
      </c>
      <c r="G37" s="14">
        <f t="shared" si="3"/>
        <v>12228.16</v>
      </c>
      <c r="H37" s="14">
        <f t="shared" si="3"/>
        <v>17597.550000000003</v>
      </c>
      <c r="I37" s="14">
        <f t="shared" si="3"/>
        <v>106218.51</v>
      </c>
      <c r="J37" s="14">
        <f t="shared" si="3"/>
        <v>14985.69</v>
      </c>
      <c r="K37" s="14">
        <f t="shared" si="3"/>
        <v>11967.66</v>
      </c>
      <c r="L37" s="14">
        <f t="shared" si="3"/>
        <v>11960.1</v>
      </c>
      <c r="M37" s="14">
        <f t="shared" si="3"/>
        <v>523219.33</v>
      </c>
      <c r="N37" s="14">
        <f t="shared" si="3"/>
        <v>0</v>
      </c>
      <c r="O37" s="14">
        <f t="shared" si="3"/>
        <v>819038.75</v>
      </c>
    </row>
    <row r="38" spans="1:15" x14ac:dyDescent="0.2">
      <c r="A38" s="15" t="s">
        <v>52</v>
      </c>
      <c r="B38" s="14">
        <f t="shared" ref="B38:O38" si="4">B23+0+0+B37</f>
        <v>1288082.6962921803</v>
      </c>
      <c r="C38" s="14">
        <f t="shared" si="4"/>
        <v>1571288.3270766099</v>
      </c>
      <c r="D38" s="14">
        <f t="shared" si="4"/>
        <v>1612022.9826201801</v>
      </c>
      <c r="E38" s="14">
        <f t="shared" si="4"/>
        <v>1478941.88393575</v>
      </c>
      <c r="F38" s="14">
        <f t="shared" si="4"/>
        <v>1630470.5009976402</v>
      </c>
      <c r="G38" s="14">
        <f t="shared" si="4"/>
        <v>1713475.8589361997</v>
      </c>
      <c r="H38" s="14">
        <f t="shared" si="4"/>
        <v>1494190.90452783</v>
      </c>
      <c r="I38" s="14">
        <f t="shared" si="4"/>
        <v>2068088.5501515002</v>
      </c>
      <c r="J38" s="14">
        <f t="shared" si="4"/>
        <v>1614747.5731146601</v>
      </c>
      <c r="K38" s="14">
        <f t="shared" si="4"/>
        <v>2049885.0542412896</v>
      </c>
      <c r="L38" s="14">
        <f t="shared" si="4"/>
        <v>2167148.0596011099</v>
      </c>
      <c r="M38" s="14">
        <f t="shared" si="4"/>
        <v>4722631.2976745199</v>
      </c>
      <c r="N38" s="14">
        <f t="shared" si="4"/>
        <v>0</v>
      </c>
      <c r="O38" s="14">
        <f t="shared" si="4"/>
        <v>23410973.68916947</v>
      </c>
    </row>
    <row r="39" spans="1:15" x14ac:dyDescent="0.2">
      <c r="A39" s="9" t="s">
        <v>53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10" t="s">
        <v>54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11" t="s">
        <v>55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4.2</v>
      </c>
      <c r="N41" s="12">
        <v>0</v>
      </c>
      <c r="O41" s="12">
        <f t="shared" ref="O41:O46" si="5">SUM(B41:N41)</f>
        <v>4.2</v>
      </c>
    </row>
    <row r="42" spans="1:15" x14ac:dyDescent="0.2">
      <c r="A42" s="11" t="s">
        <v>56</v>
      </c>
      <c r="B42" s="12">
        <v>0</v>
      </c>
      <c r="C42" s="12">
        <v>0</v>
      </c>
      <c r="D42" s="12">
        <v>0</v>
      </c>
      <c r="E42" s="12">
        <v>0</v>
      </c>
      <c r="F42" s="12">
        <v>-16225.7436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f t="shared" si="5"/>
        <v>-16225.7436</v>
      </c>
    </row>
    <row r="43" spans="1:15" x14ac:dyDescent="0.2">
      <c r="A43" s="11" t="s">
        <v>57</v>
      </c>
      <c r="B43" s="12">
        <v>-2151.5</v>
      </c>
      <c r="C43" s="12">
        <v>0</v>
      </c>
      <c r="D43" s="12">
        <v>-25676.81</v>
      </c>
      <c r="E43" s="12">
        <v>-25397.62</v>
      </c>
      <c r="F43" s="12">
        <v>-18024.2</v>
      </c>
      <c r="G43" s="12">
        <v>-151785.76999999999</v>
      </c>
      <c r="H43" s="12">
        <v>-9565.91</v>
      </c>
      <c r="I43" s="12">
        <v>-25164</v>
      </c>
      <c r="J43" s="12">
        <v>-22040</v>
      </c>
      <c r="K43" s="12">
        <v>-72652.679999999993</v>
      </c>
      <c r="L43" s="12">
        <v>-64125</v>
      </c>
      <c r="M43" s="12">
        <v>0</v>
      </c>
      <c r="N43" s="12">
        <v>0</v>
      </c>
      <c r="O43" s="12">
        <f t="shared" si="5"/>
        <v>-416583.49</v>
      </c>
    </row>
    <row r="44" spans="1:15" x14ac:dyDescent="0.2">
      <c r="A44" s="11" t="s">
        <v>58</v>
      </c>
      <c r="B44" s="12">
        <v>0</v>
      </c>
      <c r="C44" s="12">
        <v>0</v>
      </c>
      <c r="D44" s="12">
        <v>0</v>
      </c>
      <c r="E44" s="12">
        <v>0</v>
      </c>
      <c r="F44" s="12">
        <v>-0.04</v>
      </c>
      <c r="G44" s="12">
        <v>0</v>
      </c>
      <c r="H44" s="12">
        <v>0.03</v>
      </c>
      <c r="I44" s="12">
        <v>-0.05</v>
      </c>
      <c r="J44" s="12">
        <v>-0.05</v>
      </c>
      <c r="K44" s="12">
        <v>0.04</v>
      </c>
      <c r="L44" s="12">
        <v>0.08</v>
      </c>
      <c r="M44" s="12">
        <v>-0.01</v>
      </c>
      <c r="N44" s="12">
        <v>0</v>
      </c>
      <c r="O44" s="12">
        <f t="shared" si="5"/>
        <v>-5.2041704279304213E-18</v>
      </c>
    </row>
    <row r="45" spans="1:15" x14ac:dyDescent="0.2">
      <c r="A45" s="11" t="s">
        <v>59</v>
      </c>
      <c r="B45" s="12">
        <v>-4.1208670000000003E-2</v>
      </c>
      <c r="C45" s="12">
        <v>-16.87</v>
      </c>
      <c r="D45" s="12">
        <v>0.02</v>
      </c>
      <c r="E45" s="12">
        <v>16.899999999999999</v>
      </c>
      <c r="F45" s="12">
        <v>-0.11</v>
      </c>
      <c r="G45" s="12">
        <v>0.02</v>
      </c>
      <c r="H45" s="12">
        <v>36.79</v>
      </c>
      <c r="I45" s="12">
        <v>0.01</v>
      </c>
      <c r="J45" s="12">
        <v>-0.01</v>
      </c>
      <c r="K45" s="12">
        <v>0</v>
      </c>
      <c r="L45" s="12">
        <v>0.08</v>
      </c>
      <c r="M45" s="12">
        <v>-16.790289260000002</v>
      </c>
      <c r="N45" s="12">
        <v>0</v>
      </c>
      <c r="O45" s="12">
        <f t="shared" si="5"/>
        <v>19.998502069999994</v>
      </c>
    </row>
    <row r="46" spans="1:15" x14ac:dyDescent="0.2">
      <c r="A46" s="11" t="s">
        <v>60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1140</v>
      </c>
      <c r="N46" s="12">
        <v>0</v>
      </c>
      <c r="O46" s="12">
        <f t="shared" si="5"/>
        <v>1140</v>
      </c>
    </row>
    <row r="47" spans="1:15" x14ac:dyDescent="0.2">
      <c r="A47" s="13" t="s">
        <v>61</v>
      </c>
      <c r="B47" s="14">
        <f t="shared" ref="B47:O47" si="6">SUM(B41:B46)</f>
        <v>-2151.5412086699998</v>
      </c>
      <c r="C47" s="14">
        <f t="shared" si="6"/>
        <v>-16.87</v>
      </c>
      <c r="D47" s="14">
        <f t="shared" si="6"/>
        <v>-25676.79</v>
      </c>
      <c r="E47" s="14">
        <f t="shared" si="6"/>
        <v>-25380.719999999998</v>
      </c>
      <c r="F47" s="14">
        <f t="shared" si="6"/>
        <v>-34250.0936</v>
      </c>
      <c r="G47" s="14">
        <f t="shared" si="6"/>
        <v>-151785.75</v>
      </c>
      <c r="H47" s="14">
        <f t="shared" si="6"/>
        <v>-9529.0899999999983</v>
      </c>
      <c r="I47" s="14">
        <f t="shared" si="6"/>
        <v>-25164.04</v>
      </c>
      <c r="J47" s="14">
        <f t="shared" si="6"/>
        <v>-22040.059999999998</v>
      </c>
      <c r="K47" s="14">
        <f t="shared" si="6"/>
        <v>-72652.639999999999</v>
      </c>
      <c r="L47" s="14">
        <f t="shared" si="6"/>
        <v>-64124.84</v>
      </c>
      <c r="M47" s="14">
        <f t="shared" si="6"/>
        <v>1127.39971074</v>
      </c>
      <c r="N47" s="14">
        <f t="shared" si="6"/>
        <v>0</v>
      </c>
      <c r="O47" s="14">
        <f t="shared" si="6"/>
        <v>-431645.03509792994</v>
      </c>
    </row>
    <row r="48" spans="1:15" x14ac:dyDescent="0.2">
      <c r="A48" s="10" t="s">
        <v>62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">
      <c r="A49" s="11" t="s">
        <v>63</v>
      </c>
      <c r="B49" s="12">
        <v>-12186.1</v>
      </c>
      <c r="C49" s="12">
        <v>-22954.02</v>
      </c>
      <c r="D49" s="12">
        <v>-27153.01</v>
      </c>
      <c r="E49" s="12">
        <v>-32269.48</v>
      </c>
      <c r="F49" s="12">
        <v>-40829.379999999997</v>
      </c>
      <c r="G49" s="12">
        <v>-49903.03</v>
      </c>
      <c r="H49" s="12">
        <v>-12827.18</v>
      </c>
      <c r="I49" s="12">
        <v>-98282.68</v>
      </c>
      <c r="J49" s="12">
        <v>-78716</v>
      </c>
      <c r="K49" s="12">
        <v>-51050.42</v>
      </c>
      <c r="L49" s="12">
        <v>-50633.599999999999</v>
      </c>
      <c r="M49" s="12">
        <v>-25521.48</v>
      </c>
      <c r="N49" s="12">
        <v>0</v>
      </c>
      <c r="O49" s="12">
        <f t="shared" ref="O49:O54" si="7">SUM(B49:N49)</f>
        <v>-502326.37999999995</v>
      </c>
    </row>
    <row r="50" spans="1:15" x14ac:dyDescent="0.2">
      <c r="A50" s="11" t="s">
        <v>64</v>
      </c>
      <c r="B50" s="12">
        <v>-56491.131895999999</v>
      </c>
      <c r="C50" s="12">
        <v>-88917.028449999998</v>
      </c>
      <c r="D50" s="12">
        <v>-151161.659316</v>
      </c>
      <c r="E50" s="12">
        <v>-91535.325328000006</v>
      </c>
      <c r="F50" s="12">
        <v>-96790.933927999999</v>
      </c>
      <c r="G50" s="12">
        <v>-86485.544016</v>
      </c>
      <c r="H50" s="12">
        <v>-4549.83</v>
      </c>
      <c r="I50" s="12">
        <v>-248213.133952</v>
      </c>
      <c r="J50" s="12">
        <v>-142902.90443200001</v>
      </c>
      <c r="K50" s="12">
        <v>-105612.625805</v>
      </c>
      <c r="L50" s="12">
        <v>-140565.85</v>
      </c>
      <c r="M50" s="12">
        <v>-391436.54264642001</v>
      </c>
      <c r="N50" s="12">
        <v>0</v>
      </c>
      <c r="O50" s="12">
        <f t="shared" si="7"/>
        <v>-1604662.5097694199</v>
      </c>
    </row>
    <row r="51" spans="1:15" x14ac:dyDescent="0.2">
      <c r="A51" s="11" t="s">
        <v>65</v>
      </c>
      <c r="B51" s="12">
        <v>-13020.44</v>
      </c>
      <c r="C51" s="12">
        <v>-301.08</v>
      </c>
      <c r="D51" s="12">
        <v>-319.89999999999998</v>
      </c>
      <c r="E51" s="12">
        <v>-311.08</v>
      </c>
      <c r="F51" s="12">
        <v>-303.49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22895.99</v>
      </c>
      <c r="N51" s="12">
        <v>0</v>
      </c>
      <c r="O51" s="12">
        <f t="shared" si="7"/>
        <v>8640.0000000000018</v>
      </c>
    </row>
    <row r="52" spans="1:15" x14ac:dyDescent="0.2">
      <c r="A52" s="11" t="s">
        <v>66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-2423772.8358919998</v>
      </c>
      <c r="N52" s="12">
        <v>0</v>
      </c>
      <c r="O52" s="12">
        <f t="shared" si="7"/>
        <v>-2423772.8358919998</v>
      </c>
    </row>
    <row r="53" spans="1:15" x14ac:dyDescent="0.2">
      <c r="A53" s="11" t="s">
        <v>67</v>
      </c>
      <c r="B53" s="12">
        <v>0</v>
      </c>
      <c r="C53" s="12">
        <v>0</v>
      </c>
      <c r="D53" s="12">
        <v>0</v>
      </c>
      <c r="E53" s="12">
        <v>-11077.58</v>
      </c>
      <c r="F53" s="12">
        <v>0</v>
      </c>
      <c r="G53" s="12">
        <v>-3797.4</v>
      </c>
      <c r="H53" s="12">
        <v>-1596.95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f t="shared" si="7"/>
        <v>-16471.93</v>
      </c>
    </row>
    <row r="54" spans="1:15" x14ac:dyDescent="0.2">
      <c r="A54" s="11" t="s">
        <v>68</v>
      </c>
      <c r="B54" s="12">
        <v>-64127</v>
      </c>
      <c r="C54" s="12">
        <v>-114167.83</v>
      </c>
      <c r="D54" s="12">
        <v>-87062</v>
      </c>
      <c r="E54" s="12">
        <v>-71487.94</v>
      </c>
      <c r="F54" s="12">
        <v>-93102.83</v>
      </c>
      <c r="G54" s="12">
        <v>-77116</v>
      </c>
      <c r="H54" s="12">
        <v>0</v>
      </c>
      <c r="I54" s="12">
        <v>-170431.86</v>
      </c>
      <c r="J54" s="12">
        <v>-56692</v>
      </c>
      <c r="K54" s="12">
        <v>-152.80000000000001</v>
      </c>
      <c r="L54" s="12">
        <v>-189965.86</v>
      </c>
      <c r="M54" s="12">
        <v>-68825</v>
      </c>
      <c r="N54" s="12">
        <v>0</v>
      </c>
      <c r="O54" s="12">
        <f t="shared" si="7"/>
        <v>-993131.12</v>
      </c>
    </row>
    <row r="55" spans="1:15" x14ac:dyDescent="0.2">
      <c r="A55" s="13" t="s">
        <v>69</v>
      </c>
      <c r="B55" s="14">
        <f t="shared" ref="B55:O55" si="8">SUM(B49:B54)</f>
        <v>-145824.67189599999</v>
      </c>
      <c r="C55" s="14">
        <f t="shared" si="8"/>
        <v>-226339.95845000001</v>
      </c>
      <c r="D55" s="14">
        <f t="shared" si="8"/>
        <v>-265696.56931599998</v>
      </c>
      <c r="E55" s="14">
        <f t="shared" si="8"/>
        <v>-206681.40532799999</v>
      </c>
      <c r="F55" s="14">
        <f t="shared" si="8"/>
        <v>-231026.633928</v>
      </c>
      <c r="G55" s="14">
        <f t="shared" si="8"/>
        <v>-217301.97401599999</v>
      </c>
      <c r="H55" s="14">
        <f t="shared" si="8"/>
        <v>-18973.960000000003</v>
      </c>
      <c r="I55" s="14">
        <f t="shared" si="8"/>
        <v>-516927.67395199998</v>
      </c>
      <c r="J55" s="14">
        <f t="shared" si="8"/>
        <v>-278310.90443200001</v>
      </c>
      <c r="K55" s="14">
        <f t="shared" si="8"/>
        <v>-156815.84580499999</v>
      </c>
      <c r="L55" s="14">
        <f t="shared" si="8"/>
        <v>-381165.31</v>
      </c>
      <c r="M55" s="14">
        <f t="shared" si="8"/>
        <v>-2886659.8685384197</v>
      </c>
      <c r="N55" s="14">
        <f t="shared" si="8"/>
        <v>0</v>
      </c>
      <c r="O55" s="14">
        <f t="shared" si="8"/>
        <v>-5531724.7756614191</v>
      </c>
    </row>
    <row r="56" spans="1:15" x14ac:dyDescent="0.2">
      <c r="A56" s="15" t="s">
        <v>70</v>
      </c>
      <c r="B56" s="14">
        <f t="shared" ref="B56:O56" si="9">B47+B55</f>
        <v>-147976.21310466999</v>
      </c>
      <c r="C56" s="14">
        <f t="shared" si="9"/>
        <v>-226356.82845</v>
      </c>
      <c r="D56" s="14">
        <f t="shared" si="9"/>
        <v>-291373.35931599996</v>
      </c>
      <c r="E56" s="14">
        <f t="shared" si="9"/>
        <v>-232062.12532799999</v>
      </c>
      <c r="F56" s="14">
        <f t="shared" si="9"/>
        <v>-265276.72752800002</v>
      </c>
      <c r="G56" s="14">
        <f t="shared" si="9"/>
        <v>-369087.72401599999</v>
      </c>
      <c r="H56" s="14">
        <f t="shared" si="9"/>
        <v>-28503.050000000003</v>
      </c>
      <c r="I56" s="14">
        <f t="shared" si="9"/>
        <v>-542091.71395200002</v>
      </c>
      <c r="J56" s="14">
        <f t="shared" si="9"/>
        <v>-300350.96443200001</v>
      </c>
      <c r="K56" s="14">
        <f t="shared" si="9"/>
        <v>-229468.485805</v>
      </c>
      <c r="L56" s="14">
        <f t="shared" si="9"/>
        <v>-445290.15</v>
      </c>
      <c r="M56" s="14">
        <f t="shared" si="9"/>
        <v>-2885532.4688276798</v>
      </c>
      <c r="N56" s="14">
        <f t="shared" si="9"/>
        <v>0</v>
      </c>
      <c r="O56" s="14">
        <f t="shared" si="9"/>
        <v>-5963369.8107593488</v>
      </c>
    </row>
    <row r="57" spans="1:15" x14ac:dyDescent="0.2">
      <c r="A57" s="16" t="s">
        <v>71</v>
      </c>
      <c r="B57" s="14">
        <f t="shared" ref="B57:O57" si="10">B38+B56</f>
        <v>1140106.4831875104</v>
      </c>
      <c r="C57" s="14">
        <f t="shared" si="10"/>
        <v>1344931.49862661</v>
      </c>
      <c r="D57" s="14">
        <f t="shared" si="10"/>
        <v>1320649.6233041801</v>
      </c>
      <c r="E57" s="14">
        <f t="shared" si="10"/>
        <v>1246879.7586077501</v>
      </c>
      <c r="F57" s="14">
        <f t="shared" si="10"/>
        <v>1365193.7734696402</v>
      </c>
      <c r="G57" s="14">
        <f t="shared" si="10"/>
        <v>1344388.1349201996</v>
      </c>
      <c r="H57" s="14">
        <f t="shared" si="10"/>
        <v>1465687.8545278299</v>
      </c>
      <c r="I57" s="14">
        <f t="shared" si="10"/>
        <v>1525996.8361995001</v>
      </c>
      <c r="J57" s="14">
        <f t="shared" si="10"/>
        <v>1314396.6086826602</v>
      </c>
      <c r="K57" s="14">
        <f t="shared" si="10"/>
        <v>1820416.5684362897</v>
      </c>
      <c r="L57" s="14">
        <f t="shared" si="10"/>
        <v>1721857.90960111</v>
      </c>
      <c r="M57" s="14">
        <f t="shared" si="10"/>
        <v>1837098.8288468402</v>
      </c>
      <c r="N57" s="14">
        <f t="shared" si="10"/>
        <v>0</v>
      </c>
      <c r="O57" s="14">
        <f t="shared" si="10"/>
        <v>17447603.878410123</v>
      </c>
    </row>
    <row r="58" spans="1:15" x14ac:dyDescent="0.2">
      <c r="A58" s="8" t="s">
        <v>72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">
      <c r="A59" s="9" t="s">
        <v>73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">
      <c r="A60" s="10" t="s">
        <v>74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">
      <c r="A61" s="11" t="s">
        <v>75</v>
      </c>
      <c r="B61" s="12">
        <v>-2077</v>
      </c>
      <c r="C61" s="12">
        <v>-2607</v>
      </c>
      <c r="D61" s="12">
        <v>-3571</v>
      </c>
      <c r="E61" s="12">
        <v>8242.4</v>
      </c>
      <c r="F61" s="12">
        <v>-823.94100000000003</v>
      </c>
      <c r="G61" s="12">
        <v>-1872.5226</v>
      </c>
      <c r="H61" s="12">
        <v>-1484.7695759999999</v>
      </c>
      <c r="I61" s="12">
        <v>-1058.7501302999999</v>
      </c>
      <c r="J61" s="12">
        <v>-994.46696274999999</v>
      </c>
      <c r="K61" s="12">
        <v>-1423.56924</v>
      </c>
      <c r="L61" s="12">
        <v>-1167.140435</v>
      </c>
      <c r="M61" s="12">
        <v>-19725.8052121</v>
      </c>
      <c r="N61" s="12">
        <v>0</v>
      </c>
      <c r="O61" s="12">
        <f t="shared" ref="O61:O68" si="11">SUM(B61:N61)</f>
        <v>-28563.565156149998</v>
      </c>
    </row>
    <row r="62" spans="1:15" x14ac:dyDescent="0.2">
      <c r="A62" s="11" t="s">
        <v>76</v>
      </c>
      <c r="B62" s="12">
        <v>-2427.9899999999998</v>
      </c>
      <c r="C62" s="12">
        <v>-1970.51</v>
      </c>
      <c r="D62" s="12">
        <v>-1971.28</v>
      </c>
      <c r="E62" s="12">
        <v>-1971.28</v>
      </c>
      <c r="F62" s="12">
        <v>-1878.53</v>
      </c>
      <c r="G62" s="12">
        <v>-1987</v>
      </c>
      <c r="H62" s="12">
        <v>-1987.03</v>
      </c>
      <c r="I62" s="12">
        <v>-1987.01</v>
      </c>
      <c r="J62" s="12">
        <v>-1988.07</v>
      </c>
      <c r="K62" s="12">
        <v>-2103.8000000000002</v>
      </c>
      <c r="L62" s="12">
        <v>-2724.02</v>
      </c>
      <c r="M62" s="12">
        <v>-2015.75</v>
      </c>
      <c r="N62" s="12">
        <v>0</v>
      </c>
      <c r="O62" s="12">
        <f t="shared" si="11"/>
        <v>-25012.27</v>
      </c>
    </row>
    <row r="63" spans="1:15" x14ac:dyDescent="0.2">
      <c r="A63" s="11" t="s">
        <v>77</v>
      </c>
      <c r="B63" s="12">
        <v>-7924.04</v>
      </c>
      <c r="C63" s="12">
        <v>-7946.45</v>
      </c>
      <c r="D63" s="12">
        <v>-8289.34</v>
      </c>
      <c r="E63" s="12">
        <v>-7983.24</v>
      </c>
      <c r="F63" s="12">
        <v>-8732.52</v>
      </c>
      <c r="G63" s="12">
        <v>-9159.18</v>
      </c>
      <c r="H63" s="12">
        <v>-8732.52</v>
      </c>
      <c r="I63" s="12">
        <v>-8732.52</v>
      </c>
      <c r="J63" s="12">
        <v>-8732.52</v>
      </c>
      <c r="K63" s="12">
        <v>-8732.52</v>
      </c>
      <c r="L63" s="12">
        <v>-9150.24</v>
      </c>
      <c r="M63" s="12">
        <v>-33720.83</v>
      </c>
      <c r="N63" s="12">
        <v>0</v>
      </c>
      <c r="O63" s="12">
        <f t="shared" si="11"/>
        <v>-127835.92000000001</v>
      </c>
    </row>
    <row r="64" spans="1:15" x14ac:dyDescent="0.2">
      <c r="A64" s="11" t="s">
        <v>78</v>
      </c>
      <c r="B64" s="12">
        <v>-320.62</v>
      </c>
      <c r="C64" s="12">
        <v>-320.62</v>
      </c>
      <c r="D64" s="12">
        <v>-320.62</v>
      </c>
      <c r="E64" s="12">
        <v>-320.62</v>
      </c>
      <c r="F64" s="12">
        <v>-320.62</v>
      </c>
      <c r="G64" s="12">
        <v>-320.62</v>
      </c>
      <c r="H64" s="12">
        <v>-320.62</v>
      </c>
      <c r="I64" s="12">
        <v>-320.62</v>
      </c>
      <c r="J64" s="12">
        <v>-320.62</v>
      </c>
      <c r="K64" s="12">
        <v>-320.62</v>
      </c>
      <c r="L64" s="12">
        <v>-320.62</v>
      </c>
      <c r="M64" s="12">
        <v>-333.67</v>
      </c>
      <c r="N64" s="12">
        <v>0</v>
      </c>
      <c r="O64" s="12">
        <f t="shared" si="11"/>
        <v>-3860.4899999999993</v>
      </c>
    </row>
    <row r="65" spans="1:15" x14ac:dyDescent="0.2">
      <c r="A65" s="11" t="s">
        <v>79</v>
      </c>
      <c r="B65" s="12">
        <v>-119540.40308552</v>
      </c>
      <c r="C65" s="12">
        <v>-117184.69893155</v>
      </c>
      <c r="D65" s="12">
        <v>-75901.465145719994</v>
      </c>
      <c r="E65" s="12">
        <v>-124335.6339725</v>
      </c>
      <c r="F65" s="12">
        <v>-125306.06420618</v>
      </c>
      <c r="G65" s="12">
        <v>-103563.00249646</v>
      </c>
      <c r="H65" s="12">
        <v>-125201.31004573</v>
      </c>
      <c r="I65" s="12">
        <v>-126291.43170816</v>
      </c>
      <c r="J65" s="12">
        <v>-160765.27841406001</v>
      </c>
      <c r="K65" s="12">
        <v>-136390.88771051</v>
      </c>
      <c r="L65" s="12">
        <v>-138084.44691940001</v>
      </c>
      <c r="M65" s="12">
        <v>-114173.360737946</v>
      </c>
      <c r="N65" s="12">
        <v>0</v>
      </c>
      <c r="O65" s="12">
        <f t="shared" si="11"/>
        <v>-1466737.983373736</v>
      </c>
    </row>
    <row r="66" spans="1:15" x14ac:dyDescent="0.2">
      <c r="A66" s="11" t="s">
        <v>80</v>
      </c>
      <c r="B66" s="12">
        <v>0</v>
      </c>
      <c r="C66" s="12">
        <v>0</v>
      </c>
      <c r="D66" s="12">
        <v>0</v>
      </c>
      <c r="E66" s="12">
        <v>-107.67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f t="shared" si="11"/>
        <v>-107.67</v>
      </c>
    </row>
    <row r="67" spans="1:15" x14ac:dyDescent="0.2">
      <c r="A67" s="11" t="s">
        <v>81</v>
      </c>
      <c r="B67" s="12">
        <v>-4606</v>
      </c>
      <c r="C67" s="12">
        <v>-1732.74</v>
      </c>
      <c r="D67" s="12">
        <v>-936.45</v>
      </c>
      <c r="E67" s="12">
        <v>-1478.01</v>
      </c>
      <c r="F67" s="12">
        <v>-1534.37</v>
      </c>
      <c r="G67" s="12">
        <v>-1509.63</v>
      </c>
      <c r="H67" s="12">
        <v>-2420.29</v>
      </c>
      <c r="I67" s="12">
        <v>-6785</v>
      </c>
      <c r="J67" s="12">
        <v>-6572.84</v>
      </c>
      <c r="K67" s="12">
        <v>-1527.04</v>
      </c>
      <c r="L67" s="12">
        <v>-1981.58</v>
      </c>
      <c r="M67" s="12">
        <v>-3804.62</v>
      </c>
      <c r="N67" s="12">
        <v>0</v>
      </c>
      <c r="O67" s="12">
        <f t="shared" si="11"/>
        <v>-34888.570000000007</v>
      </c>
    </row>
    <row r="68" spans="1:15" x14ac:dyDescent="0.2">
      <c r="A68" s="11" t="s">
        <v>82</v>
      </c>
      <c r="B68" s="12">
        <v>-153.72</v>
      </c>
      <c r="C68" s="12">
        <v>-793.05</v>
      </c>
      <c r="D68" s="12">
        <v>-803.06</v>
      </c>
      <c r="E68" s="12">
        <v>-150</v>
      </c>
      <c r="F68" s="12">
        <v>-775.95</v>
      </c>
      <c r="G68" s="12">
        <v>-73.77</v>
      </c>
      <c r="H68" s="12">
        <v>-101.09</v>
      </c>
      <c r="I68" s="12">
        <v>-780.47</v>
      </c>
      <c r="J68" s="12">
        <v>-222.78</v>
      </c>
      <c r="K68" s="12">
        <v>-265.73</v>
      </c>
      <c r="L68" s="12">
        <v>-97.83</v>
      </c>
      <c r="M68" s="12">
        <v>-683.2</v>
      </c>
      <c r="N68" s="12">
        <v>0</v>
      </c>
      <c r="O68" s="12">
        <f t="shared" si="11"/>
        <v>-4900.6499999999996</v>
      </c>
    </row>
    <row r="69" spans="1:15" x14ac:dyDescent="0.2">
      <c r="A69" s="13" t="s">
        <v>83</v>
      </c>
      <c r="B69" s="14">
        <f t="shared" ref="B69:O69" si="12">SUM(B61:B68)</f>
        <v>-137049.77308551999</v>
      </c>
      <c r="C69" s="14">
        <f t="shared" si="12"/>
        <v>-132555.06893154999</v>
      </c>
      <c r="D69" s="14">
        <f t="shared" si="12"/>
        <v>-91793.215145719994</v>
      </c>
      <c r="E69" s="14">
        <f t="shared" si="12"/>
        <v>-128104.0539725</v>
      </c>
      <c r="F69" s="14">
        <f t="shared" si="12"/>
        <v>-139371.99520618</v>
      </c>
      <c r="G69" s="14">
        <f t="shared" si="12"/>
        <v>-118485.72509646001</v>
      </c>
      <c r="H69" s="14">
        <f t="shared" si="12"/>
        <v>-140247.62962173001</v>
      </c>
      <c r="I69" s="14">
        <f t="shared" si="12"/>
        <v>-145955.80183846</v>
      </c>
      <c r="J69" s="14">
        <f t="shared" si="12"/>
        <v>-179596.57537681001</v>
      </c>
      <c r="K69" s="14">
        <f t="shared" si="12"/>
        <v>-150764.16695051003</v>
      </c>
      <c r="L69" s="14">
        <f t="shared" si="12"/>
        <v>-153525.8773544</v>
      </c>
      <c r="M69" s="14">
        <f t="shared" si="12"/>
        <v>-174457.23595004602</v>
      </c>
      <c r="N69" s="14">
        <f t="shared" si="12"/>
        <v>0</v>
      </c>
      <c r="O69" s="14">
        <f t="shared" si="12"/>
        <v>-1691907.118529886</v>
      </c>
    </row>
    <row r="70" spans="1:15" x14ac:dyDescent="0.2">
      <c r="A70" s="10" t="s">
        <v>84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">
      <c r="A71" s="11" t="s">
        <v>85</v>
      </c>
      <c r="B71" s="12">
        <v>0</v>
      </c>
      <c r="C71" s="12">
        <v>38000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f t="shared" ref="O71:O84" si="13">SUM(B71:N71)</f>
        <v>38000</v>
      </c>
    </row>
    <row r="72" spans="1:15" x14ac:dyDescent="0.2">
      <c r="A72" s="11" t="s">
        <v>86</v>
      </c>
      <c r="B72" s="12">
        <v>-33.11</v>
      </c>
      <c r="C72" s="12">
        <v>-33.11</v>
      </c>
      <c r="D72" s="12">
        <v>-33.11</v>
      </c>
      <c r="E72" s="12">
        <v>-33.11</v>
      </c>
      <c r="F72" s="12">
        <v>-33.11</v>
      </c>
      <c r="G72" s="12">
        <v>-33.11</v>
      </c>
      <c r="H72" s="12">
        <v>-33.11</v>
      </c>
      <c r="I72" s="12">
        <v>-33.11</v>
      </c>
      <c r="J72" s="12">
        <v>-33.11</v>
      </c>
      <c r="K72" s="12">
        <v>-33.11</v>
      </c>
      <c r="L72" s="12">
        <v>-17305.259999999998</v>
      </c>
      <c r="M72" s="12">
        <v>8392.2900000000009</v>
      </c>
      <c r="N72" s="12">
        <v>0</v>
      </c>
      <c r="O72" s="12">
        <f t="shared" si="13"/>
        <v>-9244.0699999999961</v>
      </c>
    </row>
    <row r="73" spans="1:15" x14ac:dyDescent="0.2">
      <c r="A73" s="11" t="s">
        <v>87</v>
      </c>
      <c r="B73" s="12">
        <v>0</v>
      </c>
      <c r="C73" s="12">
        <v>0</v>
      </c>
      <c r="D73" s="12">
        <v>1446.5764151999999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-8387.08</v>
      </c>
      <c r="N73" s="12">
        <v>0</v>
      </c>
      <c r="O73" s="12">
        <f t="shared" si="13"/>
        <v>-6940.5035847999998</v>
      </c>
    </row>
    <row r="74" spans="1:15" x14ac:dyDescent="0.2">
      <c r="A74" s="11" t="s">
        <v>88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-1645.41</v>
      </c>
      <c r="N74" s="12">
        <v>0</v>
      </c>
      <c r="O74" s="12">
        <f t="shared" si="13"/>
        <v>-1645.41</v>
      </c>
    </row>
    <row r="75" spans="1:15" x14ac:dyDescent="0.2">
      <c r="A75" s="11" t="s">
        <v>89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-25416</v>
      </c>
      <c r="N75" s="12">
        <v>0</v>
      </c>
      <c r="O75" s="12">
        <f t="shared" si="13"/>
        <v>-25416</v>
      </c>
    </row>
    <row r="76" spans="1:15" x14ac:dyDescent="0.2">
      <c r="A76" s="11" t="s">
        <v>90</v>
      </c>
      <c r="B76" s="12">
        <v>-6666.62</v>
      </c>
      <c r="C76" s="12">
        <v>-6666.62</v>
      </c>
      <c r="D76" s="12">
        <v>-6640.7</v>
      </c>
      <c r="E76" s="12">
        <v>-8582.43</v>
      </c>
      <c r="F76" s="12">
        <v>-7133.43</v>
      </c>
      <c r="G76" s="12">
        <v>-7471.43</v>
      </c>
      <c r="H76" s="12">
        <v>-7161.43</v>
      </c>
      <c r="I76" s="12">
        <v>-7161.43</v>
      </c>
      <c r="J76" s="12">
        <v>-6833.43</v>
      </c>
      <c r="K76" s="12">
        <v>-7161.43</v>
      </c>
      <c r="L76" s="12">
        <v>-7152.43</v>
      </c>
      <c r="M76" s="12">
        <v>-7170.43</v>
      </c>
      <c r="N76" s="12">
        <v>0</v>
      </c>
      <c r="O76" s="12">
        <f t="shared" si="13"/>
        <v>-85801.81</v>
      </c>
    </row>
    <row r="77" spans="1:15" x14ac:dyDescent="0.2">
      <c r="A77" s="11" t="s">
        <v>91</v>
      </c>
      <c r="B77" s="12">
        <v>-43599.44</v>
      </c>
      <c r="C77" s="12">
        <v>-40211.800000000003</v>
      </c>
      <c r="D77" s="12">
        <v>-43316.47</v>
      </c>
      <c r="E77" s="12">
        <v>-42511.79</v>
      </c>
      <c r="F77" s="12">
        <v>-45416.959999999999</v>
      </c>
      <c r="G77" s="12">
        <v>-43551.95</v>
      </c>
      <c r="H77" s="12">
        <v>-43330.07</v>
      </c>
      <c r="I77" s="12">
        <v>-44176.73</v>
      </c>
      <c r="J77" s="12">
        <v>-121765.03</v>
      </c>
      <c r="K77" s="12">
        <v>-53290.69</v>
      </c>
      <c r="L77" s="12">
        <v>-56248.63</v>
      </c>
      <c r="M77" s="12">
        <v>-88457.17</v>
      </c>
      <c r="N77" s="12">
        <v>0</v>
      </c>
      <c r="O77" s="12">
        <f t="shared" si="13"/>
        <v>-665876.73</v>
      </c>
    </row>
    <row r="78" spans="1:15" x14ac:dyDescent="0.2">
      <c r="A78" s="11" t="s">
        <v>92</v>
      </c>
      <c r="B78" s="12">
        <v>553.91999999999996</v>
      </c>
      <c r="C78" s="12">
        <v>0</v>
      </c>
      <c r="D78" s="12">
        <v>683.2</v>
      </c>
      <c r="E78" s="12">
        <v>732</v>
      </c>
      <c r="F78" s="12">
        <v>756.4</v>
      </c>
      <c r="G78" s="12">
        <v>0</v>
      </c>
      <c r="H78" s="12">
        <v>244</v>
      </c>
      <c r="I78" s="12">
        <v>30.69</v>
      </c>
      <c r="J78" s="12">
        <v>0</v>
      </c>
      <c r="K78" s="12">
        <v>508.93</v>
      </c>
      <c r="L78" s="12">
        <v>0</v>
      </c>
      <c r="M78" s="12">
        <v>-508.93</v>
      </c>
      <c r="N78" s="12">
        <v>0</v>
      </c>
      <c r="O78" s="12">
        <f t="shared" si="13"/>
        <v>3000.21</v>
      </c>
    </row>
    <row r="79" spans="1:15" x14ac:dyDescent="0.2">
      <c r="A79" s="11" t="s">
        <v>93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508.93</v>
      </c>
      <c r="N79" s="12">
        <v>0</v>
      </c>
      <c r="O79" s="12">
        <f t="shared" si="13"/>
        <v>508.93</v>
      </c>
    </row>
    <row r="80" spans="1:15" x14ac:dyDescent="0.2">
      <c r="A80" s="11" t="s">
        <v>94</v>
      </c>
      <c r="B80" s="12">
        <v>-628853.39971511997</v>
      </c>
      <c r="C80" s="12">
        <v>-714155.08779725002</v>
      </c>
      <c r="D80" s="12">
        <v>-645470.07490556</v>
      </c>
      <c r="E80" s="12">
        <v>-644418.31365824002</v>
      </c>
      <c r="F80" s="12">
        <v>-652443.37040686002</v>
      </c>
      <c r="G80" s="12">
        <v>-710031.48722931999</v>
      </c>
      <c r="H80" s="12">
        <v>-680076.59752254002</v>
      </c>
      <c r="I80" s="12">
        <v>-675138.28362631996</v>
      </c>
      <c r="J80" s="12">
        <v>-734911.26113991998</v>
      </c>
      <c r="K80" s="12">
        <v>-712647.72913760995</v>
      </c>
      <c r="L80" s="12">
        <v>-731981.34902780002</v>
      </c>
      <c r="M80" s="12">
        <v>-618357.38310766802</v>
      </c>
      <c r="N80" s="12">
        <v>0</v>
      </c>
      <c r="O80" s="12">
        <f t="shared" si="13"/>
        <v>-8148484.3372742077</v>
      </c>
    </row>
    <row r="81" spans="1:15" x14ac:dyDescent="0.2">
      <c r="A81" s="11" t="s">
        <v>95</v>
      </c>
      <c r="B81" s="12">
        <v>-84001.68</v>
      </c>
      <c r="C81" s="12">
        <v>-81161.7</v>
      </c>
      <c r="D81" s="12">
        <v>-92141.73</v>
      </c>
      <c r="E81" s="12">
        <v>-90520.07</v>
      </c>
      <c r="F81" s="12">
        <v>-97027.55</v>
      </c>
      <c r="G81" s="12">
        <v>-93429.49</v>
      </c>
      <c r="H81" s="12">
        <v>-90224.3</v>
      </c>
      <c r="I81" s="12">
        <v>-95353.56</v>
      </c>
      <c r="J81" s="12">
        <v>-204204.84</v>
      </c>
      <c r="K81" s="12">
        <v>-111396.26</v>
      </c>
      <c r="L81" s="12">
        <v>-114082.19</v>
      </c>
      <c r="M81" s="12">
        <v>-163453.14000000001</v>
      </c>
      <c r="N81" s="12">
        <v>0</v>
      </c>
      <c r="O81" s="12">
        <f t="shared" si="13"/>
        <v>-1316996.5100000002</v>
      </c>
    </row>
    <row r="82" spans="1:15" x14ac:dyDescent="0.2">
      <c r="A82" s="11" t="s">
        <v>96</v>
      </c>
      <c r="B82" s="12">
        <v>-1248.26</v>
      </c>
      <c r="C82" s="12">
        <v>-12554.9674</v>
      </c>
      <c r="D82" s="12">
        <v>-1733.93</v>
      </c>
      <c r="E82" s="12">
        <v>-31417.319715000001</v>
      </c>
      <c r="F82" s="12">
        <v>-24662.687075360001</v>
      </c>
      <c r="G82" s="12">
        <v>-14701.83</v>
      </c>
      <c r="H82" s="12">
        <v>-8993.0300000000007</v>
      </c>
      <c r="I82" s="12">
        <v>-25389.263500000001</v>
      </c>
      <c r="J82" s="12">
        <v>-6896.87</v>
      </c>
      <c r="K82" s="12">
        <v>3324.5166399999998</v>
      </c>
      <c r="L82" s="12">
        <v>-28225.51</v>
      </c>
      <c r="M82" s="12">
        <v>-5278.36</v>
      </c>
      <c r="N82" s="12">
        <v>0</v>
      </c>
      <c r="O82" s="12">
        <f t="shared" si="13"/>
        <v>-157777.51105035999</v>
      </c>
    </row>
    <row r="83" spans="1:15" x14ac:dyDescent="0.2">
      <c r="A83" s="11" t="s">
        <v>97</v>
      </c>
      <c r="B83" s="12">
        <v>27764.66</v>
      </c>
      <c r="C83" s="12">
        <v>0</v>
      </c>
      <c r="D83" s="12">
        <v>31679.26</v>
      </c>
      <c r="E83" s="12">
        <v>16207.86</v>
      </c>
      <c r="F83" s="12">
        <v>7080.91</v>
      </c>
      <c r="G83" s="12">
        <v>8016.35</v>
      </c>
      <c r="H83" s="12">
        <v>23130.37</v>
      </c>
      <c r="I83" s="12">
        <v>0</v>
      </c>
      <c r="J83" s="12">
        <v>0</v>
      </c>
      <c r="K83" s="12">
        <v>721.15</v>
      </c>
      <c r="L83" s="12">
        <v>0</v>
      </c>
      <c r="M83" s="12">
        <v>-166268.78</v>
      </c>
      <c r="N83" s="12">
        <v>0</v>
      </c>
      <c r="O83" s="12">
        <f t="shared" si="13"/>
        <v>-51668.22</v>
      </c>
    </row>
    <row r="84" spans="1:15" x14ac:dyDescent="0.2">
      <c r="A84" s="11" t="s">
        <v>98</v>
      </c>
      <c r="B84" s="12">
        <v>-1227.51</v>
      </c>
      <c r="C84" s="12">
        <v>-1241.1500000000001</v>
      </c>
      <c r="D84" s="12">
        <v>-1227.51</v>
      </c>
      <c r="E84" s="12">
        <v>-1315.22</v>
      </c>
      <c r="F84" s="12">
        <v>-1688.1</v>
      </c>
      <c r="G84" s="12">
        <v>-1244.48</v>
      </c>
      <c r="H84" s="12">
        <v>-1227.51</v>
      </c>
      <c r="I84" s="12">
        <v>-1822.23</v>
      </c>
      <c r="J84" s="12">
        <v>-1241.01</v>
      </c>
      <c r="K84" s="12">
        <v>-1227.51</v>
      </c>
      <c r="L84" s="12">
        <v>-1165.33</v>
      </c>
      <c r="M84" s="12">
        <v>-1694.97</v>
      </c>
      <c r="N84" s="12">
        <v>0</v>
      </c>
      <c r="O84" s="12">
        <f t="shared" si="13"/>
        <v>-16322.529999999999</v>
      </c>
    </row>
    <row r="85" spans="1:15" x14ac:dyDescent="0.2">
      <c r="A85" s="13" t="s">
        <v>99</v>
      </c>
      <c r="B85" s="14">
        <f t="shared" ref="B85:O85" si="14">SUM(B71:B84)</f>
        <v>-737311.43971511989</v>
      </c>
      <c r="C85" s="14">
        <f t="shared" si="14"/>
        <v>-818024.43519724999</v>
      </c>
      <c r="D85" s="14">
        <f t="shared" si="14"/>
        <v>-756754.48849036009</v>
      </c>
      <c r="E85" s="14">
        <f t="shared" si="14"/>
        <v>-801858.3933732399</v>
      </c>
      <c r="F85" s="14">
        <f t="shared" si="14"/>
        <v>-820567.89748221997</v>
      </c>
      <c r="G85" s="14">
        <f t="shared" si="14"/>
        <v>-862447.42722931993</v>
      </c>
      <c r="H85" s="14">
        <f t="shared" si="14"/>
        <v>-807671.67752254009</v>
      </c>
      <c r="I85" s="14">
        <f t="shared" si="14"/>
        <v>-849043.91712631995</v>
      </c>
      <c r="J85" s="14">
        <f t="shared" si="14"/>
        <v>-1075885.55113992</v>
      </c>
      <c r="K85" s="14">
        <f t="shared" si="14"/>
        <v>-881202.13249760994</v>
      </c>
      <c r="L85" s="14">
        <f t="shared" si="14"/>
        <v>-956160.69902779988</v>
      </c>
      <c r="M85" s="14">
        <f t="shared" si="14"/>
        <v>-1077736.4331076681</v>
      </c>
      <c r="N85" s="14">
        <f t="shared" si="14"/>
        <v>0</v>
      </c>
      <c r="O85" s="14">
        <f t="shared" si="14"/>
        <v>-10444664.491909368</v>
      </c>
    </row>
    <row r="86" spans="1:15" x14ac:dyDescent="0.2">
      <c r="A86" s="15" t="s">
        <v>100</v>
      </c>
      <c r="B86" s="14">
        <f t="shared" ref="B86:O86" si="15">B69+B85</f>
        <v>-874361.21280063991</v>
      </c>
      <c r="C86" s="14">
        <f t="shared" si="15"/>
        <v>-950579.50412880001</v>
      </c>
      <c r="D86" s="14">
        <f t="shared" si="15"/>
        <v>-848547.70363608003</v>
      </c>
      <c r="E86" s="14">
        <f t="shared" si="15"/>
        <v>-929962.44734573993</v>
      </c>
      <c r="F86" s="14">
        <f t="shared" si="15"/>
        <v>-959939.8926884</v>
      </c>
      <c r="G86" s="14">
        <f t="shared" si="15"/>
        <v>-980933.1523257799</v>
      </c>
      <c r="H86" s="14">
        <f t="shared" si="15"/>
        <v>-947919.30714427005</v>
      </c>
      <c r="I86" s="14">
        <f t="shared" si="15"/>
        <v>-994999.71896477998</v>
      </c>
      <c r="J86" s="14">
        <f t="shared" si="15"/>
        <v>-1255482.1265167301</v>
      </c>
      <c r="K86" s="14">
        <f t="shared" si="15"/>
        <v>-1031966.2994481199</v>
      </c>
      <c r="L86" s="14">
        <f t="shared" si="15"/>
        <v>-1109686.5763821998</v>
      </c>
      <c r="M86" s="14">
        <f t="shared" si="15"/>
        <v>-1252193.6690577141</v>
      </c>
      <c r="N86" s="14">
        <f t="shared" si="15"/>
        <v>0</v>
      </c>
      <c r="O86" s="14">
        <f t="shared" si="15"/>
        <v>-12136571.610439254</v>
      </c>
    </row>
    <row r="87" spans="1:15" x14ac:dyDescent="0.2">
      <c r="A87" s="9" t="s">
        <v>101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">
      <c r="A88" s="10" t="s">
        <v>102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11" t="s">
        <v>103</v>
      </c>
      <c r="B89" s="12">
        <v>-38.89</v>
      </c>
      <c r="C89" s="12">
        <v>-38.89</v>
      </c>
      <c r="D89" s="12">
        <v>-38.89</v>
      </c>
      <c r="E89" s="12">
        <v>-38.89</v>
      </c>
      <c r="F89" s="12">
        <v>-38.89</v>
      </c>
      <c r="G89" s="12">
        <v>-38.89</v>
      </c>
      <c r="H89" s="12">
        <v>-38.89</v>
      </c>
      <c r="I89" s="12">
        <v>-38.89</v>
      </c>
      <c r="J89" s="12">
        <v>-38.89</v>
      </c>
      <c r="K89" s="12">
        <v>-38.89</v>
      </c>
      <c r="L89" s="12">
        <v>-38.89</v>
      </c>
      <c r="M89" s="12">
        <v>-38.89</v>
      </c>
      <c r="N89" s="12">
        <v>0</v>
      </c>
      <c r="O89" s="12">
        <f>SUM(B89:N89)</f>
        <v>-466.67999999999989</v>
      </c>
    </row>
    <row r="90" spans="1:15" x14ac:dyDescent="0.2">
      <c r="A90" s="11" t="s">
        <v>104</v>
      </c>
      <c r="B90" s="12">
        <v>-2209.0500000000002</v>
      </c>
      <c r="C90" s="12">
        <v>-1782.12</v>
      </c>
      <c r="D90" s="12">
        <v>-1782.14</v>
      </c>
      <c r="E90" s="12">
        <v>-2282.08</v>
      </c>
      <c r="F90" s="12">
        <v>-2149.21</v>
      </c>
      <c r="G90" s="12">
        <v>-2149.3200000000002</v>
      </c>
      <c r="H90" s="12">
        <v>-2678.43</v>
      </c>
      <c r="I90" s="12">
        <v>-2678.51</v>
      </c>
      <c r="J90" s="12">
        <v>-2678.42</v>
      </c>
      <c r="K90" s="12">
        <v>-2306.12</v>
      </c>
      <c r="L90" s="12">
        <v>-2306.12</v>
      </c>
      <c r="M90" s="12">
        <v>-2394.2800000000002</v>
      </c>
      <c r="N90" s="12">
        <v>0</v>
      </c>
      <c r="O90" s="12">
        <f>SUM(B90:N90)</f>
        <v>-27395.799999999996</v>
      </c>
    </row>
    <row r="91" spans="1:15" x14ac:dyDescent="0.2">
      <c r="A91" s="11" t="s">
        <v>105</v>
      </c>
      <c r="B91" s="12">
        <v>-739.94</v>
      </c>
      <c r="C91" s="12">
        <v>-739.94</v>
      </c>
      <c r="D91" s="12">
        <v>-739.94</v>
      </c>
      <c r="E91" s="12">
        <v>-739.94</v>
      </c>
      <c r="F91" s="12">
        <v>-739.94</v>
      </c>
      <c r="G91" s="12">
        <v>-739.94</v>
      </c>
      <c r="H91" s="12">
        <v>-739.94</v>
      </c>
      <c r="I91" s="12">
        <v>-739.94</v>
      </c>
      <c r="J91" s="12">
        <v>-739.94</v>
      </c>
      <c r="K91" s="12">
        <v>-739.94</v>
      </c>
      <c r="L91" s="12">
        <v>-739.94</v>
      </c>
      <c r="M91" s="12">
        <v>-739.94</v>
      </c>
      <c r="N91" s="12">
        <v>0</v>
      </c>
      <c r="O91" s="12">
        <f>SUM(B91:N91)</f>
        <v>-8879.2800000000025</v>
      </c>
    </row>
    <row r="92" spans="1:15" x14ac:dyDescent="0.2">
      <c r="A92" s="11" t="s">
        <v>106</v>
      </c>
      <c r="B92" s="12">
        <v>-400.74</v>
      </c>
      <c r="C92" s="12">
        <v>-1007.41</v>
      </c>
      <c r="D92" s="12">
        <v>-572.82000000000005</v>
      </c>
      <c r="E92" s="12">
        <v>-956.68</v>
      </c>
      <c r="F92" s="12">
        <v>-2348.1999999999998</v>
      </c>
      <c r="G92" s="12">
        <v>-378.62</v>
      </c>
      <c r="H92" s="12">
        <v>0</v>
      </c>
      <c r="I92" s="12">
        <v>-268.29000000000002</v>
      </c>
      <c r="J92" s="12">
        <v>-1842.53</v>
      </c>
      <c r="K92" s="12">
        <v>-559.77</v>
      </c>
      <c r="L92" s="12">
        <v>-5917.77</v>
      </c>
      <c r="M92" s="12">
        <v>-1469.18</v>
      </c>
      <c r="N92" s="12">
        <v>0</v>
      </c>
      <c r="O92" s="12">
        <f>SUM(B92:N92)</f>
        <v>-15722.01</v>
      </c>
    </row>
    <row r="93" spans="1:15" x14ac:dyDescent="0.2">
      <c r="A93" s="13" t="s">
        <v>107</v>
      </c>
      <c r="B93" s="14">
        <f t="shared" ref="B93:O93" si="16">SUM(B89:B92)</f>
        <v>-3388.62</v>
      </c>
      <c r="C93" s="14">
        <f t="shared" si="16"/>
        <v>-3568.3599999999997</v>
      </c>
      <c r="D93" s="14">
        <f t="shared" si="16"/>
        <v>-3133.7900000000004</v>
      </c>
      <c r="E93" s="14">
        <f t="shared" si="16"/>
        <v>-4017.5899999999997</v>
      </c>
      <c r="F93" s="14">
        <f t="shared" si="16"/>
        <v>-5276.24</v>
      </c>
      <c r="G93" s="14">
        <f t="shared" si="16"/>
        <v>-3306.77</v>
      </c>
      <c r="H93" s="14">
        <f t="shared" si="16"/>
        <v>-3457.2599999999998</v>
      </c>
      <c r="I93" s="14">
        <f t="shared" si="16"/>
        <v>-3725.63</v>
      </c>
      <c r="J93" s="14">
        <f t="shared" si="16"/>
        <v>-5299.78</v>
      </c>
      <c r="K93" s="14">
        <f t="shared" si="16"/>
        <v>-3644.72</v>
      </c>
      <c r="L93" s="14">
        <f t="shared" si="16"/>
        <v>-9002.7200000000012</v>
      </c>
      <c r="M93" s="14">
        <f t="shared" si="16"/>
        <v>-4642.29</v>
      </c>
      <c r="N93" s="14">
        <f t="shared" si="16"/>
        <v>0</v>
      </c>
      <c r="O93" s="14">
        <f t="shared" si="16"/>
        <v>-52463.77</v>
      </c>
    </row>
    <row r="94" spans="1:15" x14ac:dyDescent="0.2">
      <c r="A94" s="15" t="s">
        <v>108</v>
      </c>
      <c r="B94" s="14">
        <f t="shared" ref="B94:O94" si="17">B93+0</f>
        <v>-3388.62</v>
      </c>
      <c r="C94" s="14">
        <f t="shared" si="17"/>
        <v>-3568.3599999999997</v>
      </c>
      <c r="D94" s="14">
        <f t="shared" si="17"/>
        <v>-3133.7900000000004</v>
      </c>
      <c r="E94" s="14">
        <f t="shared" si="17"/>
        <v>-4017.5899999999997</v>
      </c>
      <c r="F94" s="14">
        <f t="shared" si="17"/>
        <v>-5276.24</v>
      </c>
      <c r="G94" s="14">
        <f t="shared" si="17"/>
        <v>-3306.77</v>
      </c>
      <c r="H94" s="14">
        <f t="shared" si="17"/>
        <v>-3457.2599999999998</v>
      </c>
      <c r="I94" s="14">
        <f t="shared" si="17"/>
        <v>-3725.63</v>
      </c>
      <c r="J94" s="14">
        <f t="shared" si="17"/>
        <v>-5299.78</v>
      </c>
      <c r="K94" s="14">
        <f t="shared" si="17"/>
        <v>-3644.72</v>
      </c>
      <c r="L94" s="14">
        <f t="shared" si="17"/>
        <v>-9002.7200000000012</v>
      </c>
      <c r="M94" s="14">
        <f t="shared" si="17"/>
        <v>-4642.29</v>
      </c>
      <c r="N94" s="14">
        <f t="shared" si="17"/>
        <v>0</v>
      </c>
      <c r="O94" s="14">
        <f t="shared" si="17"/>
        <v>-52463.77</v>
      </c>
    </row>
    <row r="95" spans="1:15" x14ac:dyDescent="0.2">
      <c r="A95" s="9" t="s">
        <v>109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">
      <c r="A96" s="17" t="s">
        <v>110</v>
      </c>
      <c r="B96" s="12">
        <v>-127.4</v>
      </c>
      <c r="C96" s="12">
        <v>-3009.3087500000001</v>
      </c>
      <c r="D96" s="12">
        <v>-127.4</v>
      </c>
      <c r="E96" s="12">
        <v>-755.16189999999995</v>
      </c>
      <c r="F96" s="12">
        <v>-1339.6682000000001</v>
      </c>
      <c r="G96" s="12">
        <v>-358.19943000000001</v>
      </c>
      <c r="H96" s="12">
        <v>-1336.828925</v>
      </c>
      <c r="I96" s="12">
        <v>-6298.8688359999996</v>
      </c>
      <c r="J96" s="12">
        <v>0</v>
      </c>
      <c r="K96" s="12">
        <v>-6759.8162011699997</v>
      </c>
      <c r="L96" s="12">
        <v>-4687.2740000000003</v>
      </c>
      <c r="M96" s="12">
        <v>555.94000000000005</v>
      </c>
      <c r="N96" s="12">
        <v>0</v>
      </c>
      <c r="O96" s="12">
        <f t="shared" ref="O96:O127" si="18">SUM(B96:N96)</f>
        <v>-24243.986242170002</v>
      </c>
    </row>
    <row r="97" spans="1:15" x14ac:dyDescent="0.2">
      <c r="A97" s="17" t="s">
        <v>111</v>
      </c>
      <c r="B97" s="12">
        <v>-806.37</v>
      </c>
      <c r="C97" s="12">
        <v>-806.37</v>
      </c>
      <c r="D97" s="12">
        <v>-971.1</v>
      </c>
      <c r="E97" s="12">
        <v>-971.1</v>
      </c>
      <c r="F97" s="12">
        <v>-971.1</v>
      </c>
      <c r="G97" s="12">
        <v>-1105.3900000000001</v>
      </c>
      <c r="H97" s="12">
        <v>-1338.71</v>
      </c>
      <c r="I97" s="12">
        <v>-1338.71</v>
      </c>
      <c r="J97" s="12">
        <v>-1338.71</v>
      </c>
      <c r="K97" s="12">
        <v>-1338.71</v>
      </c>
      <c r="L97" s="12">
        <v>-1338.71</v>
      </c>
      <c r="M97" s="12">
        <v>-1338.71</v>
      </c>
      <c r="N97" s="12">
        <v>0</v>
      </c>
      <c r="O97" s="12">
        <f t="shared" si="18"/>
        <v>-13663.689999999999</v>
      </c>
    </row>
    <row r="98" spans="1:15" x14ac:dyDescent="0.2">
      <c r="A98" s="17" t="s">
        <v>112</v>
      </c>
      <c r="B98" s="12">
        <v>-1100</v>
      </c>
      <c r="C98" s="12">
        <v>-1100</v>
      </c>
      <c r="D98" s="12">
        <v>-1100</v>
      </c>
      <c r="E98" s="12">
        <v>-1100</v>
      </c>
      <c r="F98" s="12">
        <v>-1100</v>
      </c>
      <c r="G98" s="12">
        <v>-1100</v>
      </c>
      <c r="H98" s="12">
        <v>-1100</v>
      </c>
      <c r="I98" s="12">
        <v>-1100</v>
      </c>
      <c r="J98" s="12">
        <v>-3800</v>
      </c>
      <c r="K98" s="12">
        <v>-1400</v>
      </c>
      <c r="L98" s="12">
        <v>-1400</v>
      </c>
      <c r="M98" s="12">
        <v>-13540.621964559999</v>
      </c>
      <c r="N98" s="12">
        <v>0</v>
      </c>
      <c r="O98" s="12">
        <f t="shared" si="18"/>
        <v>-28940.621964559999</v>
      </c>
    </row>
    <row r="99" spans="1:15" x14ac:dyDescent="0.2">
      <c r="A99" s="17" t="s">
        <v>113</v>
      </c>
      <c r="B99" s="12">
        <v>-2764.34</v>
      </c>
      <c r="C99" s="12">
        <v>-3048.89</v>
      </c>
      <c r="D99" s="12">
        <v>-2520.2399999999998</v>
      </c>
      <c r="E99" s="12">
        <v>-3004.33</v>
      </c>
      <c r="F99" s="12">
        <v>-3194.26</v>
      </c>
      <c r="G99" s="12">
        <v>-3644.48</v>
      </c>
      <c r="H99" s="12">
        <v>-2283.85</v>
      </c>
      <c r="I99" s="12">
        <v>-2301.71</v>
      </c>
      <c r="J99" s="12">
        <v>-2950.76</v>
      </c>
      <c r="K99" s="12">
        <v>-3103.75</v>
      </c>
      <c r="L99" s="12">
        <v>-3770.58</v>
      </c>
      <c r="M99" s="12">
        <v>-3098.78</v>
      </c>
      <c r="N99" s="12">
        <v>0</v>
      </c>
      <c r="O99" s="12">
        <f t="shared" si="18"/>
        <v>-35685.97</v>
      </c>
    </row>
    <row r="100" spans="1:15" x14ac:dyDescent="0.2">
      <c r="A100" s="17" t="s">
        <v>114</v>
      </c>
      <c r="B100" s="12">
        <v>0</v>
      </c>
      <c r="C100" s="12">
        <v>-3840</v>
      </c>
      <c r="D100" s="12">
        <v>-3840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f t="shared" si="18"/>
        <v>-7680</v>
      </c>
    </row>
    <row r="101" spans="1:15" x14ac:dyDescent="0.2">
      <c r="A101" s="17" t="s">
        <v>115</v>
      </c>
      <c r="B101" s="12">
        <v>-2833.13</v>
      </c>
      <c r="C101" s="12">
        <v>-10363.75302968</v>
      </c>
      <c r="D101" s="12">
        <v>-5053.74</v>
      </c>
      <c r="E101" s="12">
        <v>-2932.1019200000001</v>
      </c>
      <c r="F101" s="12">
        <v>-3183.7663210000001</v>
      </c>
      <c r="G101" s="12">
        <v>-2342.21</v>
      </c>
      <c r="H101" s="12">
        <v>-2025.77</v>
      </c>
      <c r="I101" s="12">
        <v>-2037.03</v>
      </c>
      <c r="J101" s="12">
        <v>-2107.73</v>
      </c>
      <c r="K101" s="12">
        <v>-1928.71</v>
      </c>
      <c r="L101" s="12">
        <v>-1989.56</v>
      </c>
      <c r="M101" s="12">
        <v>-1530.3875470800001</v>
      </c>
      <c r="N101" s="12">
        <v>0</v>
      </c>
      <c r="O101" s="12">
        <f t="shared" si="18"/>
        <v>-38327.888817759995</v>
      </c>
    </row>
    <row r="102" spans="1:15" x14ac:dyDescent="0.2">
      <c r="A102" s="17" t="s">
        <v>116</v>
      </c>
      <c r="B102" s="12">
        <v>6517.93</v>
      </c>
      <c r="C102" s="12">
        <v>-2427.85</v>
      </c>
      <c r="D102" s="12">
        <v>7776.94</v>
      </c>
      <c r="E102" s="12">
        <v>40395.56</v>
      </c>
      <c r="F102" s="12">
        <v>-14767.99</v>
      </c>
      <c r="G102" s="12">
        <v>36009.49</v>
      </c>
      <c r="H102" s="12">
        <v>19961.75</v>
      </c>
      <c r="I102" s="12">
        <v>-48539.55</v>
      </c>
      <c r="J102" s="12">
        <v>13332.13</v>
      </c>
      <c r="K102" s="12">
        <v>-25868.12</v>
      </c>
      <c r="L102" s="12">
        <v>-24932.38</v>
      </c>
      <c r="M102" s="12">
        <v>-7054.02</v>
      </c>
      <c r="N102" s="12">
        <v>0</v>
      </c>
      <c r="O102" s="12">
        <f t="shared" si="18"/>
        <v>403.88999999999578</v>
      </c>
    </row>
    <row r="103" spans="1:15" x14ac:dyDescent="0.2">
      <c r="A103" s="17" t="s">
        <v>117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-459.05</v>
      </c>
      <c r="J103" s="12">
        <v>0</v>
      </c>
      <c r="K103" s="12">
        <v>0</v>
      </c>
      <c r="L103" s="12">
        <v>0</v>
      </c>
      <c r="M103" s="12">
        <v>-38945.219271119997</v>
      </c>
      <c r="N103" s="12">
        <v>0</v>
      </c>
      <c r="O103" s="12">
        <f t="shared" si="18"/>
        <v>-39404.26927112</v>
      </c>
    </row>
    <row r="104" spans="1:15" x14ac:dyDescent="0.2">
      <c r="A104" s="17" t="s">
        <v>118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-1120</v>
      </c>
      <c r="N104" s="12">
        <v>0</v>
      </c>
      <c r="O104" s="12">
        <f t="shared" si="18"/>
        <v>-1120</v>
      </c>
    </row>
    <row r="105" spans="1:15" x14ac:dyDescent="0.2">
      <c r="A105" s="17" t="s">
        <v>119</v>
      </c>
      <c r="B105" s="12">
        <v>0</v>
      </c>
      <c r="C105" s="12">
        <v>-1847.1</v>
      </c>
      <c r="D105" s="12">
        <v>-2338.14</v>
      </c>
      <c r="E105" s="12">
        <v>-3333.78</v>
      </c>
      <c r="F105" s="12">
        <v>-1203.6600000000001</v>
      </c>
      <c r="G105" s="12">
        <v>-1662.6</v>
      </c>
      <c r="H105" s="12">
        <v>-1758.6</v>
      </c>
      <c r="I105" s="12">
        <v>-2142.6</v>
      </c>
      <c r="J105" s="12">
        <v>-622.5</v>
      </c>
      <c r="K105" s="12">
        <v>-3473.4</v>
      </c>
      <c r="L105" s="12">
        <v>-855.9</v>
      </c>
      <c r="M105" s="12">
        <v>-3605.13</v>
      </c>
      <c r="N105" s="12">
        <v>0</v>
      </c>
      <c r="O105" s="12">
        <f t="shared" si="18"/>
        <v>-22843.410000000003</v>
      </c>
    </row>
    <row r="106" spans="1:15" x14ac:dyDescent="0.2">
      <c r="A106" s="17" t="s">
        <v>120</v>
      </c>
      <c r="B106" s="12">
        <v>0</v>
      </c>
      <c r="C106" s="12">
        <v>-224</v>
      </c>
      <c r="D106" s="12">
        <v>-565.6</v>
      </c>
      <c r="E106" s="12">
        <v>-509.6</v>
      </c>
      <c r="F106" s="12">
        <v>-364</v>
      </c>
      <c r="G106" s="12">
        <v>-252</v>
      </c>
      <c r="H106" s="12">
        <v>-140</v>
      </c>
      <c r="I106" s="12">
        <v>-201.6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f t="shared" si="18"/>
        <v>-2256.7999999999997</v>
      </c>
    </row>
    <row r="107" spans="1:15" x14ac:dyDescent="0.2">
      <c r="A107" s="17" t="s">
        <v>121</v>
      </c>
      <c r="B107" s="12">
        <v>-2779.84</v>
      </c>
      <c r="C107" s="12">
        <v>-3475.81</v>
      </c>
      <c r="D107" s="12">
        <v>-8083.54</v>
      </c>
      <c r="E107" s="12">
        <v>-10714.78</v>
      </c>
      <c r="F107" s="12">
        <v>-8142.5</v>
      </c>
      <c r="G107" s="12">
        <v>-3561.79</v>
      </c>
      <c r="H107" s="12">
        <v>-7036.57</v>
      </c>
      <c r="I107" s="12">
        <v>-3065.48</v>
      </c>
      <c r="J107" s="12">
        <v>-64755.49</v>
      </c>
      <c r="K107" s="12">
        <v>-8310.82</v>
      </c>
      <c r="L107" s="12">
        <v>-8650.99</v>
      </c>
      <c r="M107" s="12">
        <v>-10809.96</v>
      </c>
      <c r="N107" s="12">
        <v>0</v>
      </c>
      <c r="O107" s="12">
        <f t="shared" si="18"/>
        <v>-139387.57</v>
      </c>
    </row>
    <row r="108" spans="1:15" x14ac:dyDescent="0.2">
      <c r="A108" s="17" t="s">
        <v>122</v>
      </c>
      <c r="B108" s="12">
        <v>-940.34</v>
      </c>
      <c r="C108" s="12">
        <v>-2136.27</v>
      </c>
      <c r="D108" s="12">
        <v>-5377.27</v>
      </c>
      <c r="E108" s="12">
        <v>-4353.9399999999996</v>
      </c>
      <c r="F108" s="12">
        <v>-7665.85</v>
      </c>
      <c r="G108" s="12">
        <v>-3397.86</v>
      </c>
      <c r="H108" s="12">
        <v>-3786.03</v>
      </c>
      <c r="I108" s="12">
        <v>-5024.5600000000004</v>
      </c>
      <c r="J108" s="12">
        <v>-5718.5</v>
      </c>
      <c r="K108" s="12">
        <v>-8760.44</v>
      </c>
      <c r="L108" s="12">
        <v>-7060.34</v>
      </c>
      <c r="M108" s="12">
        <v>-4444.0200000000004</v>
      </c>
      <c r="N108" s="12">
        <v>0</v>
      </c>
      <c r="O108" s="12">
        <f t="shared" si="18"/>
        <v>-58665.42</v>
      </c>
    </row>
    <row r="109" spans="1:15" x14ac:dyDescent="0.2">
      <c r="A109" s="17" t="s">
        <v>123</v>
      </c>
      <c r="B109" s="12">
        <v>0</v>
      </c>
      <c r="C109" s="12">
        <v>0</v>
      </c>
      <c r="D109" s="12">
        <v>-3457.24</v>
      </c>
      <c r="E109" s="12">
        <v>-3730.93</v>
      </c>
      <c r="F109" s="12">
        <v>-533.20000000000005</v>
      </c>
      <c r="G109" s="12">
        <v>-3847.76</v>
      </c>
      <c r="H109" s="12">
        <v>-2318.46</v>
      </c>
      <c r="I109" s="12">
        <v>-2004.46</v>
      </c>
      <c r="J109" s="12">
        <v>-2900.91</v>
      </c>
      <c r="K109" s="12">
        <v>-4521.8900000000003</v>
      </c>
      <c r="L109" s="12">
        <v>-2506.2399999999998</v>
      </c>
      <c r="M109" s="12">
        <v>20.38</v>
      </c>
      <c r="N109" s="12">
        <v>0</v>
      </c>
      <c r="O109" s="12">
        <f t="shared" si="18"/>
        <v>-25800.709999999995</v>
      </c>
    </row>
    <row r="110" spans="1:15" x14ac:dyDescent="0.2">
      <c r="A110" s="17" t="s">
        <v>124</v>
      </c>
      <c r="B110" s="12">
        <v>-1852.34</v>
      </c>
      <c r="C110" s="12">
        <v>-4354.6000000000004</v>
      </c>
      <c r="D110" s="12">
        <v>-5880.44</v>
      </c>
      <c r="E110" s="12">
        <v>-4034</v>
      </c>
      <c r="F110" s="12">
        <v>-6008.8</v>
      </c>
      <c r="G110" s="12">
        <v>-5390.44</v>
      </c>
      <c r="H110" s="12">
        <v>-4084.93</v>
      </c>
      <c r="I110" s="12">
        <v>-2479.23</v>
      </c>
      <c r="J110" s="12">
        <v>-7154.63</v>
      </c>
      <c r="K110" s="12">
        <v>-9127.1299999999992</v>
      </c>
      <c r="L110" s="12">
        <v>-6630.89</v>
      </c>
      <c r="M110" s="12">
        <v>-9035.02</v>
      </c>
      <c r="N110" s="12">
        <v>0</v>
      </c>
      <c r="O110" s="12">
        <f t="shared" si="18"/>
        <v>-66032.45</v>
      </c>
    </row>
    <row r="111" spans="1:15" x14ac:dyDescent="0.2">
      <c r="A111" s="17" t="s">
        <v>125</v>
      </c>
      <c r="B111" s="12">
        <v>-12.6</v>
      </c>
      <c r="C111" s="12">
        <v>-44.06</v>
      </c>
      <c r="D111" s="12">
        <v>-113.45</v>
      </c>
      <c r="E111" s="12">
        <v>-1094.67923142</v>
      </c>
      <c r="F111" s="12">
        <v>-753.49158095999996</v>
      </c>
      <c r="G111" s="12">
        <v>-1132.4907900400001</v>
      </c>
      <c r="H111" s="12">
        <v>-193.82</v>
      </c>
      <c r="I111" s="12">
        <v>-29.67</v>
      </c>
      <c r="J111" s="12">
        <v>-4653.4473377599998</v>
      </c>
      <c r="K111" s="12">
        <v>-212.02</v>
      </c>
      <c r="L111" s="12">
        <v>-1034.2226306</v>
      </c>
      <c r="M111" s="12">
        <v>-1463.46</v>
      </c>
      <c r="N111" s="12">
        <v>0</v>
      </c>
      <c r="O111" s="12">
        <f t="shared" si="18"/>
        <v>-10737.411570780001</v>
      </c>
    </row>
    <row r="112" spans="1:15" x14ac:dyDescent="0.2">
      <c r="A112" s="17" t="s">
        <v>126</v>
      </c>
      <c r="B112" s="12">
        <v>0</v>
      </c>
      <c r="C112" s="12">
        <v>-1346.8</v>
      </c>
      <c r="D112" s="12">
        <v>-1717</v>
      </c>
      <c r="E112" s="12">
        <v>-5308.6</v>
      </c>
      <c r="F112" s="12">
        <v>-4683.1039199999996</v>
      </c>
      <c r="G112" s="12">
        <v>-2820.7525599999999</v>
      </c>
      <c r="H112" s="12">
        <v>-5378.2</v>
      </c>
      <c r="I112" s="12">
        <v>-3687.3928000000001</v>
      </c>
      <c r="J112" s="12">
        <v>-2587.5299599999998</v>
      </c>
      <c r="K112" s="12">
        <v>-5422.0402700000004</v>
      </c>
      <c r="L112" s="12">
        <v>-6075.2748000000001</v>
      </c>
      <c r="M112" s="12">
        <v>-7991.6910200000002</v>
      </c>
      <c r="N112" s="12">
        <v>0</v>
      </c>
      <c r="O112" s="12">
        <f t="shared" si="18"/>
        <v>-47018.385329999997</v>
      </c>
    </row>
    <row r="113" spans="1:15" x14ac:dyDescent="0.2">
      <c r="A113" s="17" t="s">
        <v>127</v>
      </c>
      <c r="B113" s="12">
        <v>-752.7</v>
      </c>
      <c r="C113" s="12">
        <v>-1290.56</v>
      </c>
      <c r="D113" s="12">
        <v>-12540.7924399</v>
      </c>
      <c r="E113" s="12">
        <v>-4437.0724311100003</v>
      </c>
      <c r="F113" s="12">
        <v>-14296.2685583</v>
      </c>
      <c r="G113" s="12">
        <v>-11594.907879079999</v>
      </c>
      <c r="H113" s="12">
        <v>-11743.334761599999</v>
      </c>
      <c r="I113" s="12">
        <v>-10034.91705656</v>
      </c>
      <c r="J113" s="12">
        <v>-16525.625594730001</v>
      </c>
      <c r="K113" s="12">
        <v>-14516.717726839999</v>
      </c>
      <c r="L113" s="12">
        <v>-14760.10571548</v>
      </c>
      <c r="M113" s="12">
        <v>-10052.804837746</v>
      </c>
      <c r="N113" s="12">
        <v>0</v>
      </c>
      <c r="O113" s="12">
        <f t="shared" si="18"/>
        <v>-122545.80700134597</v>
      </c>
    </row>
    <row r="114" spans="1:15" x14ac:dyDescent="0.2">
      <c r="A114" s="17" t="s">
        <v>128</v>
      </c>
      <c r="B114" s="12">
        <v>-33.46</v>
      </c>
      <c r="C114" s="12">
        <v>-45.41</v>
      </c>
      <c r="D114" s="12">
        <v>-39.76</v>
      </c>
      <c r="E114" s="12">
        <v>-799.3</v>
      </c>
      <c r="F114" s="12">
        <v>-168.65</v>
      </c>
      <c r="G114" s="12">
        <v>-153.99</v>
      </c>
      <c r="H114" s="12">
        <v>-563.73</v>
      </c>
      <c r="I114" s="12">
        <v>-84.16</v>
      </c>
      <c r="J114" s="12">
        <v>-176.42</v>
      </c>
      <c r="K114" s="12">
        <v>-60.56</v>
      </c>
      <c r="L114" s="12">
        <v>-335.67</v>
      </c>
      <c r="M114" s="12">
        <v>-1311.11</v>
      </c>
      <c r="N114" s="12">
        <v>0</v>
      </c>
      <c r="O114" s="12">
        <f t="shared" si="18"/>
        <v>-3772.2200000000003</v>
      </c>
    </row>
    <row r="115" spans="1:15" x14ac:dyDescent="0.2">
      <c r="A115" s="17" t="s">
        <v>129</v>
      </c>
      <c r="B115" s="12">
        <v>-3670.08</v>
      </c>
      <c r="C115" s="12">
        <v>-3372.1</v>
      </c>
      <c r="D115" s="12">
        <v>-8458</v>
      </c>
      <c r="E115" s="12">
        <v>-3875.95</v>
      </c>
      <c r="F115" s="12">
        <v>-3353.45</v>
      </c>
      <c r="G115" s="12">
        <v>-2951.9</v>
      </c>
      <c r="H115" s="12">
        <v>-3088.38</v>
      </c>
      <c r="I115" s="12">
        <v>-3848.9</v>
      </c>
      <c r="J115" s="12">
        <v>-5677.1</v>
      </c>
      <c r="K115" s="12">
        <v>-4300.16</v>
      </c>
      <c r="L115" s="12">
        <v>-4550.04</v>
      </c>
      <c r="M115" s="12">
        <v>-5954.89</v>
      </c>
      <c r="N115" s="12">
        <v>0</v>
      </c>
      <c r="O115" s="12">
        <f t="shared" si="18"/>
        <v>-53100.950000000004</v>
      </c>
    </row>
    <row r="116" spans="1:15" x14ac:dyDescent="0.2">
      <c r="A116" s="17" t="s">
        <v>130</v>
      </c>
      <c r="B116" s="12">
        <v>-840.89</v>
      </c>
      <c r="C116" s="12">
        <v>-806.4</v>
      </c>
      <c r="D116" s="12">
        <v>-817.41</v>
      </c>
      <c r="E116" s="12">
        <v>-813.1</v>
      </c>
      <c r="F116" s="12">
        <v>-816.16</v>
      </c>
      <c r="G116" s="12">
        <v>-933.28</v>
      </c>
      <c r="H116" s="12">
        <v>-791.15</v>
      </c>
      <c r="I116" s="12">
        <v>-793.39</v>
      </c>
      <c r="J116" s="12">
        <v>-831.57</v>
      </c>
      <c r="K116" s="12">
        <v>-1119.75</v>
      </c>
      <c r="L116" s="12">
        <v>-717.82</v>
      </c>
      <c r="M116" s="12">
        <v>-717.82</v>
      </c>
      <c r="N116" s="12">
        <v>0</v>
      </c>
      <c r="O116" s="12">
        <f t="shared" si="18"/>
        <v>-9998.739999999998</v>
      </c>
    </row>
    <row r="117" spans="1:15" x14ac:dyDescent="0.2">
      <c r="A117" s="17" t="s">
        <v>131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-1829.14</v>
      </c>
      <c r="J117" s="12">
        <v>-1739.97</v>
      </c>
      <c r="K117" s="12">
        <v>-531.13</v>
      </c>
      <c r="L117" s="12">
        <v>0</v>
      </c>
      <c r="M117" s="12">
        <v>0</v>
      </c>
      <c r="N117" s="12">
        <v>0</v>
      </c>
      <c r="O117" s="12">
        <f t="shared" si="18"/>
        <v>-4100.24</v>
      </c>
    </row>
    <row r="118" spans="1:15" x14ac:dyDescent="0.2">
      <c r="A118" s="17" t="s">
        <v>132</v>
      </c>
      <c r="B118" s="12">
        <v>-8711.65</v>
      </c>
      <c r="C118" s="12">
        <v>-8670.9599999999991</v>
      </c>
      <c r="D118" s="12">
        <v>-5589.37</v>
      </c>
      <c r="E118" s="12">
        <v>-8576.44</v>
      </c>
      <c r="F118" s="12">
        <v>-8899.7000000000007</v>
      </c>
      <c r="G118" s="12">
        <v>-8576.44</v>
      </c>
      <c r="H118" s="12">
        <v>-6677.23</v>
      </c>
      <c r="I118" s="12">
        <v>-7020.87</v>
      </c>
      <c r="J118" s="12">
        <v>-6908.37</v>
      </c>
      <c r="K118" s="12">
        <v>-10865.33</v>
      </c>
      <c r="L118" s="12">
        <v>-10711.44</v>
      </c>
      <c r="M118" s="12">
        <v>-4257.4399999999996</v>
      </c>
      <c r="N118" s="12">
        <v>0</v>
      </c>
      <c r="O118" s="12">
        <f t="shared" si="18"/>
        <v>-95465.24</v>
      </c>
    </row>
    <row r="119" spans="1:15" x14ac:dyDescent="0.2">
      <c r="A119" s="17" t="s">
        <v>133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-93.94</v>
      </c>
      <c r="N119" s="12">
        <v>0</v>
      </c>
      <c r="O119" s="12">
        <f t="shared" si="18"/>
        <v>-93.94</v>
      </c>
    </row>
    <row r="120" spans="1:15" x14ac:dyDescent="0.2">
      <c r="A120" s="17" t="s">
        <v>134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-171.98</v>
      </c>
      <c r="L120" s="12">
        <v>0</v>
      </c>
      <c r="M120" s="12">
        <v>-36.97</v>
      </c>
      <c r="N120" s="12">
        <v>0</v>
      </c>
      <c r="O120" s="12">
        <f t="shared" si="18"/>
        <v>-208.95</v>
      </c>
    </row>
    <row r="121" spans="1:15" x14ac:dyDescent="0.2">
      <c r="A121" s="17" t="s">
        <v>135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-297.5</v>
      </c>
      <c r="M121" s="12">
        <v>0</v>
      </c>
      <c r="N121" s="12">
        <v>0</v>
      </c>
      <c r="O121" s="12">
        <f t="shared" si="18"/>
        <v>-297.5</v>
      </c>
    </row>
    <row r="122" spans="1:15" x14ac:dyDescent="0.2">
      <c r="A122" s="17" t="s">
        <v>136</v>
      </c>
      <c r="B122" s="12">
        <v>-1645.19</v>
      </c>
      <c r="C122" s="12">
        <v>-1486.85</v>
      </c>
      <c r="D122" s="12">
        <v>-1645.47</v>
      </c>
      <c r="E122" s="12">
        <v>-2702.84</v>
      </c>
      <c r="F122" s="12">
        <v>-1645.84</v>
      </c>
      <c r="G122" s="12">
        <v>-1593.11</v>
      </c>
      <c r="H122" s="12">
        <v>-2531.23</v>
      </c>
      <c r="I122" s="12">
        <v>-1636.21</v>
      </c>
      <c r="J122" s="12">
        <v>-1583.42</v>
      </c>
      <c r="K122" s="12">
        <v>-1636.21</v>
      </c>
      <c r="L122" s="12">
        <v>-1583.42</v>
      </c>
      <c r="M122" s="12">
        <v>-1636.2</v>
      </c>
      <c r="N122" s="12">
        <v>0</v>
      </c>
      <c r="O122" s="12">
        <f t="shared" si="18"/>
        <v>-21325.99</v>
      </c>
    </row>
    <row r="123" spans="1:15" x14ac:dyDescent="0.2">
      <c r="A123" s="17" t="s">
        <v>137</v>
      </c>
      <c r="B123" s="12">
        <v>-351.45296000000002</v>
      </c>
      <c r="C123" s="12">
        <v>-6120.1129800999997</v>
      </c>
      <c r="D123" s="12">
        <v>4341.6510010000002</v>
      </c>
      <c r="E123" s="12">
        <v>-663.29</v>
      </c>
      <c r="F123" s="12">
        <v>-306.42</v>
      </c>
      <c r="G123" s="12">
        <v>-1884.62766766</v>
      </c>
      <c r="H123" s="12">
        <v>-338.46899999999999</v>
      </c>
      <c r="I123" s="12">
        <v>-6971.3082000000004</v>
      </c>
      <c r="J123" s="12">
        <v>-1937.900425</v>
      </c>
      <c r="K123" s="12">
        <v>-337.86715199999998</v>
      </c>
      <c r="L123" s="12">
        <v>-341.03</v>
      </c>
      <c r="M123" s="12">
        <v>-7356.9013568</v>
      </c>
      <c r="N123" s="12">
        <v>0</v>
      </c>
      <c r="O123" s="12">
        <f t="shared" si="18"/>
        <v>-22267.72874056</v>
      </c>
    </row>
    <row r="124" spans="1:15" x14ac:dyDescent="0.2">
      <c r="A124" s="17" t="s">
        <v>138</v>
      </c>
      <c r="B124" s="12">
        <v>-8502.7662930000006</v>
      </c>
      <c r="C124" s="12">
        <v>-1896.63445</v>
      </c>
      <c r="D124" s="12">
        <v>-1277.29</v>
      </c>
      <c r="E124" s="12">
        <v>-1194.82</v>
      </c>
      <c r="F124" s="12">
        <v>-1248.3751402</v>
      </c>
      <c r="G124" s="12">
        <v>-1542.5202999999999</v>
      </c>
      <c r="H124" s="12">
        <v>-1254.9407550000001</v>
      </c>
      <c r="I124" s="12">
        <v>-1966.5597799</v>
      </c>
      <c r="J124" s="12">
        <v>-1152.7826707500001</v>
      </c>
      <c r="K124" s="12">
        <v>-1528.9728273999999</v>
      </c>
      <c r="L124" s="12">
        <v>-1157.37221045</v>
      </c>
      <c r="M124" s="12">
        <v>-974.35067779999997</v>
      </c>
      <c r="N124" s="12">
        <v>0</v>
      </c>
      <c r="O124" s="12">
        <f t="shared" si="18"/>
        <v>-23697.385104500001</v>
      </c>
    </row>
    <row r="125" spans="1:15" x14ac:dyDescent="0.2">
      <c r="A125" s="17" t="s">
        <v>139</v>
      </c>
      <c r="B125" s="12">
        <v>-279.95999999999998</v>
      </c>
      <c r="C125" s="12">
        <v>-386.93</v>
      </c>
      <c r="D125" s="12">
        <v>-279.95999999999998</v>
      </c>
      <c r="E125" s="12">
        <v>-279.95999999999998</v>
      </c>
      <c r="F125" s="12">
        <v>-279.95999999999998</v>
      </c>
      <c r="G125" s="12">
        <v>-279.95999999999998</v>
      </c>
      <c r="H125" s="12">
        <v>-279.95999999999998</v>
      </c>
      <c r="I125" s="12">
        <v>-279.95999999999998</v>
      </c>
      <c r="J125" s="12">
        <v>-335.79</v>
      </c>
      <c r="K125" s="12">
        <v>0</v>
      </c>
      <c r="L125" s="12">
        <v>0</v>
      </c>
      <c r="M125" s="12">
        <v>0</v>
      </c>
      <c r="N125" s="12">
        <v>0</v>
      </c>
      <c r="O125" s="12">
        <f t="shared" si="18"/>
        <v>-2682.44</v>
      </c>
    </row>
    <row r="126" spans="1:15" x14ac:dyDescent="0.2">
      <c r="A126" s="17" t="s">
        <v>140</v>
      </c>
      <c r="B126" s="12">
        <v>-2578.0919971200001</v>
      </c>
      <c r="C126" s="12">
        <v>-734.94775000000004</v>
      </c>
      <c r="D126" s="12">
        <v>-2474.857</v>
      </c>
      <c r="E126" s="12">
        <v>-1423.599434</v>
      </c>
      <c r="F126" s="12">
        <v>-1478.3337430399999</v>
      </c>
      <c r="G126" s="12">
        <v>-719.1105</v>
      </c>
      <c r="H126" s="12">
        <v>-537.80814999999996</v>
      </c>
      <c r="I126" s="12">
        <v>-601.17840000000001</v>
      </c>
      <c r="J126" s="12">
        <v>-1626.0054466399999</v>
      </c>
      <c r="K126" s="12">
        <v>-502.67950000000002</v>
      </c>
      <c r="L126" s="12">
        <v>-6307.9579999999996</v>
      </c>
      <c r="M126" s="12">
        <v>-8824.8730899999991</v>
      </c>
      <c r="N126" s="12">
        <v>0</v>
      </c>
      <c r="O126" s="12">
        <f t="shared" si="18"/>
        <v>-27809.443010800002</v>
      </c>
    </row>
    <row r="127" spans="1:15" x14ac:dyDescent="0.2">
      <c r="A127" s="17" t="s">
        <v>141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-10060.56</v>
      </c>
      <c r="L127" s="12">
        <v>0</v>
      </c>
      <c r="M127" s="12">
        <v>0</v>
      </c>
      <c r="N127" s="12">
        <v>0</v>
      </c>
      <c r="O127" s="12">
        <f t="shared" si="18"/>
        <v>-10060.56</v>
      </c>
    </row>
    <row r="128" spans="1:15" x14ac:dyDescent="0.2">
      <c r="A128" s="17" t="s">
        <v>142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-80495.56</v>
      </c>
      <c r="N128" s="12">
        <v>0</v>
      </c>
      <c r="O128" s="12">
        <f t="shared" ref="O128:O159" si="19">SUM(B128:N128)</f>
        <v>-80495.56</v>
      </c>
    </row>
    <row r="129" spans="1:15" x14ac:dyDescent="0.2">
      <c r="A129" s="17" t="s">
        <v>143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-1996.96</v>
      </c>
      <c r="N129" s="12">
        <v>0</v>
      </c>
      <c r="O129" s="12">
        <f t="shared" si="19"/>
        <v>-1996.96</v>
      </c>
    </row>
    <row r="130" spans="1:15" x14ac:dyDescent="0.2">
      <c r="A130" s="17" t="s">
        <v>144</v>
      </c>
      <c r="B130" s="12">
        <v>0</v>
      </c>
      <c r="C130" s="12">
        <v>0</v>
      </c>
      <c r="D130" s="12">
        <v>-537.04999999999995</v>
      </c>
      <c r="E130" s="12">
        <v>-3596.5</v>
      </c>
      <c r="F130" s="12">
        <v>-188</v>
      </c>
      <c r="G130" s="12">
        <v>0</v>
      </c>
      <c r="H130" s="12">
        <v>0</v>
      </c>
      <c r="I130" s="12">
        <v>0</v>
      </c>
      <c r="J130" s="12">
        <v>0</v>
      </c>
      <c r="K130" s="12">
        <v>-1267.0999999999999</v>
      </c>
      <c r="L130" s="12">
        <v>-285</v>
      </c>
      <c r="M130" s="12">
        <v>0</v>
      </c>
      <c r="N130" s="12">
        <v>0</v>
      </c>
      <c r="O130" s="12">
        <f t="shared" si="19"/>
        <v>-5873.65</v>
      </c>
    </row>
    <row r="131" spans="1:15" x14ac:dyDescent="0.2">
      <c r="A131" s="17" t="s">
        <v>145</v>
      </c>
      <c r="B131" s="12">
        <v>0</v>
      </c>
      <c r="C131" s="12">
        <v>-255.37</v>
      </c>
      <c r="D131" s="12">
        <v>0</v>
      </c>
      <c r="E131" s="12">
        <v>0</v>
      </c>
      <c r="F131" s="12">
        <v>0</v>
      </c>
      <c r="G131" s="12">
        <v>-40.65</v>
      </c>
      <c r="H131" s="12">
        <v>0</v>
      </c>
      <c r="I131" s="12">
        <v>-40.65</v>
      </c>
      <c r="J131" s="12">
        <v>0</v>
      </c>
      <c r="K131" s="12">
        <v>0</v>
      </c>
      <c r="L131" s="12">
        <v>0</v>
      </c>
      <c r="M131" s="12">
        <v>-14</v>
      </c>
      <c r="N131" s="12">
        <v>0</v>
      </c>
      <c r="O131" s="12">
        <f t="shared" si="19"/>
        <v>-350.66999999999996</v>
      </c>
    </row>
    <row r="132" spans="1:15" x14ac:dyDescent="0.2">
      <c r="A132" s="17" t="s">
        <v>146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-1013.56</v>
      </c>
      <c r="J132" s="12">
        <v>0</v>
      </c>
      <c r="K132" s="12">
        <v>-500</v>
      </c>
      <c r="L132" s="12">
        <v>0</v>
      </c>
      <c r="M132" s="12">
        <v>0</v>
      </c>
      <c r="N132" s="12">
        <v>0</v>
      </c>
      <c r="O132" s="12">
        <f t="shared" si="19"/>
        <v>-1513.56</v>
      </c>
    </row>
    <row r="133" spans="1:15" x14ac:dyDescent="0.2">
      <c r="A133" s="17" t="s">
        <v>147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-5000</v>
      </c>
      <c r="M133" s="12">
        <v>0</v>
      </c>
      <c r="N133" s="12">
        <v>0</v>
      </c>
      <c r="O133" s="12">
        <f t="shared" si="19"/>
        <v>-5000</v>
      </c>
    </row>
    <row r="134" spans="1:15" x14ac:dyDescent="0.2">
      <c r="A134" s="17" t="s">
        <v>148</v>
      </c>
      <c r="B134" s="12">
        <v>-14.34</v>
      </c>
      <c r="C134" s="12">
        <v>-19.46</v>
      </c>
      <c r="D134" s="12">
        <v>-736.35043743999995</v>
      </c>
      <c r="E134" s="12">
        <v>-342.56</v>
      </c>
      <c r="F134" s="12">
        <v>-118.9057</v>
      </c>
      <c r="G134" s="12">
        <v>-2238.4332323600001</v>
      </c>
      <c r="H134" s="12">
        <v>-241.6</v>
      </c>
      <c r="I134" s="12">
        <v>-475.09054623999998</v>
      </c>
      <c r="J134" s="12">
        <v>-449.85420227999998</v>
      </c>
      <c r="K134" s="12">
        <v>-120.453746</v>
      </c>
      <c r="L134" s="12">
        <v>-1462.9432979999999</v>
      </c>
      <c r="M134" s="12">
        <v>-672.08313550000003</v>
      </c>
      <c r="N134" s="12">
        <v>0</v>
      </c>
      <c r="O134" s="12">
        <f t="shared" si="19"/>
        <v>-6892.0742978200005</v>
      </c>
    </row>
    <row r="135" spans="1:15" x14ac:dyDescent="0.2">
      <c r="A135" s="17" t="s">
        <v>149</v>
      </c>
      <c r="B135" s="12">
        <v>-143.77623711999999</v>
      </c>
      <c r="C135" s="12">
        <v>-674.72239000000002</v>
      </c>
      <c r="D135" s="12">
        <v>-889.75149587999999</v>
      </c>
      <c r="E135" s="12">
        <v>-446.07245025999998</v>
      </c>
      <c r="F135" s="12">
        <v>-282.46518959999997</v>
      </c>
      <c r="G135" s="12">
        <v>-181.68336948000001</v>
      </c>
      <c r="H135" s="12">
        <v>-420.63098389999999</v>
      </c>
      <c r="I135" s="12">
        <v>-1926.3418527599999</v>
      </c>
      <c r="J135" s="12">
        <v>-1423.1232371999999</v>
      </c>
      <c r="K135" s="12">
        <v>-664.55840515</v>
      </c>
      <c r="L135" s="12">
        <v>-1140.6645951</v>
      </c>
      <c r="M135" s="12">
        <v>-548.99910296600001</v>
      </c>
      <c r="N135" s="12">
        <v>0</v>
      </c>
      <c r="O135" s="12">
        <f t="shared" si="19"/>
        <v>-8742.789309415999</v>
      </c>
    </row>
    <row r="136" spans="1:15" x14ac:dyDescent="0.2">
      <c r="A136" s="17" t="s">
        <v>150</v>
      </c>
      <c r="B136" s="12">
        <v>0</v>
      </c>
      <c r="C136" s="12">
        <v>0</v>
      </c>
      <c r="D136" s="12">
        <v>-29.64</v>
      </c>
      <c r="E136" s="12">
        <v>-252.55085212</v>
      </c>
      <c r="F136" s="12">
        <v>-4249.4176430799998</v>
      </c>
      <c r="G136" s="12">
        <v>-432.91608952000001</v>
      </c>
      <c r="H136" s="12">
        <v>0</v>
      </c>
      <c r="I136" s="12">
        <v>-203.86</v>
      </c>
      <c r="J136" s="12">
        <v>-155.02790487999999</v>
      </c>
      <c r="K136" s="12">
        <v>-45</v>
      </c>
      <c r="L136" s="12">
        <v>0</v>
      </c>
      <c r="M136" s="12">
        <v>2250.3917213</v>
      </c>
      <c r="N136" s="12">
        <v>0</v>
      </c>
      <c r="O136" s="12">
        <f t="shared" si="19"/>
        <v>-3118.0207683000003</v>
      </c>
    </row>
    <row r="137" spans="1:15" x14ac:dyDescent="0.2">
      <c r="A137" s="17" t="s">
        <v>151</v>
      </c>
      <c r="B137" s="12">
        <v>-7225</v>
      </c>
      <c r="C137" s="12">
        <v>-7225</v>
      </c>
      <c r="D137" s="12">
        <v>-7225</v>
      </c>
      <c r="E137" s="12">
        <v>-7225</v>
      </c>
      <c r="F137" s="12">
        <v>-7225</v>
      </c>
      <c r="G137" s="12">
        <v>-7225</v>
      </c>
      <c r="H137" s="12">
        <v>-7225</v>
      </c>
      <c r="I137" s="12">
        <v>-7225</v>
      </c>
      <c r="J137" s="12">
        <v>-12400</v>
      </c>
      <c r="K137" s="12">
        <v>-12400</v>
      </c>
      <c r="L137" s="12">
        <v>-12400</v>
      </c>
      <c r="M137" s="12">
        <v>-12400</v>
      </c>
      <c r="N137" s="12">
        <v>0</v>
      </c>
      <c r="O137" s="12">
        <f t="shared" si="19"/>
        <v>-107400</v>
      </c>
    </row>
    <row r="138" spans="1:15" x14ac:dyDescent="0.2">
      <c r="A138" s="17" t="s">
        <v>152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17498</v>
      </c>
      <c r="J138" s="12">
        <v>0</v>
      </c>
      <c r="K138" s="12">
        <v>0</v>
      </c>
      <c r="L138" s="12">
        <v>32170</v>
      </c>
      <c r="M138" s="12">
        <v>-80011</v>
      </c>
      <c r="N138" s="12">
        <v>0</v>
      </c>
      <c r="O138" s="12">
        <f t="shared" si="19"/>
        <v>-30343</v>
      </c>
    </row>
    <row r="139" spans="1:15" x14ac:dyDescent="0.2">
      <c r="A139" s="17" t="s">
        <v>153</v>
      </c>
      <c r="B139" s="12">
        <v>0</v>
      </c>
      <c r="C139" s="12">
        <v>0</v>
      </c>
      <c r="D139" s="12">
        <v>0</v>
      </c>
      <c r="E139" s="12">
        <v>0</v>
      </c>
      <c r="F139" s="12">
        <v>-42.86</v>
      </c>
      <c r="G139" s="12">
        <v>-7688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f t="shared" si="19"/>
        <v>-7730.86</v>
      </c>
    </row>
    <row r="140" spans="1:15" x14ac:dyDescent="0.2">
      <c r="A140" s="17" t="s">
        <v>154</v>
      </c>
      <c r="B140" s="12">
        <v>0</v>
      </c>
      <c r="C140" s="12">
        <v>-1489.1500593599999</v>
      </c>
      <c r="D140" s="12">
        <v>-750.01823036999997</v>
      </c>
      <c r="E140" s="12">
        <v>-1306.89245783</v>
      </c>
      <c r="F140" s="12">
        <v>-951.94081224000001</v>
      </c>
      <c r="G140" s="12">
        <v>-980.47999500000003</v>
      </c>
      <c r="H140" s="12">
        <v>-1186.6341738000001</v>
      </c>
      <c r="I140" s="12">
        <v>-716.31420000000003</v>
      </c>
      <c r="J140" s="12">
        <v>-876.9850801</v>
      </c>
      <c r="K140" s="12">
        <v>-27.5659344</v>
      </c>
      <c r="L140" s="12">
        <v>-3112.8132791799999</v>
      </c>
      <c r="M140" s="12">
        <v>11408.18727208</v>
      </c>
      <c r="N140" s="12">
        <v>0</v>
      </c>
      <c r="O140" s="12">
        <f t="shared" si="19"/>
        <v>9.3930498000008811</v>
      </c>
    </row>
    <row r="141" spans="1:15" x14ac:dyDescent="0.2">
      <c r="A141" s="17" t="s">
        <v>155</v>
      </c>
      <c r="B141" s="12">
        <v>0</v>
      </c>
      <c r="C141" s="12">
        <v>0</v>
      </c>
      <c r="D141" s="12">
        <v>0</v>
      </c>
      <c r="E141" s="12">
        <v>0</v>
      </c>
      <c r="F141" s="12">
        <v>-3806.6340496799999</v>
      </c>
      <c r="G141" s="12">
        <v>0</v>
      </c>
      <c r="H141" s="12">
        <v>0</v>
      </c>
      <c r="I141" s="12">
        <v>0</v>
      </c>
      <c r="J141" s="12">
        <v>-1495.8712441</v>
      </c>
      <c r="K141" s="12">
        <v>0</v>
      </c>
      <c r="L141" s="12">
        <v>0</v>
      </c>
      <c r="M141" s="12">
        <v>-36679.5</v>
      </c>
      <c r="N141" s="12">
        <v>0</v>
      </c>
      <c r="O141" s="12">
        <f t="shared" si="19"/>
        <v>-41982.005293779999</v>
      </c>
    </row>
    <row r="142" spans="1:15" x14ac:dyDescent="0.2">
      <c r="A142" s="17" t="s">
        <v>156</v>
      </c>
      <c r="B142" s="12">
        <v>0</v>
      </c>
      <c r="C142" s="12">
        <v>0</v>
      </c>
      <c r="D142" s="12">
        <v>-691.46</v>
      </c>
      <c r="E142" s="12">
        <v>-1573.45</v>
      </c>
      <c r="F142" s="12">
        <v>-121.25</v>
      </c>
      <c r="G142" s="12">
        <v>-462.5</v>
      </c>
      <c r="H142" s="12">
        <v>-2363.9499999999998</v>
      </c>
      <c r="I142" s="12">
        <v>0</v>
      </c>
      <c r="J142" s="12">
        <v>0</v>
      </c>
      <c r="K142" s="12">
        <v>-2592.4499999999998</v>
      </c>
      <c r="L142" s="12">
        <v>-102.27</v>
      </c>
      <c r="M142" s="12">
        <v>-40154.966494220003</v>
      </c>
      <c r="N142" s="12">
        <v>0</v>
      </c>
      <c r="O142" s="12">
        <f t="shared" si="19"/>
        <v>-48062.296494220005</v>
      </c>
    </row>
    <row r="143" spans="1:15" x14ac:dyDescent="0.2">
      <c r="A143" s="17" t="s">
        <v>157</v>
      </c>
      <c r="B143" s="12">
        <v>-140.06</v>
      </c>
      <c r="C143" s="12">
        <v>-278.04000000000002</v>
      </c>
      <c r="D143" s="12">
        <v>-322.05</v>
      </c>
      <c r="E143" s="12">
        <v>-251.82</v>
      </c>
      <c r="F143" s="12">
        <v>-165.36</v>
      </c>
      <c r="G143" s="12">
        <v>-134.72999999999999</v>
      </c>
      <c r="H143" s="12">
        <v>-60.95</v>
      </c>
      <c r="I143" s="12">
        <v>-43.01</v>
      </c>
      <c r="J143" s="12">
        <v>-135.80000000000001</v>
      </c>
      <c r="K143" s="12">
        <v>-7.2</v>
      </c>
      <c r="L143" s="12">
        <v>-374.91</v>
      </c>
      <c r="M143" s="12">
        <v>-32.6</v>
      </c>
      <c r="N143" s="12">
        <v>0</v>
      </c>
      <c r="O143" s="12">
        <f t="shared" si="19"/>
        <v>-1946.53</v>
      </c>
    </row>
    <row r="144" spans="1:15" x14ac:dyDescent="0.2">
      <c r="A144" s="17" t="s">
        <v>158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-3607.95</v>
      </c>
      <c r="L144" s="12">
        <v>0</v>
      </c>
      <c r="M144" s="12">
        <v>-0.01</v>
      </c>
      <c r="N144" s="12">
        <v>0</v>
      </c>
      <c r="O144" s="12">
        <f t="shared" si="19"/>
        <v>-3607.96</v>
      </c>
    </row>
    <row r="145" spans="1:15" x14ac:dyDescent="0.2">
      <c r="A145" s="17" t="s">
        <v>159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-87772.800000000003</v>
      </c>
      <c r="N145" s="12">
        <v>0</v>
      </c>
      <c r="O145" s="12">
        <f t="shared" si="19"/>
        <v>-87772.800000000003</v>
      </c>
    </row>
    <row r="146" spans="1:15" x14ac:dyDescent="0.2">
      <c r="A146" s="17" t="s">
        <v>160</v>
      </c>
      <c r="B146" s="12">
        <v>-34348.75</v>
      </c>
      <c r="C146" s="12">
        <v>-34348.75</v>
      </c>
      <c r="D146" s="12">
        <v>-34348.769999999997</v>
      </c>
      <c r="E146" s="12">
        <v>-34348.769999999997</v>
      </c>
      <c r="F146" s="12">
        <v>-35285.699999999997</v>
      </c>
      <c r="G146" s="12">
        <v>-36285.440000000002</v>
      </c>
      <c r="H146" s="12">
        <v>-28343.45</v>
      </c>
      <c r="I146" s="12">
        <v>-29343.45</v>
      </c>
      <c r="J146" s="12">
        <v>-28886.81612675</v>
      </c>
      <c r="K146" s="12">
        <v>-70742.692416000005</v>
      </c>
      <c r="L146" s="12">
        <v>-50240.971060000003</v>
      </c>
      <c r="M146" s="12">
        <v>-38073.93</v>
      </c>
      <c r="N146" s="12">
        <v>0</v>
      </c>
      <c r="O146" s="12">
        <f t="shared" si="19"/>
        <v>-454597.48960275005</v>
      </c>
    </row>
    <row r="147" spans="1:15" x14ac:dyDescent="0.2">
      <c r="A147" s="17" t="s">
        <v>161</v>
      </c>
      <c r="B147" s="12">
        <v>-800</v>
      </c>
      <c r="C147" s="12">
        <v>-800</v>
      </c>
      <c r="D147" s="12">
        <v>-800</v>
      </c>
      <c r="E147" s="12">
        <v>-800</v>
      </c>
      <c r="F147" s="12">
        <v>-800</v>
      </c>
      <c r="G147" s="12">
        <v>-800</v>
      </c>
      <c r="H147" s="12">
        <v>-800</v>
      </c>
      <c r="I147" s="12">
        <v>-800</v>
      </c>
      <c r="J147" s="12">
        <v>-800</v>
      </c>
      <c r="K147" s="12">
        <v>-800</v>
      </c>
      <c r="L147" s="12">
        <v>-800</v>
      </c>
      <c r="M147" s="12">
        <v>-800</v>
      </c>
      <c r="N147" s="12">
        <v>0</v>
      </c>
      <c r="O147" s="12">
        <f t="shared" si="19"/>
        <v>-9600</v>
      </c>
    </row>
    <row r="148" spans="1:15" x14ac:dyDescent="0.2">
      <c r="A148" s="17" t="s">
        <v>162</v>
      </c>
      <c r="B148" s="12">
        <v>-428</v>
      </c>
      <c r="C148" s="12">
        <v>-318.95999999999998</v>
      </c>
      <c r="D148" s="12">
        <v>0</v>
      </c>
      <c r="E148" s="12">
        <v>0</v>
      </c>
      <c r="F148" s="12">
        <v>0</v>
      </c>
      <c r="G148" s="12">
        <v>-29.22</v>
      </c>
      <c r="H148" s="12">
        <v>0</v>
      </c>
      <c r="I148" s="12">
        <v>0</v>
      </c>
      <c r="J148" s="12">
        <v>0</v>
      </c>
      <c r="K148" s="12">
        <v>-62.4</v>
      </c>
      <c r="L148" s="12">
        <v>0</v>
      </c>
      <c r="M148" s="12">
        <v>348.18</v>
      </c>
      <c r="N148" s="12">
        <v>0</v>
      </c>
      <c r="O148" s="12">
        <f t="shared" si="19"/>
        <v>-490.40000000000003</v>
      </c>
    </row>
    <row r="149" spans="1:15" x14ac:dyDescent="0.2">
      <c r="A149" s="17" t="s">
        <v>163</v>
      </c>
      <c r="B149" s="12">
        <v>-9940</v>
      </c>
      <c r="C149" s="12">
        <v>-9999.6</v>
      </c>
      <c r="D149" s="12">
        <v>-29949.82</v>
      </c>
      <c r="E149" s="12">
        <v>-10000</v>
      </c>
      <c r="F149" s="12">
        <v>-9800</v>
      </c>
      <c r="G149" s="12">
        <v>-33264.81</v>
      </c>
      <c r="H149" s="12">
        <v>-9905.2999999999993</v>
      </c>
      <c r="I149" s="12">
        <v>-10000</v>
      </c>
      <c r="J149" s="12">
        <v>-23818.6</v>
      </c>
      <c r="K149" s="12">
        <v>-11061.6</v>
      </c>
      <c r="L149" s="12">
        <v>-10195.98</v>
      </c>
      <c r="M149" s="12">
        <v>-17278.75</v>
      </c>
      <c r="N149" s="12">
        <v>0</v>
      </c>
      <c r="O149" s="12">
        <f t="shared" si="19"/>
        <v>-185214.46000000002</v>
      </c>
    </row>
    <row r="150" spans="1:15" x14ac:dyDescent="0.2">
      <c r="A150" s="17" t="s">
        <v>164</v>
      </c>
      <c r="B150" s="12">
        <v>-1208.76</v>
      </c>
      <c r="C150" s="12">
        <v>-1166.8</v>
      </c>
      <c r="D150" s="12">
        <v>-1036.6300000000001</v>
      </c>
      <c r="E150" s="12">
        <v>-1694.29</v>
      </c>
      <c r="F150" s="12">
        <v>-1023.12</v>
      </c>
      <c r="G150" s="12">
        <v>-1838.22</v>
      </c>
      <c r="H150" s="12">
        <v>-868.83</v>
      </c>
      <c r="I150" s="12">
        <v>-1431.19</v>
      </c>
      <c r="J150" s="12">
        <v>-1813.88</v>
      </c>
      <c r="K150" s="12">
        <v>-851.34</v>
      </c>
      <c r="L150" s="12">
        <v>-1939.61</v>
      </c>
      <c r="M150" s="12">
        <v>-1555.21</v>
      </c>
      <c r="N150" s="12">
        <v>0</v>
      </c>
      <c r="O150" s="12">
        <f t="shared" si="19"/>
        <v>-16427.88</v>
      </c>
    </row>
    <row r="151" spans="1:15" x14ac:dyDescent="0.2">
      <c r="A151" s="17" t="s">
        <v>165</v>
      </c>
      <c r="B151" s="12">
        <v>0</v>
      </c>
      <c r="C151" s="12">
        <v>0</v>
      </c>
      <c r="D151" s="12">
        <v>0</v>
      </c>
      <c r="E151" s="12">
        <v>-600</v>
      </c>
      <c r="F151" s="12">
        <v>0</v>
      </c>
      <c r="G151" s="12">
        <v>0</v>
      </c>
      <c r="H151" s="12">
        <v>-600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f t="shared" si="19"/>
        <v>-1200</v>
      </c>
    </row>
    <row r="152" spans="1:15" x14ac:dyDescent="0.2">
      <c r="A152" s="17" t="s">
        <v>166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2">
        <v>-278.88</v>
      </c>
      <c r="H152" s="12">
        <v>0</v>
      </c>
      <c r="I152" s="12">
        <v>0</v>
      </c>
      <c r="J152" s="12">
        <v>0</v>
      </c>
      <c r="K152" s="12">
        <v>0</v>
      </c>
      <c r="L152" s="12">
        <v>-10</v>
      </c>
      <c r="M152" s="12">
        <v>288.88</v>
      </c>
      <c r="N152" s="12">
        <v>0</v>
      </c>
      <c r="O152" s="12">
        <f t="shared" si="19"/>
        <v>0</v>
      </c>
    </row>
    <row r="153" spans="1:15" x14ac:dyDescent="0.2">
      <c r="A153" s="17" t="s">
        <v>167</v>
      </c>
      <c r="B153" s="12">
        <v>-2968.82810647</v>
      </c>
      <c r="C153" s="12">
        <v>-3013.42373215</v>
      </c>
      <c r="D153" s="12">
        <v>-2851.0423854800001</v>
      </c>
      <c r="E153" s="12">
        <v>-2794.7690473399998</v>
      </c>
      <c r="F153" s="12">
        <v>-3032.5496518800001</v>
      </c>
      <c r="G153" s="12">
        <v>-3088.6785611400001</v>
      </c>
      <c r="H153" s="12">
        <v>-2353.2924718300001</v>
      </c>
      <c r="I153" s="12">
        <v>-3085.4168797399998</v>
      </c>
      <c r="J153" s="12">
        <v>-2785.0161448399999</v>
      </c>
      <c r="K153" s="12">
        <v>-2820.64840409</v>
      </c>
      <c r="L153" s="12">
        <v>-3025.6578030999999</v>
      </c>
      <c r="M153" s="12">
        <v>-2347.8345780479999</v>
      </c>
      <c r="N153" s="12">
        <v>0</v>
      </c>
      <c r="O153" s="12">
        <f t="shared" si="19"/>
        <v>-34167.157766107994</v>
      </c>
    </row>
    <row r="154" spans="1:15" x14ac:dyDescent="0.2">
      <c r="A154" s="17" t="s">
        <v>168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35.450000000000003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f t="shared" si="19"/>
        <v>35.450000000000003</v>
      </c>
    </row>
    <row r="155" spans="1:15" x14ac:dyDescent="0.2">
      <c r="A155" s="17" t="s">
        <v>169</v>
      </c>
      <c r="B155" s="12">
        <v>-75700</v>
      </c>
      <c r="C155" s="12">
        <v>-75700</v>
      </c>
      <c r="D155" s="12">
        <v>-75700</v>
      </c>
      <c r="E155" s="12">
        <v>-76337.350000000006</v>
      </c>
      <c r="F155" s="12">
        <v>-78700</v>
      </c>
      <c r="G155" s="12">
        <v>-65600</v>
      </c>
      <c r="H155" s="12">
        <v>-66273.350000000006</v>
      </c>
      <c r="I155" s="12">
        <v>-65580</v>
      </c>
      <c r="J155" s="12">
        <v>-73380</v>
      </c>
      <c r="K155" s="12">
        <v>-74077.350000000006</v>
      </c>
      <c r="L155" s="12">
        <v>-74285</v>
      </c>
      <c r="M155" s="12">
        <v>-33371.949999999997</v>
      </c>
      <c r="N155" s="12">
        <v>0</v>
      </c>
      <c r="O155" s="12">
        <f t="shared" si="19"/>
        <v>-834704.99999999988</v>
      </c>
    </row>
    <row r="156" spans="1:15" x14ac:dyDescent="0.2">
      <c r="A156" s="17" t="s">
        <v>170</v>
      </c>
      <c r="B156" s="12">
        <v>0</v>
      </c>
      <c r="C156" s="12">
        <v>0</v>
      </c>
      <c r="D156" s="12">
        <v>-3000</v>
      </c>
      <c r="E156" s="12">
        <v>0</v>
      </c>
      <c r="F156" s="12">
        <v>-5009.16</v>
      </c>
      <c r="G156" s="12">
        <v>-82.11</v>
      </c>
      <c r="H156" s="12">
        <v>-790.89</v>
      </c>
      <c r="I156" s="12">
        <v>-2909.01</v>
      </c>
      <c r="J156" s="12">
        <v>-82.11</v>
      </c>
      <c r="K156" s="12">
        <v>-7720.65</v>
      </c>
      <c r="L156" s="12">
        <v>-2082.11</v>
      </c>
      <c r="M156" s="12">
        <v>-574.85</v>
      </c>
      <c r="N156" s="12">
        <v>0</v>
      </c>
      <c r="O156" s="12">
        <f t="shared" si="19"/>
        <v>-22250.89</v>
      </c>
    </row>
    <row r="157" spans="1:15" x14ac:dyDescent="0.2">
      <c r="A157" s="17" t="s">
        <v>171</v>
      </c>
      <c r="B157" s="12">
        <v>-528.88</v>
      </c>
      <c r="C157" s="12">
        <v>-1994.58</v>
      </c>
      <c r="D157" s="12">
        <v>-1173.9100000000001</v>
      </c>
      <c r="E157" s="12">
        <v>-3055.05</v>
      </c>
      <c r="F157" s="12">
        <v>-9560.26</v>
      </c>
      <c r="G157" s="12">
        <v>-757.21</v>
      </c>
      <c r="H157" s="12">
        <v>-1047.81</v>
      </c>
      <c r="I157" s="12">
        <v>-2250.39</v>
      </c>
      <c r="J157" s="12">
        <v>-778.21</v>
      </c>
      <c r="K157" s="12">
        <v>-6632.7028</v>
      </c>
      <c r="L157" s="12">
        <v>-46789.67</v>
      </c>
      <c r="M157" s="12">
        <v>-2569.61</v>
      </c>
      <c r="N157" s="12">
        <v>0</v>
      </c>
      <c r="O157" s="12">
        <f t="shared" si="19"/>
        <v>-77138.282800000001</v>
      </c>
    </row>
    <row r="158" spans="1:15" x14ac:dyDescent="0.2">
      <c r="A158" s="17" t="s">
        <v>172</v>
      </c>
      <c r="B158" s="12">
        <v>-2400</v>
      </c>
      <c r="C158" s="12">
        <v>-2400</v>
      </c>
      <c r="D158" s="12">
        <v>-2400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63888</v>
      </c>
      <c r="K158" s="12">
        <v>0</v>
      </c>
      <c r="L158" s="12">
        <v>0</v>
      </c>
      <c r="M158" s="12">
        <v>-56688</v>
      </c>
      <c r="N158" s="12">
        <v>0</v>
      </c>
      <c r="O158" s="12">
        <f t="shared" si="19"/>
        <v>0</v>
      </c>
    </row>
    <row r="159" spans="1:15" x14ac:dyDescent="0.2">
      <c r="A159" s="17" t="s">
        <v>173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753</v>
      </c>
      <c r="N159" s="12">
        <v>0</v>
      </c>
      <c r="O159" s="12">
        <f t="shared" si="19"/>
        <v>753</v>
      </c>
    </row>
    <row r="160" spans="1:15" x14ac:dyDescent="0.2">
      <c r="A160" s="17" t="s">
        <v>174</v>
      </c>
      <c r="B160" s="12">
        <v>-4459.1499999999996</v>
      </c>
      <c r="C160" s="12">
        <v>0</v>
      </c>
      <c r="D160" s="12">
        <v>0</v>
      </c>
      <c r="E160" s="12">
        <v>-933.05</v>
      </c>
      <c r="F160" s="12">
        <v>146.4</v>
      </c>
      <c r="G160" s="12">
        <v>0</v>
      </c>
      <c r="H160" s="12">
        <v>-785.4</v>
      </c>
      <c r="I160" s="12">
        <v>0</v>
      </c>
      <c r="J160" s="12">
        <v>0</v>
      </c>
      <c r="K160" s="12">
        <v>-785.4</v>
      </c>
      <c r="L160" s="12">
        <v>0</v>
      </c>
      <c r="M160" s="12">
        <v>2357.4499999999998</v>
      </c>
      <c r="N160" s="12">
        <v>0</v>
      </c>
      <c r="O160" s="12">
        <f t="shared" ref="O160:O191" si="20">SUM(B160:N160)</f>
        <v>-4459.1499999999996</v>
      </c>
    </row>
    <row r="161" spans="1:15" x14ac:dyDescent="0.2">
      <c r="A161" s="17" t="s">
        <v>175</v>
      </c>
      <c r="B161" s="12">
        <v>-1522.2</v>
      </c>
      <c r="C161" s="12">
        <v>-1753.57</v>
      </c>
      <c r="D161" s="12">
        <v>-1584.17</v>
      </c>
      <c r="E161" s="12">
        <v>-1699.94</v>
      </c>
      <c r="F161" s="12">
        <v>-1800.38</v>
      </c>
      <c r="G161" s="12">
        <v>-1593.93</v>
      </c>
      <c r="H161" s="12">
        <v>-1810.8</v>
      </c>
      <c r="I161" s="12">
        <v>-1506.32</v>
      </c>
      <c r="J161" s="12">
        <v>-1820</v>
      </c>
      <c r="K161" s="12">
        <v>-2351.06</v>
      </c>
      <c r="L161" s="12">
        <v>-2760.31</v>
      </c>
      <c r="M161" s="12">
        <v>-1173.94</v>
      </c>
      <c r="N161" s="12">
        <v>0</v>
      </c>
      <c r="O161" s="12">
        <f t="shared" si="20"/>
        <v>-21376.620000000003</v>
      </c>
    </row>
    <row r="162" spans="1:15" x14ac:dyDescent="0.2">
      <c r="A162" s="17" t="s">
        <v>176</v>
      </c>
      <c r="B162" s="12">
        <v>-298.39</v>
      </c>
      <c r="C162" s="12">
        <v>-677.46</v>
      </c>
      <c r="D162" s="12">
        <v>-475.57</v>
      </c>
      <c r="E162" s="12">
        <v>-295.19</v>
      </c>
      <c r="F162" s="12">
        <v>-578.54</v>
      </c>
      <c r="G162" s="12">
        <v>-365.17</v>
      </c>
      <c r="H162" s="12">
        <v>-298.39</v>
      </c>
      <c r="I162" s="12">
        <v>-361.88</v>
      </c>
      <c r="J162" s="12">
        <v>-359.14</v>
      </c>
      <c r="K162" s="12">
        <v>-415.73</v>
      </c>
      <c r="L162" s="12">
        <v>-382.17</v>
      </c>
      <c r="M162" s="12">
        <v>-369.31</v>
      </c>
      <c r="N162" s="12">
        <v>0</v>
      </c>
      <c r="O162" s="12">
        <f t="shared" si="20"/>
        <v>-4876.9400000000005</v>
      </c>
    </row>
    <row r="163" spans="1:15" x14ac:dyDescent="0.2">
      <c r="A163" s="17" t="s">
        <v>177</v>
      </c>
      <c r="B163" s="12">
        <v>-251.42</v>
      </c>
      <c r="C163" s="12">
        <v>-244.52</v>
      </c>
      <c r="D163" s="12">
        <v>-344.03</v>
      </c>
      <c r="E163" s="12">
        <v>-326.51</v>
      </c>
      <c r="F163" s="12">
        <v>-251.42</v>
      </c>
      <c r="G163" s="12">
        <v>-499.39</v>
      </c>
      <c r="H163" s="12">
        <v>-251.42</v>
      </c>
      <c r="I163" s="12">
        <v>-493.05</v>
      </c>
      <c r="J163" s="12">
        <v>-303.33999999999997</v>
      </c>
      <c r="K163" s="12">
        <v>-251.42</v>
      </c>
      <c r="L163" s="12">
        <v>-442.06</v>
      </c>
      <c r="M163" s="12">
        <v>-764.19</v>
      </c>
      <c r="N163" s="12">
        <v>0</v>
      </c>
      <c r="O163" s="12">
        <f t="shared" si="20"/>
        <v>-4422.7700000000004</v>
      </c>
    </row>
    <row r="164" spans="1:15" x14ac:dyDescent="0.2">
      <c r="A164" s="17" t="s">
        <v>178</v>
      </c>
      <c r="B164" s="12">
        <v>-479.98</v>
      </c>
      <c r="C164" s="12">
        <v>-619.82000000000005</v>
      </c>
      <c r="D164" s="12">
        <v>-479.98</v>
      </c>
      <c r="E164" s="12">
        <v>-476.59</v>
      </c>
      <c r="F164" s="12">
        <v>-513.51</v>
      </c>
      <c r="G164" s="12">
        <v>-476.59</v>
      </c>
      <c r="H164" s="12">
        <v>-488.05</v>
      </c>
      <c r="I164" s="12">
        <v>-511.23</v>
      </c>
      <c r="J164" s="12">
        <v>-506.84</v>
      </c>
      <c r="K164" s="12">
        <v>-2041.7</v>
      </c>
      <c r="L164" s="12">
        <v>-506.84</v>
      </c>
      <c r="M164" s="12">
        <v>-4350.99</v>
      </c>
      <c r="N164" s="12">
        <v>0</v>
      </c>
      <c r="O164" s="12">
        <f t="shared" si="20"/>
        <v>-11452.119999999999</v>
      </c>
    </row>
    <row r="165" spans="1:15" x14ac:dyDescent="0.2">
      <c r="A165" s="17" t="s">
        <v>179</v>
      </c>
      <c r="B165" s="12">
        <v>-291.77999999999997</v>
      </c>
      <c r="C165" s="12">
        <v>-372.03</v>
      </c>
      <c r="D165" s="12">
        <v>-385.49</v>
      </c>
      <c r="E165" s="12">
        <v>-519.75</v>
      </c>
      <c r="F165" s="12">
        <v>-401.12</v>
      </c>
      <c r="G165" s="12">
        <v>-444.71</v>
      </c>
      <c r="H165" s="12">
        <v>-396.96</v>
      </c>
      <c r="I165" s="12">
        <v>-390.81</v>
      </c>
      <c r="J165" s="12">
        <v>-1438.49</v>
      </c>
      <c r="K165" s="12">
        <v>-475.67</v>
      </c>
      <c r="L165" s="12">
        <v>-598.59</v>
      </c>
      <c r="M165" s="12">
        <v>-444.86</v>
      </c>
      <c r="N165" s="12">
        <v>0</v>
      </c>
      <c r="O165" s="12">
        <f t="shared" si="20"/>
        <v>-6160.26</v>
      </c>
    </row>
    <row r="166" spans="1:15" x14ac:dyDescent="0.2">
      <c r="A166" s="17" t="s">
        <v>180</v>
      </c>
      <c r="B166" s="12">
        <v>-512.45000000000005</v>
      </c>
      <c r="C166" s="12">
        <v>-656.84</v>
      </c>
      <c r="D166" s="12">
        <v>-668.4</v>
      </c>
      <c r="E166" s="12">
        <v>-1229.8599999999999</v>
      </c>
      <c r="F166" s="12">
        <v>-877.72</v>
      </c>
      <c r="G166" s="12">
        <v>-1380.68</v>
      </c>
      <c r="H166" s="12">
        <v>-855.49</v>
      </c>
      <c r="I166" s="12">
        <v>-847.59</v>
      </c>
      <c r="J166" s="12">
        <v>-595.11</v>
      </c>
      <c r="K166" s="12">
        <v>-1092.06</v>
      </c>
      <c r="L166" s="12">
        <v>-1640.35</v>
      </c>
      <c r="M166" s="12">
        <v>-1024.4100000000001</v>
      </c>
      <c r="N166" s="12">
        <v>0</v>
      </c>
      <c r="O166" s="12">
        <f t="shared" si="20"/>
        <v>-11380.960000000001</v>
      </c>
    </row>
    <row r="167" spans="1:15" x14ac:dyDescent="0.2">
      <c r="A167" s="17" t="s">
        <v>181</v>
      </c>
      <c r="B167" s="12">
        <v>-345.15</v>
      </c>
      <c r="C167" s="12">
        <v>-456.94</v>
      </c>
      <c r="D167" s="12">
        <v>-528.37</v>
      </c>
      <c r="E167" s="12">
        <v>-496.02</v>
      </c>
      <c r="F167" s="12">
        <v>-415.41</v>
      </c>
      <c r="G167" s="12">
        <v>-388.08</v>
      </c>
      <c r="H167" s="12">
        <v>-635.17999999999995</v>
      </c>
      <c r="I167" s="12">
        <v>-644.25</v>
      </c>
      <c r="J167" s="12">
        <v>-594.66</v>
      </c>
      <c r="K167" s="12">
        <v>-621.04999999999995</v>
      </c>
      <c r="L167" s="12">
        <v>-459.5</v>
      </c>
      <c r="M167" s="12">
        <v>-1274.8399999999999</v>
      </c>
      <c r="N167" s="12">
        <v>0</v>
      </c>
      <c r="O167" s="12">
        <f t="shared" si="20"/>
        <v>-6859.45</v>
      </c>
    </row>
    <row r="168" spans="1:15" x14ac:dyDescent="0.2">
      <c r="A168" s="17" t="s">
        <v>182</v>
      </c>
      <c r="B168" s="12">
        <v>-236.75</v>
      </c>
      <c r="C168" s="12">
        <v>-213.84</v>
      </c>
      <c r="D168" s="12">
        <v>-236.75</v>
      </c>
      <c r="E168" s="12">
        <v>-229.11</v>
      </c>
      <c r="F168" s="12">
        <v>113.25</v>
      </c>
      <c r="G168" s="12">
        <v>-229.11</v>
      </c>
      <c r="H168" s="12">
        <v>-735.48</v>
      </c>
      <c r="I168" s="12">
        <v>-236.75</v>
      </c>
      <c r="J168" s="12">
        <v>-229.11</v>
      </c>
      <c r="K168" s="12">
        <v>-236.75</v>
      </c>
      <c r="L168" s="12">
        <v>-937.82</v>
      </c>
      <c r="M168" s="12">
        <v>-469.66</v>
      </c>
      <c r="N168" s="12">
        <v>0</v>
      </c>
      <c r="O168" s="12">
        <f t="shared" si="20"/>
        <v>-3877.88</v>
      </c>
    </row>
    <row r="169" spans="1:15" x14ac:dyDescent="0.2">
      <c r="A169" s="17" t="s">
        <v>183</v>
      </c>
      <c r="B169" s="12">
        <v>-853.38</v>
      </c>
      <c r="C169" s="12">
        <v>-2348.1799999999998</v>
      </c>
      <c r="D169" s="12">
        <v>-599.34</v>
      </c>
      <c r="E169" s="12">
        <v>-337.51</v>
      </c>
      <c r="F169" s="12">
        <v>-393.93</v>
      </c>
      <c r="G169" s="12">
        <v>-347.04</v>
      </c>
      <c r="H169" s="12">
        <v>-393.54</v>
      </c>
      <c r="I169" s="12">
        <v>-557.97</v>
      </c>
      <c r="J169" s="12">
        <v>-394.19</v>
      </c>
      <c r="K169" s="12">
        <v>-361.9</v>
      </c>
      <c r="L169" s="12">
        <v>-414.95</v>
      </c>
      <c r="M169" s="12">
        <v>-561.92999999999995</v>
      </c>
      <c r="N169" s="12">
        <v>0</v>
      </c>
      <c r="O169" s="12">
        <f t="shared" si="20"/>
        <v>-7563.86</v>
      </c>
    </row>
    <row r="170" spans="1:15" x14ac:dyDescent="0.2">
      <c r="A170" s="17" t="s">
        <v>184</v>
      </c>
      <c r="B170" s="12">
        <v>-363.25</v>
      </c>
      <c r="C170" s="12">
        <v>913.47</v>
      </c>
      <c r="D170" s="12">
        <v>-1288.8800000000001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179</v>
      </c>
      <c r="N170" s="12">
        <v>0</v>
      </c>
      <c r="O170" s="12">
        <f t="shared" si="20"/>
        <v>-559.66000000000008</v>
      </c>
    </row>
    <row r="171" spans="1:15" x14ac:dyDescent="0.2">
      <c r="A171" s="17" t="s">
        <v>185</v>
      </c>
      <c r="B171" s="12">
        <v>-326.95</v>
      </c>
      <c r="C171" s="12">
        <v>-540.6</v>
      </c>
      <c r="D171" s="12">
        <v>-543.58000000000004</v>
      </c>
      <c r="E171" s="12">
        <v>-607.39</v>
      </c>
      <c r="F171" s="12">
        <v>-849.47</v>
      </c>
      <c r="G171" s="12">
        <v>-682</v>
      </c>
      <c r="H171" s="12">
        <v>-635.36</v>
      </c>
      <c r="I171" s="12">
        <v>-638.04999999999995</v>
      </c>
      <c r="J171" s="12">
        <v>-762.25</v>
      </c>
      <c r="K171" s="12">
        <v>-1747.14</v>
      </c>
      <c r="L171" s="12">
        <v>-562.30999999999995</v>
      </c>
      <c r="M171" s="12">
        <v>-651.41</v>
      </c>
      <c r="N171" s="12">
        <v>0</v>
      </c>
      <c r="O171" s="12">
        <f t="shared" si="20"/>
        <v>-8546.51</v>
      </c>
    </row>
    <row r="172" spans="1:15" x14ac:dyDescent="0.2">
      <c r="A172" s="17" t="s">
        <v>186</v>
      </c>
      <c r="B172" s="12">
        <v>-529.30999999999995</v>
      </c>
      <c r="C172" s="12">
        <v>-384.51</v>
      </c>
      <c r="D172" s="12">
        <v>-356.39</v>
      </c>
      <c r="E172" s="12">
        <v>-274.3</v>
      </c>
      <c r="F172" s="12">
        <v>-533.03</v>
      </c>
      <c r="G172" s="12">
        <v>-584.25</v>
      </c>
      <c r="H172" s="12">
        <v>-517.45000000000005</v>
      </c>
      <c r="I172" s="12">
        <v>-551.49</v>
      </c>
      <c r="J172" s="12">
        <v>-391.25</v>
      </c>
      <c r="K172" s="12">
        <v>-1360.6</v>
      </c>
      <c r="L172" s="12">
        <v>-428.89</v>
      </c>
      <c r="M172" s="12">
        <v>-421.2</v>
      </c>
      <c r="N172" s="12">
        <v>0</v>
      </c>
      <c r="O172" s="12">
        <f t="shared" si="20"/>
        <v>-6332.67</v>
      </c>
    </row>
    <row r="173" spans="1:15" x14ac:dyDescent="0.2">
      <c r="A173" s="17" t="s">
        <v>187</v>
      </c>
      <c r="B173" s="12">
        <v>0</v>
      </c>
      <c r="C173" s="12">
        <v>0</v>
      </c>
      <c r="D173" s="12">
        <v>0</v>
      </c>
      <c r="E173" s="12">
        <v>0</v>
      </c>
      <c r="F173" s="12">
        <v>-0.01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0.01</v>
      </c>
      <c r="N173" s="12">
        <v>0</v>
      </c>
      <c r="O173" s="12">
        <f t="shared" si="20"/>
        <v>0</v>
      </c>
    </row>
    <row r="174" spans="1:15" x14ac:dyDescent="0.2">
      <c r="A174" s="17" t="s">
        <v>188</v>
      </c>
      <c r="B174" s="12">
        <v>-399.31</v>
      </c>
      <c r="C174" s="12">
        <v>-1251.5</v>
      </c>
      <c r="D174" s="12">
        <v>-198.47</v>
      </c>
      <c r="E174" s="12">
        <v>-1230.51</v>
      </c>
      <c r="F174" s="12">
        <v>-65.28</v>
      </c>
      <c r="G174" s="12">
        <v>-1463.95</v>
      </c>
      <c r="H174" s="12">
        <v>-2645.36</v>
      </c>
      <c r="I174" s="12">
        <v>-286.3</v>
      </c>
      <c r="J174" s="12">
        <v>-743.79</v>
      </c>
      <c r="K174" s="12">
        <v>-453.32</v>
      </c>
      <c r="L174" s="12">
        <v>-192.98</v>
      </c>
      <c r="M174" s="12">
        <v>-674.35</v>
      </c>
      <c r="N174" s="12">
        <v>0</v>
      </c>
      <c r="O174" s="12">
        <f t="shared" si="20"/>
        <v>-9605.1200000000008</v>
      </c>
    </row>
    <row r="175" spans="1:15" x14ac:dyDescent="0.2">
      <c r="A175" s="15" t="s">
        <v>189</v>
      </c>
      <c r="B175" s="14">
        <f t="shared" ref="B175:O175" si="21">SUM(B96:B174)</f>
        <v>-180780.53559371005</v>
      </c>
      <c r="C175" s="14">
        <f t="shared" si="21"/>
        <v>-211125.91314128999</v>
      </c>
      <c r="D175" s="14">
        <f t="shared" si="21"/>
        <v>-232280.39098807005</v>
      </c>
      <c r="E175" s="14">
        <f t="shared" si="21"/>
        <v>-179494.61972407997</v>
      </c>
      <c r="F175" s="14">
        <f t="shared" si="21"/>
        <v>-253187.34050998004</v>
      </c>
      <c r="G175" s="14">
        <f t="shared" si="21"/>
        <v>-194700.19037427998</v>
      </c>
      <c r="H175" s="14">
        <f t="shared" si="21"/>
        <v>-173556.81922112999</v>
      </c>
      <c r="I175" s="14">
        <f t="shared" si="21"/>
        <v>-232312.02855119997</v>
      </c>
      <c r="J175" s="14">
        <f t="shared" si="21"/>
        <v>-217284.49537502998</v>
      </c>
      <c r="K175" s="14">
        <f t="shared" si="21"/>
        <v>-334054.2253830501</v>
      </c>
      <c r="L175" s="14">
        <f t="shared" si="21"/>
        <v>-302099.08739190997</v>
      </c>
      <c r="M175" s="14">
        <f t="shared" si="21"/>
        <v>-633252.60408245982</v>
      </c>
      <c r="N175" s="14">
        <f t="shared" si="21"/>
        <v>0</v>
      </c>
      <c r="O175" s="14">
        <f t="shared" si="21"/>
        <v>-3144128.2503361893</v>
      </c>
    </row>
    <row r="176" spans="1:15" x14ac:dyDescent="0.2">
      <c r="A176" s="16" t="s">
        <v>190</v>
      </c>
      <c r="B176" s="14">
        <f t="shared" ref="B176:O176" si="22">B86+B94+B175</f>
        <v>-1058530.3683943499</v>
      </c>
      <c r="C176" s="14">
        <f t="shared" si="22"/>
        <v>-1165273.7772700901</v>
      </c>
      <c r="D176" s="14">
        <f t="shared" si="22"/>
        <v>-1083961.8846241501</v>
      </c>
      <c r="E176" s="14">
        <f t="shared" si="22"/>
        <v>-1113474.65706982</v>
      </c>
      <c r="F176" s="14">
        <f t="shared" si="22"/>
        <v>-1218403.4731983801</v>
      </c>
      <c r="G176" s="14">
        <f t="shared" si="22"/>
        <v>-1178940.11270006</v>
      </c>
      <c r="H176" s="14">
        <f t="shared" si="22"/>
        <v>-1124933.3863654002</v>
      </c>
      <c r="I176" s="14">
        <f t="shared" si="22"/>
        <v>-1231037.37751598</v>
      </c>
      <c r="J176" s="14">
        <f t="shared" si="22"/>
        <v>-1478066.4018917601</v>
      </c>
      <c r="K176" s="14">
        <f t="shared" si="22"/>
        <v>-1369665.24483117</v>
      </c>
      <c r="L176" s="14">
        <f t="shared" si="22"/>
        <v>-1420788.3837741097</v>
      </c>
      <c r="M176" s="14">
        <f t="shared" si="22"/>
        <v>-1890088.5631401739</v>
      </c>
      <c r="N176" s="14">
        <f t="shared" si="22"/>
        <v>0</v>
      </c>
      <c r="O176" s="14">
        <f t="shared" si="22"/>
        <v>-15333163.630775442</v>
      </c>
    </row>
    <row r="177" spans="1:15" x14ac:dyDescent="0.2">
      <c r="A177" s="18" t="s">
        <v>191</v>
      </c>
      <c r="B177" s="14">
        <f t="shared" ref="B177:O177" si="23">B57+B176</f>
        <v>81576.114793160465</v>
      </c>
      <c r="C177" s="14">
        <f t="shared" si="23"/>
        <v>179657.72135651996</v>
      </c>
      <c r="D177" s="14">
        <f t="shared" si="23"/>
        <v>236687.73868002999</v>
      </c>
      <c r="E177" s="14">
        <f t="shared" si="23"/>
        <v>133405.10153793008</v>
      </c>
      <c r="F177" s="14">
        <f t="shared" si="23"/>
        <v>146790.30027126009</v>
      </c>
      <c r="G177" s="14">
        <f t="shared" si="23"/>
        <v>165448.02222013962</v>
      </c>
      <c r="H177" s="14">
        <f t="shared" si="23"/>
        <v>340754.46816242975</v>
      </c>
      <c r="I177" s="14">
        <f t="shared" si="23"/>
        <v>294959.45868352009</v>
      </c>
      <c r="J177" s="14">
        <f t="shared" si="23"/>
        <v>-163669.79320909991</v>
      </c>
      <c r="K177" s="14">
        <f t="shared" si="23"/>
        <v>450751.32360511972</v>
      </c>
      <c r="L177" s="14">
        <f t="shared" si="23"/>
        <v>301069.52582700038</v>
      </c>
      <c r="M177" s="14">
        <f t="shared" si="23"/>
        <v>-52989.73429333372</v>
      </c>
      <c r="N177" s="14">
        <f t="shared" si="23"/>
        <v>0</v>
      </c>
      <c r="O177" s="14">
        <f t="shared" si="23"/>
        <v>2114440.2476346809</v>
      </c>
    </row>
    <row r="178" spans="1:15" x14ac:dyDescent="0.2">
      <c r="A178" s="7" t="s">
        <v>192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">
      <c r="A179" s="8" t="s">
        <v>193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">
      <c r="A180" s="19" t="s">
        <v>194</v>
      </c>
      <c r="B180" s="12">
        <v>0</v>
      </c>
      <c r="C180" s="12">
        <v>0</v>
      </c>
      <c r="D180" s="12">
        <v>0</v>
      </c>
      <c r="E180" s="12">
        <v>0</v>
      </c>
      <c r="F180" s="12">
        <v>2.21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0.79</v>
      </c>
      <c r="O180" s="12">
        <f>SUM(B180:N180)</f>
        <v>3</v>
      </c>
    </row>
    <row r="181" spans="1:15" x14ac:dyDescent="0.2">
      <c r="A181" s="16" t="s">
        <v>195</v>
      </c>
      <c r="B181" s="14">
        <f t="shared" ref="B181:O181" si="24">SUM(B180)</f>
        <v>0</v>
      </c>
      <c r="C181" s="14">
        <f t="shared" si="24"/>
        <v>0</v>
      </c>
      <c r="D181" s="14">
        <f t="shared" si="24"/>
        <v>0</v>
      </c>
      <c r="E181" s="14">
        <f t="shared" si="24"/>
        <v>0</v>
      </c>
      <c r="F181" s="14">
        <f t="shared" si="24"/>
        <v>2.21</v>
      </c>
      <c r="G181" s="14">
        <f t="shared" si="24"/>
        <v>0</v>
      </c>
      <c r="H181" s="14">
        <f t="shared" si="24"/>
        <v>0</v>
      </c>
      <c r="I181" s="14">
        <f t="shared" si="24"/>
        <v>0</v>
      </c>
      <c r="J181" s="14">
        <f t="shared" si="24"/>
        <v>0</v>
      </c>
      <c r="K181" s="14">
        <f t="shared" si="24"/>
        <v>0</v>
      </c>
      <c r="L181" s="14">
        <f t="shared" si="24"/>
        <v>0</v>
      </c>
      <c r="M181" s="14">
        <f t="shared" si="24"/>
        <v>0</v>
      </c>
      <c r="N181" s="14">
        <f t="shared" si="24"/>
        <v>0.79</v>
      </c>
      <c r="O181" s="14">
        <f t="shared" si="24"/>
        <v>3</v>
      </c>
    </row>
    <row r="182" spans="1:15" x14ac:dyDescent="0.2">
      <c r="A182" s="8" t="s">
        <v>196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">
      <c r="A183" s="19" t="s">
        <v>197</v>
      </c>
      <c r="B183" s="12">
        <v>1193.79</v>
      </c>
      <c r="C183" s="12">
        <v>7492.6</v>
      </c>
      <c r="D183" s="12">
        <v>782.53</v>
      </c>
      <c r="E183" s="12">
        <v>122.68</v>
      </c>
      <c r="F183" s="12">
        <v>1536.09</v>
      </c>
      <c r="G183" s="12">
        <v>119.9</v>
      </c>
      <c r="H183" s="12">
        <v>126.76</v>
      </c>
      <c r="I183" s="12">
        <v>117.11</v>
      </c>
      <c r="J183" s="12">
        <v>669.77</v>
      </c>
      <c r="K183" s="12">
        <v>13.23</v>
      </c>
      <c r="L183" s="12">
        <v>738.3</v>
      </c>
      <c r="M183" s="12">
        <v>28061.56</v>
      </c>
      <c r="N183" s="12">
        <v>0</v>
      </c>
      <c r="O183" s="12">
        <f>SUM(B183:N183)</f>
        <v>40974.32</v>
      </c>
    </row>
    <row r="184" spans="1:15" x14ac:dyDescent="0.2">
      <c r="A184" s="19" t="s">
        <v>198</v>
      </c>
      <c r="B184" s="12">
        <v>0</v>
      </c>
      <c r="C184" s="12">
        <v>0</v>
      </c>
      <c r="D184" s="12">
        <v>0</v>
      </c>
      <c r="E184" s="12">
        <v>0</v>
      </c>
      <c r="F184" s="12">
        <v>280.98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9046.92</v>
      </c>
      <c r="N184" s="12">
        <v>0</v>
      </c>
      <c r="O184" s="12">
        <f>SUM(B184:N184)</f>
        <v>9327.9</v>
      </c>
    </row>
    <row r="185" spans="1:15" x14ac:dyDescent="0.2">
      <c r="A185" s="16" t="s">
        <v>199</v>
      </c>
      <c r="B185" s="14">
        <f t="shared" ref="B185:O185" si="25">SUM(B183:B184)</f>
        <v>1193.79</v>
      </c>
      <c r="C185" s="14">
        <f t="shared" si="25"/>
        <v>7492.6</v>
      </c>
      <c r="D185" s="14">
        <f t="shared" si="25"/>
        <v>782.53</v>
      </c>
      <c r="E185" s="14">
        <f t="shared" si="25"/>
        <v>122.68</v>
      </c>
      <c r="F185" s="14">
        <f t="shared" si="25"/>
        <v>1817.07</v>
      </c>
      <c r="G185" s="14">
        <f t="shared" si="25"/>
        <v>119.9</v>
      </c>
      <c r="H185" s="14">
        <f t="shared" si="25"/>
        <v>126.76</v>
      </c>
      <c r="I185" s="14">
        <f t="shared" si="25"/>
        <v>117.11</v>
      </c>
      <c r="J185" s="14">
        <f t="shared" si="25"/>
        <v>669.77</v>
      </c>
      <c r="K185" s="14">
        <f t="shared" si="25"/>
        <v>13.23</v>
      </c>
      <c r="L185" s="14">
        <f t="shared" si="25"/>
        <v>738.3</v>
      </c>
      <c r="M185" s="14">
        <f t="shared" si="25"/>
        <v>37108.480000000003</v>
      </c>
      <c r="N185" s="14">
        <f t="shared" si="25"/>
        <v>0</v>
      </c>
      <c r="O185" s="14">
        <f t="shared" si="25"/>
        <v>50302.22</v>
      </c>
    </row>
    <row r="186" spans="1:15" x14ac:dyDescent="0.2">
      <c r="A186" s="8" t="s">
        <v>200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">
      <c r="A187" s="19" t="s">
        <v>201</v>
      </c>
      <c r="B187" s="12">
        <v>0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-33</v>
      </c>
      <c r="N187" s="12">
        <v>0</v>
      </c>
      <c r="O187" s="12">
        <f>SUM(B187:N187)</f>
        <v>-33</v>
      </c>
    </row>
    <row r="188" spans="1:15" x14ac:dyDescent="0.2">
      <c r="A188" s="19" t="s">
        <v>202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45</v>
      </c>
      <c r="N188" s="12">
        <v>0</v>
      </c>
      <c r="O188" s="12">
        <f>SUM(B188:N188)</f>
        <v>45</v>
      </c>
    </row>
    <row r="189" spans="1:15" x14ac:dyDescent="0.2">
      <c r="A189" s="19" t="s">
        <v>203</v>
      </c>
      <c r="B189" s="12">
        <v>0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238.96</v>
      </c>
      <c r="N189" s="12">
        <v>0</v>
      </c>
      <c r="O189" s="12">
        <f>SUM(B189:N189)</f>
        <v>238.96</v>
      </c>
    </row>
    <row r="190" spans="1:15" x14ac:dyDescent="0.2">
      <c r="A190" s="19" t="s">
        <v>204</v>
      </c>
      <c r="B190" s="12">
        <v>0</v>
      </c>
      <c r="C190" s="12">
        <v>0</v>
      </c>
      <c r="D190" s="12">
        <v>0</v>
      </c>
      <c r="E190" s="12">
        <v>0</v>
      </c>
      <c r="F190" s="12">
        <v>0</v>
      </c>
      <c r="G190" s="12">
        <v>1900.02</v>
      </c>
      <c r="H190" s="12">
        <v>0</v>
      </c>
      <c r="I190" s="12">
        <v>316.67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f>SUM(B190:N190)</f>
        <v>2216.69</v>
      </c>
    </row>
    <row r="191" spans="1:15" x14ac:dyDescent="0.2">
      <c r="A191" s="16" t="s">
        <v>205</v>
      </c>
      <c r="B191" s="14">
        <f t="shared" ref="B191:O191" si="26">SUM(B187:B190)</f>
        <v>0</v>
      </c>
      <c r="C191" s="14">
        <f t="shared" si="26"/>
        <v>0</v>
      </c>
      <c r="D191" s="14">
        <f t="shared" si="26"/>
        <v>0</v>
      </c>
      <c r="E191" s="14">
        <f t="shared" si="26"/>
        <v>0</v>
      </c>
      <c r="F191" s="14">
        <f t="shared" si="26"/>
        <v>0</v>
      </c>
      <c r="G191" s="14">
        <f t="shared" si="26"/>
        <v>1900.02</v>
      </c>
      <c r="H191" s="14">
        <f t="shared" si="26"/>
        <v>0</v>
      </c>
      <c r="I191" s="14">
        <f t="shared" si="26"/>
        <v>316.67</v>
      </c>
      <c r="J191" s="14">
        <f t="shared" si="26"/>
        <v>0</v>
      </c>
      <c r="K191" s="14">
        <f t="shared" si="26"/>
        <v>0</v>
      </c>
      <c r="L191" s="14">
        <f t="shared" si="26"/>
        <v>0</v>
      </c>
      <c r="M191" s="14">
        <f t="shared" si="26"/>
        <v>250.96</v>
      </c>
      <c r="N191" s="14">
        <f t="shared" si="26"/>
        <v>0</v>
      </c>
      <c r="O191" s="14">
        <f t="shared" si="26"/>
        <v>2467.65</v>
      </c>
    </row>
    <row r="192" spans="1:15" x14ac:dyDescent="0.2">
      <c r="A192" s="8" t="s">
        <v>206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">
      <c r="A193" s="19" t="s">
        <v>207</v>
      </c>
      <c r="B193" s="12">
        <v>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-112.8779756</v>
      </c>
      <c r="N193" s="12">
        <v>0</v>
      </c>
      <c r="O193" s="12">
        <f>SUM(B193:N193)</f>
        <v>-112.8779756</v>
      </c>
    </row>
    <row r="194" spans="1:15" x14ac:dyDescent="0.2">
      <c r="A194" s="19" t="s">
        <v>208</v>
      </c>
      <c r="B194" s="12">
        <v>0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-168</v>
      </c>
      <c r="I194" s="12">
        <v>0</v>
      </c>
      <c r="J194" s="12">
        <v>0</v>
      </c>
      <c r="K194" s="12">
        <v>0</v>
      </c>
      <c r="L194" s="12">
        <v>0</v>
      </c>
      <c r="M194" s="12">
        <v>168</v>
      </c>
      <c r="N194" s="12">
        <v>0</v>
      </c>
      <c r="O194" s="12">
        <f>SUM(B194:N194)</f>
        <v>0</v>
      </c>
    </row>
    <row r="195" spans="1:15" x14ac:dyDescent="0.2">
      <c r="A195" s="19" t="s">
        <v>209</v>
      </c>
      <c r="B195" s="12">
        <v>0</v>
      </c>
      <c r="C195" s="12">
        <v>0</v>
      </c>
      <c r="D195" s="12">
        <v>0</v>
      </c>
      <c r="E195" s="12">
        <v>0</v>
      </c>
      <c r="F195" s="12">
        <v>0</v>
      </c>
      <c r="G195" s="12">
        <v>-1900.02</v>
      </c>
      <c r="H195" s="12">
        <v>0</v>
      </c>
      <c r="I195" s="12">
        <v>-316.67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f>SUM(B195:N195)</f>
        <v>-2216.69</v>
      </c>
    </row>
    <row r="196" spans="1:15" x14ac:dyDescent="0.2">
      <c r="A196" s="16" t="s">
        <v>210</v>
      </c>
      <c r="B196" s="14">
        <f t="shared" ref="B196:O196" si="27">SUM(B193:B195)</f>
        <v>0</v>
      </c>
      <c r="C196" s="14">
        <f t="shared" si="27"/>
        <v>0</v>
      </c>
      <c r="D196" s="14">
        <f t="shared" si="27"/>
        <v>0</v>
      </c>
      <c r="E196" s="14">
        <f t="shared" si="27"/>
        <v>0</v>
      </c>
      <c r="F196" s="14">
        <f t="shared" si="27"/>
        <v>0</v>
      </c>
      <c r="G196" s="14">
        <f t="shared" si="27"/>
        <v>-1900.02</v>
      </c>
      <c r="H196" s="14">
        <f t="shared" si="27"/>
        <v>-168</v>
      </c>
      <c r="I196" s="14">
        <f t="shared" si="27"/>
        <v>-316.67</v>
      </c>
      <c r="J196" s="14">
        <f t="shared" si="27"/>
        <v>0</v>
      </c>
      <c r="K196" s="14">
        <f t="shared" si="27"/>
        <v>0</v>
      </c>
      <c r="L196" s="14">
        <f t="shared" si="27"/>
        <v>0</v>
      </c>
      <c r="M196" s="14">
        <f t="shared" si="27"/>
        <v>55.122024400000001</v>
      </c>
      <c r="N196" s="14">
        <f t="shared" si="27"/>
        <v>0</v>
      </c>
      <c r="O196" s="14">
        <f t="shared" si="27"/>
        <v>-2329.5679756</v>
      </c>
    </row>
    <row r="197" spans="1:15" x14ac:dyDescent="0.2">
      <c r="A197" s="18" t="s">
        <v>211</v>
      </c>
      <c r="B197" s="14">
        <f t="shared" ref="B197:O197" si="28">B181+B185+B191+0+B196</f>
        <v>1193.79</v>
      </c>
      <c r="C197" s="14">
        <f t="shared" si="28"/>
        <v>7492.6</v>
      </c>
      <c r="D197" s="14">
        <f t="shared" si="28"/>
        <v>782.53</v>
      </c>
      <c r="E197" s="14">
        <f t="shared" si="28"/>
        <v>122.68</v>
      </c>
      <c r="F197" s="14">
        <f t="shared" si="28"/>
        <v>1819.28</v>
      </c>
      <c r="G197" s="14">
        <f t="shared" si="28"/>
        <v>119.90000000000009</v>
      </c>
      <c r="H197" s="14">
        <f t="shared" si="28"/>
        <v>-41.239999999999995</v>
      </c>
      <c r="I197" s="14">
        <f t="shared" si="28"/>
        <v>117.11000000000001</v>
      </c>
      <c r="J197" s="14">
        <f t="shared" si="28"/>
        <v>669.77</v>
      </c>
      <c r="K197" s="14">
        <f t="shared" si="28"/>
        <v>13.23</v>
      </c>
      <c r="L197" s="14">
        <f t="shared" si="28"/>
        <v>738.3</v>
      </c>
      <c r="M197" s="14">
        <f t="shared" si="28"/>
        <v>37414.562024400002</v>
      </c>
      <c r="N197" s="14">
        <f t="shared" si="28"/>
        <v>0.79</v>
      </c>
      <c r="O197" s="14">
        <f t="shared" si="28"/>
        <v>50443.3020244</v>
      </c>
    </row>
    <row r="198" spans="1:15" x14ac:dyDescent="0.2">
      <c r="A198" s="7" t="s">
        <v>212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">
      <c r="A199" s="20" t="s">
        <v>213</v>
      </c>
      <c r="B199" s="12">
        <v>-16.41</v>
      </c>
      <c r="C199" s="12">
        <v>-70.709999999999994</v>
      </c>
      <c r="D199" s="12">
        <v>-9.0500000000000007</v>
      </c>
      <c r="E199" s="12">
        <v>0</v>
      </c>
      <c r="F199" s="12">
        <v>-11.06</v>
      </c>
      <c r="G199" s="12">
        <v>0</v>
      </c>
      <c r="H199" s="12">
        <v>-0.11</v>
      </c>
      <c r="I199" s="12">
        <v>0</v>
      </c>
      <c r="J199" s="12">
        <v>-6.03</v>
      </c>
      <c r="K199" s="12">
        <v>-0.18</v>
      </c>
      <c r="L199" s="12">
        <v>-8.59</v>
      </c>
      <c r="M199" s="12">
        <v>-42.28</v>
      </c>
      <c r="N199" s="12">
        <v>-0.04</v>
      </c>
      <c r="O199" s="12">
        <f t="shared" ref="O199:O206" si="29">SUM(B199:N199)</f>
        <v>-164.46</v>
      </c>
    </row>
    <row r="200" spans="1:15" x14ac:dyDescent="0.2">
      <c r="A200" s="20" t="s">
        <v>214</v>
      </c>
      <c r="B200" s="12">
        <v>0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-1.07</v>
      </c>
      <c r="I200" s="12">
        <v>0</v>
      </c>
      <c r="J200" s="12">
        <v>0</v>
      </c>
      <c r="K200" s="12">
        <v>0</v>
      </c>
      <c r="L200" s="12">
        <v>0</v>
      </c>
      <c r="M200" s="12">
        <v>-743.31</v>
      </c>
      <c r="N200" s="12">
        <v>0</v>
      </c>
      <c r="O200" s="12">
        <f t="shared" si="29"/>
        <v>-744.38</v>
      </c>
    </row>
    <row r="201" spans="1:15" x14ac:dyDescent="0.2">
      <c r="A201" s="20" t="s">
        <v>215</v>
      </c>
      <c r="B201" s="12">
        <v>-743.31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743.31</v>
      </c>
      <c r="N201" s="12">
        <v>0</v>
      </c>
      <c r="O201" s="12">
        <f t="shared" si="29"/>
        <v>0</v>
      </c>
    </row>
    <row r="202" spans="1:15" x14ac:dyDescent="0.2">
      <c r="A202" s="20" t="s">
        <v>216</v>
      </c>
      <c r="B202" s="12">
        <v>0</v>
      </c>
      <c r="C202" s="12">
        <v>-409</v>
      </c>
      <c r="D202" s="12">
        <v>-23756.175039500002</v>
      </c>
      <c r="E202" s="12">
        <v>0</v>
      </c>
      <c r="F202" s="12">
        <v>-269</v>
      </c>
      <c r="G202" s="12">
        <v>-24405.512050000001</v>
      </c>
      <c r="H202" s="12">
        <v>0</v>
      </c>
      <c r="I202" s="12">
        <v>-339</v>
      </c>
      <c r="J202" s="12">
        <v>-36551</v>
      </c>
      <c r="K202" s="12">
        <v>436.12527599999999</v>
      </c>
      <c r="L202" s="12">
        <v>-341</v>
      </c>
      <c r="M202" s="12">
        <v>-147251.04</v>
      </c>
      <c r="N202" s="12">
        <v>0</v>
      </c>
      <c r="O202" s="12">
        <f t="shared" si="29"/>
        <v>-232885.60181349999</v>
      </c>
    </row>
    <row r="203" spans="1:15" x14ac:dyDescent="0.2">
      <c r="A203" s="20" t="s">
        <v>217</v>
      </c>
      <c r="B203" s="12">
        <v>0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90.102093300000007</v>
      </c>
      <c r="J203" s="12">
        <v>0</v>
      </c>
      <c r="K203" s="12">
        <v>0</v>
      </c>
      <c r="L203" s="12">
        <v>0</v>
      </c>
      <c r="M203" s="12">
        <v>-88.898978099999994</v>
      </c>
      <c r="N203" s="12">
        <v>0</v>
      </c>
      <c r="O203" s="12">
        <f t="shared" si="29"/>
        <v>1.2031152000000134</v>
      </c>
    </row>
    <row r="204" spans="1:15" x14ac:dyDescent="0.2">
      <c r="A204" s="20" t="s">
        <v>218</v>
      </c>
      <c r="B204" s="12">
        <v>0</v>
      </c>
      <c r="C204" s="12">
        <v>0</v>
      </c>
      <c r="D204" s="12">
        <v>-1264.45</v>
      </c>
      <c r="E204" s="12">
        <v>0</v>
      </c>
      <c r="F204" s="12">
        <v>0</v>
      </c>
      <c r="G204" s="12">
        <v>-1296.95</v>
      </c>
      <c r="H204" s="12">
        <v>0</v>
      </c>
      <c r="I204" s="12">
        <v>0</v>
      </c>
      <c r="J204" s="12">
        <v>-2010.3</v>
      </c>
      <c r="K204" s="12">
        <v>0</v>
      </c>
      <c r="L204" s="12">
        <v>0</v>
      </c>
      <c r="M204" s="12">
        <v>-6059.84</v>
      </c>
      <c r="N204" s="12">
        <v>0</v>
      </c>
      <c r="O204" s="12">
        <f t="shared" si="29"/>
        <v>-10631.54</v>
      </c>
    </row>
    <row r="205" spans="1:15" x14ac:dyDescent="0.2">
      <c r="A205" s="20" t="s">
        <v>219</v>
      </c>
      <c r="B205" s="12">
        <v>0</v>
      </c>
      <c r="C205" s="12">
        <v>-21616</v>
      </c>
      <c r="D205" s="12">
        <v>0</v>
      </c>
      <c r="E205" s="12">
        <v>0</v>
      </c>
      <c r="F205" s="12">
        <v>-21616</v>
      </c>
      <c r="G205" s="12">
        <v>94</v>
      </c>
      <c r="H205" s="12">
        <v>0</v>
      </c>
      <c r="I205" s="12">
        <v>-35883</v>
      </c>
      <c r="J205" s="12">
        <v>0</v>
      </c>
      <c r="K205" s="12">
        <v>0</v>
      </c>
      <c r="L205" s="12">
        <v>-35883</v>
      </c>
      <c r="M205" s="12">
        <v>-67658</v>
      </c>
      <c r="N205" s="12">
        <v>0</v>
      </c>
      <c r="O205" s="12">
        <f t="shared" si="29"/>
        <v>-182562</v>
      </c>
    </row>
    <row r="206" spans="1:15" x14ac:dyDescent="0.2">
      <c r="A206" s="20" t="s">
        <v>220</v>
      </c>
      <c r="B206" s="12">
        <v>-298.45</v>
      </c>
      <c r="C206" s="12">
        <v>-1285.72</v>
      </c>
      <c r="D206" s="12">
        <v>-164.62</v>
      </c>
      <c r="E206" s="12">
        <v>0</v>
      </c>
      <c r="F206" s="12">
        <v>-201.19</v>
      </c>
      <c r="G206" s="12">
        <v>0</v>
      </c>
      <c r="H206" s="12">
        <v>-2.06</v>
      </c>
      <c r="I206" s="12">
        <v>0</v>
      </c>
      <c r="J206" s="12">
        <v>-109.93</v>
      </c>
      <c r="K206" s="12">
        <v>-3.31</v>
      </c>
      <c r="L206" s="12">
        <v>-156.35</v>
      </c>
      <c r="M206" s="12">
        <v>-769.34</v>
      </c>
      <c r="N206" s="12">
        <v>-0.75</v>
      </c>
      <c r="O206" s="12">
        <f t="shared" si="29"/>
        <v>-2991.72</v>
      </c>
    </row>
    <row r="207" spans="1:15" x14ac:dyDescent="0.2">
      <c r="A207" s="18" t="s">
        <v>221</v>
      </c>
      <c r="B207" s="14">
        <f t="shared" ref="B207:O207" si="30">SUM(B199:B206)</f>
        <v>-1058.1699999999998</v>
      </c>
      <c r="C207" s="14">
        <f t="shared" si="30"/>
        <v>-23381.43</v>
      </c>
      <c r="D207" s="14">
        <f t="shared" si="30"/>
        <v>-25194.295039500001</v>
      </c>
      <c r="E207" s="14">
        <f t="shared" si="30"/>
        <v>0</v>
      </c>
      <c r="F207" s="14">
        <f t="shared" si="30"/>
        <v>-22097.25</v>
      </c>
      <c r="G207" s="14">
        <f t="shared" si="30"/>
        <v>-25608.462050000002</v>
      </c>
      <c r="H207" s="14">
        <f t="shared" si="30"/>
        <v>-3.24</v>
      </c>
      <c r="I207" s="14">
        <f t="shared" si="30"/>
        <v>-36131.897906699996</v>
      </c>
      <c r="J207" s="14">
        <f t="shared" si="30"/>
        <v>-38677.26</v>
      </c>
      <c r="K207" s="14">
        <f t="shared" si="30"/>
        <v>432.63527599999998</v>
      </c>
      <c r="L207" s="14">
        <f t="shared" si="30"/>
        <v>-36388.939999999995</v>
      </c>
      <c r="M207" s="14">
        <f t="shared" si="30"/>
        <v>-221869.39897810001</v>
      </c>
      <c r="N207" s="14">
        <f t="shared" si="30"/>
        <v>-0.79</v>
      </c>
      <c r="O207" s="14">
        <f t="shared" si="30"/>
        <v>-429978.49869829998</v>
      </c>
    </row>
    <row r="208" spans="1:15" x14ac:dyDescent="0.2">
      <c r="A208" s="7" t="s">
        <v>222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">
      <c r="A209" s="20" t="s">
        <v>223</v>
      </c>
      <c r="B209" s="12">
        <v>0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-4376.3999999999996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f>SUM(B209:N209)</f>
        <v>-4376.3999999999996</v>
      </c>
    </row>
    <row r="210" spans="1:15" x14ac:dyDescent="0.2">
      <c r="A210" s="20" t="s">
        <v>224</v>
      </c>
      <c r="B210" s="12">
        <v>0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-2032</v>
      </c>
      <c r="N210" s="12">
        <v>0</v>
      </c>
      <c r="O210" s="12">
        <f>SUM(B210:N210)</f>
        <v>-2032</v>
      </c>
    </row>
    <row r="211" spans="1:15" x14ac:dyDescent="0.2">
      <c r="A211" s="18" t="s">
        <v>225</v>
      </c>
      <c r="B211" s="14">
        <f t="shared" ref="B211:O211" si="31">SUM(B209:B210)</f>
        <v>0</v>
      </c>
      <c r="C211" s="14">
        <f t="shared" si="31"/>
        <v>0</v>
      </c>
      <c r="D211" s="14">
        <f t="shared" si="31"/>
        <v>0</v>
      </c>
      <c r="E211" s="14">
        <f t="shared" si="31"/>
        <v>0</v>
      </c>
      <c r="F211" s="14">
        <f t="shared" si="31"/>
        <v>0</v>
      </c>
      <c r="G211" s="14">
        <f t="shared" si="31"/>
        <v>0</v>
      </c>
      <c r="H211" s="14">
        <f t="shared" si="31"/>
        <v>-4376.3999999999996</v>
      </c>
      <c r="I211" s="14">
        <f t="shared" si="31"/>
        <v>0</v>
      </c>
      <c r="J211" s="14">
        <f t="shared" si="31"/>
        <v>0</v>
      </c>
      <c r="K211" s="14">
        <f t="shared" si="31"/>
        <v>0</v>
      </c>
      <c r="L211" s="14">
        <f t="shared" si="31"/>
        <v>0</v>
      </c>
      <c r="M211" s="14">
        <f t="shared" si="31"/>
        <v>-2032</v>
      </c>
      <c r="N211" s="14">
        <f t="shared" si="31"/>
        <v>0</v>
      </c>
      <c r="O211" s="14">
        <f t="shared" si="31"/>
        <v>-6408.4</v>
      </c>
    </row>
    <row r="212" spans="1:15" x14ac:dyDescent="0.2">
      <c r="A212" s="21" t="s">
        <v>226</v>
      </c>
      <c r="B212" s="14">
        <f t="shared" ref="B212:O212" si="32">B177+B197+B207+B211</f>
        <v>81711.73479316046</v>
      </c>
      <c r="C212" s="14">
        <f t="shared" si="32"/>
        <v>163768.89135651998</v>
      </c>
      <c r="D212" s="14">
        <f t="shared" si="32"/>
        <v>212275.97364052999</v>
      </c>
      <c r="E212" s="14">
        <f t="shared" si="32"/>
        <v>133527.78153793007</v>
      </c>
      <c r="F212" s="14">
        <f t="shared" si="32"/>
        <v>126512.33027126009</v>
      </c>
      <c r="G212" s="14">
        <f t="shared" si="32"/>
        <v>139959.46017013962</v>
      </c>
      <c r="H212" s="14">
        <f t="shared" si="32"/>
        <v>336333.58816242975</v>
      </c>
      <c r="I212" s="14">
        <f t="shared" si="32"/>
        <v>258944.67077682007</v>
      </c>
      <c r="J212" s="14">
        <f t="shared" si="32"/>
        <v>-201677.28320909993</v>
      </c>
      <c r="K212" s="14">
        <f t="shared" si="32"/>
        <v>451197.18888111971</v>
      </c>
      <c r="L212" s="14">
        <f t="shared" si="32"/>
        <v>265418.88582700037</v>
      </c>
      <c r="M212" s="14">
        <f t="shared" si="32"/>
        <v>-239476.57124703372</v>
      </c>
      <c r="N212" s="14">
        <f t="shared" si="32"/>
        <v>0</v>
      </c>
      <c r="O212" s="14">
        <f t="shared" si="32"/>
        <v>1728496.6509607809</v>
      </c>
    </row>
  </sheetData>
  <mergeCells count="3">
    <mergeCell ref="A1:O1"/>
    <mergeCell ref="A2:O2"/>
    <mergeCell ref="A3:O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2023-08-08T21:28:21Z</dcterms:created>
  <dcterms:modified xsi:type="dcterms:W3CDTF">2023-08-08T21:28:39Z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