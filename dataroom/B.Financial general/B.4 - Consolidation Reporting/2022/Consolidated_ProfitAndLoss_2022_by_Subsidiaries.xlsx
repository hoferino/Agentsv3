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2\"/>
    </mc:Choice>
  </mc:AlternateContent>
  <xr:revisionPtr revIDLastSave="0" documentId="13_ncr:40009_{149C7FFE-684C-4A15-89BE-A63334509E75}" xr6:coauthVersionLast="47" xr6:coauthVersionMax="47" xr10:uidLastSave="{00000000-0000-0000-0000-000000000000}"/>
  <bookViews>
    <workbookView xWindow="-28920" yWindow="-120" windowWidth="29040" windowHeight="15840"/>
  </bookViews>
  <sheets>
    <sheet name="PGPL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3" i="1" l="1"/>
  <c r="F203" i="1"/>
  <c r="E203" i="1"/>
  <c r="D203" i="1"/>
  <c r="C203" i="1"/>
  <c r="B203" i="1"/>
  <c r="H202" i="1"/>
  <c r="H201" i="1"/>
  <c r="H203" i="1" s="1"/>
  <c r="G199" i="1"/>
  <c r="F199" i="1"/>
  <c r="E199" i="1"/>
  <c r="D199" i="1"/>
  <c r="C199" i="1"/>
  <c r="B199" i="1"/>
  <c r="H198" i="1"/>
  <c r="H197" i="1"/>
  <c r="H196" i="1"/>
  <c r="H195" i="1"/>
  <c r="H194" i="1"/>
  <c r="H193" i="1"/>
  <c r="H192" i="1"/>
  <c r="G189" i="1"/>
  <c r="F189" i="1"/>
  <c r="E189" i="1"/>
  <c r="D189" i="1"/>
  <c r="C189" i="1"/>
  <c r="B189" i="1"/>
  <c r="H188" i="1"/>
  <c r="H187" i="1"/>
  <c r="G185" i="1"/>
  <c r="F185" i="1"/>
  <c r="E185" i="1"/>
  <c r="D185" i="1"/>
  <c r="C185" i="1"/>
  <c r="B185" i="1"/>
  <c r="H184" i="1"/>
  <c r="H183" i="1"/>
  <c r="H182" i="1"/>
  <c r="H181" i="1"/>
  <c r="G179" i="1"/>
  <c r="F179" i="1"/>
  <c r="E179" i="1"/>
  <c r="D179" i="1"/>
  <c r="C179" i="1"/>
  <c r="B179" i="1"/>
  <c r="H178" i="1"/>
  <c r="H177" i="1"/>
  <c r="G175" i="1"/>
  <c r="F175" i="1"/>
  <c r="E175" i="1"/>
  <c r="D175" i="1"/>
  <c r="D190" i="1" s="1"/>
  <c r="C175" i="1"/>
  <c r="B175" i="1"/>
  <c r="H174" i="1"/>
  <c r="H175" i="1" s="1"/>
  <c r="G169" i="1"/>
  <c r="F169" i="1"/>
  <c r="E169" i="1"/>
  <c r="D169" i="1"/>
  <c r="C169" i="1"/>
  <c r="B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G90" i="1"/>
  <c r="G91" i="1" s="1"/>
  <c r="F90" i="1"/>
  <c r="F91" i="1" s="1"/>
  <c r="E90" i="1"/>
  <c r="E91" i="1" s="1"/>
  <c r="D90" i="1"/>
  <c r="D91" i="1" s="1"/>
  <c r="C90" i="1"/>
  <c r="C91" i="1" s="1"/>
  <c r="B90" i="1"/>
  <c r="B91" i="1" s="1"/>
  <c r="H89" i="1"/>
  <c r="H88" i="1"/>
  <c r="H87" i="1"/>
  <c r="H86" i="1"/>
  <c r="G82" i="1"/>
  <c r="F82" i="1"/>
  <c r="E82" i="1"/>
  <c r="D82" i="1"/>
  <c r="C82" i="1"/>
  <c r="B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G66" i="1"/>
  <c r="F66" i="1"/>
  <c r="E66" i="1"/>
  <c r="E83" i="1" s="1"/>
  <c r="D66" i="1"/>
  <c r="D83" i="1" s="1"/>
  <c r="C66" i="1"/>
  <c r="C83" i="1" s="1"/>
  <c r="B66" i="1"/>
  <c r="H65" i="1"/>
  <c r="H64" i="1"/>
  <c r="H63" i="1"/>
  <c r="H62" i="1"/>
  <c r="H61" i="1"/>
  <c r="H60" i="1"/>
  <c r="H59" i="1"/>
  <c r="H58" i="1"/>
  <c r="G52" i="1"/>
  <c r="F52" i="1"/>
  <c r="E52" i="1"/>
  <c r="D52" i="1"/>
  <c r="C52" i="1"/>
  <c r="B52" i="1"/>
  <c r="H51" i="1"/>
  <c r="H50" i="1"/>
  <c r="H49" i="1"/>
  <c r="H48" i="1"/>
  <c r="H47" i="1"/>
  <c r="H46" i="1"/>
  <c r="G44" i="1"/>
  <c r="G53" i="1" s="1"/>
  <c r="F44" i="1"/>
  <c r="F53" i="1" s="1"/>
  <c r="E44" i="1"/>
  <c r="E53" i="1" s="1"/>
  <c r="D44" i="1"/>
  <c r="C44" i="1"/>
  <c r="B44" i="1"/>
  <c r="H43" i="1"/>
  <c r="H42" i="1"/>
  <c r="H41" i="1"/>
  <c r="H40" i="1"/>
  <c r="H39" i="1"/>
  <c r="G35" i="1"/>
  <c r="F35" i="1"/>
  <c r="E35" i="1"/>
  <c r="D35" i="1"/>
  <c r="C35" i="1"/>
  <c r="B35" i="1"/>
  <c r="H34" i="1"/>
  <c r="H33" i="1"/>
  <c r="H32" i="1"/>
  <c r="H31" i="1"/>
  <c r="H30" i="1"/>
  <c r="H29" i="1"/>
  <c r="H28" i="1"/>
  <c r="H27" i="1"/>
  <c r="H26" i="1"/>
  <c r="H25" i="1"/>
  <c r="H24" i="1"/>
  <c r="G22" i="1"/>
  <c r="G36" i="1" s="1"/>
  <c r="F22" i="1"/>
  <c r="F36" i="1" s="1"/>
  <c r="F54" i="1" s="1"/>
  <c r="E22" i="1"/>
  <c r="D22" i="1"/>
  <c r="D36" i="1" s="1"/>
  <c r="C22" i="1"/>
  <c r="C36" i="1" s="1"/>
  <c r="B22" i="1"/>
  <c r="H21" i="1"/>
  <c r="H20" i="1"/>
  <c r="H19" i="1"/>
  <c r="H18" i="1"/>
  <c r="H17" i="1"/>
  <c r="H16" i="1"/>
  <c r="H15" i="1"/>
  <c r="H14" i="1"/>
  <c r="H13" i="1"/>
  <c r="H12" i="1"/>
  <c r="H11" i="1"/>
  <c r="H44" i="1" l="1"/>
  <c r="H53" i="1" s="1"/>
  <c r="B36" i="1"/>
  <c r="H179" i="1"/>
  <c r="H185" i="1"/>
  <c r="C53" i="1"/>
  <c r="B190" i="1"/>
  <c r="H169" i="1"/>
  <c r="D53" i="1"/>
  <c r="D54" i="1" s="1"/>
  <c r="D171" i="1" s="1"/>
  <c r="D204" i="1" s="1"/>
  <c r="H66" i="1"/>
  <c r="B83" i="1"/>
  <c r="B170" i="1" s="1"/>
  <c r="F83" i="1"/>
  <c r="F170" i="1" s="1"/>
  <c r="F171" i="1" s="1"/>
  <c r="C190" i="1"/>
  <c r="D170" i="1"/>
  <c r="G190" i="1"/>
  <c r="E36" i="1"/>
  <c r="E54" i="1" s="1"/>
  <c r="H90" i="1"/>
  <c r="H91" i="1" s="1"/>
  <c r="H189" i="1"/>
  <c r="H190" i="1" s="1"/>
  <c r="H199" i="1"/>
  <c r="H52" i="1"/>
  <c r="H22" i="1"/>
  <c r="G83" i="1"/>
  <c r="G170" i="1" s="1"/>
  <c r="H35" i="1"/>
  <c r="B53" i="1"/>
  <c r="B54" i="1" s="1"/>
  <c r="H82" i="1"/>
  <c r="H83" i="1" s="1"/>
  <c r="H170" i="1" s="1"/>
  <c r="E190" i="1"/>
  <c r="F190" i="1"/>
  <c r="C54" i="1"/>
  <c r="C170" i="1"/>
  <c r="E170" i="1"/>
  <c r="E171" i="1" s="1"/>
  <c r="E204" i="1" s="1"/>
  <c r="G54" i="1"/>
  <c r="F204" i="1" l="1"/>
  <c r="B171" i="1"/>
  <c r="B204" i="1" s="1"/>
  <c r="H36" i="1"/>
  <c r="H54" i="1" s="1"/>
  <c r="H171" i="1" s="1"/>
  <c r="H204" i="1" s="1"/>
  <c r="G171" i="1"/>
  <c r="G204" i="1" s="1"/>
  <c r="C171" i="1"/>
  <c r="C204" i="1" s="1"/>
</calcChain>
</file>

<file path=xl/sharedStrings.xml><?xml version="1.0" encoding="utf-8"?>
<sst xmlns="http://schemas.openxmlformats.org/spreadsheetml/2006/main" count="218" uniqueCount="212">
  <si>
    <t>PROMATIS software GmbH</t>
  </si>
  <si>
    <t>Firma (Consolidated)</t>
  </si>
  <si>
    <t>PG P+L Consolidated</t>
  </si>
  <si>
    <t>From Jan 2022 to Adjust 2022</t>
  </si>
  <si>
    <t>Financial Row</t>
  </si>
  <si>
    <t>Horus software GmbH</t>
  </si>
  <si>
    <t>PROMATIS AG</t>
  </si>
  <si>
    <t>PROMATIS Corp.</t>
  </si>
  <si>
    <t>PROMATIS GmbH</t>
  </si>
  <si>
    <t>SEGRA GmbH</t>
  </si>
  <si>
    <t>Total</t>
  </si>
  <si>
    <t> </t>
  </si>
  <si>
    <t>Amount (Book 1)</t>
  </si>
  <si>
    <t>Net profit/loss for the year</t>
  </si>
  <si>
    <t>EBIT</t>
  </si>
  <si>
    <t>Gross profit</t>
  </si>
  <si>
    <t>Operating income</t>
  </si>
  <si>
    <t>1. Revenue</t>
  </si>
  <si>
    <t>477200 - Discounts granted §13b - Third country</t>
  </si>
  <si>
    <t>477100 - Rebates granted §13b- EU-nation</t>
  </si>
  <si>
    <t>479000 - Rebates granted, Standard VAT</t>
  </si>
  <si>
    <t>433800 - Rev. from services tax. in a 3.country, not subject  dom tax</t>
  </si>
  <si>
    <t>440010 - Revenue Goods - standard VAT</t>
  </si>
  <si>
    <t>440000 - Revenue Services- standard VAT</t>
  </si>
  <si>
    <t>433600 - Revenue from oth serv. taxable in anoth EU cntry</t>
  </si>
  <si>
    <t>433700 - Revenue from services, recipient bears the tax liability</t>
  </si>
  <si>
    <t>474000 - Volume discounts granted</t>
  </si>
  <si>
    <t>476000 - Volume discounts granted, Standard VAT</t>
  </si>
  <si>
    <t>470000 - taxes directly linked to sales</t>
  </si>
  <si>
    <t>Total Revenue</t>
  </si>
  <si>
    <t>4. Other operating income</t>
  </si>
  <si>
    <t>494700 - Alloc. other non-cash benefits from provi. of car, Std VAT</t>
  </si>
  <si>
    <t>494000 - Allocated other non-cash benefits (excluding goods)</t>
  </si>
  <si>
    <t>494800 - Allocated other non-cash benefits, Standard VAT</t>
  </si>
  <si>
    <t>494900 - Allocated other non-cash benefits, no VAT</t>
  </si>
  <si>
    <t>490000 - Income from disposal of fixed assets</t>
  </si>
  <si>
    <t>493200 - Income from remission of liabilities</t>
  </si>
  <si>
    <t>498000 - Investment grants (tax-exempt)</t>
  </si>
  <si>
    <t>483900 - Other infrequent income</t>
  </si>
  <si>
    <t>483000 - Other operating income</t>
  </si>
  <si>
    <t>484000 - Realized Foreign Exchange Gain</t>
  </si>
  <si>
    <t>454000 - Revenue infrastructure standard VAT</t>
  </si>
  <si>
    <t>Total Other operating income</t>
  </si>
  <si>
    <t>Total Operating income</t>
  </si>
  <si>
    <t>5. Cost of materials</t>
  </si>
  <si>
    <t>a) Cost of raw materials, consum, supplies and purchased merch.</t>
  </si>
  <si>
    <t>573000 - Cash discounts received</t>
  </si>
  <si>
    <t>520000 - Cost of merchandise</t>
  </si>
  <si>
    <t>540000 - Cost of merchandise, Standard input tax</t>
  </si>
  <si>
    <t>580010 - Invoice PO price variance standard rate</t>
  </si>
  <si>
    <t>580020 - Invoice PO qty variance standard rate</t>
  </si>
  <si>
    <t>Total Cost of raw materials, consum, supplies and purchased merch.</t>
  </si>
  <si>
    <t>b) Cost of purchased services</t>
  </si>
  <si>
    <t>592300 - Other serv. supplied by contr. anoth EU cntry, Std input tax</t>
  </si>
  <si>
    <t>590000 - Purchased services standard input tax</t>
  </si>
  <si>
    <t>590600 - Purchased services, Standard input tax</t>
  </si>
  <si>
    <t>590900 - Purchased services, no input tax</t>
  </si>
  <si>
    <t>592500 - Serv.s supplied by foreign contractor, Std input tax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</si>
  <si>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</si>
  <si>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</si>
  <si>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</si>
  <si>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</si>
  <si>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</si>
  <si>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</si>
  <si>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b) Social security, post-employ, and other employee benft costs</t>
  </si>
  <si>
    <t>612000 - Contributions to occupational health and safety agency</t>
  </si>
  <si>
    <t>614000 - Cost of old age pensions</t>
  </si>
  <si>
    <t>615000 - Pension funds</t>
  </si>
  <si>
    <t>614900 - Post-employment benefit costs for shareholder managers</t>
  </si>
  <si>
    <t>611000 - Statutory social security expenses</t>
  </si>
  <si>
    <t>612500 - Voluntary contributions to prof association</t>
  </si>
  <si>
    <t>613000 - Voluntary social benefits not subject to wage tax</t>
  </si>
  <si>
    <t>616500 - company medical officer, occupational safety</t>
  </si>
  <si>
    <t>Total Social security, post-employ, and other employee benft costs</t>
  </si>
  <si>
    <t>a) Wages and salaries</t>
  </si>
  <si>
    <t>607500 - Employment agency subsidies (credit balances)</t>
  </si>
  <si>
    <t>606900 - Flat-rate tax on other benefits (e.g. travel allowances)</t>
  </si>
  <si>
    <t>603900 - Flat-rate taxes for employees</t>
  </si>
  <si>
    <t>660700 - HCM Marketing</t>
  </si>
  <si>
    <t>607300 - Non-cash bene and services provided to shareholder managers</t>
  </si>
  <si>
    <t>607200 - Non-cash benefits and services provided to employees</t>
  </si>
  <si>
    <t>602300 - Profit-sharing salary management</t>
  </si>
  <si>
    <t>497200 - Refunds Act on Reimbursement of Employers' Expenses (AAG)</t>
  </si>
  <si>
    <t>607800 - Refunds Expenditure Compensation Act</t>
  </si>
  <si>
    <t>602000 - Salaries</t>
  </si>
  <si>
    <t>602400 - Salaries - target bonus</t>
  </si>
  <si>
    <t>600500 - Staff acquisition</t>
  </si>
  <si>
    <t>602200 - Vacation pay -provision-</t>
  </si>
  <si>
    <t>606000 - Voluntary social benefits subject to wage tax</t>
  </si>
  <si>
    <t>Total Wages and salaries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</si>
  <si>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</si>
  <si>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</si>
  <si>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</si>
  <si>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</si>
  <si>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622000 - Depr. of tangible fixed assets (excl. Depr. of vehicles)</t>
  </si>
  <si>
    <t>622200 - Depreciation of motor vehicles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</si>
  <si>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</si>
  <si>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</si>
  <si>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</si>
  <si>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</si>
  <si>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660000 - Advertising costs</t>
  </si>
  <si>
    <t>656300 - Bike leasing</t>
  </si>
  <si>
    <t>683000 - Bookkeeping costs</t>
  </si>
  <si>
    <t>633000 - Cleaning</t>
  </si>
  <si>
    <t>660500 - Conception</t>
  </si>
  <si>
    <t>642000 - Contributions</t>
  </si>
  <si>
    <t>688100 - Currency Exchange Losses</t>
  </si>
  <si>
    <t>688000 - Currency translation losses</t>
  </si>
  <si>
    <t>644000 - Disabled persons equalisation levy</t>
  </si>
  <si>
    <t>666800 - Employee mileage reimbursement</t>
  </si>
  <si>
    <t>666500 - Employee travel expens, add. sub costs,Income tax liability</t>
  </si>
  <si>
    <t>665000 - Employee travel expenses</t>
  </si>
  <si>
    <t>665100 - Employee travel expenses 7% input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</si>
  <si>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</si>
  <si>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</si>
  <si>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</si>
  <si>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</si>
  <si>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665200 - Employee travel expenses, standard tax</t>
  </si>
  <si>
    <t>664000 - Entertainment expenses</t>
  </si>
  <si>
    <t>683700 - Expenses for temp. transfer of rights(licences, concessions)</t>
  </si>
  <si>
    <t>681000 - Fax and Internet costs</t>
  </si>
  <si>
    <t>680100 - Further training costs §13b UStG Supplier 3. country service</t>
  </si>
  <si>
    <t>632500 - Gas, electricity, water</t>
  </si>
  <si>
    <t>662500 - Gifts used exclusively for operating purposes</t>
  </si>
  <si>
    <t>661000 - Gifts, deductible, without s. 37b EStG</t>
  </si>
  <si>
    <t>662000 - Gifts, non-deductible, without s. 37b EStG</t>
  </si>
  <si>
    <t>649500 - Hardware and software maintenance expenses</t>
  </si>
  <si>
    <t>685500 - Incidental monetary transaction costs</t>
  </si>
  <si>
    <t>640000 - Insurance premiums</t>
  </si>
  <si>
    <t>683600 - Leases (movable assets)</t>
  </si>
  <si>
    <t>682500 - Legal and consulting costs</t>
  </si>
  <si>
    <t>682800 - Legal and consulting fees §13b UStG Supplier EU service</t>
  </si>
  <si>
    <t>690000 - Losses on disposal of fixed assets</t>
  </si>
  <si>
    <t>633500 - Maintenance of operating premises</t>
  </si>
  <si>
    <t>660400 - Marketing material</t>
  </si>
  <si>
    <t>682000 - Newspapers, books</t>
  </si>
  <si>
    <t>639200 - Non-cash benefits, donations for charitable purposes</t>
  </si>
  <si>
    <t>639100 - Non-cash benefits, donations for scient. and cult. purposes</t>
  </si>
  <si>
    <t>664400 - Non-deductible entertainment expenses</t>
  </si>
  <si>
    <t>681500 - Office supplies</t>
  </si>
  <si>
    <t>656000 - Operating leases (motor vehicles)</t>
  </si>
  <si>
    <t>684000 - Operating leases (mov. assets)</t>
  </si>
  <si>
    <t>696900 - Other infrequent expenses</t>
  </si>
  <si>
    <t>634500 - Other occupancy costs</t>
  </si>
  <si>
    <t>685000 - Other operating supplies</t>
  </si>
  <si>
    <t>649000 - Other repairs and maintenance</t>
  </si>
  <si>
    <t>682700 - Period-end closing and audit costs</t>
  </si>
  <si>
    <t>680000 - Postage</t>
  </si>
  <si>
    <t>696000 - Prior-period expenses if not extraordinary</t>
  </si>
  <si>
    <t>630300 - Purchased services/third-party services</t>
  </si>
  <si>
    <t>631000 - Rent (immovable property)</t>
  </si>
  <si>
    <t>683500 - Rent of fixtures and fittings (movable assets)</t>
  </si>
  <si>
    <t>646000 - Repairs and maintenance of technical equipment and machinery</t>
  </si>
  <si>
    <t>699400 - Selling expenses</t>
  </si>
  <si>
    <t>664300 - Small gifts</t>
  </si>
  <si>
    <t>660600 - Sponsoring</t>
  </si>
  <si>
    <t>680500 - Telephone</t>
  </si>
  <si>
    <t>681400 - Third country service</t>
  </si>
  <si>
    <t>678000 - Third-party services (distribution)</t>
  </si>
  <si>
    <t>660100 - Trade fare costs</t>
  </si>
  <si>
    <t>682100 - Training costs</t>
  </si>
  <si>
    <t>692000 - Transfers to global valuation allowance on receivables</t>
  </si>
  <si>
    <t>669900 - Travel costs liability adjustment account</t>
  </si>
  <si>
    <t>650035 - Vehicle Expenses KA-FS 5712/2 BMW 740d xDrive Limousine</t>
  </si>
  <si>
    <t>650033 - Vehicle expenses  KA-MW 8801 Mazda CX30</t>
  </si>
  <si>
    <t>650036 - Vehicle expenses KA-B 9884 Skodia Fabia</t>
  </si>
  <si>
    <t>650021 - Vehicle expenses KA-EW 1155 Skoda KODIAQ Drive 2.0 TDI</t>
  </si>
  <si>
    <t>650017 - Vehicle expenses KA-JM 1075 Skoda Superb</t>
  </si>
  <si>
    <t>650037 - Vehicle expenses KA-JR 1240 Audi Q3 Sportsback 45 TFSI</t>
  </si>
  <si>
    <t>650014 - Vehicle expenses KA-KS 1186 Mercedes GLA</t>
  </si>
  <si>
    <t>650012 - Vehicle expenses KA-M 3390 Tesla</t>
  </si>
  <si>
    <t>650042 - Vehicle expenses KA-MA 8090 Skoda Octavia Combi 2.0 TDI</t>
  </si>
  <si>
    <t>650019 - Vehicle expenses KA-MA 9080 Skoda Superb Combi 1.8 TSI</t>
  </si>
  <si>
    <t>650034 - Vehicle expenses KA-MP 1019 KIA Xceed 1.4 T-GDI</t>
  </si>
  <si>
    <t>650011 - Vehicle expenses KA-S 2730 Skoda Octavia</t>
  </si>
  <si>
    <t>681600 - data processing demand</t>
  </si>
  <si>
    <t>Total Other operating expenses</t>
  </si>
  <si>
    <t>Total Operating expenses (except cost of materials)</t>
  </si>
  <si>
    <t>Total EBIT</t>
  </si>
  <si>
    <t>Financial result</t>
  </si>
  <si>
    <t>9. Income from long-term equity investments</t>
  </si>
  <si>
    <t>700100 - Income from long-term equity investments</t>
  </si>
  <si>
    <t>Total Income from long-term equity investments</t>
  </si>
  <si>
    <t>10. Income from other securities and long-term loans</t>
  </si>
  <si>
    <t>701100 - Income from long-term loans</t>
  </si>
  <si>
    <t>701000 - Income from other securities and long-term loans</t>
  </si>
  <si>
    <t>Total Income from other securities and long-term loans</t>
  </si>
  <si>
    <t>11. Other interest and similar income</t>
  </si>
  <si>
    <t>730500 - Interest expenses, section 233a AO, operating taxes</t>
  </si>
  <si>
    <t>730800 - Interest expenses, section 233a AO, section 4(5b) EStG</t>
  </si>
  <si>
    <t>710000 - Other interest and similar income</t>
  </si>
  <si>
    <t>711900 - Other interest income from affiliated companies</t>
  </si>
  <si>
    <t>Total Other interest and similar income</t>
  </si>
  <si>
    <t>13. Interest and similar expenses</t>
  </si>
  <si>
    <t>740200 - Extraordinary income standard</t>
  </si>
  <si>
    <t>732900 - Interest expenses on long-term liabilities to affiliated co.</t>
  </si>
  <si>
    <t>Total Interest and similar expenses</t>
  </si>
  <si>
    <t>Total Financial result</t>
  </si>
  <si>
    <t>14. Taxes on income</t>
  </si>
  <si>
    <t>763300 - Allow. solidarity surcharge on w/h tax invest. income, 25%</t>
  </si>
  <si>
    <t>764100 - Backpayments and refunds of trade tax for prior years</t>
  </si>
  <si>
    <t>760000 - Corporate income tax</t>
  </si>
  <si>
    <t>763900 - Deductible foreign withholding tax</t>
  </si>
  <si>
    <t>760800 - Solidarity surcharge</t>
  </si>
  <si>
    <t>761000 - Trade tax</t>
  </si>
  <si>
    <t>763000 - Withholding tax on investment income, 25%</t>
  </si>
  <si>
    <t>Total Taxes on income</t>
  </si>
  <si>
    <t>16. Other taxes</t>
  </si>
  <si>
    <t>769000 - Backpayments of other taxes for prior years</t>
  </si>
  <si>
    <t>768500 - Motor vehicle tax</t>
  </si>
  <si>
    <t>Total Other taxes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</si>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</sst>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72.5" bestFit="1" customWidth="1"/>
    <col min="2" max="2" width="20.33203125" bestFit="1" customWidth="1"/>
    <col min="3" max="3" width="15.83203125" bestFit="1" customWidth="1"/>
    <col min="4" max="4" width="16.6640625" bestFit="1" customWidth="1"/>
    <col min="5" max="5" width="17.1640625" bestFit="1" customWidth="1"/>
    <col min="6" max="6" width="25.1640625" bestFit="1" customWidth="1"/>
    <col min="7" max="8" width="15.83203125" bestFit="1" customWidth="1"/>
  </cols>
  <sheetData>
    <row r="1" spans="1:8" ht="15.75" x14ac:dyDescent="0.25">
      <c r="A1" s="1" t="s">
        <v>1</v>
      </c>
      <c r="B1" s="1"/>
      <c r="C1" s="1"/>
      <c r="D1" s="1"/>
      <c r="E1" s="1"/>
      <c r="F1" s="1"/>
      <c r="G1" s="1"/>
      <c r="H1" s="1"/>
    </row>
    <row r="2" spans="1:8" ht="18" x14ac:dyDescent="0.25">
      <c r="A2" s="2" t="s">
        <v>2</v>
      </c>
      <c r="B2" s="2"/>
      <c r="C2" s="2"/>
      <c r="D2" s="2"/>
      <c r="E2" s="2"/>
      <c r="F2" s="2"/>
      <c r="G2" s="2"/>
      <c r="H2" s="2"/>
    </row>
    <row r="3" spans="1:8" ht="18" x14ac:dyDescent="0.25">
      <c r="A3" s="2" t="s">
        <v>3</v>
      </c>
      <c r="B3" s="2"/>
      <c r="C3" s="2"/>
      <c r="D3" s="2"/>
      <c r="E3" s="2"/>
      <c r="F3" s="2"/>
      <c r="G3" s="2"/>
      <c r="H3" s="2"/>
    </row>
    <row r="4" spans="1:8" x14ac:dyDescent="0.2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0</v>
      </c>
      <c r="G4" s="4" t="s">
        <v>9</v>
      </c>
      <c r="H4" s="4" t="s">
        <v>10</v>
      </c>
    </row>
    <row r="5" spans="1:8" x14ac:dyDescent="0.2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8" x14ac:dyDescent="0.2">
      <c r="A6" s="5" t="s">
        <v>13</v>
      </c>
      <c r="B6" s="6"/>
      <c r="C6" s="6"/>
      <c r="D6" s="6"/>
      <c r="E6" s="6"/>
      <c r="F6" s="6"/>
      <c r="G6" s="6"/>
      <c r="H6" s="6"/>
    </row>
    <row r="7" spans="1:8" x14ac:dyDescent="0.2">
      <c r="A7" s="7" t="s">
        <v>14</v>
      </c>
      <c r="B7" s="6"/>
      <c r="C7" s="6"/>
      <c r="D7" s="6"/>
      <c r="E7" s="6"/>
      <c r="F7" s="6"/>
      <c r="G7" s="6"/>
      <c r="H7" s="6"/>
    </row>
    <row r="8" spans="1:8" x14ac:dyDescent="0.2">
      <c r="A8" s="8" t="s">
        <v>15</v>
      </c>
      <c r="B8" s="6"/>
      <c r="C8" s="6"/>
      <c r="D8" s="6"/>
      <c r="E8" s="6"/>
      <c r="F8" s="6"/>
      <c r="G8" s="6"/>
      <c r="H8" s="6"/>
    </row>
    <row r="9" spans="1:8" x14ac:dyDescent="0.2">
      <c r="A9" s="9" t="s">
        <v>16</v>
      </c>
      <c r="B9" s="6"/>
      <c r="C9" s="6"/>
      <c r="D9" s="6"/>
      <c r="E9" s="6"/>
      <c r="F9" s="6"/>
      <c r="G9" s="6"/>
      <c r="H9" s="6"/>
    </row>
    <row r="10" spans="1:8" x14ac:dyDescent="0.2">
      <c r="A10" s="10" t="s">
        <v>17</v>
      </c>
      <c r="B10" s="6"/>
      <c r="C10" s="6"/>
      <c r="D10" s="6"/>
      <c r="E10" s="6"/>
      <c r="F10" s="6"/>
      <c r="G10" s="6"/>
      <c r="H10" s="6"/>
    </row>
    <row r="11" spans="1:8" x14ac:dyDescent="0.2">
      <c r="A11" s="11" t="s">
        <v>18</v>
      </c>
      <c r="B11" s="12">
        <v>0</v>
      </c>
      <c r="C11" s="12">
        <v>0</v>
      </c>
      <c r="D11" s="12">
        <v>0</v>
      </c>
      <c r="E11" s="12">
        <v>0</v>
      </c>
      <c r="F11" s="12">
        <v>-11001.83</v>
      </c>
      <c r="G11" s="12">
        <v>0</v>
      </c>
      <c r="H11" s="12">
        <f t="shared" ref="H11:H21" si="0">SUM(B11:G11)</f>
        <v>-11001.83</v>
      </c>
    </row>
    <row r="12" spans="1:8" x14ac:dyDescent="0.2">
      <c r="A12" s="11" t="s">
        <v>19</v>
      </c>
      <c r="B12" s="12">
        <v>0</v>
      </c>
      <c r="C12" s="12">
        <v>0</v>
      </c>
      <c r="D12" s="12">
        <v>0</v>
      </c>
      <c r="E12" s="12">
        <v>0</v>
      </c>
      <c r="F12" s="12">
        <v>-6471.15</v>
      </c>
      <c r="G12" s="12">
        <v>0</v>
      </c>
      <c r="H12" s="12">
        <f t="shared" si="0"/>
        <v>-6471.15</v>
      </c>
    </row>
    <row r="13" spans="1:8" x14ac:dyDescent="0.2">
      <c r="A13" s="11" t="s">
        <v>20</v>
      </c>
      <c r="B13" s="12">
        <v>-49763.82</v>
      </c>
      <c r="C13" s="12">
        <v>0</v>
      </c>
      <c r="D13" s="12">
        <v>0</v>
      </c>
      <c r="E13" s="12">
        <v>0</v>
      </c>
      <c r="F13" s="12">
        <v>-560</v>
      </c>
      <c r="G13" s="12">
        <v>0</v>
      </c>
      <c r="H13" s="12">
        <f t="shared" si="0"/>
        <v>-50323.82</v>
      </c>
    </row>
    <row r="14" spans="1:8" x14ac:dyDescent="0.2">
      <c r="A14" s="11" t="s">
        <v>21</v>
      </c>
      <c r="B14" s="12">
        <v>0</v>
      </c>
      <c r="C14" s="12">
        <v>12786.13911</v>
      </c>
      <c r="D14" s="12">
        <v>0</v>
      </c>
      <c r="E14" s="12">
        <v>0</v>
      </c>
      <c r="F14" s="12">
        <v>1314782.96</v>
      </c>
      <c r="G14" s="12">
        <v>0</v>
      </c>
      <c r="H14" s="12">
        <f t="shared" si="0"/>
        <v>1327569.0991100001</v>
      </c>
    </row>
    <row r="15" spans="1:8" x14ac:dyDescent="0.2">
      <c r="A15" s="11" t="s">
        <v>22</v>
      </c>
      <c r="B15" s="12">
        <v>0</v>
      </c>
      <c r="C15" s="12">
        <v>0</v>
      </c>
      <c r="D15" s="12">
        <v>1919053.1314559099</v>
      </c>
      <c r="E15" s="12">
        <v>0</v>
      </c>
      <c r="F15" s="12">
        <v>0</v>
      </c>
      <c r="G15" s="12">
        <v>0</v>
      </c>
      <c r="H15" s="12">
        <f t="shared" si="0"/>
        <v>1919053.1314559099</v>
      </c>
    </row>
    <row r="16" spans="1:8" x14ac:dyDescent="0.2">
      <c r="A16" s="11" t="s">
        <v>23</v>
      </c>
      <c r="B16" s="12">
        <v>130200.58</v>
      </c>
      <c r="C16" s="12">
        <v>3328722.7360589202</v>
      </c>
      <c r="D16" s="12">
        <v>34154.951544639996</v>
      </c>
      <c r="E16" s="12">
        <v>1355575.23</v>
      </c>
      <c r="F16" s="12">
        <v>10748701.01</v>
      </c>
      <c r="G16" s="12">
        <v>124796.12</v>
      </c>
      <c r="H16" s="12">
        <f t="shared" si="0"/>
        <v>15722150.627603559</v>
      </c>
    </row>
    <row r="17" spans="1:8" x14ac:dyDescent="0.2">
      <c r="A17" s="11" t="s">
        <v>24</v>
      </c>
      <c r="B17" s="12">
        <v>0</v>
      </c>
      <c r="C17" s="12">
        <v>0</v>
      </c>
      <c r="D17" s="12">
        <v>0</v>
      </c>
      <c r="E17" s="12">
        <v>371145.62</v>
      </c>
      <c r="F17" s="12">
        <v>0</v>
      </c>
      <c r="G17" s="12">
        <v>0</v>
      </c>
      <c r="H17" s="12">
        <f t="shared" si="0"/>
        <v>371145.62</v>
      </c>
    </row>
    <row r="18" spans="1:8" x14ac:dyDescent="0.2">
      <c r="A18" s="11" t="s">
        <v>25</v>
      </c>
      <c r="B18" s="12">
        <v>0</v>
      </c>
      <c r="C18" s="12">
        <v>0</v>
      </c>
      <c r="D18" s="12">
        <v>0</v>
      </c>
      <c r="E18" s="12">
        <v>0</v>
      </c>
      <c r="F18" s="12">
        <v>3354645.91</v>
      </c>
      <c r="G18" s="12">
        <v>0</v>
      </c>
      <c r="H18" s="12">
        <f t="shared" si="0"/>
        <v>3354645.91</v>
      </c>
    </row>
    <row r="19" spans="1:8" x14ac:dyDescent="0.2">
      <c r="A19" s="11" t="s">
        <v>26</v>
      </c>
      <c r="B19" s="12">
        <v>0</v>
      </c>
      <c r="C19" s="12">
        <v>0</v>
      </c>
      <c r="D19" s="12">
        <v>0</v>
      </c>
      <c r="E19" s="12">
        <v>0</v>
      </c>
      <c r="F19" s="12">
        <v>146391.93</v>
      </c>
      <c r="G19" s="12">
        <v>0</v>
      </c>
      <c r="H19" s="12">
        <f t="shared" si="0"/>
        <v>146391.93</v>
      </c>
    </row>
    <row r="20" spans="1:8" x14ac:dyDescent="0.2">
      <c r="A20" s="11" t="s">
        <v>27</v>
      </c>
      <c r="B20" s="12">
        <v>0</v>
      </c>
      <c r="C20" s="12">
        <v>0</v>
      </c>
      <c r="D20" s="12">
        <v>0</v>
      </c>
      <c r="E20" s="12">
        <v>0</v>
      </c>
      <c r="F20" s="12">
        <v>-146391.93</v>
      </c>
      <c r="G20" s="12">
        <v>0</v>
      </c>
      <c r="H20" s="12">
        <f t="shared" si="0"/>
        <v>-146391.93</v>
      </c>
    </row>
    <row r="21" spans="1:8" x14ac:dyDescent="0.2">
      <c r="A21" s="11" t="s">
        <v>28</v>
      </c>
      <c r="B21" s="12">
        <v>0</v>
      </c>
      <c r="C21" s="12">
        <v>-34832.648999999998</v>
      </c>
      <c r="D21" s="12">
        <v>0</v>
      </c>
      <c r="E21" s="12">
        <v>0</v>
      </c>
      <c r="F21" s="12">
        <v>0</v>
      </c>
      <c r="G21" s="12">
        <v>0</v>
      </c>
      <c r="H21" s="12">
        <f t="shared" si="0"/>
        <v>-34832.648999999998</v>
      </c>
    </row>
    <row r="22" spans="1:8" x14ac:dyDescent="0.2">
      <c r="A22" s="13" t="s">
        <v>29</v>
      </c>
      <c r="B22" s="14">
        <f t="shared" ref="B22:H22" si="1">SUM(B11:B21)</f>
        <v>80436.760000000009</v>
      </c>
      <c r="C22" s="14">
        <f t="shared" si="1"/>
        <v>3306676.2261689198</v>
      </c>
      <c r="D22" s="14">
        <f t="shared" si="1"/>
        <v>1953208.0830005498</v>
      </c>
      <c r="E22" s="14">
        <f t="shared" si="1"/>
        <v>1726720.85</v>
      </c>
      <c r="F22" s="14">
        <f t="shared" si="1"/>
        <v>15400096.9</v>
      </c>
      <c r="G22" s="14">
        <f t="shared" si="1"/>
        <v>124796.12</v>
      </c>
      <c r="H22" s="14">
        <f t="shared" si="1"/>
        <v>22591934.93916947</v>
      </c>
    </row>
    <row r="23" spans="1:8" x14ac:dyDescent="0.2">
      <c r="A23" s="10" t="s">
        <v>30</v>
      </c>
      <c r="B23" s="6"/>
      <c r="C23" s="6"/>
      <c r="D23" s="6"/>
      <c r="E23" s="6"/>
      <c r="F23" s="6"/>
      <c r="G23" s="6"/>
      <c r="H23" s="6"/>
    </row>
    <row r="24" spans="1:8" x14ac:dyDescent="0.2">
      <c r="A24" s="11" t="s">
        <v>31</v>
      </c>
      <c r="B24" s="12">
        <v>0</v>
      </c>
      <c r="C24" s="12">
        <v>0</v>
      </c>
      <c r="D24" s="12">
        <v>0</v>
      </c>
      <c r="E24" s="12">
        <v>0</v>
      </c>
      <c r="F24" s="12">
        <v>90840.49</v>
      </c>
      <c r="G24" s="12">
        <v>0</v>
      </c>
      <c r="H24" s="12">
        <f t="shared" ref="H24:H34" si="2">SUM(B24:G24)</f>
        <v>90840.49</v>
      </c>
    </row>
    <row r="25" spans="1:8" x14ac:dyDescent="0.2">
      <c r="A25" s="11" t="s">
        <v>32</v>
      </c>
      <c r="B25" s="12">
        <v>0</v>
      </c>
      <c r="C25" s="12">
        <v>0</v>
      </c>
      <c r="D25" s="12">
        <v>0</v>
      </c>
      <c r="E25" s="12">
        <v>0</v>
      </c>
      <c r="F25" s="12">
        <v>25416</v>
      </c>
      <c r="G25" s="12">
        <v>0</v>
      </c>
      <c r="H25" s="12">
        <f t="shared" si="2"/>
        <v>25416</v>
      </c>
    </row>
    <row r="26" spans="1:8" x14ac:dyDescent="0.2">
      <c r="A26" s="11" t="s">
        <v>33</v>
      </c>
      <c r="B26" s="12">
        <v>0</v>
      </c>
      <c r="C26" s="12">
        <v>0</v>
      </c>
      <c r="D26" s="12">
        <v>0</v>
      </c>
      <c r="E26" s="12">
        <v>0</v>
      </c>
      <c r="F26" s="12">
        <v>894.07</v>
      </c>
      <c r="G26" s="12">
        <v>0</v>
      </c>
      <c r="H26" s="12">
        <f t="shared" si="2"/>
        <v>894.07</v>
      </c>
    </row>
    <row r="27" spans="1:8" x14ac:dyDescent="0.2">
      <c r="A27" s="11" t="s">
        <v>34</v>
      </c>
      <c r="B27" s="12">
        <v>0</v>
      </c>
      <c r="C27" s="12">
        <v>0</v>
      </c>
      <c r="D27" s="12">
        <v>0</v>
      </c>
      <c r="E27" s="12">
        <v>0</v>
      </c>
      <c r="F27" s="12">
        <v>460.59</v>
      </c>
      <c r="G27" s="12">
        <v>0</v>
      </c>
      <c r="H27" s="12">
        <f t="shared" si="2"/>
        <v>460.59</v>
      </c>
    </row>
    <row r="28" spans="1:8" x14ac:dyDescent="0.2">
      <c r="A28" s="11" t="s">
        <v>35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383.7</v>
      </c>
      <c r="H28" s="12">
        <f t="shared" si="2"/>
        <v>383.7</v>
      </c>
    </row>
    <row r="29" spans="1:8" x14ac:dyDescent="0.2">
      <c r="A29" s="11" t="s">
        <v>36</v>
      </c>
      <c r="B29" s="12">
        <v>2740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f t="shared" si="2"/>
        <v>2740</v>
      </c>
    </row>
    <row r="30" spans="1:8" x14ac:dyDescent="0.2">
      <c r="A30" s="11" t="s">
        <v>37</v>
      </c>
      <c r="B30" s="12">
        <v>0</v>
      </c>
      <c r="C30" s="12">
        <v>0</v>
      </c>
      <c r="D30" s="12">
        <v>0</v>
      </c>
      <c r="E30" s="12">
        <v>0</v>
      </c>
      <c r="F30" s="12">
        <v>488375</v>
      </c>
      <c r="G30" s="12">
        <v>0</v>
      </c>
      <c r="H30" s="12">
        <f t="shared" si="2"/>
        <v>488375</v>
      </c>
    </row>
    <row r="31" spans="1:8" x14ac:dyDescent="0.2">
      <c r="A31" s="11" t="s">
        <v>38</v>
      </c>
      <c r="B31" s="12">
        <v>300</v>
      </c>
      <c r="C31" s="12">
        <v>0</v>
      </c>
      <c r="D31" s="12">
        <v>0</v>
      </c>
      <c r="E31" s="12">
        <v>0</v>
      </c>
      <c r="F31" s="12">
        <v>39900</v>
      </c>
      <c r="G31" s="12">
        <v>0</v>
      </c>
      <c r="H31" s="12">
        <f t="shared" si="2"/>
        <v>40200</v>
      </c>
    </row>
    <row r="32" spans="1:8" x14ac:dyDescent="0.2">
      <c r="A32" s="11" t="s">
        <v>39</v>
      </c>
      <c r="B32" s="12">
        <v>0</v>
      </c>
      <c r="C32" s="12">
        <v>0</v>
      </c>
      <c r="D32" s="12">
        <v>0</v>
      </c>
      <c r="E32" s="12">
        <v>-20264</v>
      </c>
      <c r="F32" s="12">
        <v>60000.15</v>
      </c>
      <c r="G32" s="12">
        <v>0</v>
      </c>
      <c r="H32" s="12">
        <f t="shared" si="2"/>
        <v>39736.15</v>
      </c>
    </row>
    <row r="33" spans="1:8" x14ac:dyDescent="0.2">
      <c r="A33" s="11" t="s">
        <v>40</v>
      </c>
      <c r="B33" s="12">
        <v>0</v>
      </c>
      <c r="C33" s="12">
        <v>0</v>
      </c>
      <c r="D33" s="12">
        <v>0</v>
      </c>
      <c r="E33" s="12">
        <v>0</v>
      </c>
      <c r="F33" s="12">
        <v>73592.75</v>
      </c>
      <c r="G33" s="12">
        <v>0</v>
      </c>
      <c r="H33" s="12">
        <f t="shared" si="2"/>
        <v>73592.75</v>
      </c>
    </row>
    <row r="34" spans="1:8" x14ac:dyDescent="0.2">
      <c r="A34" s="11" t="s">
        <v>41</v>
      </c>
      <c r="B34" s="12">
        <v>0</v>
      </c>
      <c r="C34" s="12">
        <v>0</v>
      </c>
      <c r="D34" s="12">
        <v>0</v>
      </c>
      <c r="E34" s="12">
        <v>0</v>
      </c>
      <c r="F34" s="12">
        <v>56400</v>
      </c>
      <c r="G34" s="12">
        <v>0</v>
      </c>
      <c r="H34" s="12">
        <f t="shared" si="2"/>
        <v>56400</v>
      </c>
    </row>
    <row r="35" spans="1:8" x14ac:dyDescent="0.2">
      <c r="A35" s="13" t="s">
        <v>42</v>
      </c>
      <c r="B35" s="14">
        <f t="shared" ref="B35:H35" si="3">SUM(B24:B34)</f>
        <v>3040</v>
      </c>
      <c r="C35" s="14">
        <f t="shared" si="3"/>
        <v>0</v>
      </c>
      <c r="D35" s="14">
        <f t="shared" si="3"/>
        <v>0</v>
      </c>
      <c r="E35" s="14">
        <f t="shared" si="3"/>
        <v>-20264</v>
      </c>
      <c r="F35" s="14">
        <f t="shared" si="3"/>
        <v>835879.05</v>
      </c>
      <c r="G35" s="14">
        <f t="shared" si="3"/>
        <v>383.7</v>
      </c>
      <c r="H35" s="14">
        <f t="shared" si="3"/>
        <v>819038.75</v>
      </c>
    </row>
    <row r="36" spans="1:8" x14ac:dyDescent="0.2">
      <c r="A36" s="15" t="s">
        <v>43</v>
      </c>
      <c r="B36" s="14">
        <f t="shared" ref="B36:H36" si="4">B22+0+0+B35</f>
        <v>83476.760000000009</v>
      </c>
      <c r="C36" s="14">
        <f t="shared" si="4"/>
        <v>3306676.2261689198</v>
      </c>
      <c r="D36" s="14">
        <f t="shared" si="4"/>
        <v>1953208.0830005498</v>
      </c>
      <c r="E36" s="14">
        <f t="shared" si="4"/>
        <v>1706456.85</v>
      </c>
      <c r="F36" s="14">
        <f t="shared" si="4"/>
        <v>16235975.950000001</v>
      </c>
      <c r="G36" s="14">
        <f t="shared" si="4"/>
        <v>125179.81999999999</v>
      </c>
      <c r="H36" s="14">
        <f t="shared" si="4"/>
        <v>23410973.68916947</v>
      </c>
    </row>
    <row r="37" spans="1:8" x14ac:dyDescent="0.2">
      <c r="A37" s="9" t="s">
        <v>44</v>
      </c>
      <c r="B37" s="6"/>
      <c r="C37" s="6"/>
      <c r="D37" s="6"/>
      <c r="E37" s="6"/>
      <c r="F37" s="6"/>
      <c r="G37" s="6"/>
      <c r="H37" s="6"/>
    </row>
    <row r="38" spans="1:8" x14ac:dyDescent="0.2">
      <c r="A38" s="10" t="s">
        <v>45</v>
      </c>
      <c r="B38" s="6"/>
      <c r="C38" s="6"/>
      <c r="D38" s="6"/>
      <c r="E38" s="6"/>
      <c r="F38" s="6"/>
      <c r="G38" s="6"/>
      <c r="H38" s="6"/>
    </row>
    <row r="39" spans="1:8" x14ac:dyDescent="0.2">
      <c r="A39" s="11" t="s">
        <v>46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4.2</v>
      </c>
      <c r="H39" s="12">
        <f>SUM(B39:G39)</f>
        <v>4.2</v>
      </c>
    </row>
    <row r="40" spans="1:8" x14ac:dyDescent="0.2">
      <c r="A40" s="11" t="s">
        <v>47</v>
      </c>
      <c r="B40" s="12">
        <v>0</v>
      </c>
      <c r="C40" s="12">
        <v>0</v>
      </c>
      <c r="D40" s="12">
        <v>-16225.7436</v>
      </c>
      <c r="E40" s="12">
        <v>0</v>
      </c>
      <c r="F40" s="12">
        <v>0</v>
      </c>
      <c r="G40" s="12">
        <v>0</v>
      </c>
      <c r="H40" s="12">
        <f>SUM(B40:G40)</f>
        <v>-16225.7436</v>
      </c>
    </row>
    <row r="41" spans="1:8" x14ac:dyDescent="0.2">
      <c r="A41" s="11" t="s">
        <v>48</v>
      </c>
      <c r="B41" s="12">
        <v>0</v>
      </c>
      <c r="C41" s="12">
        <v>0</v>
      </c>
      <c r="D41" s="12">
        <v>0</v>
      </c>
      <c r="E41" s="12">
        <v>0</v>
      </c>
      <c r="F41" s="12">
        <v>-416583.49</v>
      </c>
      <c r="G41" s="12">
        <v>0</v>
      </c>
      <c r="H41" s="12">
        <f>SUM(B41:G41)</f>
        <v>-416583.49</v>
      </c>
    </row>
    <row r="42" spans="1:8" x14ac:dyDescent="0.2">
      <c r="A42" s="11" t="s">
        <v>49</v>
      </c>
      <c r="B42" s="12">
        <v>0</v>
      </c>
      <c r="C42" s="12">
        <v>-1.49793E-3</v>
      </c>
      <c r="D42" s="12">
        <v>0</v>
      </c>
      <c r="E42" s="12">
        <v>0</v>
      </c>
      <c r="F42" s="12">
        <v>20</v>
      </c>
      <c r="G42" s="12">
        <v>0</v>
      </c>
      <c r="H42" s="12">
        <f>SUM(B42:G42)</f>
        <v>19.998502070000001</v>
      </c>
    </row>
    <row r="43" spans="1:8" x14ac:dyDescent="0.2">
      <c r="A43" s="11" t="s">
        <v>50</v>
      </c>
      <c r="B43" s="12">
        <v>0</v>
      </c>
      <c r="C43" s="12">
        <v>0</v>
      </c>
      <c r="D43" s="12">
        <v>0</v>
      </c>
      <c r="E43" s="12">
        <v>0</v>
      </c>
      <c r="F43" s="12">
        <v>1140</v>
      </c>
      <c r="G43" s="12">
        <v>0</v>
      </c>
      <c r="H43" s="12">
        <f>SUM(B43:G43)</f>
        <v>1140</v>
      </c>
    </row>
    <row r="44" spans="1:8" x14ac:dyDescent="0.2">
      <c r="A44" s="13" t="s">
        <v>51</v>
      </c>
      <c r="B44" s="14">
        <f t="shared" ref="B44:H44" si="5">SUM(B39:B43)</f>
        <v>0</v>
      </c>
      <c r="C44" s="14">
        <f t="shared" si="5"/>
        <v>-1.49793E-3</v>
      </c>
      <c r="D44" s="14">
        <f t="shared" si="5"/>
        <v>-16225.7436</v>
      </c>
      <c r="E44" s="14">
        <f t="shared" si="5"/>
        <v>0</v>
      </c>
      <c r="F44" s="14">
        <f t="shared" si="5"/>
        <v>-415423.49</v>
      </c>
      <c r="G44" s="14">
        <f t="shared" si="5"/>
        <v>4.2</v>
      </c>
      <c r="H44" s="14">
        <f t="shared" si="5"/>
        <v>-431645.03509792994</v>
      </c>
    </row>
    <row r="45" spans="1:8" x14ac:dyDescent="0.2">
      <c r="A45" s="10" t="s">
        <v>52</v>
      </c>
      <c r="B45" s="6"/>
      <c r="C45" s="6"/>
      <c r="D45" s="6"/>
      <c r="E45" s="6"/>
      <c r="F45" s="6"/>
      <c r="G45" s="6"/>
      <c r="H45" s="6"/>
    </row>
    <row r="46" spans="1:8" x14ac:dyDescent="0.2">
      <c r="A46" s="11" t="s">
        <v>53</v>
      </c>
      <c r="B46" s="12">
        <v>0</v>
      </c>
      <c r="C46" s="12">
        <v>0</v>
      </c>
      <c r="D46" s="12">
        <v>0</v>
      </c>
      <c r="E46" s="12">
        <v>0</v>
      </c>
      <c r="F46" s="12">
        <v>-488805.54</v>
      </c>
      <c r="G46" s="12">
        <v>-13520.84</v>
      </c>
      <c r="H46" s="12">
        <f t="shared" ref="H46:H51" si="6">SUM(B46:G46)</f>
        <v>-502326.38</v>
      </c>
    </row>
    <row r="47" spans="1:8" x14ac:dyDescent="0.2">
      <c r="A47" s="11" t="s">
        <v>54</v>
      </c>
      <c r="B47" s="12">
        <v>-14120</v>
      </c>
      <c r="C47" s="12">
        <v>-276918.56000442</v>
      </c>
      <c r="D47" s="12">
        <v>-1213366.0997649999</v>
      </c>
      <c r="E47" s="12">
        <v>0</v>
      </c>
      <c r="F47" s="12">
        <v>-58433.79</v>
      </c>
      <c r="G47" s="12">
        <v>-41824.06</v>
      </c>
      <c r="H47" s="12">
        <f t="shared" si="6"/>
        <v>-1604662.5097694201</v>
      </c>
    </row>
    <row r="48" spans="1:8" x14ac:dyDescent="0.2">
      <c r="A48" s="11" t="s">
        <v>55</v>
      </c>
      <c r="B48" s="12">
        <v>0</v>
      </c>
      <c r="C48" s="12">
        <v>0</v>
      </c>
      <c r="D48" s="12">
        <v>0</v>
      </c>
      <c r="E48" s="12">
        <v>0</v>
      </c>
      <c r="F48" s="12">
        <v>8640</v>
      </c>
      <c r="G48" s="12">
        <v>0</v>
      </c>
      <c r="H48" s="12">
        <f t="shared" si="6"/>
        <v>8640</v>
      </c>
    </row>
    <row r="49" spans="1:8" x14ac:dyDescent="0.2">
      <c r="A49" s="11" t="s">
        <v>56</v>
      </c>
      <c r="B49" s="12">
        <v>0</v>
      </c>
      <c r="C49" s="12">
        <v>-2423772.8358919998</v>
      </c>
      <c r="D49" s="12">
        <v>0</v>
      </c>
      <c r="E49" s="12">
        <v>0</v>
      </c>
      <c r="F49" s="12">
        <v>0</v>
      </c>
      <c r="G49" s="12">
        <v>0</v>
      </c>
      <c r="H49" s="12">
        <f t="shared" si="6"/>
        <v>-2423772.8358919998</v>
      </c>
    </row>
    <row r="50" spans="1:8" x14ac:dyDescent="0.2">
      <c r="A50" s="11" t="s">
        <v>57</v>
      </c>
      <c r="B50" s="12">
        <v>0</v>
      </c>
      <c r="C50" s="12">
        <v>0</v>
      </c>
      <c r="D50" s="12">
        <v>0</v>
      </c>
      <c r="E50" s="12">
        <v>0</v>
      </c>
      <c r="F50" s="12">
        <v>-11077.58</v>
      </c>
      <c r="G50" s="12">
        <v>-5394.35</v>
      </c>
      <c r="H50" s="12">
        <f t="shared" si="6"/>
        <v>-16471.93</v>
      </c>
    </row>
    <row r="51" spans="1:8" x14ac:dyDescent="0.2">
      <c r="A51" s="11" t="s">
        <v>58</v>
      </c>
      <c r="B51" s="12">
        <v>0</v>
      </c>
      <c r="C51" s="12">
        <v>0</v>
      </c>
      <c r="D51" s="12">
        <v>0</v>
      </c>
      <c r="E51" s="12">
        <v>-993131.12</v>
      </c>
      <c r="F51" s="12">
        <v>0</v>
      </c>
      <c r="G51" s="12">
        <v>0</v>
      </c>
      <c r="H51" s="12">
        <f t="shared" si="6"/>
        <v>-993131.12</v>
      </c>
    </row>
    <row r="52" spans="1:8" x14ac:dyDescent="0.2">
      <c r="A52" s="13" t="s">
        <v>59</v>
      </c>
      <c r="B52" s="14">
        <f t="shared" ref="B52:H52" si="7">SUM(B46:B51)</f>
        <v>-14120</v>
      </c>
      <c r="C52" s="14">
        <f t="shared" si="7"/>
        <v>-2700691.3958964199</v>
      </c>
      <c r="D52" s="14">
        <f t="shared" si="7"/>
        <v>-1213366.0997649999</v>
      </c>
      <c r="E52" s="14">
        <f t="shared" si="7"/>
        <v>-993131.12</v>
      </c>
      <c r="F52" s="14">
        <f t="shared" si="7"/>
        <v>-549676.90999999992</v>
      </c>
      <c r="G52" s="14">
        <f t="shared" si="7"/>
        <v>-60739.249999999993</v>
      </c>
      <c r="H52" s="14">
        <f t="shared" si="7"/>
        <v>-5531724.7756614191</v>
      </c>
    </row>
    <row r="53" spans="1:8" x14ac:dyDescent="0.2">
      <c r="A53" s="15" t="s">
        <v>60</v>
      </c>
      <c r="B53" s="14">
        <f t="shared" ref="B53:H53" si="8">B44+B52</f>
        <v>-14120</v>
      </c>
      <c r="C53" s="14">
        <f t="shared" si="8"/>
        <v>-2700691.3973943498</v>
      </c>
      <c r="D53" s="14">
        <f t="shared" si="8"/>
        <v>-1229591.8433649999</v>
      </c>
      <c r="E53" s="14">
        <f t="shared" si="8"/>
        <v>-993131.12</v>
      </c>
      <c r="F53" s="14">
        <f t="shared" si="8"/>
        <v>-965100.39999999991</v>
      </c>
      <c r="G53" s="14">
        <f t="shared" si="8"/>
        <v>-60735.049999999996</v>
      </c>
      <c r="H53" s="14">
        <f t="shared" si="8"/>
        <v>-5963369.8107593488</v>
      </c>
    </row>
    <row r="54" spans="1:8" x14ac:dyDescent="0.2">
      <c r="A54" s="16" t="s">
        <v>61</v>
      </c>
      <c r="B54" s="14">
        <f t="shared" ref="B54:H54" si="9">B36+B53</f>
        <v>69356.760000000009</v>
      </c>
      <c r="C54" s="14">
        <f t="shared" si="9"/>
        <v>605984.82877457002</v>
      </c>
      <c r="D54" s="14">
        <f t="shared" si="9"/>
        <v>723616.23963554995</v>
      </c>
      <c r="E54" s="14">
        <f t="shared" si="9"/>
        <v>713325.7300000001</v>
      </c>
      <c r="F54" s="14">
        <f t="shared" si="9"/>
        <v>15270875.550000001</v>
      </c>
      <c r="G54" s="14">
        <f t="shared" si="9"/>
        <v>64444.77</v>
      </c>
      <c r="H54" s="14">
        <f t="shared" si="9"/>
        <v>17447603.878410123</v>
      </c>
    </row>
    <row r="55" spans="1:8" x14ac:dyDescent="0.2">
      <c r="A55" s="8" t="s">
        <v>62</v>
      </c>
      <c r="B55" s="6"/>
      <c r="C55" s="6"/>
      <c r="D55" s="6"/>
      <c r="E55" s="6"/>
      <c r="F55" s="6"/>
      <c r="G55" s="6"/>
      <c r="H55" s="6"/>
    </row>
    <row r="56" spans="1:8" x14ac:dyDescent="0.2">
      <c r="A56" s="9" t="s">
        <v>63</v>
      </c>
      <c r="B56" s="6"/>
      <c r="C56" s="6"/>
      <c r="D56" s="6"/>
      <c r="E56" s="6"/>
      <c r="F56" s="6"/>
      <c r="G56" s="6"/>
      <c r="H56" s="6"/>
    </row>
    <row r="57" spans="1:8" x14ac:dyDescent="0.2">
      <c r="A57" s="10" t="s">
        <v>64</v>
      </c>
      <c r="B57" s="6"/>
      <c r="C57" s="6"/>
      <c r="D57" s="6"/>
      <c r="E57" s="6"/>
      <c r="F57" s="6"/>
      <c r="G57" s="6"/>
      <c r="H57" s="6"/>
    </row>
    <row r="58" spans="1:8" x14ac:dyDescent="0.2">
      <c r="A58" s="11" t="s">
        <v>65</v>
      </c>
      <c r="B58" s="12">
        <v>-72.599999999999994</v>
      </c>
      <c r="C58" s="12">
        <v>-27739.085156149999</v>
      </c>
      <c r="D58" s="12">
        <v>0</v>
      </c>
      <c r="E58" s="12">
        <v>0</v>
      </c>
      <c r="F58" s="12">
        <v>-751.88</v>
      </c>
      <c r="G58" s="12">
        <v>0</v>
      </c>
      <c r="H58" s="12">
        <f t="shared" ref="H58:H65" si="10">SUM(B58:G58)</f>
        <v>-28563.565156149998</v>
      </c>
    </row>
    <row r="59" spans="1:8" x14ac:dyDescent="0.2">
      <c r="A59" s="11" t="s">
        <v>66</v>
      </c>
      <c r="B59" s="12">
        <v>-209.16</v>
      </c>
      <c r="C59" s="12">
        <v>0</v>
      </c>
      <c r="D59" s="12">
        <v>0</v>
      </c>
      <c r="E59" s="12">
        <v>0</v>
      </c>
      <c r="F59" s="12">
        <v>-24803.11</v>
      </c>
      <c r="G59" s="12">
        <v>0</v>
      </c>
      <c r="H59" s="12">
        <f t="shared" si="10"/>
        <v>-25012.27</v>
      </c>
    </row>
    <row r="60" spans="1:8" x14ac:dyDescent="0.2">
      <c r="A60" s="11" t="s">
        <v>67</v>
      </c>
      <c r="B60" s="12">
        <v>0</v>
      </c>
      <c r="C60" s="12">
        <v>0</v>
      </c>
      <c r="D60" s="12">
        <v>0</v>
      </c>
      <c r="E60" s="12">
        <v>-31927.72</v>
      </c>
      <c r="F60" s="12">
        <v>-95908.2</v>
      </c>
      <c r="G60" s="12">
        <v>0</v>
      </c>
      <c r="H60" s="12">
        <f t="shared" si="10"/>
        <v>-127835.92</v>
      </c>
    </row>
    <row r="61" spans="1:8" x14ac:dyDescent="0.2">
      <c r="A61" s="11" t="s">
        <v>68</v>
      </c>
      <c r="B61" s="12">
        <v>0</v>
      </c>
      <c r="C61" s="12">
        <v>0</v>
      </c>
      <c r="D61" s="12">
        <v>0</v>
      </c>
      <c r="E61" s="12">
        <v>0</v>
      </c>
      <c r="F61" s="12">
        <v>-3860.49</v>
      </c>
      <c r="G61" s="12">
        <v>0</v>
      </c>
      <c r="H61" s="12">
        <f t="shared" si="10"/>
        <v>-3860.49</v>
      </c>
    </row>
    <row r="62" spans="1:8" x14ac:dyDescent="0.2">
      <c r="A62" s="11" t="s">
        <v>69</v>
      </c>
      <c r="B62" s="12">
        <v>-6040.88</v>
      </c>
      <c r="C62" s="12">
        <v>-44.952462199999999</v>
      </c>
      <c r="D62" s="12">
        <v>-38647.500911536001</v>
      </c>
      <c r="E62" s="12">
        <v>-88549.82</v>
      </c>
      <c r="F62" s="12">
        <v>-1333454.83</v>
      </c>
      <c r="G62" s="12">
        <v>0</v>
      </c>
      <c r="H62" s="12">
        <f t="shared" si="10"/>
        <v>-1466737.983373736</v>
      </c>
    </row>
    <row r="63" spans="1:8" x14ac:dyDescent="0.2">
      <c r="A63" s="11" t="s">
        <v>70</v>
      </c>
      <c r="B63" s="12">
        <v>0</v>
      </c>
      <c r="C63" s="12">
        <v>0</v>
      </c>
      <c r="D63" s="12">
        <v>0</v>
      </c>
      <c r="E63" s="12">
        <v>0</v>
      </c>
      <c r="F63" s="12">
        <v>-107.67</v>
      </c>
      <c r="G63" s="12">
        <v>0</v>
      </c>
      <c r="H63" s="12">
        <f t="shared" si="10"/>
        <v>-107.67</v>
      </c>
    </row>
    <row r="64" spans="1:8" x14ac:dyDescent="0.2">
      <c r="A64" s="11" t="s">
        <v>71</v>
      </c>
      <c r="B64" s="12">
        <v>-1900</v>
      </c>
      <c r="C64" s="12">
        <v>0</v>
      </c>
      <c r="D64" s="12">
        <v>0</v>
      </c>
      <c r="E64" s="12">
        <v>0</v>
      </c>
      <c r="F64" s="12">
        <v>-32988.57</v>
      </c>
      <c r="G64" s="12">
        <v>0</v>
      </c>
      <c r="H64" s="12">
        <f t="shared" si="10"/>
        <v>-34888.57</v>
      </c>
    </row>
    <row r="65" spans="1:8" x14ac:dyDescent="0.2">
      <c r="A65" s="11" t="s">
        <v>72</v>
      </c>
      <c r="B65" s="12">
        <v>0</v>
      </c>
      <c r="C65" s="12">
        <v>0</v>
      </c>
      <c r="D65" s="12">
        <v>0</v>
      </c>
      <c r="E65" s="12">
        <v>0</v>
      </c>
      <c r="F65" s="12">
        <v>-4900.6499999999996</v>
      </c>
      <c r="G65" s="12">
        <v>0</v>
      </c>
      <c r="H65" s="12">
        <f t="shared" si="10"/>
        <v>-4900.6499999999996</v>
      </c>
    </row>
    <row r="66" spans="1:8" x14ac:dyDescent="0.2">
      <c r="A66" s="13" t="s">
        <v>73</v>
      </c>
      <c r="B66" s="14">
        <f t="shared" ref="B66:H66" si="11">SUM(B58:B65)</f>
        <v>-8222.64</v>
      </c>
      <c r="C66" s="14">
        <f t="shared" si="11"/>
        <v>-27784.037618349998</v>
      </c>
      <c r="D66" s="14">
        <f t="shared" si="11"/>
        <v>-38647.500911536001</v>
      </c>
      <c r="E66" s="14">
        <f t="shared" si="11"/>
        <v>-120477.54000000001</v>
      </c>
      <c r="F66" s="14">
        <f t="shared" si="11"/>
        <v>-1496775.4</v>
      </c>
      <c r="G66" s="14">
        <f t="shared" si="11"/>
        <v>0</v>
      </c>
      <c r="H66" s="14">
        <f t="shared" si="11"/>
        <v>-1691907.118529886</v>
      </c>
    </row>
    <row r="67" spans="1:8" x14ac:dyDescent="0.2">
      <c r="A67" s="10" t="s">
        <v>74</v>
      </c>
      <c r="B67" s="6"/>
      <c r="C67" s="6"/>
      <c r="D67" s="6"/>
      <c r="E67" s="6"/>
      <c r="F67" s="6"/>
      <c r="G67" s="6"/>
      <c r="H67" s="6"/>
    </row>
    <row r="68" spans="1:8" x14ac:dyDescent="0.2">
      <c r="A68" s="11" t="s">
        <v>75</v>
      </c>
      <c r="B68" s="12">
        <v>0</v>
      </c>
      <c r="C68" s="12">
        <v>0</v>
      </c>
      <c r="D68" s="12">
        <v>0</v>
      </c>
      <c r="E68" s="12">
        <v>0</v>
      </c>
      <c r="F68" s="12">
        <v>38000</v>
      </c>
      <c r="G68" s="12">
        <v>0</v>
      </c>
      <c r="H68" s="12">
        <f t="shared" ref="H68:H81" si="12">SUM(B68:G68)</f>
        <v>38000</v>
      </c>
    </row>
    <row r="69" spans="1:8" x14ac:dyDescent="0.2">
      <c r="A69" s="11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-9244.07</v>
      </c>
      <c r="G69" s="12">
        <v>0</v>
      </c>
      <c r="H69" s="12">
        <f t="shared" si="12"/>
        <v>-9244.07</v>
      </c>
    </row>
    <row r="70" spans="1:8" x14ac:dyDescent="0.2">
      <c r="A70" s="11" t="s">
        <v>77</v>
      </c>
      <c r="B70" s="12">
        <v>0</v>
      </c>
      <c r="C70" s="12">
        <v>0</v>
      </c>
      <c r="D70" s="12">
        <v>1446.5764151999999</v>
      </c>
      <c r="E70" s="12">
        <v>0</v>
      </c>
      <c r="F70" s="12">
        <v>-8387.08</v>
      </c>
      <c r="G70" s="12">
        <v>0</v>
      </c>
      <c r="H70" s="12">
        <f t="shared" si="12"/>
        <v>-6940.5035847999998</v>
      </c>
    </row>
    <row r="71" spans="1:8" x14ac:dyDescent="0.2">
      <c r="A71" s="11" t="s">
        <v>78</v>
      </c>
      <c r="B71" s="12">
        <v>0</v>
      </c>
      <c r="C71" s="12">
        <v>0</v>
      </c>
      <c r="D71" s="12">
        <v>0</v>
      </c>
      <c r="E71" s="12">
        <v>0</v>
      </c>
      <c r="F71" s="12">
        <v>-1645.41</v>
      </c>
      <c r="G71" s="12">
        <v>0</v>
      </c>
      <c r="H71" s="12">
        <f t="shared" si="12"/>
        <v>-1645.41</v>
      </c>
    </row>
    <row r="72" spans="1:8" x14ac:dyDescent="0.2">
      <c r="A72" s="11" t="s">
        <v>79</v>
      </c>
      <c r="B72" s="12">
        <v>0</v>
      </c>
      <c r="C72" s="12">
        <v>0</v>
      </c>
      <c r="D72" s="12">
        <v>0</v>
      </c>
      <c r="E72" s="12">
        <v>0</v>
      </c>
      <c r="F72" s="12">
        <v>-25416</v>
      </c>
      <c r="G72" s="12">
        <v>0</v>
      </c>
      <c r="H72" s="12">
        <f t="shared" si="12"/>
        <v>-25416</v>
      </c>
    </row>
    <row r="73" spans="1:8" x14ac:dyDescent="0.2">
      <c r="A73" s="11" t="s">
        <v>80</v>
      </c>
      <c r="B73" s="12">
        <v>0</v>
      </c>
      <c r="C73" s="12">
        <v>0</v>
      </c>
      <c r="D73" s="12">
        <v>0</v>
      </c>
      <c r="E73" s="12">
        <v>0</v>
      </c>
      <c r="F73" s="12">
        <v>-85801.81</v>
      </c>
      <c r="G73" s="12">
        <v>0</v>
      </c>
      <c r="H73" s="12">
        <f t="shared" si="12"/>
        <v>-85801.81</v>
      </c>
    </row>
    <row r="74" spans="1:8" x14ac:dyDescent="0.2">
      <c r="A74" s="11" t="s">
        <v>81</v>
      </c>
      <c r="B74" s="12">
        <v>0</v>
      </c>
      <c r="C74" s="12">
        <v>0</v>
      </c>
      <c r="D74" s="12">
        <v>0</v>
      </c>
      <c r="E74" s="12">
        <v>0</v>
      </c>
      <c r="F74" s="12">
        <v>-665876.73</v>
      </c>
      <c r="G74" s="12">
        <v>0</v>
      </c>
      <c r="H74" s="12">
        <f t="shared" si="12"/>
        <v>-665876.73</v>
      </c>
    </row>
    <row r="75" spans="1:8" x14ac:dyDescent="0.2">
      <c r="A75" s="11" t="s">
        <v>82</v>
      </c>
      <c r="B75" s="12">
        <v>0</v>
      </c>
      <c r="C75" s="12">
        <v>0</v>
      </c>
      <c r="D75" s="12">
        <v>0</v>
      </c>
      <c r="E75" s="12">
        <v>0</v>
      </c>
      <c r="F75" s="12">
        <v>3000.21</v>
      </c>
      <c r="G75" s="12">
        <v>0</v>
      </c>
      <c r="H75" s="12">
        <f t="shared" si="12"/>
        <v>3000.21</v>
      </c>
    </row>
    <row r="76" spans="1:8" x14ac:dyDescent="0.2">
      <c r="A76" s="11" t="s">
        <v>83</v>
      </c>
      <c r="B76" s="12">
        <v>508.93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f t="shared" si="12"/>
        <v>508.93</v>
      </c>
    </row>
    <row r="77" spans="1:8" x14ac:dyDescent="0.2">
      <c r="A77" s="11" t="s">
        <v>84</v>
      </c>
      <c r="B77" s="12">
        <v>-28716.68</v>
      </c>
      <c r="C77" s="12">
        <v>-222439.0523635</v>
      </c>
      <c r="D77" s="12">
        <v>-456986.93491070799</v>
      </c>
      <c r="E77" s="12">
        <v>-464993.68</v>
      </c>
      <c r="F77" s="12">
        <v>-6975347.9900000002</v>
      </c>
      <c r="G77" s="12">
        <v>0</v>
      </c>
      <c r="H77" s="12">
        <f t="shared" si="12"/>
        <v>-8148484.3372742087</v>
      </c>
    </row>
    <row r="78" spans="1:8" x14ac:dyDescent="0.2">
      <c r="A78" s="11" t="s">
        <v>85</v>
      </c>
      <c r="B78" s="12">
        <v>0</v>
      </c>
      <c r="C78" s="12">
        <v>0</v>
      </c>
      <c r="D78" s="12">
        <v>0</v>
      </c>
      <c r="E78" s="12">
        <v>0</v>
      </c>
      <c r="F78" s="12">
        <v>-1316996.51</v>
      </c>
      <c r="G78" s="12">
        <v>0</v>
      </c>
      <c r="H78" s="12">
        <f t="shared" si="12"/>
        <v>-1316996.51</v>
      </c>
    </row>
    <row r="79" spans="1:8" x14ac:dyDescent="0.2">
      <c r="A79" s="11" t="s">
        <v>86</v>
      </c>
      <c r="B79" s="12">
        <v>0</v>
      </c>
      <c r="C79" s="12">
        <v>-29024.001050359999</v>
      </c>
      <c r="D79" s="12">
        <v>0</v>
      </c>
      <c r="E79" s="12">
        <v>0</v>
      </c>
      <c r="F79" s="12">
        <v>-128753.51</v>
      </c>
      <c r="G79" s="12">
        <v>0</v>
      </c>
      <c r="H79" s="12">
        <f t="shared" si="12"/>
        <v>-157777.51105035999</v>
      </c>
    </row>
    <row r="80" spans="1:8" x14ac:dyDescent="0.2">
      <c r="A80" s="11" t="s">
        <v>87</v>
      </c>
      <c r="B80" s="12">
        <v>-136</v>
      </c>
      <c r="C80" s="12">
        <v>0</v>
      </c>
      <c r="D80" s="12">
        <v>0</v>
      </c>
      <c r="E80" s="12">
        <v>0</v>
      </c>
      <c r="F80" s="12">
        <v>-51532.22</v>
      </c>
      <c r="G80" s="12">
        <v>0</v>
      </c>
      <c r="H80" s="12">
        <f t="shared" si="12"/>
        <v>-51668.22</v>
      </c>
    </row>
    <row r="81" spans="1:8" x14ac:dyDescent="0.2">
      <c r="A81" s="11" t="s">
        <v>88</v>
      </c>
      <c r="B81" s="12">
        <v>0</v>
      </c>
      <c r="C81" s="12">
        <v>0</v>
      </c>
      <c r="D81" s="12">
        <v>0</v>
      </c>
      <c r="E81" s="12">
        <v>-1131.82</v>
      </c>
      <c r="F81" s="12">
        <v>-15190.71</v>
      </c>
      <c r="G81" s="12">
        <v>0</v>
      </c>
      <c r="H81" s="12">
        <f t="shared" si="12"/>
        <v>-16322.529999999999</v>
      </c>
    </row>
    <row r="82" spans="1:8" x14ac:dyDescent="0.2">
      <c r="A82" s="13" t="s">
        <v>89</v>
      </c>
      <c r="B82" s="14">
        <f t="shared" ref="B82:H82" si="13">SUM(B68:B81)</f>
        <v>-28343.75</v>
      </c>
      <c r="C82" s="14">
        <f t="shared" si="13"/>
        <v>-251463.05341386001</v>
      </c>
      <c r="D82" s="14">
        <f t="shared" si="13"/>
        <v>-455540.35849550797</v>
      </c>
      <c r="E82" s="14">
        <f t="shared" si="13"/>
        <v>-466125.5</v>
      </c>
      <c r="F82" s="14">
        <f t="shared" si="13"/>
        <v>-9243191.8300000019</v>
      </c>
      <c r="G82" s="14">
        <f t="shared" si="13"/>
        <v>0</v>
      </c>
      <c r="H82" s="14">
        <f t="shared" si="13"/>
        <v>-10444664.491909368</v>
      </c>
    </row>
    <row r="83" spans="1:8" x14ac:dyDescent="0.2">
      <c r="A83" s="15" t="s">
        <v>90</v>
      </c>
      <c r="B83" s="14">
        <f t="shared" ref="B83:H83" si="14">B66+B82</f>
        <v>-36566.39</v>
      </c>
      <c r="C83" s="14">
        <f t="shared" si="14"/>
        <v>-279247.09103220998</v>
      </c>
      <c r="D83" s="14">
        <f t="shared" si="14"/>
        <v>-494187.85940704396</v>
      </c>
      <c r="E83" s="14">
        <f t="shared" si="14"/>
        <v>-586603.04</v>
      </c>
      <c r="F83" s="14">
        <f t="shared" si="14"/>
        <v>-10739967.230000002</v>
      </c>
      <c r="G83" s="14">
        <f t="shared" si="14"/>
        <v>0</v>
      </c>
      <c r="H83" s="14">
        <f t="shared" si="14"/>
        <v>-12136571.610439254</v>
      </c>
    </row>
    <row r="84" spans="1:8" x14ac:dyDescent="0.2">
      <c r="A84" s="9" t="s">
        <v>91</v>
      </c>
      <c r="B84" s="6"/>
      <c r="C84" s="6"/>
      <c r="D84" s="6"/>
      <c r="E84" s="6"/>
      <c r="F84" s="6"/>
      <c r="G84" s="6"/>
      <c r="H84" s="6"/>
    </row>
    <row r="85" spans="1:8" x14ac:dyDescent="0.2">
      <c r="A85" s="10" t="s">
        <v>92</v>
      </c>
      <c r="B85" s="6"/>
      <c r="C85" s="6"/>
      <c r="D85" s="6"/>
      <c r="E85" s="6"/>
      <c r="F85" s="6"/>
      <c r="G85" s="6"/>
      <c r="H85" s="6"/>
    </row>
    <row r="86" spans="1:8" x14ac:dyDescent="0.2">
      <c r="A86" s="11" t="s">
        <v>93</v>
      </c>
      <c r="B86" s="12">
        <v>0</v>
      </c>
      <c r="C86" s="12">
        <v>0</v>
      </c>
      <c r="D86" s="12">
        <v>0</v>
      </c>
      <c r="E86" s="12">
        <v>0</v>
      </c>
      <c r="F86" s="12">
        <v>-466.68</v>
      </c>
      <c r="G86" s="12">
        <v>0</v>
      </c>
      <c r="H86" s="12">
        <f>SUM(B86:G86)</f>
        <v>-466.68</v>
      </c>
    </row>
    <row r="87" spans="1:8" x14ac:dyDescent="0.2">
      <c r="A87" s="11" t="s">
        <v>94</v>
      </c>
      <c r="B87" s="12">
        <v>0</v>
      </c>
      <c r="C87" s="12">
        <v>0</v>
      </c>
      <c r="D87" s="12">
        <v>0</v>
      </c>
      <c r="E87" s="12">
        <v>-88.16</v>
      </c>
      <c r="F87" s="12">
        <v>-799.98</v>
      </c>
      <c r="G87" s="12">
        <v>-26507.66</v>
      </c>
      <c r="H87" s="12">
        <f>SUM(B87:G87)</f>
        <v>-27395.8</v>
      </c>
    </row>
    <row r="88" spans="1:8" x14ac:dyDescent="0.2">
      <c r="A88" s="11" t="s">
        <v>95</v>
      </c>
      <c r="B88" s="12">
        <v>0</v>
      </c>
      <c r="C88" s="12">
        <v>0</v>
      </c>
      <c r="D88" s="12">
        <v>0</v>
      </c>
      <c r="E88" s="12">
        <v>0</v>
      </c>
      <c r="F88" s="12">
        <v>-8879.2800000000007</v>
      </c>
      <c r="G88" s="12">
        <v>0</v>
      </c>
      <c r="H88" s="12">
        <f>SUM(B88:G88)</f>
        <v>-8879.2800000000007</v>
      </c>
    </row>
    <row r="89" spans="1:8" x14ac:dyDescent="0.2">
      <c r="A89" s="11" t="s">
        <v>96</v>
      </c>
      <c r="B89" s="12">
        <v>0</v>
      </c>
      <c r="C89" s="12">
        <v>0</v>
      </c>
      <c r="D89" s="12">
        <v>0</v>
      </c>
      <c r="E89" s="12">
        <v>-1525.6</v>
      </c>
      <c r="F89" s="12">
        <v>-2910.23</v>
      </c>
      <c r="G89" s="12">
        <v>-11286.18</v>
      </c>
      <c r="H89" s="12">
        <f>SUM(B89:G89)</f>
        <v>-15722.01</v>
      </c>
    </row>
    <row r="90" spans="1:8" x14ac:dyDescent="0.2">
      <c r="A90" s="13" t="s">
        <v>97</v>
      </c>
      <c r="B90" s="14">
        <f t="shared" ref="B90:H90" si="15">SUM(B86:B89)</f>
        <v>0</v>
      </c>
      <c r="C90" s="14">
        <f t="shared" si="15"/>
        <v>0</v>
      </c>
      <c r="D90" s="14">
        <f t="shared" si="15"/>
        <v>0</v>
      </c>
      <c r="E90" s="14">
        <f t="shared" si="15"/>
        <v>-1613.76</v>
      </c>
      <c r="F90" s="14">
        <f t="shared" si="15"/>
        <v>-13056.17</v>
      </c>
      <c r="G90" s="14">
        <f t="shared" si="15"/>
        <v>-37793.839999999997</v>
      </c>
      <c r="H90" s="14">
        <f t="shared" si="15"/>
        <v>-52463.770000000004</v>
      </c>
    </row>
    <row r="91" spans="1:8" x14ac:dyDescent="0.2">
      <c r="A91" s="15" t="s">
        <v>98</v>
      </c>
      <c r="B91" s="14">
        <f t="shared" ref="B91:H91" si="16">B90+0</f>
        <v>0</v>
      </c>
      <c r="C91" s="14">
        <f t="shared" si="16"/>
        <v>0</v>
      </c>
      <c r="D91" s="14">
        <f t="shared" si="16"/>
        <v>0</v>
      </c>
      <c r="E91" s="14">
        <f t="shared" si="16"/>
        <v>-1613.76</v>
      </c>
      <c r="F91" s="14">
        <f t="shared" si="16"/>
        <v>-13056.17</v>
      </c>
      <c r="G91" s="14">
        <f t="shared" si="16"/>
        <v>-37793.839999999997</v>
      </c>
      <c r="H91" s="14">
        <f t="shared" si="16"/>
        <v>-52463.770000000004</v>
      </c>
    </row>
    <row r="92" spans="1:8" x14ac:dyDescent="0.2">
      <c r="A92" s="9" t="s">
        <v>99</v>
      </c>
      <c r="B92" s="6"/>
      <c r="C92" s="6"/>
      <c r="D92" s="6"/>
      <c r="E92" s="6"/>
      <c r="F92" s="6"/>
      <c r="G92" s="6"/>
      <c r="H92" s="6"/>
    </row>
    <row r="93" spans="1:8" x14ac:dyDescent="0.2">
      <c r="A93" s="17" t="s">
        <v>100</v>
      </c>
      <c r="B93" s="12">
        <v>0</v>
      </c>
      <c r="C93" s="12">
        <v>0</v>
      </c>
      <c r="D93" s="12">
        <v>-18577.646242170002</v>
      </c>
      <c r="E93" s="12">
        <v>-850</v>
      </c>
      <c r="F93" s="12">
        <v>-4816.34</v>
      </c>
      <c r="G93" s="12">
        <v>0</v>
      </c>
      <c r="H93" s="12">
        <f t="shared" ref="H93:H124" si="17">SUM(B93:G93)</f>
        <v>-24243.986242170002</v>
      </c>
    </row>
    <row r="94" spans="1:8" x14ac:dyDescent="0.2">
      <c r="A94" s="17" t="s">
        <v>101</v>
      </c>
      <c r="B94" s="12">
        <v>0</v>
      </c>
      <c r="C94" s="12">
        <v>0</v>
      </c>
      <c r="D94" s="12">
        <v>0</v>
      </c>
      <c r="E94" s="12">
        <v>0</v>
      </c>
      <c r="F94" s="12">
        <v>-13663.69</v>
      </c>
      <c r="G94" s="12">
        <v>0</v>
      </c>
      <c r="H94" s="12">
        <f t="shared" si="17"/>
        <v>-13663.69</v>
      </c>
    </row>
    <row r="95" spans="1:8" x14ac:dyDescent="0.2">
      <c r="A95" s="17" t="s">
        <v>102</v>
      </c>
      <c r="B95" s="12">
        <v>-7200</v>
      </c>
      <c r="C95" s="12">
        <v>-12140.621964559999</v>
      </c>
      <c r="D95" s="12">
        <v>0</v>
      </c>
      <c r="E95" s="12">
        <v>0</v>
      </c>
      <c r="F95" s="12">
        <v>0</v>
      </c>
      <c r="G95" s="12">
        <v>-9600</v>
      </c>
      <c r="H95" s="12">
        <f t="shared" si="17"/>
        <v>-28940.621964559999</v>
      </c>
    </row>
    <row r="96" spans="1:8" x14ac:dyDescent="0.2">
      <c r="A96" s="17" t="s">
        <v>103</v>
      </c>
      <c r="B96" s="12">
        <v>0</v>
      </c>
      <c r="C96" s="12">
        <v>0</v>
      </c>
      <c r="D96" s="12">
        <v>0</v>
      </c>
      <c r="E96" s="12">
        <v>0</v>
      </c>
      <c r="F96" s="12">
        <v>-35685.97</v>
      </c>
      <c r="G96" s="12">
        <v>0</v>
      </c>
      <c r="H96" s="12">
        <f t="shared" si="17"/>
        <v>-35685.97</v>
      </c>
    </row>
    <row r="97" spans="1:8" x14ac:dyDescent="0.2">
      <c r="A97" s="17" t="s">
        <v>104</v>
      </c>
      <c r="B97" s="12">
        <v>0</v>
      </c>
      <c r="C97" s="12">
        <v>0</v>
      </c>
      <c r="D97" s="12">
        <v>0</v>
      </c>
      <c r="E97" s="12">
        <v>0</v>
      </c>
      <c r="F97" s="12">
        <v>-7680</v>
      </c>
      <c r="G97" s="12">
        <v>0</v>
      </c>
      <c r="H97" s="12">
        <f t="shared" si="17"/>
        <v>-7680</v>
      </c>
    </row>
    <row r="98" spans="1:8" x14ac:dyDescent="0.2">
      <c r="A98" s="17" t="s">
        <v>105</v>
      </c>
      <c r="B98" s="12">
        <v>-663.06</v>
      </c>
      <c r="C98" s="12">
        <v>-116.33238776</v>
      </c>
      <c r="D98" s="12">
        <v>-667.75643000000002</v>
      </c>
      <c r="E98" s="12">
        <v>-409.95</v>
      </c>
      <c r="F98" s="12">
        <v>-36427.300000000003</v>
      </c>
      <c r="G98" s="12">
        <v>-43.49</v>
      </c>
      <c r="H98" s="12">
        <f t="shared" si="17"/>
        <v>-38327.888817760002</v>
      </c>
    </row>
    <row r="99" spans="1:8" x14ac:dyDescent="0.2">
      <c r="A99" s="17" t="s">
        <v>106</v>
      </c>
      <c r="B99" s="12">
        <v>0</v>
      </c>
      <c r="C99" s="12">
        <v>0</v>
      </c>
      <c r="D99" s="12">
        <v>0</v>
      </c>
      <c r="E99" s="12">
        <v>0</v>
      </c>
      <c r="F99" s="12">
        <v>403.89</v>
      </c>
      <c r="G99" s="12">
        <v>0</v>
      </c>
      <c r="H99" s="12">
        <f t="shared" si="17"/>
        <v>403.89</v>
      </c>
    </row>
    <row r="100" spans="1:8" x14ac:dyDescent="0.2">
      <c r="A100" s="17" t="s">
        <v>107</v>
      </c>
      <c r="B100" s="12">
        <v>0</v>
      </c>
      <c r="C100" s="12">
        <v>100.60072888000001</v>
      </c>
      <c r="D100" s="12">
        <v>0</v>
      </c>
      <c r="E100" s="12">
        <v>0</v>
      </c>
      <c r="F100" s="12">
        <v>-39504.870000000003</v>
      </c>
      <c r="G100" s="12">
        <v>0</v>
      </c>
      <c r="H100" s="12">
        <f t="shared" si="17"/>
        <v>-39404.26927112</v>
      </c>
    </row>
    <row r="101" spans="1:8" x14ac:dyDescent="0.2">
      <c r="A101" s="17" t="s">
        <v>108</v>
      </c>
      <c r="B101" s="12">
        <v>0</v>
      </c>
      <c r="C101" s="12">
        <v>0</v>
      </c>
      <c r="D101" s="12">
        <v>0</v>
      </c>
      <c r="E101" s="12">
        <v>0</v>
      </c>
      <c r="F101" s="12">
        <v>-1120</v>
      </c>
      <c r="G101" s="12">
        <v>0</v>
      </c>
      <c r="H101" s="12">
        <f t="shared" si="17"/>
        <v>-1120</v>
      </c>
    </row>
    <row r="102" spans="1:8" x14ac:dyDescent="0.2">
      <c r="A102" s="17" t="s">
        <v>109</v>
      </c>
      <c r="B102" s="12">
        <v>0</v>
      </c>
      <c r="C102" s="12">
        <v>0</v>
      </c>
      <c r="D102" s="12">
        <v>0</v>
      </c>
      <c r="E102" s="12">
        <v>0</v>
      </c>
      <c r="F102" s="12">
        <v>-22843.41</v>
      </c>
      <c r="G102" s="12">
        <v>0</v>
      </c>
      <c r="H102" s="12">
        <f t="shared" si="17"/>
        <v>-22843.41</v>
      </c>
    </row>
    <row r="103" spans="1:8" x14ac:dyDescent="0.2">
      <c r="A103" s="17" t="s">
        <v>110</v>
      </c>
      <c r="B103" s="12">
        <v>0</v>
      </c>
      <c r="C103" s="12">
        <v>0</v>
      </c>
      <c r="D103" s="12">
        <v>0</v>
      </c>
      <c r="E103" s="12">
        <v>0</v>
      </c>
      <c r="F103" s="12">
        <v>-2256.8000000000002</v>
      </c>
      <c r="G103" s="12">
        <v>0</v>
      </c>
      <c r="H103" s="12">
        <f t="shared" si="17"/>
        <v>-2256.8000000000002</v>
      </c>
    </row>
    <row r="104" spans="1:8" x14ac:dyDescent="0.2">
      <c r="A104" s="17" t="s">
        <v>111</v>
      </c>
      <c r="B104" s="12">
        <v>0</v>
      </c>
      <c r="C104" s="12">
        <v>0</v>
      </c>
      <c r="D104" s="12">
        <v>0</v>
      </c>
      <c r="E104" s="12">
        <v>-7850.34</v>
      </c>
      <c r="F104" s="12">
        <v>-131537.23000000001</v>
      </c>
      <c r="G104" s="12">
        <v>0</v>
      </c>
      <c r="H104" s="12">
        <f t="shared" si="17"/>
        <v>-139387.57</v>
      </c>
    </row>
    <row r="105" spans="1:8" x14ac:dyDescent="0.2">
      <c r="A105" s="17" t="s">
        <v>112</v>
      </c>
      <c r="B105" s="12">
        <v>0</v>
      </c>
      <c r="C105" s="12">
        <v>0</v>
      </c>
      <c r="D105" s="12">
        <v>0</v>
      </c>
      <c r="E105" s="12">
        <v>0</v>
      </c>
      <c r="F105" s="12">
        <v>-58665.42</v>
      </c>
      <c r="G105" s="12">
        <v>0</v>
      </c>
      <c r="H105" s="12">
        <f t="shared" si="17"/>
        <v>-58665.42</v>
      </c>
    </row>
    <row r="106" spans="1:8" x14ac:dyDescent="0.2">
      <c r="A106" s="17" t="s">
        <v>113</v>
      </c>
      <c r="B106" s="12">
        <v>0</v>
      </c>
      <c r="C106" s="12">
        <v>0</v>
      </c>
      <c r="D106" s="12">
        <v>0</v>
      </c>
      <c r="E106" s="12">
        <v>-3452.93</v>
      </c>
      <c r="F106" s="12">
        <v>-22347.78</v>
      </c>
      <c r="G106" s="12">
        <v>0</v>
      </c>
      <c r="H106" s="12">
        <f t="shared" si="17"/>
        <v>-25800.71</v>
      </c>
    </row>
    <row r="107" spans="1:8" x14ac:dyDescent="0.2">
      <c r="A107" s="17" t="s">
        <v>114</v>
      </c>
      <c r="B107" s="12">
        <v>0</v>
      </c>
      <c r="C107" s="12">
        <v>0</v>
      </c>
      <c r="D107" s="12">
        <v>0</v>
      </c>
      <c r="E107" s="12">
        <v>0</v>
      </c>
      <c r="F107" s="12">
        <v>-66032.45</v>
      </c>
      <c r="G107" s="12">
        <v>0</v>
      </c>
      <c r="H107" s="12">
        <f t="shared" si="17"/>
        <v>-66032.45</v>
      </c>
    </row>
    <row r="108" spans="1:8" x14ac:dyDescent="0.2">
      <c r="A108" s="17" t="s">
        <v>115</v>
      </c>
      <c r="B108" s="12">
        <v>0</v>
      </c>
      <c r="C108" s="12">
        <v>0</v>
      </c>
      <c r="D108" s="12">
        <v>-7729.4015707799999</v>
      </c>
      <c r="E108" s="12">
        <v>0</v>
      </c>
      <c r="F108" s="12">
        <v>-3008.01</v>
      </c>
      <c r="G108" s="12">
        <v>0</v>
      </c>
      <c r="H108" s="12">
        <f t="shared" si="17"/>
        <v>-10737.411570780001</v>
      </c>
    </row>
    <row r="109" spans="1:8" x14ac:dyDescent="0.2">
      <c r="A109" s="17" t="s">
        <v>116</v>
      </c>
      <c r="B109" s="12">
        <v>0</v>
      </c>
      <c r="C109" s="12">
        <v>0</v>
      </c>
      <c r="D109" s="12">
        <v>-2925.98533</v>
      </c>
      <c r="E109" s="12">
        <v>0</v>
      </c>
      <c r="F109" s="12">
        <v>-44092.4</v>
      </c>
      <c r="G109" s="12">
        <v>0</v>
      </c>
      <c r="H109" s="12">
        <f t="shared" si="17"/>
        <v>-47018.385330000005</v>
      </c>
    </row>
    <row r="110" spans="1:8" x14ac:dyDescent="0.2">
      <c r="A110" s="17" t="s">
        <v>117</v>
      </c>
      <c r="B110" s="12">
        <v>0</v>
      </c>
      <c r="C110" s="12">
        <v>-79129.909634919997</v>
      </c>
      <c r="D110" s="12">
        <v>-21449.937366425998</v>
      </c>
      <c r="E110" s="12">
        <v>-9091.31</v>
      </c>
      <c r="F110" s="12">
        <v>-12874.65</v>
      </c>
      <c r="G110" s="12">
        <v>0</v>
      </c>
      <c r="H110" s="12">
        <f t="shared" si="17"/>
        <v>-122545.80700134599</v>
      </c>
    </row>
    <row r="111" spans="1:8" x14ac:dyDescent="0.2">
      <c r="A111" s="17" t="s">
        <v>118</v>
      </c>
      <c r="B111" s="12">
        <v>0</v>
      </c>
      <c r="C111" s="12">
        <v>0</v>
      </c>
      <c r="D111" s="12">
        <v>0</v>
      </c>
      <c r="E111" s="12">
        <v>0</v>
      </c>
      <c r="F111" s="12">
        <v>-3772.22</v>
      </c>
      <c r="G111" s="12">
        <v>0</v>
      </c>
      <c r="H111" s="12">
        <f t="shared" si="17"/>
        <v>-3772.22</v>
      </c>
    </row>
    <row r="112" spans="1:8" x14ac:dyDescent="0.2">
      <c r="A112" s="17" t="s">
        <v>119</v>
      </c>
      <c r="B112" s="12">
        <v>-8477.09</v>
      </c>
      <c r="C112" s="12">
        <v>0</v>
      </c>
      <c r="D112" s="12">
        <v>0</v>
      </c>
      <c r="E112" s="12">
        <v>0</v>
      </c>
      <c r="F112" s="12">
        <v>-44623.86</v>
      </c>
      <c r="G112" s="12">
        <v>0</v>
      </c>
      <c r="H112" s="12">
        <f t="shared" si="17"/>
        <v>-53100.95</v>
      </c>
    </row>
    <row r="113" spans="1:8" x14ac:dyDescent="0.2">
      <c r="A113" s="17" t="s">
        <v>120</v>
      </c>
      <c r="B113" s="12">
        <v>-74.89</v>
      </c>
      <c r="C113" s="12">
        <v>0</v>
      </c>
      <c r="D113" s="12">
        <v>0</v>
      </c>
      <c r="E113" s="12">
        <v>0</v>
      </c>
      <c r="F113" s="12">
        <v>-9923.85</v>
      </c>
      <c r="G113" s="12">
        <v>0</v>
      </c>
      <c r="H113" s="12">
        <f t="shared" si="17"/>
        <v>-9998.74</v>
      </c>
    </row>
    <row r="114" spans="1:8" x14ac:dyDescent="0.2">
      <c r="A114" s="17" t="s">
        <v>121</v>
      </c>
      <c r="B114" s="12">
        <v>0</v>
      </c>
      <c r="C114" s="12">
        <v>0</v>
      </c>
      <c r="D114" s="12">
        <v>0</v>
      </c>
      <c r="E114" s="12">
        <v>0</v>
      </c>
      <c r="F114" s="12">
        <v>-4100.24</v>
      </c>
      <c r="G114" s="12">
        <v>0</v>
      </c>
      <c r="H114" s="12">
        <f t="shared" si="17"/>
        <v>-4100.24</v>
      </c>
    </row>
    <row r="115" spans="1:8" x14ac:dyDescent="0.2">
      <c r="A115" s="17" t="s">
        <v>122</v>
      </c>
      <c r="B115" s="12">
        <v>0</v>
      </c>
      <c r="C115" s="12">
        <v>0</v>
      </c>
      <c r="D115" s="12">
        <v>0</v>
      </c>
      <c r="E115" s="12">
        <v>-585.76</v>
      </c>
      <c r="F115" s="12">
        <v>-94879.48</v>
      </c>
      <c r="G115" s="12">
        <v>0</v>
      </c>
      <c r="H115" s="12">
        <f t="shared" si="17"/>
        <v>-95465.239999999991</v>
      </c>
    </row>
    <row r="116" spans="1:8" x14ac:dyDescent="0.2">
      <c r="A116" s="17" t="s">
        <v>123</v>
      </c>
      <c r="B116" s="12">
        <v>0</v>
      </c>
      <c r="C116" s="12">
        <v>0</v>
      </c>
      <c r="D116" s="12">
        <v>0</v>
      </c>
      <c r="E116" s="12">
        <v>0</v>
      </c>
      <c r="F116" s="12">
        <v>-93.94</v>
      </c>
      <c r="G116" s="12">
        <v>0</v>
      </c>
      <c r="H116" s="12">
        <f t="shared" si="17"/>
        <v>-93.94</v>
      </c>
    </row>
    <row r="117" spans="1:8" x14ac:dyDescent="0.2">
      <c r="A117" s="17" t="s">
        <v>124</v>
      </c>
      <c r="B117" s="12">
        <v>0</v>
      </c>
      <c r="C117" s="12">
        <v>0</v>
      </c>
      <c r="D117" s="12">
        <v>0</v>
      </c>
      <c r="E117" s="12">
        <v>0</v>
      </c>
      <c r="F117" s="12">
        <v>-208.95</v>
      </c>
      <c r="G117" s="12">
        <v>0</v>
      </c>
      <c r="H117" s="12">
        <f t="shared" si="17"/>
        <v>-208.95</v>
      </c>
    </row>
    <row r="118" spans="1:8" x14ac:dyDescent="0.2">
      <c r="A118" s="17" t="s">
        <v>125</v>
      </c>
      <c r="B118" s="12">
        <v>0</v>
      </c>
      <c r="C118" s="12">
        <v>0</v>
      </c>
      <c r="D118" s="12">
        <v>0</v>
      </c>
      <c r="E118" s="12">
        <v>0</v>
      </c>
      <c r="F118" s="12">
        <v>-297.5</v>
      </c>
      <c r="G118" s="12">
        <v>0</v>
      </c>
      <c r="H118" s="12">
        <f t="shared" si="17"/>
        <v>-297.5</v>
      </c>
    </row>
    <row r="119" spans="1:8" x14ac:dyDescent="0.2">
      <c r="A119" s="17" t="s">
        <v>126</v>
      </c>
      <c r="B119" s="12">
        <v>0</v>
      </c>
      <c r="C119" s="12">
        <v>0</v>
      </c>
      <c r="D119" s="12">
        <v>0</v>
      </c>
      <c r="E119" s="12">
        <v>0</v>
      </c>
      <c r="F119" s="12">
        <v>-19330.990000000002</v>
      </c>
      <c r="G119" s="12">
        <v>-1995</v>
      </c>
      <c r="H119" s="12">
        <f t="shared" si="17"/>
        <v>-21325.99</v>
      </c>
    </row>
    <row r="120" spans="1:8" x14ac:dyDescent="0.2">
      <c r="A120" s="17" t="s">
        <v>127</v>
      </c>
      <c r="B120" s="12">
        <v>-166.94</v>
      </c>
      <c r="C120" s="12">
        <v>-382.44762279999998</v>
      </c>
      <c r="D120" s="12">
        <v>-171.98111775999999</v>
      </c>
      <c r="E120" s="12">
        <v>-409.45</v>
      </c>
      <c r="F120" s="12">
        <v>-20928.73</v>
      </c>
      <c r="G120" s="12">
        <v>-208.18</v>
      </c>
      <c r="H120" s="12">
        <f t="shared" si="17"/>
        <v>-22267.72874056</v>
      </c>
    </row>
    <row r="121" spans="1:8" x14ac:dyDescent="0.2">
      <c r="A121" s="17" t="s">
        <v>128</v>
      </c>
      <c r="B121" s="12">
        <v>0</v>
      </c>
      <c r="C121" s="12">
        <v>-1607.8366257</v>
      </c>
      <c r="D121" s="12">
        <v>-6755.8284788000001</v>
      </c>
      <c r="E121" s="12">
        <v>-327.08999999999997</v>
      </c>
      <c r="F121" s="12">
        <v>-15006.63</v>
      </c>
      <c r="G121" s="12">
        <v>0</v>
      </c>
      <c r="H121" s="12">
        <f t="shared" si="17"/>
        <v>-23697.385104499997</v>
      </c>
    </row>
    <row r="122" spans="1:8" x14ac:dyDescent="0.2">
      <c r="A122" s="17" t="s">
        <v>129</v>
      </c>
      <c r="B122" s="12">
        <v>0</v>
      </c>
      <c r="C122" s="12">
        <v>0</v>
      </c>
      <c r="D122" s="12">
        <v>0</v>
      </c>
      <c r="E122" s="12">
        <v>0</v>
      </c>
      <c r="F122" s="12">
        <v>-2682.44</v>
      </c>
      <c r="G122" s="12">
        <v>0</v>
      </c>
      <c r="H122" s="12">
        <f t="shared" si="17"/>
        <v>-2682.44</v>
      </c>
    </row>
    <row r="123" spans="1:8" x14ac:dyDescent="0.2">
      <c r="A123" s="17" t="s">
        <v>130</v>
      </c>
      <c r="B123" s="12">
        <v>-156.1</v>
      </c>
      <c r="C123" s="12">
        <v>0</v>
      </c>
      <c r="D123" s="12">
        <v>-13772.573010800001</v>
      </c>
      <c r="E123" s="12">
        <v>-2688.8</v>
      </c>
      <c r="F123" s="12">
        <v>-11191.97</v>
      </c>
      <c r="G123" s="12">
        <v>0</v>
      </c>
      <c r="H123" s="12">
        <f t="shared" si="17"/>
        <v>-27809.443010800002</v>
      </c>
    </row>
    <row r="124" spans="1:8" x14ac:dyDescent="0.2">
      <c r="A124" s="17" t="s">
        <v>131</v>
      </c>
      <c r="B124" s="12">
        <v>0</v>
      </c>
      <c r="C124" s="12">
        <v>-10060.56</v>
      </c>
      <c r="D124" s="12">
        <v>0</v>
      </c>
      <c r="E124" s="12">
        <v>0</v>
      </c>
      <c r="F124" s="12">
        <v>0</v>
      </c>
      <c r="G124" s="12">
        <v>0</v>
      </c>
      <c r="H124" s="12">
        <f t="shared" si="17"/>
        <v>-10060.56</v>
      </c>
    </row>
    <row r="125" spans="1:8" x14ac:dyDescent="0.2">
      <c r="A125" s="17" t="s">
        <v>132</v>
      </c>
      <c r="B125" s="12">
        <v>0</v>
      </c>
      <c r="C125" s="12">
        <v>0</v>
      </c>
      <c r="D125" s="12">
        <v>0</v>
      </c>
      <c r="E125" s="12">
        <v>0</v>
      </c>
      <c r="F125" s="12">
        <v>-80495.56</v>
      </c>
      <c r="G125" s="12">
        <v>0</v>
      </c>
      <c r="H125" s="12">
        <f t="shared" ref="H125:H156" si="18">SUM(B125:G125)</f>
        <v>-80495.56</v>
      </c>
    </row>
    <row r="126" spans="1:8" x14ac:dyDescent="0.2">
      <c r="A126" s="17" t="s">
        <v>133</v>
      </c>
      <c r="B126" s="12">
        <v>0</v>
      </c>
      <c r="C126" s="12">
        <v>0</v>
      </c>
      <c r="D126" s="12">
        <v>0</v>
      </c>
      <c r="E126" s="12">
        <v>0</v>
      </c>
      <c r="F126" s="12">
        <v>-1996.96</v>
      </c>
      <c r="G126" s="12">
        <v>0</v>
      </c>
      <c r="H126" s="12">
        <f t="shared" si="18"/>
        <v>-1996.96</v>
      </c>
    </row>
    <row r="127" spans="1:8" x14ac:dyDescent="0.2">
      <c r="A127" s="17" t="s">
        <v>134</v>
      </c>
      <c r="B127" s="12">
        <v>0</v>
      </c>
      <c r="C127" s="12">
        <v>0</v>
      </c>
      <c r="D127" s="12">
        <v>0</v>
      </c>
      <c r="E127" s="12">
        <v>0</v>
      </c>
      <c r="F127" s="12">
        <v>-5873.65</v>
      </c>
      <c r="G127" s="12">
        <v>0</v>
      </c>
      <c r="H127" s="12">
        <f t="shared" si="18"/>
        <v>-5873.65</v>
      </c>
    </row>
    <row r="128" spans="1:8" x14ac:dyDescent="0.2">
      <c r="A128" s="17" t="s">
        <v>135</v>
      </c>
      <c r="B128" s="12">
        <v>0</v>
      </c>
      <c r="C128" s="12">
        <v>0</v>
      </c>
      <c r="D128" s="12">
        <v>0</v>
      </c>
      <c r="E128" s="12">
        <v>0</v>
      </c>
      <c r="F128" s="12">
        <v>-350.67</v>
      </c>
      <c r="G128" s="12">
        <v>0</v>
      </c>
      <c r="H128" s="12">
        <f t="shared" si="18"/>
        <v>-350.67</v>
      </c>
    </row>
    <row r="129" spans="1:8" x14ac:dyDescent="0.2">
      <c r="A129" s="17" t="s">
        <v>136</v>
      </c>
      <c r="B129" s="12">
        <v>0</v>
      </c>
      <c r="C129" s="12">
        <v>0</v>
      </c>
      <c r="D129" s="12">
        <v>0</v>
      </c>
      <c r="E129" s="12">
        <v>0</v>
      </c>
      <c r="F129" s="12">
        <v>-1513.56</v>
      </c>
      <c r="G129" s="12">
        <v>0</v>
      </c>
      <c r="H129" s="12">
        <f t="shared" si="18"/>
        <v>-1513.56</v>
      </c>
    </row>
    <row r="130" spans="1:8" x14ac:dyDescent="0.2">
      <c r="A130" s="17" t="s">
        <v>137</v>
      </c>
      <c r="B130" s="12">
        <v>0</v>
      </c>
      <c r="C130" s="12">
        <v>0</v>
      </c>
      <c r="D130" s="12">
        <v>0</v>
      </c>
      <c r="E130" s="12">
        <v>0</v>
      </c>
      <c r="F130" s="12">
        <v>-5000</v>
      </c>
      <c r="G130" s="12">
        <v>0</v>
      </c>
      <c r="H130" s="12">
        <f t="shared" si="18"/>
        <v>-5000</v>
      </c>
    </row>
    <row r="131" spans="1:8" x14ac:dyDescent="0.2">
      <c r="A131" s="17" t="s">
        <v>138</v>
      </c>
      <c r="B131" s="12">
        <v>0</v>
      </c>
      <c r="C131" s="12">
        <v>0</v>
      </c>
      <c r="D131" s="12">
        <v>-5275.4042978199996</v>
      </c>
      <c r="E131" s="12">
        <v>0</v>
      </c>
      <c r="F131" s="12">
        <v>-1616.67</v>
      </c>
      <c r="G131" s="12">
        <v>0</v>
      </c>
      <c r="H131" s="12">
        <f t="shared" si="18"/>
        <v>-6892.0742978199996</v>
      </c>
    </row>
    <row r="132" spans="1:8" x14ac:dyDescent="0.2">
      <c r="A132" s="17" t="s">
        <v>139</v>
      </c>
      <c r="B132" s="12">
        <v>0</v>
      </c>
      <c r="C132" s="12">
        <v>0</v>
      </c>
      <c r="D132" s="12">
        <v>-2524.5393094159999</v>
      </c>
      <c r="E132" s="12">
        <v>-25.2</v>
      </c>
      <c r="F132" s="12">
        <v>-5897.85</v>
      </c>
      <c r="G132" s="12">
        <v>-295.2</v>
      </c>
      <c r="H132" s="12">
        <f t="shared" si="18"/>
        <v>-8742.7893094160008</v>
      </c>
    </row>
    <row r="133" spans="1:8" x14ac:dyDescent="0.2">
      <c r="A133" s="17" t="s">
        <v>140</v>
      </c>
      <c r="B133" s="12">
        <v>0</v>
      </c>
      <c r="C133" s="12">
        <v>-854.07592178000004</v>
      </c>
      <c r="D133" s="12">
        <v>-127.72484652</v>
      </c>
      <c r="E133" s="12">
        <v>0</v>
      </c>
      <c r="F133" s="12">
        <v>-2136.2199999999998</v>
      </c>
      <c r="G133" s="12">
        <v>0</v>
      </c>
      <c r="H133" s="12">
        <f t="shared" si="18"/>
        <v>-3118.0207682999999</v>
      </c>
    </row>
    <row r="134" spans="1:8" x14ac:dyDescent="0.2">
      <c r="A134" s="17" t="s">
        <v>141</v>
      </c>
      <c r="B134" s="12">
        <v>0</v>
      </c>
      <c r="C134" s="12">
        <v>0</v>
      </c>
      <c r="D134" s="12">
        <v>0</v>
      </c>
      <c r="E134" s="12">
        <v>0</v>
      </c>
      <c r="F134" s="12">
        <v>-107400</v>
      </c>
      <c r="G134" s="12">
        <v>0</v>
      </c>
      <c r="H134" s="12">
        <f t="shared" si="18"/>
        <v>-107400</v>
      </c>
    </row>
    <row r="135" spans="1:8" x14ac:dyDescent="0.2">
      <c r="A135" s="17" t="s">
        <v>142</v>
      </c>
      <c r="B135" s="12">
        <v>0</v>
      </c>
      <c r="C135" s="12">
        <v>0</v>
      </c>
      <c r="D135" s="12">
        <v>0</v>
      </c>
      <c r="E135" s="12">
        <v>0</v>
      </c>
      <c r="F135" s="12">
        <v>-30343</v>
      </c>
      <c r="G135" s="12">
        <v>0</v>
      </c>
      <c r="H135" s="12">
        <f t="shared" si="18"/>
        <v>-30343</v>
      </c>
    </row>
    <row r="136" spans="1:8" x14ac:dyDescent="0.2">
      <c r="A136" s="17" t="s">
        <v>143</v>
      </c>
      <c r="B136" s="12">
        <v>0</v>
      </c>
      <c r="C136" s="12">
        <v>0</v>
      </c>
      <c r="D136" s="12">
        <v>0</v>
      </c>
      <c r="E136" s="12">
        <v>0</v>
      </c>
      <c r="F136" s="12">
        <v>-7730.86</v>
      </c>
      <c r="G136" s="12">
        <v>0</v>
      </c>
      <c r="H136" s="12">
        <f t="shared" si="18"/>
        <v>-7730.86</v>
      </c>
    </row>
    <row r="137" spans="1:8" x14ac:dyDescent="0.2">
      <c r="A137" s="17" t="s">
        <v>144</v>
      </c>
      <c r="B137" s="12">
        <v>0</v>
      </c>
      <c r="C137" s="12">
        <v>9.3930498</v>
      </c>
      <c r="D137" s="12">
        <v>0</v>
      </c>
      <c r="E137" s="12">
        <v>0</v>
      </c>
      <c r="F137" s="12">
        <v>0</v>
      </c>
      <c r="G137" s="12">
        <v>0</v>
      </c>
      <c r="H137" s="12">
        <f t="shared" si="18"/>
        <v>9.3930498</v>
      </c>
    </row>
    <row r="138" spans="1:8" x14ac:dyDescent="0.2">
      <c r="A138" s="17" t="s">
        <v>145</v>
      </c>
      <c r="B138" s="12">
        <v>0</v>
      </c>
      <c r="C138" s="12">
        <v>-1495.8712441</v>
      </c>
      <c r="D138" s="12">
        <v>-3806.6340496799999</v>
      </c>
      <c r="E138" s="12">
        <v>0</v>
      </c>
      <c r="F138" s="12">
        <v>-36679.5</v>
      </c>
      <c r="G138" s="12">
        <v>0</v>
      </c>
      <c r="H138" s="12">
        <f t="shared" si="18"/>
        <v>-41982.005293779999</v>
      </c>
    </row>
    <row r="139" spans="1:8" x14ac:dyDescent="0.2">
      <c r="A139" s="17" t="s">
        <v>146</v>
      </c>
      <c r="B139" s="12">
        <v>-943.72</v>
      </c>
      <c r="C139" s="12">
        <v>-12782.98649422</v>
      </c>
      <c r="D139" s="12">
        <v>0</v>
      </c>
      <c r="E139" s="12">
        <v>-14153.88</v>
      </c>
      <c r="F139" s="12">
        <v>-19201.91</v>
      </c>
      <c r="G139" s="12">
        <v>-979.8</v>
      </c>
      <c r="H139" s="12">
        <f t="shared" si="18"/>
        <v>-48062.296494220005</v>
      </c>
    </row>
    <row r="140" spans="1:8" x14ac:dyDescent="0.2">
      <c r="A140" s="17" t="s">
        <v>147</v>
      </c>
      <c r="B140" s="12">
        <v>0</v>
      </c>
      <c r="C140" s="12">
        <v>0</v>
      </c>
      <c r="D140" s="12">
        <v>0</v>
      </c>
      <c r="E140" s="12">
        <v>-58.07</v>
      </c>
      <c r="F140" s="12">
        <v>-1888.46</v>
      </c>
      <c r="G140" s="12">
        <v>0</v>
      </c>
      <c r="H140" s="12">
        <f t="shared" si="18"/>
        <v>-1946.53</v>
      </c>
    </row>
    <row r="141" spans="1:8" x14ac:dyDescent="0.2">
      <c r="A141" s="17" t="s">
        <v>148</v>
      </c>
      <c r="B141" s="12">
        <v>0</v>
      </c>
      <c r="C141" s="12">
        <v>0</v>
      </c>
      <c r="D141" s="12">
        <v>0</v>
      </c>
      <c r="E141" s="12">
        <v>0</v>
      </c>
      <c r="F141" s="12">
        <v>-3607.96</v>
      </c>
      <c r="G141" s="12">
        <v>0</v>
      </c>
      <c r="H141" s="12">
        <f t="shared" si="18"/>
        <v>-3607.96</v>
      </c>
    </row>
    <row r="142" spans="1:8" x14ac:dyDescent="0.2">
      <c r="A142" s="17" t="s">
        <v>149</v>
      </c>
      <c r="B142" s="12">
        <v>0</v>
      </c>
      <c r="C142" s="12">
        <v>0</v>
      </c>
      <c r="D142" s="12">
        <v>0</v>
      </c>
      <c r="E142" s="12">
        <v>0</v>
      </c>
      <c r="F142" s="12">
        <v>-87772.800000000003</v>
      </c>
      <c r="G142" s="12">
        <v>0</v>
      </c>
      <c r="H142" s="12">
        <f t="shared" si="18"/>
        <v>-87772.800000000003</v>
      </c>
    </row>
    <row r="143" spans="1:8" x14ac:dyDescent="0.2">
      <c r="A143" s="17" t="s">
        <v>150</v>
      </c>
      <c r="B143" s="12">
        <v>0</v>
      </c>
      <c r="C143" s="12">
        <v>-151.74612675</v>
      </c>
      <c r="D143" s="12">
        <v>-39024.273476000002</v>
      </c>
      <c r="E143" s="12">
        <v>-25664.560000000001</v>
      </c>
      <c r="F143" s="12">
        <v>-389756.91</v>
      </c>
      <c r="G143" s="12">
        <v>0</v>
      </c>
      <c r="H143" s="12">
        <f t="shared" si="18"/>
        <v>-454597.48960274999</v>
      </c>
    </row>
    <row r="144" spans="1:8" x14ac:dyDescent="0.2">
      <c r="A144" s="17" t="s">
        <v>151</v>
      </c>
      <c r="B144" s="12">
        <v>0</v>
      </c>
      <c r="C144" s="12">
        <v>0</v>
      </c>
      <c r="D144" s="12">
        <v>0</v>
      </c>
      <c r="E144" s="12">
        <v>0</v>
      </c>
      <c r="F144" s="12">
        <v>-9600</v>
      </c>
      <c r="G144" s="12">
        <v>0</v>
      </c>
      <c r="H144" s="12">
        <f t="shared" si="18"/>
        <v>-9600</v>
      </c>
    </row>
    <row r="145" spans="1:8" x14ac:dyDescent="0.2">
      <c r="A145" s="17" t="s">
        <v>152</v>
      </c>
      <c r="B145" s="12">
        <v>0</v>
      </c>
      <c r="C145" s="12">
        <v>0</v>
      </c>
      <c r="D145" s="12">
        <v>0</v>
      </c>
      <c r="E145" s="12">
        <v>0</v>
      </c>
      <c r="F145" s="12">
        <v>-490.4</v>
      </c>
      <c r="G145" s="12">
        <v>0</v>
      </c>
      <c r="H145" s="12">
        <f t="shared" si="18"/>
        <v>-490.4</v>
      </c>
    </row>
    <row r="146" spans="1:8" x14ac:dyDescent="0.2">
      <c r="A146" s="17" t="s">
        <v>153</v>
      </c>
      <c r="B146" s="12">
        <v>0</v>
      </c>
      <c r="C146" s="12">
        <v>0</v>
      </c>
      <c r="D146" s="12">
        <v>0</v>
      </c>
      <c r="E146" s="12">
        <v>0</v>
      </c>
      <c r="F146" s="12">
        <v>-185214.46</v>
      </c>
      <c r="G146" s="12">
        <v>0</v>
      </c>
      <c r="H146" s="12">
        <f t="shared" si="18"/>
        <v>-185214.46</v>
      </c>
    </row>
    <row r="147" spans="1:8" x14ac:dyDescent="0.2">
      <c r="A147" s="17" t="s">
        <v>154</v>
      </c>
      <c r="B147" s="12">
        <v>0</v>
      </c>
      <c r="C147" s="12">
        <v>0</v>
      </c>
      <c r="D147" s="12">
        <v>0</v>
      </c>
      <c r="E147" s="12">
        <v>0</v>
      </c>
      <c r="F147" s="12">
        <v>-16427.88</v>
      </c>
      <c r="G147" s="12">
        <v>0</v>
      </c>
      <c r="H147" s="12">
        <f t="shared" si="18"/>
        <v>-16427.88</v>
      </c>
    </row>
    <row r="148" spans="1:8" x14ac:dyDescent="0.2">
      <c r="A148" s="17" t="s">
        <v>155</v>
      </c>
      <c r="B148" s="12">
        <v>0</v>
      </c>
      <c r="C148" s="12">
        <v>0</v>
      </c>
      <c r="D148" s="12">
        <v>0</v>
      </c>
      <c r="E148" s="12">
        <v>0</v>
      </c>
      <c r="F148" s="12">
        <v>-1200</v>
      </c>
      <c r="G148" s="12">
        <v>0</v>
      </c>
      <c r="H148" s="12">
        <f t="shared" si="18"/>
        <v>-1200</v>
      </c>
    </row>
    <row r="149" spans="1:8" x14ac:dyDescent="0.2">
      <c r="A149" s="17" t="s">
        <v>156</v>
      </c>
      <c r="B149" s="12">
        <v>0</v>
      </c>
      <c r="C149" s="12">
        <v>-119.84788613000001</v>
      </c>
      <c r="D149" s="12">
        <v>-2136.6598799779999</v>
      </c>
      <c r="E149" s="12">
        <v>-4752.72</v>
      </c>
      <c r="F149" s="12">
        <v>-27157.93</v>
      </c>
      <c r="G149" s="12">
        <v>0</v>
      </c>
      <c r="H149" s="12">
        <f t="shared" si="18"/>
        <v>-34167.157766108001</v>
      </c>
    </row>
    <row r="150" spans="1:8" x14ac:dyDescent="0.2">
      <c r="A150" s="17" t="s">
        <v>157</v>
      </c>
      <c r="B150" s="12">
        <v>0</v>
      </c>
      <c r="C150" s="12">
        <v>0</v>
      </c>
      <c r="D150" s="12">
        <v>0</v>
      </c>
      <c r="E150" s="12">
        <v>0</v>
      </c>
      <c r="F150" s="12">
        <v>35.450000000000003</v>
      </c>
      <c r="G150" s="12">
        <v>0</v>
      </c>
      <c r="H150" s="12">
        <f t="shared" si="18"/>
        <v>35.450000000000003</v>
      </c>
    </row>
    <row r="151" spans="1:8" x14ac:dyDescent="0.2">
      <c r="A151" s="17" t="s">
        <v>158</v>
      </c>
      <c r="B151" s="12">
        <v>0</v>
      </c>
      <c r="C151" s="12">
        <v>0</v>
      </c>
      <c r="D151" s="12">
        <v>0</v>
      </c>
      <c r="E151" s="12">
        <v>0</v>
      </c>
      <c r="F151" s="12">
        <v>-833800</v>
      </c>
      <c r="G151" s="12">
        <v>-905</v>
      </c>
      <c r="H151" s="12">
        <f t="shared" si="18"/>
        <v>-834705</v>
      </c>
    </row>
    <row r="152" spans="1:8" x14ac:dyDescent="0.2">
      <c r="A152" s="17" t="s">
        <v>159</v>
      </c>
      <c r="B152" s="12">
        <v>0</v>
      </c>
      <c r="C152" s="12">
        <v>0</v>
      </c>
      <c r="D152" s="12">
        <v>0</v>
      </c>
      <c r="E152" s="12">
        <v>0</v>
      </c>
      <c r="F152" s="12">
        <v>-22250.89</v>
      </c>
      <c r="G152" s="12">
        <v>0</v>
      </c>
      <c r="H152" s="12">
        <f t="shared" si="18"/>
        <v>-22250.89</v>
      </c>
    </row>
    <row r="153" spans="1:8" x14ac:dyDescent="0.2">
      <c r="A153" s="17" t="s">
        <v>160</v>
      </c>
      <c r="B153" s="12">
        <v>0</v>
      </c>
      <c r="C153" s="12">
        <v>-3823.0128</v>
      </c>
      <c r="D153" s="12">
        <v>0</v>
      </c>
      <c r="E153" s="12">
        <v>0</v>
      </c>
      <c r="F153" s="12">
        <v>-73315.27</v>
      </c>
      <c r="G153" s="12">
        <v>0</v>
      </c>
      <c r="H153" s="12">
        <f t="shared" si="18"/>
        <v>-77138.282800000001</v>
      </c>
    </row>
    <row r="154" spans="1:8" x14ac:dyDescent="0.2">
      <c r="A154" s="17" t="s">
        <v>161</v>
      </c>
      <c r="B154" s="12">
        <v>0</v>
      </c>
      <c r="C154" s="12">
        <v>0</v>
      </c>
      <c r="D154" s="12">
        <v>0</v>
      </c>
      <c r="E154" s="12">
        <v>0</v>
      </c>
      <c r="F154" s="12">
        <v>753</v>
      </c>
      <c r="G154" s="12">
        <v>0</v>
      </c>
      <c r="H154" s="12">
        <f t="shared" si="18"/>
        <v>753</v>
      </c>
    </row>
    <row r="155" spans="1:8" x14ac:dyDescent="0.2">
      <c r="A155" s="17" t="s">
        <v>162</v>
      </c>
      <c r="B155" s="12">
        <v>0</v>
      </c>
      <c r="C155" s="12">
        <v>0</v>
      </c>
      <c r="D155" s="12">
        <v>0</v>
      </c>
      <c r="E155" s="12">
        <v>0</v>
      </c>
      <c r="F155" s="12">
        <v>-4459.1499999999996</v>
      </c>
      <c r="G155" s="12">
        <v>0</v>
      </c>
      <c r="H155" s="12">
        <f t="shared" si="18"/>
        <v>-4459.1499999999996</v>
      </c>
    </row>
    <row r="156" spans="1:8" x14ac:dyDescent="0.2">
      <c r="A156" s="17" t="s">
        <v>163</v>
      </c>
      <c r="B156" s="12">
        <v>0</v>
      </c>
      <c r="C156" s="12">
        <v>0</v>
      </c>
      <c r="D156" s="12">
        <v>0</v>
      </c>
      <c r="E156" s="12">
        <v>0</v>
      </c>
      <c r="F156" s="12">
        <v>-21376.62</v>
      </c>
      <c r="G156" s="12">
        <v>0</v>
      </c>
      <c r="H156" s="12">
        <f t="shared" si="18"/>
        <v>-21376.62</v>
      </c>
    </row>
    <row r="157" spans="1:8" x14ac:dyDescent="0.2">
      <c r="A157" s="17" t="s">
        <v>164</v>
      </c>
      <c r="B157" s="12">
        <v>0</v>
      </c>
      <c r="C157" s="12">
        <v>0</v>
      </c>
      <c r="D157" s="12">
        <v>0</v>
      </c>
      <c r="E157" s="12">
        <v>0</v>
      </c>
      <c r="F157" s="12">
        <v>-4876.9399999999996</v>
      </c>
      <c r="G157" s="12">
        <v>0</v>
      </c>
      <c r="H157" s="12">
        <f t="shared" ref="H157:H188" si="19">SUM(B157:G157)</f>
        <v>-4876.9399999999996</v>
      </c>
    </row>
    <row r="158" spans="1:8" x14ac:dyDescent="0.2">
      <c r="A158" s="17" t="s">
        <v>165</v>
      </c>
      <c r="B158" s="12">
        <v>0</v>
      </c>
      <c r="C158" s="12">
        <v>0</v>
      </c>
      <c r="D158" s="12">
        <v>0</v>
      </c>
      <c r="E158" s="12">
        <v>0</v>
      </c>
      <c r="F158" s="12">
        <v>-4422.7700000000004</v>
      </c>
      <c r="G158" s="12">
        <v>0</v>
      </c>
      <c r="H158" s="12">
        <f t="shared" si="19"/>
        <v>-4422.7700000000004</v>
      </c>
    </row>
    <row r="159" spans="1:8" x14ac:dyDescent="0.2">
      <c r="A159" s="17" t="s">
        <v>166</v>
      </c>
      <c r="B159" s="12">
        <v>0</v>
      </c>
      <c r="C159" s="12">
        <v>0</v>
      </c>
      <c r="D159" s="12">
        <v>0</v>
      </c>
      <c r="E159" s="12">
        <v>0</v>
      </c>
      <c r="F159" s="12">
        <v>-11452.12</v>
      </c>
      <c r="G159" s="12">
        <v>0</v>
      </c>
      <c r="H159" s="12">
        <f t="shared" si="19"/>
        <v>-11452.12</v>
      </c>
    </row>
    <row r="160" spans="1:8" x14ac:dyDescent="0.2">
      <c r="A160" s="17" t="s">
        <v>167</v>
      </c>
      <c r="B160" s="12">
        <v>0</v>
      </c>
      <c r="C160" s="12">
        <v>0</v>
      </c>
      <c r="D160" s="12">
        <v>0</v>
      </c>
      <c r="E160" s="12">
        <v>0</v>
      </c>
      <c r="F160" s="12">
        <v>-6160.26</v>
      </c>
      <c r="G160" s="12">
        <v>0</v>
      </c>
      <c r="H160" s="12">
        <f t="shared" si="19"/>
        <v>-6160.26</v>
      </c>
    </row>
    <row r="161" spans="1:8" x14ac:dyDescent="0.2">
      <c r="A161" s="17" t="s">
        <v>168</v>
      </c>
      <c r="B161" s="12">
        <v>0</v>
      </c>
      <c r="C161" s="12">
        <v>0</v>
      </c>
      <c r="D161" s="12">
        <v>0</v>
      </c>
      <c r="E161" s="12">
        <v>0</v>
      </c>
      <c r="F161" s="12">
        <v>-11380.96</v>
      </c>
      <c r="G161" s="12">
        <v>0</v>
      </c>
      <c r="H161" s="12">
        <f t="shared" si="19"/>
        <v>-11380.96</v>
      </c>
    </row>
    <row r="162" spans="1:8" x14ac:dyDescent="0.2">
      <c r="A162" s="17" t="s">
        <v>169</v>
      </c>
      <c r="B162" s="12">
        <v>0</v>
      </c>
      <c r="C162" s="12">
        <v>0</v>
      </c>
      <c r="D162" s="12">
        <v>0</v>
      </c>
      <c r="E162" s="12">
        <v>0</v>
      </c>
      <c r="F162" s="12">
        <v>-6859.45</v>
      </c>
      <c r="G162" s="12">
        <v>0</v>
      </c>
      <c r="H162" s="12">
        <f t="shared" si="19"/>
        <v>-6859.45</v>
      </c>
    </row>
    <row r="163" spans="1:8" x14ac:dyDescent="0.2">
      <c r="A163" s="17" t="s">
        <v>170</v>
      </c>
      <c r="B163" s="12">
        <v>0</v>
      </c>
      <c r="C163" s="12">
        <v>0</v>
      </c>
      <c r="D163" s="12">
        <v>0</v>
      </c>
      <c r="E163" s="12">
        <v>0</v>
      </c>
      <c r="F163" s="12">
        <v>-3877.88</v>
      </c>
      <c r="G163" s="12">
        <v>0</v>
      </c>
      <c r="H163" s="12">
        <f t="shared" si="19"/>
        <v>-3877.88</v>
      </c>
    </row>
    <row r="164" spans="1:8" x14ac:dyDescent="0.2">
      <c r="A164" s="17" t="s">
        <v>171</v>
      </c>
      <c r="B164" s="12">
        <v>0</v>
      </c>
      <c r="C164" s="12">
        <v>0</v>
      </c>
      <c r="D164" s="12">
        <v>0</v>
      </c>
      <c r="E164" s="12">
        <v>0</v>
      </c>
      <c r="F164" s="12">
        <v>-7563.86</v>
      </c>
      <c r="G164" s="12">
        <v>0</v>
      </c>
      <c r="H164" s="12">
        <f t="shared" si="19"/>
        <v>-7563.86</v>
      </c>
    </row>
    <row r="165" spans="1:8" x14ac:dyDescent="0.2">
      <c r="A165" s="17" t="s">
        <v>172</v>
      </c>
      <c r="B165" s="12">
        <v>0</v>
      </c>
      <c r="C165" s="12">
        <v>0</v>
      </c>
      <c r="D165" s="12">
        <v>0</v>
      </c>
      <c r="E165" s="12">
        <v>0</v>
      </c>
      <c r="F165" s="12">
        <v>-559.66</v>
      </c>
      <c r="G165" s="12">
        <v>0</v>
      </c>
      <c r="H165" s="12">
        <f t="shared" si="19"/>
        <v>-559.66</v>
      </c>
    </row>
    <row r="166" spans="1:8" x14ac:dyDescent="0.2">
      <c r="A166" s="17" t="s">
        <v>173</v>
      </c>
      <c r="B166" s="12">
        <v>0</v>
      </c>
      <c r="C166" s="12">
        <v>0</v>
      </c>
      <c r="D166" s="12">
        <v>0</v>
      </c>
      <c r="E166" s="12">
        <v>0</v>
      </c>
      <c r="F166" s="12">
        <v>-8546.51</v>
      </c>
      <c r="G166" s="12">
        <v>0</v>
      </c>
      <c r="H166" s="12">
        <f t="shared" si="19"/>
        <v>-8546.51</v>
      </c>
    </row>
    <row r="167" spans="1:8" x14ac:dyDescent="0.2">
      <c r="A167" s="17" t="s">
        <v>174</v>
      </c>
      <c r="B167" s="12">
        <v>0</v>
      </c>
      <c r="C167" s="12">
        <v>0</v>
      </c>
      <c r="D167" s="12">
        <v>0</v>
      </c>
      <c r="E167" s="12">
        <v>0</v>
      </c>
      <c r="F167" s="12">
        <v>-6332.67</v>
      </c>
      <c r="G167" s="12">
        <v>0</v>
      </c>
      <c r="H167" s="12">
        <f t="shared" si="19"/>
        <v>-6332.67</v>
      </c>
    </row>
    <row r="168" spans="1:8" x14ac:dyDescent="0.2">
      <c r="A168" s="17" t="s">
        <v>175</v>
      </c>
      <c r="B168" s="12">
        <v>0</v>
      </c>
      <c r="C168" s="12">
        <v>0</v>
      </c>
      <c r="D168" s="12">
        <v>0</v>
      </c>
      <c r="E168" s="12">
        <v>0</v>
      </c>
      <c r="F168" s="12">
        <v>-8193.9500000000007</v>
      </c>
      <c r="G168" s="12">
        <v>-1411.17</v>
      </c>
      <c r="H168" s="12">
        <f t="shared" si="19"/>
        <v>-9605.1200000000008</v>
      </c>
    </row>
    <row r="169" spans="1:8" x14ac:dyDescent="0.2">
      <c r="A169" s="15" t="s">
        <v>176</v>
      </c>
      <c r="B169" s="14">
        <f t="shared" ref="B169:H169" si="20">SUM(B93:B168)</f>
        <v>-17681.8</v>
      </c>
      <c r="C169" s="14">
        <f t="shared" si="20"/>
        <v>-122555.25493003998</v>
      </c>
      <c r="D169" s="14">
        <f t="shared" si="20"/>
        <v>-124946.34540614999</v>
      </c>
      <c r="E169" s="14">
        <f t="shared" si="20"/>
        <v>-70320.06</v>
      </c>
      <c r="F169" s="14">
        <f t="shared" si="20"/>
        <v>-2793186.9499999993</v>
      </c>
      <c r="G169" s="14">
        <f t="shared" si="20"/>
        <v>-15437.84</v>
      </c>
      <c r="H169" s="14">
        <f t="shared" si="20"/>
        <v>-3144128.2503361893</v>
      </c>
    </row>
    <row r="170" spans="1:8" x14ac:dyDescent="0.2">
      <c r="A170" s="16" t="s">
        <v>177</v>
      </c>
      <c r="B170" s="14">
        <f t="shared" ref="B170:H170" si="21">B83+B91+B169</f>
        <v>-54248.19</v>
      </c>
      <c r="C170" s="14">
        <f t="shared" si="21"/>
        <v>-401802.34596224996</v>
      </c>
      <c r="D170" s="14">
        <f t="shared" si="21"/>
        <v>-619134.204813194</v>
      </c>
      <c r="E170" s="14">
        <f t="shared" si="21"/>
        <v>-658536.8600000001</v>
      </c>
      <c r="F170" s="14">
        <f t="shared" si="21"/>
        <v>-13546210.350000001</v>
      </c>
      <c r="G170" s="14">
        <f t="shared" si="21"/>
        <v>-53231.679999999993</v>
      </c>
      <c r="H170" s="14">
        <f t="shared" si="21"/>
        <v>-15333163.630775442</v>
      </c>
    </row>
    <row r="171" spans="1:8" x14ac:dyDescent="0.2">
      <c r="A171" s="18" t="s">
        <v>178</v>
      </c>
      <c r="B171" s="14">
        <f t="shared" ref="B171:H171" si="22">B54+B170</f>
        <v>15108.570000000007</v>
      </c>
      <c r="C171" s="14">
        <f t="shared" si="22"/>
        <v>204182.48281232006</v>
      </c>
      <c r="D171" s="14">
        <f t="shared" si="22"/>
        <v>104482.03482235596</v>
      </c>
      <c r="E171" s="14">
        <f t="shared" si="22"/>
        <v>54788.869999999995</v>
      </c>
      <c r="F171" s="14">
        <f t="shared" si="22"/>
        <v>1724665.1999999993</v>
      </c>
      <c r="G171" s="14">
        <f t="shared" si="22"/>
        <v>11213.090000000004</v>
      </c>
      <c r="H171" s="14">
        <f t="shared" si="22"/>
        <v>2114440.2476346809</v>
      </c>
    </row>
    <row r="172" spans="1:8" x14ac:dyDescent="0.2">
      <c r="A172" s="7" t="s">
        <v>179</v>
      </c>
      <c r="B172" s="6"/>
      <c r="C172" s="6"/>
      <c r="D172" s="6"/>
      <c r="E172" s="6"/>
      <c r="F172" s="6"/>
      <c r="G172" s="6"/>
      <c r="H172" s="6"/>
    </row>
    <row r="173" spans="1:8" x14ac:dyDescent="0.2">
      <c r="A173" s="8" t="s">
        <v>180</v>
      </c>
      <c r="B173" s="6"/>
      <c r="C173" s="6"/>
      <c r="D173" s="6"/>
      <c r="E173" s="6"/>
      <c r="F173" s="6"/>
      <c r="G173" s="6"/>
      <c r="H173" s="6"/>
    </row>
    <row r="174" spans="1:8" x14ac:dyDescent="0.2">
      <c r="A174" s="19" t="s">
        <v>181</v>
      </c>
      <c r="B174" s="12">
        <v>0</v>
      </c>
      <c r="C174" s="12">
        <v>0</v>
      </c>
      <c r="D174" s="12">
        <v>0</v>
      </c>
      <c r="E174" s="12">
        <v>0</v>
      </c>
      <c r="F174" s="12">
        <v>3</v>
      </c>
      <c r="G174" s="12">
        <v>0</v>
      </c>
      <c r="H174" s="12">
        <f>SUM(B174:G174)</f>
        <v>3</v>
      </c>
    </row>
    <row r="175" spans="1:8" x14ac:dyDescent="0.2">
      <c r="A175" s="16" t="s">
        <v>182</v>
      </c>
      <c r="B175" s="14">
        <f t="shared" ref="B175:H175" si="23">SUM(B174)</f>
        <v>0</v>
      </c>
      <c r="C175" s="14">
        <f t="shared" si="23"/>
        <v>0</v>
      </c>
      <c r="D175" s="14">
        <f t="shared" si="23"/>
        <v>0</v>
      </c>
      <c r="E175" s="14">
        <f t="shared" si="23"/>
        <v>0</v>
      </c>
      <c r="F175" s="14">
        <f t="shared" si="23"/>
        <v>3</v>
      </c>
      <c r="G175" s="14">
        <f t="shared" si="23"/>
        <v>0</v>
      </c>
      <c r="H175" s="14">
        <f t="shared" si="23"/>
        <v>3</v>
      </c>
    </row>
    <row r="176" spans="1:8" x14ac:dyDescent="0.2">
      <c r="A176" s="8" t="s">
        <v>183</v>
      </c>
      <c r="B176" s="6"/>
      <c r="C176" s="6"/>
      <c r="D176" s="6"/>
      <c r="E176" s="6"/>
      <c r="F176" s="6"/>
      <c r="G176" s="6"/>
      <c r="H176" s="6"/>
    </row>
    <row r="177" spans="1:8" x14ac:dyDescent="0.2">
      <c r="A177" s="19" t="s">
        <v>184</v>
      </c>
      <c r="B177" s="12">
        <v>0</v>
      </c>
      <c r="C177" s="12">
        <v>0</v>
      </c>
      <c r="D177" s="12">
        <v>0</v>
      </c>
      <c r="E177" s="12">
        <v>0</v>
      </c>
      <c r="F177" s="12">
        <v>39561.550000000003</v>
      </c>
      <c r="G177" s="12">
        <v>1412.77</v>
      </c>
      <c r="H177" s="12">
        <f>SUM(B177:G177)</f>
        <v>40974.32</v>
      </c>
    </row>
    <row r="178" spans="1:8" x14ac:dyDescent="0.2">
      <c r="A178" s="19" t="s">
        <v>185</v>
      </c>
      <c r="B178" s="12">
        <v>0</v>
      </c>
      <c r="C178" s="12">
        <v>0</v>
      </c>
      <c r="D178" s="12">
        <v>0</v>
      </c>
      <c r="E178" s="12">
        <v>0</v>
      </c>
      <c r="F178" s="12">
        <v>9327.9</v>
      </c>
      <c r="G178" s="12">
        <v>0</v>
      </c>
      <c r="H178" s="12">
        <f>SUM(B178:G178)</f>
        <v>9327.9</v>
      </c>
    </row>
    <row r="179" spans="1:8" x14ac:dyDescent="0.2">
      <c r="A179" s="16" t="s">
        <v>186</v>
      </c>
      <c r="B179" s="14">
        <f t="shared" ref="B179:H179" si="24">SUM(B177:B178)</f>
        <v>0</v>
      </c>
      <c r="C179" s="14">
        <f t="shared" si="24"/>
        <v>0</v>
      </c>
      <c r="D179" s="14">
        <f t="shared" si="24"/>
        <v>0</v>
      </c>
      <c r="E179" s="14">
        <f t="shared" si="24"/>
        <v>0</v>
      </c>
      <c r="F179" s="14">
        <f t="shared" si="24"/>
        <v>48889.450000000004</v>
      </c>
      <c r="G179" s="14">
        <f t="shared" si="24"/>
        <v>1412.77</v>
      </c>
      <c r="H179" s="14">
        <f t="shared" si="24"/>
        <v>50302.22</v>
      </c>
    </row>
    <row r="180" spans="1:8" x14ac:dyDescent="0.2">
      <c r="A180" s="8" t="s">
        <v>187</v>
      </c>
      <c r="B180" s="6"/>
      <c r="C180" s="6"/>
      <c r="D180" s="6"/>
      <c r="E180" s="6"/>
      <c r="F180" s="6"/>
      <c r="G180" s="6"/>
      <c r="H180" s="6"/>
    </row>
    <row r="181" spans="1:8" x14ac:dyDescent="0.2">
      <c r="A181" s="19" t="s">
        <v>188</v>
      </c>
      <c r="B181" s="12">
        <v>0</v>
      </c>
      <c r="C181" s="12">
        <v>0</v>
      </c>
      <c r="D181" s="12">
        <v>0</v>
      </c>
      <c r="E181" s="12">
        <v>0</v>
      </c>
      <c r="F181" s="12">
        <v>-33</v>
      </c>
      <c r="G181" s="12">
        <v>0</v>
      </c>
      <c r="H181" s="12">
        <f>SUM(B181:G181)</f>
        <v>-33</v>
      </c>
    </row>
    <row r="182" spans="1:8" x14ac:dyDescent="0.2">
      <c r="A182" s="19" t="s">
        <v>189</v>
      </c>
      <c r="B182" s="12">
        <v>0</v>
      </c>
      <c r="C182" s="12">
        <v>0</v>
      </c>
      <c r="D182" s="12">
        <v>0</v>
      </c>
      <c r="E182" s="12">
        <v>0</v>
      </c>
      <c r="F182" s="12">
        <v>45</v>
      </c>
      <c r="G182" s="12">
        <v>0</v>
      </c>
      <c r="H182" s="12">
        <f>SUM(B182:G182)</f>
        <v>45</v>
      </c>
    </row>
    <row r="183" spans="1:8" x14ac:dyDescent="0.2">
      <c r="A183" s="19" t="s">
        <v>190</v>
      </c>
      <c r="B183" s="12">
        <v>0</v>
      </c>
      <c r="C183" s="12">
        <v>0</v>
      </c>
      <c r="D183" s="12">
        <v>0</v>
      </c>
      <c r="E183" s="12">
        <v>10.130000000000001</v>
      </c>
      <c r="F183" s="12">
        <v>194.59</v>
      </c>
      <c r="G183" s="12">
        <v>34.24</v>
      </c>
      <c r="H183" s="12">
        <f>SUM(B183:G183)</f>
        <v>238.96</v>
      </c>
    </row>
    <row r="184" spans="1:8" x14ac:dyDescent="0.2">
      <c r="A184" s="19" t="s">
        <v>191</v>
      </c>
      <c r="B184" s="12">
        <v>2216.69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f>SUM(B184:G184)</f>
        <v>2216.69</v>
      </c>
    </row>
    <row r="185" spans="1:8" x14ac:dyDescent="0.2">
      <c r="A185" s="16" t="s">
        <v>192</v>
      </c>
      <c r="B185" s="14">
        <f t="shared" ref="B185:H185" si="25">SUM(B181:B184)</f>
        <v>2216.69</v>
      </c>
      <c r="C185" s="14">
        <f t="shared" si="25"/>
        <v>0</v>
      </c>
      <c r="D185" s="14">
        <f t="shared" si="25"/>
        <v>0</v>
      </c>
      <c r="E185" s="14">
        <f t="shared" si="25"/>
        <v>10.130000000000001</v>
      </c>
      <c r="F185" s="14">
        <f t="shared" si="25"/>
        <v>206.59</v>
      </c>
      <c r="G185" s="14">
        <f t="shared" si="25"/>
        <v>34.24</v>
      </c>
      <c r="H185" s="14">
        <f t="shared" si="25"/>
        <v>2467.65</v>
      </c>
    </row>
    <row r="186" spans="1:8" x14ac:dyDescent="0.2">
      <c r="A186" s="8" t="s">
        <v>193</v>
      </c>
      <c r="B186" s="6"/>
      <c r="C186" s="6"/>
      <c r="D186" s="6"/>
      <c r="E186" s="6"/>
      <c r="F186" s="6"/>
      <c r="G186" s="6"/>
      <c r="H186" s="6"/>
    </row>
    <row r="187" spans="1:8" x14ac:dyDescent="0.2">
      <c r="A187" s="19" t="s">
        <v>194</v>
      </c>
      <c r="B187" s="12">
        <v>0</v>
      </c>
      <c r="C187" s="12">
        <v>-112.8779756</v>
      </c>
      <c r="D187" s="12">
        <v>0</v>
      </c>
      <c r="E187" s="12">
        <v>0</v>
      </c>
      <c r="F187" s="12">
        <v>0</v>
      </c>
      <c r="G187" s="12">
        <v>0</v>
      </c>
      <c r="H187" s="12">
        <f>SUM(B187:G187)</f>
        <v>-112.8779756</v>
      </c>
    </row>
    <row r="188" spans="1:8" x14ac:dyDescent="0.2">
      <c r="A188" s="19" t="s">
        <v>195</v>
      </c>
      <c r="B188" s="12">
        <v>0</v>
      </c>
      <c r="C188" s="12">
        <v>0</v>
      </c>
      <c r="D188" s="12">
        <v>0</v>
      </c>
      <c r="E188" s="12">
        <v>0</v>
      </c>
      <c r="F188" s="12">
        <v>0</v>
      </c>
      <c r="G188" s="12">
        <v>-2216.69</v>
      </c>
      <c r="H188" s="12">
        <f>SUM(B188:G188)</f>
        <v>-2216.69</v>
      </c>
    </row>
    <row r="189" spans="1:8" x14ac:dyDescent="0.2">
      <c r="A189" s="16" t="s">
        <v>196</v>
      </c>
      <c r="B189" s="14">
        <f t="shared" ref="B189:H189" si="26">SUM(B187:B188)</f>
        <v>0</v>
      </c>
      <c r="C189" s="14">
        <f t="shared" si="26"/>
        <v>-112.8779756</v>
      </c>
      <c r="D189" s="14">
        <f t="shared" si="26"/>
        <v>0</v>
      </c>
      <c r="E189" s="14">
        <f t="shared" si="26"/>
        <v>0</v>
      </c>
      <c r="F189" s="14">
        <f t="shared" si="26"/>
        <v>0</v>
      </c>
      <c r="G189" s="14">
        <f t="shared" si="26"/>
        <v>-2216.69</v>
      </c>
      <c r="H189" s="14">
        <f t="shared" si="26"/>
        <v>-2329.5679756</v>
      </c>
    </row>
    <row r="190" spans="1:8" x14ac:dyDescent="0.2">
      <c r="A190" s="18" t="s">
        <v>197</v>
      </c>
      <c r="B190" s="14">
        <f t="shared" ref="B190:H190" si="27">B175+B179+B185+0+B189</f>
        <v>2216.69</v>
      </c>
      <c r="C190" s="14">
        <f t="shared" si="27"/>
        <v>-112.8779756</v>
      </c>
      <c r="D190" s="14">
        <f t="shared" si="27"/>
        <v>0</v>
      </c>
      <c r="E190" s="14">
        <f t="shared" si="27"/>
        <v>10.130000000000001</v>
      </c>
      <c r="F190" s="14">
        <f t="shared" si="27"/>
        <v>49099.040000000001</v>
      </c>
      <c r="G190" s="14">
        <f t="shared" si="27"/>
        <v>-769.68000000000006</v>
      </c>
      <c r="H190" s="14">
        <f t="shared" si="27"/>
        <v>50443.3020244</v>
      </c>
    </row>
    <row r="191" spans="1:8" x14ac:dyDescent="0.2">
      <c r="A191" s="7" t="s">
        <v>198</v>
      </c>
      <c r="B191" s="6"/>
      <c r="C191" s="6"/>
      <c r="D191" s="6"/>
      <c r="E191" s="6"/>
      <c r="F191" s="6"/>
      <c r="G191" s="6"/>
      <c r="H191" s="6"/>
    </row>
    <row r="192" spans="1:8" x14ac:dyDescent="0.2">
      <c r="A192" s="20" t="s">
        <v>199</v>
      </c>
      <c r="B192" s="12">
        <v>0</v>
      </c>
      <c r="C192" s="12">
        <v>0</v>
      </c>
      <c r="D192" s="12">
        <v>0</v>
      </c>
      <c r="E192" s="12">
        <v>0</v>
      </c>
      <c r="F192" s="12">
        <v>-163.99</v>
      </c>
      <c r="G192" s="12">
        <v>-0.47</v>
      </c>
      <c r="H192" s="12">
        <f t="shared" ref="H192:H198" si="28">SUM(B192:G192)</f>
        <v>-164.46</v>
      </c>
    </row>
    <row r="193" spans="1:8" x14ac:dyDescent="0.2">
      <c r="A193" s="20" t="s">
        <v>200</v>
      </c>
      <c r="B193" s="12">
        <v>-0.6</v>
      </c>
      <c r="C193" s="12">
        <v>0</v>
      </c>
      <c r="D193" s="12">
        <v>0</v>
      </c>
      <c r="E193" s="12">
        <v>0</v>
      </c>
      <c r="F193" s="12">
        <v>-743.78</v>
      </c>
      <c r="G193" s="12">
        <v>0</v>
      </c>
      <c r="H193" s="12">
        <f t="shared" si="28"/>
        <v>-744.38</v>
      </c>
    </row>
    <row r="194" spans="1:8" x14ac:dyDescent="0.2">
      <c r="A194" s="20" t="s">
        <v>201</v>
      </c>
      <c r="B194" s="12">
        <v>-2598</v>
      </c>
      <c r="C194" s="12">
        <v>-36148.101813499998</v>
      </c>
      <c r="D194" s="12">
        <v>0</v>
      </c>
      <c r="E194" s="12">
        <v>-3439.5</v>
      </c>
      <c r="F194" s="12">
        <v>-189143</v>
      </c>
      <c r="G194" s="12">
        <v>-1557</v>
      </c>
      <c r="H194" s="12">
        <f t="shared" si="28"/>
        <v>-232885.60181349999</v>
      </c>
    </row>
    <row r="195" spans="1:8" x14ac:dyDescent="0.2">
      <c r="A195" s="20" t="s">
        <v>202</v>
      </c>
      <c r="B195" s="12">
        <v>0</v>
      </c>
      <c r="C195" s="12">
        <v>1.2031152000000001</v>
      </c>
      <c r="D195" s="12">
        <v>0</v>
      </c>
      <c r="E195" s="12">
        <v>0</v>
      </c>
      <c r="F195" s="12">
        <v>0</v>
      </c>
      <c r="G195" s="12">
        <v>0</v>
      </c>
      <c r="H195" s="12">
        <f t="shared" si="28"/>
        <v>1.2031152000000001</v>
      </c>
    </row>
    <row r="196" spans="1:8" x14ac:dyDescent="0.2">
      <c r="A196" s="20" t="s">
        <v>203</v>
      </c>
      <c r="B196" s="12">
        <v>-142.88999999999999</v>
      </c>
      <c r="C196" s="12">
        <v>0</v>
      </c>
      <c r="D196" s="12">
        <v>0</v>
      </c>
      <c r="E196" s="12">
        <v>0</v>
      </c>
      <c r="F196" s="12">
        <v>-10402.99</v>
      </c>
      <c r="G196" s="12">
        <v>-85.66</v>
      </c>
      <c r="H196" s="12">
        <f t="shared" si="28"/>
        <v>-10631.539999999999</v>
      </c>
    </row>
    <row r="197" spans="1:8" x14ac:dyDescent="0.2">
      <c r="A197" s="20" t="s">
        <v>204</v>
      </c>
      <c r="B197" s="12">
        <v>-2299</v>
      </c>
      <c r="C197" s="12">
        <v>0</v>
      </c>
      <c r="D197" s="12">
        <v>0</v>
      </c>
      <c r="E197" s="12">
        <v>0</v>
      </c>
      <c r="F197" s="12">
        <v>-178880</v>
      </c>
      <c r="G197" s="12">
        <v>-1383</v>
      </c>
      <c r="H197" s="12">
        <f t="shared" si="28"/>
        <v>-182562</v>
      </c>
    </row>
    <row r="198" spans="1:8" x14ac:dyDescent="0.2">
      <c r="A198" s="20" t="s">
        <v>205</v>
      </c>
      <c r="B198" s="12">
        <v>0</v>
      </c>
      <c r="C198" s="12">
        <v>0</v>
      </c>
      <c r="D198" s="12">
        <v>0</v>
      </c>
      <c r="E198" s="12">
        <v>0</v>
      </c>
      <c r="F198" s="12">
        <v>-2983.16</v>
      </c>
      <c r="G198" s="12">
        <v>-8.56</v>
      </c>
      <c r="H198" s="12">
        <f t="shared" si="28"/>
        <v>-2991.72</v>
      </c>
    </row>
    <row r="199" spans="1:8" x14ac:dyDescent="0.2">
      <c r="A199" s="18" t="s">
        <v>206</v>
      </c>
      <c r="B199" s="14">
        <f t="shared" ref="B199:H199" si="29">SUM(B192:B198)</f>
        <v>-5040.49</v>
      </c>
      <c r="C199" s="14">
        <f t="shared" si="29"/>
        <v>-36146.8986983</v>
      </c>
      <c r="D199" s="14">
        <f t="shared" si="29"/>
        <v>0</v>
      </c>
      <c r="E199" s="14">
        <f t="shared" si="29"/>
        <v>-3439.5</v>
      </c>
      <c r="F199" s="14">
        <f t="shared" si="29"/>
        <v>-382316.92</v>
      </c>
      <c r="G199" s="14">
        <f t="shared" si="29"/>
        <v>-3034.69</v>
      </c>
      <c r="H199" s="14">
        <f t="shared" si="29"/>
        <v>-429978.49869829998</v>
      </c>
    </row>
    <row r="200" spans="1:8" x14ac:dyDescent="0.2">
      <c r="A200" s="7" t="s">
        <v>207</v>
      </c>
      <c r="B200" s="6"/>
      <c r="C200" s="6"/>
      <c r="D200" s="6"/>
      <c r="E200" s="6"/>
      <c r="F200" s="6"/>
      <c r="G200" s="6"/>
      <c r="H200" s="6"/>
    </row>
    <row r="201" spans="1:8" x14ac:dyDescent="0.2">
      <c r="A201" s="20" t="s">
        <v>208</v>
      </c>
      <c r="B201" s="12">
        <v>0</v>
      </c>
      <c r="C201" s="12">
        <v>0</v>
      </c>
      <c r="D201" s="12">
        <v>0</v>
      </c>
      <c r="E201" s="12">
        <v>0</v>
      </c>
      <c r="F201" s="12">
        <v>-4376.3999999999996</v>
      </c>
      <c r="G201" s="12">
        <v>0</v>
      </c>
      <c r="H201" s="12">
        <f>SUM(B201:G201)</f>
        <v>-4376.3999999999996</v>
      </c>
    </row>
    <row r="202" spans="1:8" x14ac:dyDescent="0.2">
      <c r="A202" s="20" t="s">
        <v>209</v>
      </c>
      <c r="B202" s="12">
        <v>0</v>
      </c>
      <c r="C202" s="12">
        <v>0</v>
      </c>
      <c r="D202" s="12">
        <v>0</v>
      </c>
      <c r="E202" s="12">
        <v>0</v>
      </c>
      <c r="F202" s="12">
        <v>-2032</v>
      </c>
      <c r="G202" s="12">
        <v>0</v>
      </c>
      <c r="H202" s="12">
        <f>SUM(B202:G202)</f>
        <v>-2032</v>
      </c>
    </row>
    <row r="203" spans="1:8" x14ac:dyDescent="0.2">
      <c r="A203" s="18" t="s">
        <v>210</v>
      </c>
      <c r="B203" s="14">
        <f t="shared" ref="B203:H203" si="30">SUM(B201:B202)</f>
        <v>0</v>
      </c>
      <c r="C203" s="14">
        <f t="shared" si="30"/>
        <v>0</v>
      </c>
      <c r="D203" s="14">
        <f t="shared" si="30"/>
        <v>0</v>
      </c>
      <c r="E203" s="14">
        <f t="shared" si="30"/>
        <v>0</v>
      </c>
      <c r="F203" s="14">
        <f t="shared" si="30"/>
        <v>-6408.4</v>
      </c>
      <c r="G203" s="14">
        <f t="shared" si="30"/>
        <v>0</v>
      </c>
      <c r="H203" s="14">
        <f t="shared" si="30"/>
        <v>-6408.4</v>
      </c>
    </row>
    <row r="204" spans="1:8" x14ac:dyDescent="0.2">
      <c r="A204" s="21" t="s">
        <v>211</v>
      </c>
      <c r="B204" s="14">
        <f t="shared" ref="B204:H204" si="31">B171+B190+B199+B203</f>
        <v>12284.770000000006</v>
      </c>
      <c r="C204" s="14">
        <f t="shared" si="31"/>
        <v>167922.70613842006</v>
      </c>
      <c r="D204" s="14">
        <f t="shared" si="31"/>
        <v>104482.03482235596</v>
      </c>
      <c r="E204" s="14">
        <f t="shared" si="31"/>
        <v>51359.499999999993</v>
      </c>
      <c r="F204" s="14">
        <f t="shared" si="31"/>
        <v>1385038.9199999995</v>
      </c>
      <c r="G204" s="14">
        <f t="shared" si="31"/>
        <v>7408.720000000003</v>
      </c>
      <c r="H204" s="14">
        <f t="shared" si="31"/>
        <v>1728496.6509607809</v>
      </c>
    </row>
  </sheetData>
  <mergeCells count="3">
    <mergeCell ref="A1:H1"/>
    <mergeCell ref="A2:H2"/>
    <mergeCell ref="A3:H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PGPLConsolidated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2023-08-08T21:29:38Z</dcterms:created>
  <dcterms:modified xsi:type="dcterms:W3CDTF">2023-08-08T21:30:13Z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