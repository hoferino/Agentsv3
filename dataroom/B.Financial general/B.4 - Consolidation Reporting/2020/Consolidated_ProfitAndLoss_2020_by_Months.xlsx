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4 - Consolidation Reporting\2020\"/>
    </mc:Choice>
  </mc:AlternateContent>
  <xr:revisionPtr revIDLastSave="0" documentId="13_ncr:40009_{01B5CFDE-F1D9-46F4-B18C-F90EDD8A0E2E}" xr6:coauthVersionLast="47" xr6:coauthVersionMax="47" xr10:uidLastSave="{00000000-0000-0000-0000-000000000000}"/>
  <bookViews>
    <workbookView xWindow="-28920" yWindow="-120" windowWidth="29040" windowHeight="15840"/>
  </bookViews>
  <sheets>
    <sheet name="PGPLConsolid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2" i="1" l="1"/>
  <c r="M192" i="1"/>
  <c r="L192" i="1"/>
  <c r="K192" i="1"/>
  <c r="J192" i="1"/>
  <c r="I192" i="1"/>
  <c r="H192" i="1"/>
  <c r="G192" i="1"/>
  <c r="F192" i="1"/>
  <c r="E192" i="1"/>
  <c r="D192" i="1"/>
  <c r="C192" i="1"/>
  <c r="B192" i="1"/>
  <c r="O191" i="1"/>
  <c r="O192" i="1" s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O188" i="1"/>
  <c r="O187" i="1"/>
  <c r="O186" i="1"/>
  <c r="O185" i="1"/>
  <c r="O184" i="1"/>
  <c r="O183" i="1"/>
  <c r="O182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O178" i="1"/>
  <c r="O177" i="1"/>
  <c r="O176" i="1"/>
  <c r="O175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O172" i="1"/>
  <c r="O171" i="1"/>
  <c r="O170" i="1"/>
  <c r="N168" i="1"/>
  <c r="M168" i="1"/>
  <c r="M180" i="1" s="1"/>
  <c r="L168" i="1"/>
  <c r="L180" i="1" s="1"/>
  <c r="K168" i="1"/>
  <c r="J168" i="1"/>
  <c r="J180" i="1" s="1"/>
  <c r="I168" i="1"/>
  <c r="H168" i="1"/>
  <c r="H180" i="1" s="1"/>
  <c r="G168" i="1"/>
  <c r="F168" i="1"/>
  <c r="F180" i="1" s="1"/>
  <c r="E168" i="1"/>
  <c r="E180" i="1" s="1"/>
  <c r="D168" i="1"/>
  <c r="D180" i="1" s="1"/>
  <c r="C168" i="1"/>
  <c r="B168" i="1"/>
  <c r="B180" i="1" s="1"/>
  <c r="O167" i="1"/>
  <c r="O166" i="1"/>
  <c r="O168" i="1" s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N84" i="1"/>
  <c r="N85" i="1" s="1"/>
  <c r="M84" i="1"/>
  <c r="M85" i="1" s="1"/>
  <c r="L84" i="1"/>
  <c r="L85" i="1" s="1"/>
  <c r="K84" i="1"/>
  <c r="K85" i="1" s="1"/>
  <c r="J84" i="1"/>
  <c r="J85" i="1" s="1"/>
  <c r="I84" i="1"/>
  <c r="I85" i="1" s="1"/>
  <c r="H84" i="1"/>
  <c r="H85" i="1" s="1"/>
  <c r="G84" i="1"/>
  <c r="G85" i="1" s="1"/>
  <c r="F84" i="1"/>
  <c r="F85" i="1" s="1"/>
  <c r="E84" i="1"/>
  <c r="E85" i="1" s="1"/>
  <c r="D84" i="1"/>
  <c r="D85" i="1" s="1"/>
  <c r="C84" i="1"/>
  <c r="C85" i="1" s="1"/>
  <c r="B84" i="1"/>
  <c r="B85" i="1" s="1"/>
  <c r="O83" i="1"/>
  <c r="O82" i="1"/>
  <c r="O81" i="1"/>
  <c r="O80" i="1"/>
  <c r="O79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O74" i="1"/>
  <c r="O73" i="1"/>
  <c r="O72" i="1"/>
  <c r="O71" i="1"/>
  <c r="O70" i="1"/>
  <c r="O69" i="1"/>
  <c r="O68" i="1"/>
  <c r="O67" i="1"/>
  <c r="N65" i="1"/>
  <c r="N76" i="1" s="1"/>
  <c r="M65" i="1"/>
  <c r="L65" i="1"/>
  <c r="L76" i="1" s="1"/>
  <c r="K65" i="1"/>
  <c r="J65" i="1"/>
  <c r="J76" i="1" s="1"/>
  <c r="I65" i="1"/>
  <c r="H65" i="1"/>
  <c r="G65" i="1"/>
  <c r="G76" i="1" s="1"/>
  <c r="F65" i="1"/>
  <c r="F76" i="1" s="1"/>
  <c r="E65" i="1"/>
  <c r="D65" i="1"/>
  <c r="D76" i="1" s="1"/>
  <c r="C65" i="1"/>
  <c r="B65" i="1"/>
  <c r="B76" i="1" s="1"/>
  <c r="O64" i="1"/>
  <c r="O63" i="1"/>
  <c r="O62" i="1"/>
  <c r="O61" i="1"/>
  <c r="O60" i="1"/>
  <c r="O59" i="1"/>
  <c r="O58" i="1"/>
  <c r="O57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O50" i="1"/>
  <c r="O49" i="1"/>
  <c r="O48" i="1"/>
  <c r="O47" i="1"/>
  <c r="O46" i="1"/>
  <c r="N44" i="1"/>
  <c r="M44" i="1"/>
  <c r="L44" i="1"/>
  <c r="L52" i="1" s="1"/>
  <c r="K44" i="1"/>
  <c r="J44" i="1"/>
  <c r="J52" i="1" s="1"/>
  <c r="I44" i="1"/>
  <c r="I52" i="1" s="1"/>
  <c r="H44" i="1"/>
  <c r="G44" i="1"/>
  <c r="G52" i="1" s="1"/>
  <c r="F44" i="1"/>
  <c r="E44" i="1"/>
  <c r="D44" i="1"/>
  <c r="D52" i="1" s="1"/>
  <c r="C44" i="1"/>
  <c r="B44" i="1"/>
  <c r="B52" i="1" s="1"/>
  <c r="O43" i="1"/>
  <c r="O42" i="1"/>
  <c r="O41" i="1"/>
  <c r="O40" i="1"/>
  <c r="O39" i="1"/>
  <c r="O38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O33" i="1"/>
  <c r="O32" i="1"/>
  <c r="O31" i="1"/>
  <c r="O30" i="1"/>
  <c r="O29" i="1"/>
  <c r="O28" i="1"/>
  <c r="O27" i="1"/>
  <c r="O26" i="1"/>
  <c r="O25" i="1"/>
  <c r="O24" i="1"/>
  <c r="N22" i="1"/>
  <c r="M22" i="1"/>
  <c r="M35" i="1" s="1"/>
  <c r="L22" i="1"/>
  <c r="K22" i="1"/>
  <c r="J22" i="1"/>
  <c r="I22" i="1"/>
  <c r="H22" i="1"/>
  <c r="H35" i="1" s="1"/>
  <c r="G22" i="1"/>
  <c r="G35" i="1" s="1"/>
  <c r="F22" i="1"/>
  <c r="E22" i="1"/>
  <c r="E35" i="1" s="1"/>
  <c r="D22" i="1"/>
  <c r="C22" i="1"/>
  <c r="B22" i="1"/>
  <c r="O21" i="1"/>
  <c r="O20" i="1"/>
  <c r="O19" i="1"/>
  <c r="O18" i="1"/>
  <c r="O17" i="1"/>
  <c r="O16" i="1"/>
  <c r="O15" i="1"/>
  <c r="O14" i="1"/>
  <c r="O13" i="1"/>
  <c r="O12" i="1"/>
  <c r="O11" i="1"/>
  <c r="B35" i="1" l="1"/>
  <c r="J35" i="1"/>
  <c r="C180" i="1"/>
  <c r="D35" i="1"/>
  <c r="D53" i="1" s="1"/>
  <c r="L35" i="1"/>
  <c r="L53" i="1" s="1"/>
  <c r="E76" i="1"/>
  <c r="M76" i="1"/>
  <c r="M162" i="1" s="1"/>
  <c r="G53" i="1"/>
  <c r="C35" i="1"/>
  <c r="K35" i="1"/>
  <c r="K180" i="1"/>
  <c r="O84" i="1"/>
  <c r="O85" i="1" s="1"/>
  <c r="N180" i="1"/>
  <c r="O34" i="1"/>
  <c r="H76" i="1"/>
  <c r="H162" i="1" s="1"/>
  <c r="F52" i="1"/>
  <c r="N52" i="1"/>
  <c r="J162" i="1"/>
  <c r="B162" i="1"/>
  <c r="O22" i="1"/>
  <c r="I35" i="1"/>
  <c r="I53" i="1" s="1"/>
  <c r="C52" i="1"/>
  <c r="C53" i="1" s="1"/>
  <c r="C163" i="1" s="1"/>
  <c r="C193" i="1" s="1"/>
  <c r="K52" i="1"/>
  <c r="K53" i="1" s="1"/>
  <c r="B53" i="1"/>
  <c r="B163" i="1" s="1"/>
  <c r="B193" i="1" s="1"/>
  <c r="J53" i="1"/>
  <c r="J163" i="1" s="1"/>
  <c r="J193" i="1" s="1"/>
  <c r="O44" i="1"/>
  <c r="O75" i="1"/>
  <c r="E52" i="1"/>
  <c r="E53" i="1" s="1"/>
  <c r="M52" i="1"/>
  <c r="O65" i="1"/>
  <c r="C76" i="1"/>
  <c r="C162" i="1" s="1"/>
  <c r="K76" i="1"/>
  <c r="K162" i="1" s="1"/>
  <c r="G180" i="1"/>
  <c r="O173" i="1"/>
  <c r="M53" i="1"/>
  <c r="O51" i="1"/>
  <c r="O179" i="1"/>
  <c r="F35" i="1"/>
  <c r="N35" i="1"/>
  <c r="H52" i="1"/>
  <c r="H53" i="1" s="1"/>
  <c r="F162" i="1"/>
  <c r="N162" i="1"/>
  <c r="I76" i="1"/>
  <c r="I162" i="1" s="1"/>
  <c r="O161" i="1"/>
  <c r="I180" i="1"/>
  <c r="O189" i="1"/>
  <c r="D163" i="1"/>
  <c r="D193" i="1" s="1"/>
  <c r="O76" i="1"/>
  <c r="O162" i="1" s="1"/>
  <c r="D162" i="1"/>
  <c r="L162" i="1"/>
  <c r="L163" i="1" s="1"/>
  <c r="L193" i="1" s="1"/>
  <c r="E162" i="1"/>
  <c r="G162" i="1"/>
  <c r="G163" i="1" l="1"/>
  <c r="F53" i="1"/>
  <c r="F163" i="1" s="1"/>
  <c r="F193" i="1" s="1"/>
  <c r="K163" i="1"/>
  <c r="K193" i="1" s="1"/>
  <c r="N53" i="1"/>
  <c r="N163" i="1" s="1"/>
  <c r="N193" i="1" s="1"/>
  <c r="O35" i="1"/>
  <c r="O180" i="1"/>
  <c r="O52" i="1"/>
  <c r="G193" i="1"/>
  <c r="I163" i="1"/>
  <c r="I193" i="1" s="1"/>
  <c r="E163" i="1"/>
  <c r="E193" i="1" s="1"/>
  <c r="M163" i="1"/>
  <c r="M193" i="1" s="1"/>
  <c r="H163" i="1"/>
  <c r="H193" i="1" s="1"/>
  <c r="O53" i="1" l="1"/>
  <c r="O163" i="1" s="1"/>
  <c r="O193" i="1" s="1"/>
</calcChain>
</file>

<file path=xl/sharedStrings.xml><?xml version="1.0" encoding="utf-8"?>
<sst xmlns="http://schemas.openxmlformats.org/spreadsheetml/2006/main" count="221" uniqueCount="208">
  <si>
    <t>Firma (Consolidated)</t>
  </si>
  <si>
    <t>PG P+L Consolidated</t>
  </si>
  <si>
    <t>From Jan 2020 to Adjust 2020</t>
  </si>
  <si>
    <t>Financial Row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</si>
  <si>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</si>
  <si>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</si>
  <si>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</si>
  <si>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</si>
  <si>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</si>
  <si>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</si>
  <si>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</si>
  <si>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</si>
  <si>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</si>
  <si>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</si>
  <si>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</si>
  <si>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</si>
  <si>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 xml:space="preserve">Adjust 2020 </t>
  </si>
  <si>
    <t>Total</t>
  </si>
  <si>
    <t> </t>
  </si>
  <si>
    <t>Amount (Book 1)</t>
  </si>
  <si>
    <t>Net profit/loss for the year</t>
  </si>
  <si>
    <t>EBIT</t>
  </si>
  <si>
    <t>Gross profit</t>
  </si>
  <si>
    <t>Operating income</t>
  </si>
  <si>
    <t>1. Revenue</t>
  </si>
  <si>
    <t>473600 - Cash discounts granted, Standard VAT</t>
  </si>
  <si>
    <t>477000 - Rebates granted</t>
  </si>
  <si>
    <t>479000 - Rebates granted, Standard VAT</t>
  </si>
  <si>
    <t>433800 - Rev. from services tax. in a 3.country, not subject  dom tax</t>
  </si>
  <si>
    <t>440010 - Revenue Goods - standard VAT</t>
  </si>
  <si>
    <t>440000 - Revenue Services- standard VAT</t>
  </si>
  <si>
    <t>433600 - Revenue from oth serv. taxable in anoth EU cntry</t>
  </si>
  <si>
    <t>433700 - Revenue from services, recipient bears the tax liability</t>
  </si>
  <si>
    <t>400000 - Sales (free text)</t>
  </si>
  <si>
    <t>410000 - Tax-exempt sales, section 4 no. 8 ff. UStG</t>
  </si>
  <si>
    <t>474000 - Volume discounts granted</t>
  </si>
  <si>
    <t>Total Revenue</t>
  </si>
  <si>
    <t>4. Other operating income</t>
  </si>
  <si>
    <t>494700 - Alloc. other non-cash benefits from provi. of car, Std VAT</t>
  </si>
  <si>
    <t>494900 - Allocated other non-cash benefits, no VAT</t>
  </si>
  <si>
    <t>490000 - Income from disposal of fixed assets</t>
  </si>
  <si>
    <t>492500 - Income from recoveries of receivables previously written off</t>
  </si>
  <si>
    <t>493000 - Income from reversal of provisions</t>
  </si>
  <si>
    <t>483000 - Other operating income</t>
  </si>
  <si>
    <t>483500 - Other regular operating income</t>
  </si>
  <si>
    <t>484000 - Realized Foreign Exchange Gain</t>
  </si>
  <si>
    <t>483800 - Reimbursed input tax, other countries</t>
  </si>
  <si>
    <t>454000 - Revenue infrastructure standard VAT</t>
  </si>
  <si>
    <t>Total Other operating income</t>
  </si>
  <si>
    <t>Total Operating income</t>
  </si>
  <si>
    <t>5. Cost of materials</t>
  </si>
  <si>
    <t>a) Cost of raw materials, consum, supplies and purchased merch.</t>
  </si>
  <si>
    <t>520000 - Cost of merchandise</t>
  </si>
  <si>
    <t>520200 - Cost of merchandise §13b supplier EU- Services</t>
  </si>
  <si>
    <t>540000 - Cost of merchandise, Standard input tax</t>
  </si>
  <si>
    <t>542500 - Intra-EU acquisitions, Standard input tax and 7% VAT</t>
  </si>
  <si>
    <t>580010 - Invoice PO price variance standard rate</t>
  </si>
  <si>
    <t>577000 - Rebates received</t>
  </si>
  <si>
    <t>Total Cost of raw materials, consum, supplies and purchased merch.</t>
  </si>
  <si>
    <t>b) Cost of purchased services</t>
  </si>
  <si>
    <t>592300 - Other serv. supplied by contr. anoth EU cntry, Std input tax</t>
  </si>
  <si>
    <t>590000 - Purchased services standard input tax</t>
  </si>
  <si>
    <t>590600 - Purchased services, Standard input tax</t>
  </si>
  <si>
    <t>592500 - Serv.s supplied by foreign contractor, Std input tax</t>
  </si>
  <si>
    <t>590100 - Third Party Services §13b EU-Country - Service</t>
  </si>
  <si>
    <t>Total Cost of purchased services</t>
  </si>
  <si>
    <t>Total Cost of materials</t>
  </si>
  <si>
    <t>Total Gross profit</t>
  </si>
  <si>
    <t>Operating expenses (except cost of materials)</t>
  </si>
  <si>
    <t>6. Personnel expenses</t>
  </si>
  <si>
    <t>b) Social security, post-employ, and other employee benft costs</t>
  </si>
  <si>
    <t>612000 - Contributions to occupational health and safety agency</t>
  </si>
  <si>
    <t>614000 - Cost of old age pensions</t>
  </si>
  <si>
    <t>615000 - Pension funds</t>
  </si>
  <si>
    <t>614900 - Post-employment benefit costs for shareholder managers</t>
  </si>
  <si>
    <t>611000 - Statutory social security expenses</t>
  </si>
  <si>
    <t>612500 - Voluntary contributions to prof association</t>
  </si>
  <si>
    <t>613000 - Voluntary social benefits not subject to wage tax</t>
  </si>
  <si>
    <t>616500 - company medical officer, occupational safety</t>
  </si>
  <si>
    <t>Total Social security, post-employ, and other employee benft costs</t>
  </si>
  <si>
    <t>a) Wages and salaries</t>
  </si>
  <si>
    <t>606900 - Flat-rate tax on other benefits (e.g. travel allowances)</t>
  </si>
  <si>
    <t>602300 - Profit-sharing salary management</t>
  </si>
  <si>
    <t>497200 - Refunds Act on Reimbursement of Employers' Expenses (AAG)</t>
  </si>
  <si>
    <t>602000 - Salaries</t>
  </si>
  <si>
    <t>602400 - Salaries - target bonus</t>
  </si>
  <si>
    <t>600500 - Staff acquisition</t>
  </si>
  <si>
    <t>602200 - Vacation pay -provision-</t>
  </si>
  <si>
    <t>606000 - Voluntary social benefits subject to wage tax</t>
  </si>
  <si>
    <t>Total Wages and salaries</t>
  </si>
  <si>
    <t>Total Personnel expenses</t>
  </si>
  <si>
    <t>7. Depreciation and amortisation</t>
  </si>
  <si>
    <t>a) Amortisation of intangible assets and depr. of tangbl assets</t>
  </si>
  <si>
    <t>620000 - Amortisation of intangible fixed assets</t>
  </si>
  <si>
    <t>622000 - Depr. of tangible fixed assets (excl. Depr. of vehicles)</t>
  </si>
  <si>
    <t>622200 - Depreciation of motor vehicles</t>
  </si>
  <si>
    <t>620500 - Goodwill amortisation and write-downs</t>
  </si>
  <si>
    <t>626000 - Immediate write-off of low-value assets</t>
  </si>
  <si>
    <t>Total a) Amortisation of intangible assets and depr. of tangbl assets</t>
  </si>
  <si>
    <t>Total Depreciation and amortisation</t>
  </si>
  <si>
    <t>8. Other operating expenses</t>
  </si>
  <si>
    <t>660000 - Advertising costs</t>
  </si>
  <si>
    <t>683000 - Bookkeeping costs</t>
  </si>
  <si>
    <t>633000 - Cleaning</t>
  </si>
  <si>
    <t>642000 - Contributions</t>
  </si>
  <si>
    <t>688100 - Currency Exchange Losses</t>
  </si>
  <si>
    <t>688000 - Currency translation losses</t>
  </si>
  <si>
    <t>644000 - Disabled persons equalisation levy</t>
  </si>
  <si>
    <t>666800 - Employee mileage reimbursement</t>
  </si>
  <si>
    <t>666500 - Employee travel expens, add. sub costs,Income tax liability</t>
  </si>
  <si>
    <t>665000 - Employee travel expenses</t>
  </si>
  <si>
    <t>665100 - Employee travel expenses 7% input tax</t>
  </si>
  <si>
    <t>666000 - Employee travel expenses, accommodation costs</t>
  </si>
  <si>
    <t>666100 - Employee travel expenses, accommodation costs 7% input tax</t>
  </si>
  <si>
    <t>666200 - Employee travel expenses, accommodation costs std input tax</t>
  </si>
  <si>
    <t>666400 - Employee travel expenses, additional subsistence costs</t>
  </si>
  <si>
    <t>665200 - Employee travel expenses, standard tax</t>
  </si>
  <si>
    <t>664000 - Entertainment expenses</t>
  </si>
  <si>
    <t>683700 - Expenses for temp. transfer of rights(licences, concessions)</t>
  </si>
  <si>
    <t>681000 - Fax and Internet costs</t>
  </si>
  <si>
    <t>632500 - Gas, electricity, water</t>
  </si>
  <si>
    <t>661000 - Gifts, deductible, without s. 37b EStG</t>
  </si>
  <si>
    <t>662000 - Gifts, non-deductible, without s. 37b EStG</t>
  </si>
  <si>
    <t>649500 - Hardware and software maintenance expenses</t>
  </si>
  <si>
    <t>685500 - Incidental monetary transaction costs</t>
  </si>
  <si>
    <t>640000 - Insurance premiums</t>
  </si>
  <si>
    <t>683600 - Leases (movable assets)</t>
  </si>
  <si>
    <t>682500 - Legal and consulting costs</t>
  </si>
  <si>
    <t>682800 - Legal and consulting fees §13b UStG Supplier EU service</t>
  </si>
  <si>
    <t>690000 - Losses on disposal of fixed assets</t>
  </si>
  <si>
    <t>633500 - Maintenance of operating premises</t>
  </si>
  <si>
    <t>682000 - Newspapers, books</t>
  </si>
  <si>
    <t>639300 - Non-cash benefits, donations for church, non-profit purposes</t>
  </si>
  <si>
    <t>664400 - Non-deductible entertainment expenses</t>
  </si>
  <si>
    <t>681500 - Office supplies</t>
  </si>
  <si>
    <t>656000 - Operating leases (motor vehicles)</t>
  </si>
  <si>
    <t>684000 - Operating leases (mov. assets)</t>
  </si>
  <si>
    <t>696900 - Other infrequent expenses</t>
  </si>
  <si>
    <t>685000 - Other operating supplies</t>
  </si>
  <si>
    <t>649000 - Other repairs and maintenance</t>
  </si>
  <si>
    <t>682700 - Period-end closing and audit costs</t>
  </si>
  <si>
    <t>680000 - Postage</t>
  </si>
  <si>
    <t>631000 - Rent (immovable property)</t>
  </si>
  <si>
    <t>683500 - Rent of fixtures and fittings (movable assets)</t>
  </si>
  <si>
    <t>646000 - Repairs and maintenance of technical equipment and machinery</t>
  </si>
  <si>
    <t>689200 - Revenue from sales of long-term financial assets</t>
  </si>
  <si>
    <t>699400 - Selling expenses</t>
  </si>
  <si>
    <t>664300 - Small gifts</t>
  </si>
  <si>
    <t>663500 - Staff acquisition -old</t>
  </si>
  <si>
    <t>680500 - Telephone</t>
  </si>
  <si>
    <t>681400 - Third country service</t>
  </si>
  <si>
    <t>678000 - Third-party services (distribution)</t>
  </si>
  <si>
    <t>682100 - Training costs</t>
  </si>
  <si>
    <t>692300 - Transfer to specific valuation allowance on receivables</t>
  </si>
  <si>
    <t>692000 - Transfers to global valuation allowance on receivables</t>
  </si>
  <si>
    <t>669900 - Travel costs liability adjustment account</t>
  </si>
  <si>
    <t>650035 - Vehicle Expenses KA-FS 5712/2 BMW 740d xDrive Limousine</t>
  </si>
  <si>
    <t>650033 - Vehicle expenses  KA-MW 8801 Mazda CX30</t>
  </si>
  <si>
    <t>650031 - Vehicle expenses KA-AC 3211 Skoda Kodiaq 2.0 TDI</t>
  </si>
  <si>
    <t>650018 - Vehicle expenses KA-B 9883 Skoda Octavia</t>
  </si>
  <si>
    <t>650036 - Vehicle expenses KA-B 9884 Skodia Fabia</t>
  </si>
  <si>
    <t>650013 - Vehicle expenses KA-DK 1015 VW T-Roc</t>
  </si>
  <si>
    <t>650021 - Vehicle expenses KA-EW 1155 Skoda KODIAQ Drive 2.0 TDI</t>
  </si>
  <si>
    <t>650027 - Vehicle expenses KA-FS 5712 BMW 740d Drive Limousine</t>
  </si>
  <si>
    <t>650017 - Vehicle expenses KA-JM 1075 Skoda Superb</t>
  </si>
  <si>
    <t>650026 - Vehicle expenses KA-JR 1012 Audi Q5 2.0 Quattro TDI</t>
  </si>
  <si>
    <t>650037 - Vehicle expenses KA-JR 1240 Audi Q3 Sportsback 45 TFSI</t>
  </si>
  <si>
    <t>650014 - Vehicle expenses KA-KS 1186 Mercedes GLA</t>
  </si>
  <si>
    <t>650012 - Vehicle expenses KA-M 3390 Tesla</t>
  </si>
  <si>
    <t>650019 - Vehicle expenses KA-MA 9080 Skoda Superb Combi 1.8 TSI</t>
  </si>
  <si>
    <t>650025 - Vehicle expenses KA-MP 1018 KIA Sportage</t>
  </si>
  <si>
    <t>650034 - Vehicle expenses KA-MP 1019 KIA Xceed 1.4 T-GDI</t>
  </si>
  <si>
    <t>650016 - Vehicle expenses KA-MW 8800 Toyota Verso</t>
  </si>
  <si>
    <t>650011 - Vehicle expenses KA-S 2730 Skoda Octavia</t>
  </si>
  <si>
    <t>681600 - data processing demand</t>
  </si>
  <si>
    <t>Total Other operating expenses</t>
  </si>
  <si>
    <t>Total Operating expenses (except cost of materials)</t>
  </si>
  <si>
    <t>Total EBIT</t>
  </si>
  <si>
    <t>Financial result</t>
  </si>
  <si>
    <t>10. Income from other securities and long-term loans</t>
  </si>
  <si>
    <t>701100 - Income from long-term loans</t>
  </si>
  <si>
    <t>701000 - Income from other securities and long-term loans</t>
  </si>
  <si>
    <t>Total Income from other securities and long-term loans</t>
  </si>
  <si>
    <t>11. Other interest and similar income</t>
  </si>
  <si>
    <t>730800 - Interest expenses, section 233a AO, section 4(5b) EStG</t>
  </si>
  <si>
    <t>710000 - Other interest and similar income</t>
  </si>
  <si>
    <t>711900 - Other interest income from affiliated companies</t>
  </si>
  <si>
    <t>Total Other interest and similar income</t>
  </si>
  <si>
    <t>13. Interest and similar expenses</t>
  </si>
  <si>
    <t>740200 - Extraordinary income standard</t>
  </si>
  <si>
    <t>736000 - Interest cost included in additions to pension provisions</t>
  </si>
  <si>
    <t>731100 - Interest expense §§ 234 to 237 AO deductible</t>
  </si>
  <si>
    <t>732900 - Interest expenses on long-term liabilities to affiliated co.</t>
  </si>
  <si>
    <t>Total Interest and similar expenses</t>
  </si>
  <si>
    <t>Total Financial result</t>
  </si>
  <si>
    <t>14. Taxes on income</t>
  </si>
  <si>
    <t>763300 - Allow. solidarity surcharge on w/h tax invest. income, 25%</t>
  </si>
  <si>
    <t>764100 - Backpayments and refunds of trade tax for prior years</t>
  </si>
  <si>
    <t>760000 - Corporate income tax</t>
  </si>
  <si>
    <t>760300 - Corporate income tax for prior years</t>
  </si>
  <si>
    <t>760800 - Solidarity surcharge</t>
  </si>
  <si>
    <t>761000 - Trade tax</t>
  </si>
  <si>
    <t>763000 - Withholding tax on investment income, 25%</t>
  </si>
  <si>
    <t>Total Taxes on income</t>
  </si>
  <si>
    <t>16. Other taxes</t>
  </si>
  <si>
    <t>768500 - Motor vehicle tax</t>
  </si>
  <si>
    <t>Total Other taxes</t>
  </si>
  <si>
    <t>TOTAL Net profit/loss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</si>
</sst>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3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96969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Border="1" applyAlignment="1">
      <alignment horizontal="left" vertical="center"/>
    </xf>
    <xf numFmtId="168" fontId="21" fillId="0" borderId="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indent="1"/>
    </xf>
    <xf numFmtId="0" fontId="21" fillId="0" borderId="0" xfId="0" applyFont="1" applyBorder="1" applyAlignment="1">
      <alignment horizontal="left" indent="2"/>
    </xf>
    <xf numFmtId="0" fontId="21" fillId="0" borderId="0" xfId="0" applyFont="1" applyBorder="1" applyAlignment="1">
      <alignment horizontal="left" indent="3"/>
    </xf>
    <xf numFmtId="0" fontId="21" fillId="0" borderId="0" xfId="0" applyFont="1" applyBorder="1" applyAlignment="1">
      <alignment horizontal="left" indent="4"/>
    </xf>
    <xf numFmtId="0" fontId="22" fillId="0" borderId="0" xfId="0" applyFont="1" applyBorder="1" applyAlignment="1">
      <alignment horizontal="left" indent="5"/>
    </xf>
    <xf numFmtId="168" fontId="22" fillId="0" borderId="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4"/>
    </xf>
    <xf numFmtId="168" fontId="21" fillId="0" borderId="1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3"/>
    </xf>
    <xf numFmtId="0" fontId="21" fillId="0" borderId="10" xfId="0" applyFont="1" applyBorder="1" applyAlignment="1">
      <alignment horizontal="left" indent="2"/>
    </xf>
    <xf numFmtId="0" fontId="22" fillId="0" borderId="0" xfId="0" applyFont="1" applyBorder="1" applyAlignment="1">
      <alignment horizontal="left" indent="4"/>
    </xf>
    <xf numFmtId="0" fontId="21" fillId="0" borderId="10" xfId="0" applyFont="1" applyBorder="1" applyAlignment="1">
      <alignment horizontal="left" indent="1"/>
    </xf>
    <xf numFmtId="0" fontId="22" fillId="0" borderId="0" xfId="0" applyFont="1" applyBorder="1" applyAlignment="1">
      <alignment horizontal="left" indent="3"/>
    </xf>
    <xf numFmtId="0" fontId="22" fillId="0" borderId="0" xfId="0" applyFont="1" applyBorder="1" applyAlignment="1">
      <alignment horizontal="left" indent="2"/>
    </xf>
    <xf numFmtId="0" fontId="21" fillId="0" borderId="10" xfId="0" applyFont="1" applyBorder="1" applyAlignment="1">
      <alignment horizontal="left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3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RowHeight="11.25" x14ac:dyDescent="0.2"/>
  <cols>
    <col min="1" max="1" width="72.5" bestFit="1" customWidth="1"/>
    <col min="2" max="15" width="15.83203125" bestFit="1" customWidth="1"/>
  </cols>
  <sheetData>
    <row r="1" spans="1:15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8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</row>
    <row r="5" spans="1:15" x14ac:dyDescent="0.2">
      <c r="A5" s="3" t="s">
        <v>18</v>
      </c>
      <c r="B5" s="4" t="s">
        <v>19</v>
      </c>
      <c r="C5" s="4" t="s">
        <v>19</v>
      </c>
      <c r="D5" s="4" t="s">
        <v>19</v>
      </c>
      <c r="E5" s="4" t="s">
        <v>19</v>
      </c>
      <c r="F5" s="4" t="s">
        <v>19</v>
      </c>
      <c r="G5" s="4" t="s">
        <v>19</v>
      </c>
      <c r="H5" s="4" t="s">
        <v>19</v>
      </c>
      <c r="I5" s="4" t="s">
        <v>19</v>
      </c>
      <c r="J5" s="4" t="s">
        <v>19</v>
      </c>
      <c r="K5" s="4" t="s">
        <v>19</v>
      </c>
      <c r="L5" s="4" t="s">
        <v>19</v>
      </c>
      <c r="M5" s="4" t="s">
        <v>19</v>
      </c>
      <c r="N5" s="4" t="s">
        <v>19</v>
      </c>
      <c r="O5" s="4" t="s">
        <v>19</v>
      </c>
    </row>
    <row r="6" spans="1:15" x14ac:dyDescent="0.2">
      <c r="A6" s="5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2">
      <c r="A7" s="7" t="s">
        <v>21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2">
      <c r="A8" s="8" t="s">
        <v>22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">
      <c r="A9" s="9" t="s">
        <v>23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x14ac:dyDescent="0.2">
      <c r="A10" s="10" t="s">
        <v>24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">
      <c r="A11" s="11" t="s">
        <v>25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-3750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f t="shared" ref="O11:O21" si="0">SUM(B11:N11)</f>
        <v>-3750</v>
      </c>
    </row>
    <row r="12" spans="1:15" x14ac:dyDescent="0.2">
      <c r="A12" s="11" t="s">
        <v>26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-2500</v>
      </c>
      <c r="I12" s="12">
        <v>0</v>
      </c>
      <c r="J12" s="12">
        <v>0</v>
      </c>
      <c r="K12" s="12">
        <v>0</v>
      </c>
      <c r="L12" s="12">
        <v>0</v>
      </c>
      <c r="M12" s="12">
        <v>-178.33</v>
      </c>
      <c r="N12" s="12">
        <v>178.33</v>
      </c>
      <c r="O12" s="12">
        <f t="shared" si="0"/>
        <v>-2500</v>
      </c>
    </row>
    <row r="13" spans="1:15" x14ac:dyDescent="0.2">
      <c r="A13" s="11" t="s">
        <v>27</v>
      </c>
      <c r="B13" s="12">
        <v>-21573.5</v>
      </c>
      <c r="C13" s="12">
        <v>-8760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f t="shared" si="0"/>
        <v>-30333.5</v>
      </c>
    </row>
    <row r="14" spans="1:15" x14ac:dyDescent="0.2">
      <c r="A14" s="11" t="s">
        <v>28</v>
      </c>
      <c r="B14" s="12">
        <v>21571.97105</v>
      </c>
      <c r="C14" s="12">
        <v>20910.145256</v>
      </c>
      <c r="D14" s="12">
        <v>6345</v>
      </c>
      <c r="E14" s="12">
        <v>12270</v>
      </c>
      <c r="F14" s="12">
        <v>4320</v>
      </c>
      <c r="G14" s="12">
        <v>4320</v>
      </c>
      <c r="H14" s="12">
        <v>13837.5</v>
      </c>
      <c r="I14" s="12">
        <v>0</v>
      </c>
      <c r="J14" s="12">
        <v>58365</v>
      </c>
      <c r="K14" s="12">
        <v>48630</v>
      </c>
      <c r="L14" s="12">
        <v>67027.5</v>
      </c>
      <c r="M14" s="12">
        <v>54555</v>
      </c>
      <c r="N14" s="12">
        <v>0</v>
      </c>
      <c r="O14" s="12">
        <f t="shared" si="0"/>
        <v>312152.11630599998</v>
      </c>
    </row>
    <row r="15" spans="1:15" x14ac:dyDescent="0.2">
      <c r="A15" s="11" t="s">
        <v>29</v>
      </c>
      <c r="B15" s="12">
        <v>50072.651250000003</v>
      </c>
      <c r="C15" s="12">
        <v>37853.812852000003</v>
      </c>
      <c r="D15" s="12">
        <v>27830.244922999998</v>
      </c>
      <c r="E15" s="12">
        <v>13736.75</v>
      </c>
      <c r="F15" s="12">
        <v>14611.471874999999</v>
      </c>
      <c r="G15" s="12">
        <v>11620.536249999999</v>
      </c>
      <c r="H15" s="12">
        <v>19614.939999999999</v>
      </c>
      <c r="I15" s="12">
        <v>9758.0249999999996</v>
      </c>
      <c r="J15" s="12">
        <v>4329.78</v>
      </c>
      <c r="K15" s="12">
        <v>3334.4955</v>
      </c>
      <c r="L15" s="12">
        <v>3253.38</v>
      </c>
      <c r="M15" s="12">
        <v>9342.8151249999992</v>
      </c>
      <c r="N15" s="12">
        <v>0</v>
      </c>
      <c r="O15" s="12">
        <f t="shared" si="0"/>
        <v>205358.90277499997</v>
      </c>
    </row>
    <row r="16" spans="1:15" x14ac:dyDescent="0.2">
      <c r="A16" s="11" t="s">
        <v>30</v>
      </c>
      <c r="B16" s="12">
        <v>880442.49824999995</v>
      </c>
      <c r="C16" s="12">
        <v>874123.59401999996</v>
      </c>
      <c r="D16" s="12">
        <v>1047412.19218</v>
      </c>
      <c r="E16" s="12">
        <v>709457.87</v>
      </c>
      <c r="F16" s="12">
        <v>813761.82616000006</v>
      </c>
      <c r="G16" s="12">
        <v>891293.7696</v>
      </c>
      <c r="H16" s="12">
        <v>1079361.0120900001</v>
      </c>
      <c r="I16" s="12">
        <v>1250855.6635</v>
      </c>
      <c r="J16" s="12">
        <v>837185.87386000005</v>
      </c>
      <c r="K16" s="12">
        <v>857427.26691500004</v>
      </c>
      <c r="L16" s="12">
        <v>762665.51471999998</v>
      </c>
      <c r="M16" s="12">
        <v>1011776.28996</v>
      </c>
      <c r="N16" s="12">
        <v>-691.66</v>
      </c>
      <c r="O16" s="12">
        <f t="shared" si="0"/>
        <v>11015071.711255001</v>
      </c>
    </row>
    <row r="17" spans="1:15" x14ac:dyDescent="0.2">
      <c r="A17" s="11" t="s">
        <v>31</v>
      </c>
      <c r="B17" s="12">
        <v>3527.5</v>
      </c>
      <c r="C17" s="12">
        <v>34411.5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463354.8</v>
      </c>
      <c r="N17" s="12">
        <v>0</v>
      </c>
      <c r="O17" s="12">
        <f t="shared" si="0"/>
        <v>501293.8</v>
      </c>
    </row>
    <row r="18" spans="1:15" x14ac:dyDescent="0.2">
      <c r="A18" s="11" t="s">
        <v>32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124696</v>
      </c>
      <c r="I18" s="12">
        <v>0</v>
      </c>
      <c r="J18" s="12">
        <v>126481.60000000001</v>
      </c>
      <c r="K18" s="12">
        <v>3978</v>
      </c>
      <c r="L18" s="12">
        <v>292428</v>
      </c>
      <c r="M18" s="12">
        <v>-103479.8</v>
      </c>
      <c r="N18" s="12">
        <v>0</v>
      </c>
      <c r="O18" s="12">
        <f t="shared" si="0"/>
        <v>444103.8</v>
      </c>
    </row>
    <row r="19" spans="1:15" x14ac:dyDescent="0.2">
      <c r="A19" s="11" t="s">
        <v>33</v>
      </c>
      <c r="B19" s="12">
        <v>-1447</v>
      </c>
      <c r="C19" s="12">
        <v>-2998</v>
      </c>
      <c r="D19" s="12">
        <v>24037.75</v>
      </c>
      <c r="E19" s="12">
        <v>-2928</v>
      </c>
      <c r="F19" s="12">
        <v>0</v>
      </c>
      <c r="G19" s="12">
        <v>17007.75</v>
      </c>
      <c r="H19" s="12">
        <v>-1555</v>
      </c>
      <c r="I19" s="12">
        <v>-583</v>
      </c>
      <c r="J19" s="12">
        <v>-5163.25</v>
      </c>
      <c r="K19" s="12">
        <v>-9679</v>
      </c>
      <c r="L19" s="12">
        <v>-4937</v>
      </c>
      <c r="M19" s="12">
        <v>2823.14</v>
      </c>
      <c r="N19" s="12">
        <v>513.33000000000004</v>
      </c>
      <c r="O19" s="12">
        <f t="shared" si="0"/>
        <v>15091.72</v>
      </c>
    </row>
    <row r="20" spans="1:15" x14ac:dyDescent="0.2">
      <c r="A20" s="11" t="s">
        <v>34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6600</v>
      </c>
      <c r="N20" s="12">
        <v>0</v>
      </c>
      <c r="O20" s="12">
        <f t="shared" si="0"/>
        <v>6600</v>
      </c>
    </row>
    <row r="21" spans="1:15" x14ac:dyDescent="0.2">
      <c r="A21" s="11" t="s">
        <v>35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-43.554000000000002</v>
      </c>
      <c r="K21" s="12">
        <v>-66.947400000000002</v>
      </c>
      <c r="L21" s="12">
        <v>-50.052</v>
      </c>
      <c r="M21" s="12">
        <v>-17.0961</v>
      </c>
      <c r="N21" s="12">
        <v>0</v>
      </c>
      <c r="O21" s="12">
        <f t="shared" si="0"/>
        <v>-177.64950000000002</v>
      </c>
    </row>
    <row r="22" spans="1:15" x14ac:dyDescent="0.2">
      <c r="A22" s="13" t="s">
        <v>36</v>
      </c>
      <c r="B22" s="14">
        <f t="shared" ref="B22:O22" si="1">SUM(B11:B21)</f>
        <v>932594.12054999999</v>
      </c>
      <c r="C22" s="14">
        <f t="shared" si="1"/>
        <v>955541.05212799995</v>
      </c>
      <c r="D22" s="14">
        <f t="shared" si="1"/>
        <v>1105625.187103</v>
      </c>
      <c r="E22" s="14">
        <f t="shared" si="1"/>
        <v>732536.62</v>
      </c>
      <c r="F22" s="14">
        <f t="shared" si="1"/>
        <v>832693.2980350001</v>
      </c>
      <c r="G22" s="14">
        <f t="shared" si="1"/>
        <v>924242.05585</v>
      </c>
      <c r="H22" s="14">
        <f t="shared" si="1"/>
        <v>1229704.45209</v>
      </c>
      <c r="I22" s="14">
        <f t="shared" si="1"/>
        <v>1260030.6884999999</v>
      </c>
      <c r="J22" s="14">
        <f t="shared" si="1"/>
        <v>1021155.4498600001</v>
      </c>
      <c r="K22" s="14">
        <f t="shared" si="1"/>
        <v>903623.81501500006</v>
      </c>
      <c r="L22" s="14">
        <f t="shared" si="1"/>
        <v>1120387.3427200001</v>
      </c>
      <c r="M22" s="14">
        <f t="shared" si="1"/>
        <v>1444776.8189849998</v>
      </c>
      <c r="N22" s="14">
        <f t="shared" si="1"/>
        <v>1.1368683772161603E-13</v>
      </c>
      <c r="O22" s="14">
        <f t="shared" si="1"/>
        <v>12462910.900836004</v>
      </c>
    </row>
    <row r="23" spans="1:15" x14ac:dyDescent="0.2">
      <c r="A23" s="10" t="s">
        <v>37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">
      <c r="A24" s="11" t="s">
        <v>38</v>
      </c>
      <c r="B24" s="12">
        <v>6868.02</v>
      </c>
      <c r="C24" s="12">
        <v>7419.28</v>
      </c>
      <c r="D24" s="12">
        <v>7143.65</v>
      </c>
      <c r="E24" s="12">
        <v>7237.4</v>
      </c>
      <c r="F24" s="12">
        <v>7156.25</v>
      </c>
      <c r="G24" s="12">
        <v>7155</v>
      </c>
      <c r="H24" s="12">
        <v>6303.51</v>
      </c>
      <c r="I24" s="12">
        <v>6303.51</v>
      </c>
      <c r="J24" s="12">
        <v>6303.51</v>
      </c>
      <c r="K24" s="12">
        <v>6132.53</v>
      </c>
      <c r="L24" s="12">
        <v>6500.78</v>
      </c>
      <c r="M24" s="12">
        <v>10790.39</v>
      </c>
      <c r="N24" s="12">
        <v>0</v>
      </c>
      <c r="O24" s="12">
        <f t="shared" ref="O24:O33" si="2">SUM(B24:N24)</f>
        <v>85313.83</v>
      </c>
    </row>
    <row r="25" spans="1:15" x14ac:dyDescent="0.2">
      <c r="A25" s="11" t="s">
        <v>39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396.27</v>
      </c>
      <c r="J25" s="12">
        <v>0</v>
      </c>
      <c r="K25" s="12">
        <v>0</v>
      </c>
      <c r="L25" s="12">
        <v>0</v>
      </c>
      <c r="M25" s="12">
        <v>987.72</v>
      </c>
      <c r="N25" s="12">
        <v>0</v>
      </c>
      <c r="O25" s="12">
        <f t="shared" si="2"/>
        <v>1383.99</v>
      </c>
    </row>
    <row r="26" spans="1:15" x14ac:dyDescent="0.2">
      <c r="A26" s="11" t="s">
        <v>40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5887.84</v>
      </c>
      <c r="H26" s="12">
        <v>5330.39</v>
      </c>
      <c r="I26" s="12">
        <v>0</v>
      </c>
      <c r="J26" s="12">
        <v>0</v>
      </c>
      <c r="K26" s="12">
        <v>0</v>
      </c>
      <c r="L26" s="12">
        <v>6497.81</v>
      </c>
      <c r="M26" s="12">
        <v>0</v>
      </c>
      <c r="N26" s="12">
        <v>0</v>
      </c>
      <c r="O26" s="12">
        <f t="shared" si="2"/>
        <v>17716.04</v>
      </c>
    </row>
    <row r="27" spans="1:15" x14ac:dyDescent="0.2">
      <c r="A27" s="11" t="s">
        <v>41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1389.294408</v>
      </c>
      <c r="N27" s="12">
        <v>0</v>
      </c>
      <c r="O27" s="12">
        <f t="shared" si="2"/>
        <v>1389.294408</v>
      </c>
    </row>
    <row r="28" spans="1:15" x14ac:dyDescent="0.2">
      <c r="A28" s="11" t="s">
        <v>42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325</v>
      </c>
      <c r="N28" s="12">
        <v>0</v>
      </c>
      <c r="O28" s="12">
        <f t="shared" si="2"/>
        <v>325</v>
      </c>
    </row>
    <row r="29" spans="1:15" x14ac:dyDescent="0.2">
      <c r="A29" s="11" t="s">
        <v>43</v>
      </c>
      <c r="B29" s="12">
        <v>7792.79</v>
      </c>
      <c r="C29" s="12">
        <v>-7792.41</v>
      </c>
      <c r="D29" s="12">
        <v>81.072419999999994</v>
      </c>
      <c r="E29" s="12">
        <v>-0.38</v>
      </c>
      <c r="F29" s="12">
        <v>0</v>
      </c>
      <c r="G29" s="12">
        <v>0</v>
      </c>
      <c r="H29" s="12">
        <v>3052.67</v>
      </c>
      <c r="I29" s="12">
        <v>66.594499999999996</v>
      </c>
      <c r="J29" s="12">
        <v>0</v>
      </c>
      <c r="K29" s="12">
        <v>14760.98</v>
      </c>
      <c r="L29" s="12">
        <v>12866.88552</v>
      </c>
      <c r="M29" s="12">
        <v>-3118.3344099999999</v>
      </c>
      <c r="N29" s="12">
        <v>0</v>
      </c>
      <c r="O29" s="12">
        <f t="shared" si="2"/>
        <v>27709.868030000001</v>
      </c>
    </row>
    <row r="30" spans="1:15" x14ac:dyDescent="0.2">
      <c r="A30" s="11" t="s">
        <v>44</v>
      </c>
      <c r="B30" s="12">
        <v>-7792.79</v>
      </c>
      <c r="C30" s="12">
        <v>1615.77</v>
      </c>
      <c r="D30" s="12">
        <v>0</v>
      </c>
      <c r="E30" s="12">
        <v>1615.22</v>
      </c>
      <c r="F30" s="12">
        <v>0</v>
      </c>
      <c r="G30" s="12">
        <v>7792.79</v>
      </c>
      <c r="H30" s="12">
        <v>1615.24</v>
      </c>
      <c r="I30" s="12">
        <v>0</v>
      </c>
      <c r="J30" s="12">
        <v>0</v>
      </c>
      <c r="K30" s="12">
        <v>-4846.2299999999996</v>
      </c>
      <c r="L30" s="12">
        <v>0</v>
      </c>
      <c r="M30" s="12">
        <v>0</v>
      </c>
      <c r="N30" s="12">
        <v>0</v>
      </c>
      <c r="O30" s="12">
        <f t="shared" si="2"/>
        <v>0</v>
      </c>
    </row>
    <row r="31" spans="1:15" x14ac:dyDescent="0.2">
      <c r="A31" s="11" t="s">
        <v>45</v>
      </c>
      <c r="B31" s="12">
        <v>-402.95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f t="shared" si="2"/>
        <v>-402.95</v>
      </c>
    </row>
    <row r="32" spans="1:15" x14ac:dyDescent="0.2">
      <c r="A32" s="11" t="s">
        <v>46</v>
      </c>
      <c r="B32" s="12">
        <v>3309.12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111.12</v>
      </c>
      <c r="L32" s="12">
        <v>0</v>
      </c>
      <c r="M32" s="12">
        <v>465.81</v>
      </c>
      <c r="N32" s="12">
        <v>0</v>
      </c>
      <c r="O32" s="12">
        <f t="shared" si="2"/>
        <v>3886.0499999999997</v>
      </c>
    </row>
    <row r="33" spans="1:15" x14ac:dyDescent="0.2">
      <c r="A33" s="11" t="s">
        <v>47</v>
      </c>
      <c r="B33" s="12">
        <v>3500</v>
      </c>
      <c r="C33" s="12">
        <v>3500</v>
      </c>
      <c r="D33" s="12">
        <v>3500</v>
      </c>
      <c r="E33" s="12">
        <v>3500</v>
      </c>
      <c r="F33" s="12">
        <v>3500</v>
      </c>
      <c r="G33" s="12">
        <v>3500</v>
      </c>
      <c r="H33" s="12">
        <v>3500</v>
      </c>
      <c r="I33" s="12">
        <v>3500</v>
      </c>
      <c r="J33" s="12">
        <v>3500</v>
      </c>
      <c r="K33" s="12">
        <v>3500</v>
      </c>
      <c r="L33" s="12">
        <v>3500</v>
      </c>
      <c r="M33" s="12">
        <v>3500</v>
      </c>
      <c r="N33" s="12">
        <v>0</v>
      </c>
      <c r="O33" s="12">
        <f t="shared" si="2"/>
        <v>42000</v>
      </c>
    </row>
    <row r="34" spans="1:15" x14ac:dyDescent="0.2">
      <c r="A34" s="13" t="s">
        <v>48</v>
      </c>
      <c r="B34" s="14">
        <f t="shared" ref="B34:O34" si="3">SUM(B24:B33)</f>
        <v>13274.190000000002</v>
      </c>
      <c r="C34" s="14">
        <f t="shared" si="3"/>
        <v>4742.6399999999994</v>
      </c>
      <c r="D34" s="14">
        <f t="shared" si="3"/>
        <v>10724.72242</v>
      </c>
      <c r="E34" s="14">
        <f t="shared" si="3"/>
        <v>12352.24</v>
      </c>
      <c r="F34" s="14">
        <f t="shared" si="3"/>
        <v>10656.25</v>
      </c>
      <c r="G34" s="14">
        <f t="shared" si="3"/>
        <v>24335.63</v>
      </c>
      <c r="H34" s="14">
        <f t="shared" si="3"/>
        <v>19801.810000000001</v>
      </c>
      <c r="I34" s="14">
        <f t="shared" si="3"/>
        <v>10266.374500000002</v>
      </c>
      <c r="J34" s="14">
        <f t="shared" si="3"/>
        <v>9803.51</v>
      </c>
      <c r="K34" s="14">
        <f t="shared" si="3"/>
        <v>19658.400000000001</v>
      </c>
      <c r="L34" s="14">
        <f t="shared" si="3"/>
        <v>29365.47552</v>
      </c>
      <c r="M34" s="14">
        <f t="shared" si="3"/>
        <v>14339.879997999999</v>
      </c>
      <c r="N34" s="14">
        <f t="shared" si="3"/>
        <v>0</v>
      </c>
      <c r="O34" s="14">
        <f t="shared" si="3"/>
        <v>179321.12243799999</v>
      </c>
    </row>
    <row r="35" spans="1:15" x14ac:dyDescent="0.2">
      <c r="A35" s="15" t="s">
        <v>49</v>
      </c>
      <c r="B35" s="14">
        <f t="shared" ref="B35:O35" si="4">B22+0+0+B34</f>
        <v>945868.31055000005</v>
      </c>
      <c r="C35" s="14">
        <f t="shared" si="4"/>
        <v>960283.69212799997</v>
      </c>
      <c r="D35" s="14">
        <f t="shared" si="4"/>
        <v>1116349.909523</v>
      </c>
      <c r="E35" s="14">
        <f t="shared" si="4"/>
        <v>744888.86</v>
      </c>
      <c r="F35" s="14">
        <f t="shared" si="4"/>
        <v>843349.5480350001</v>
      </c>
      <c r="G35" s="14">
        <f t="shared" si="4"/>
        <v>948577.68585000001</v>
      </c>
      <c r="H35" s="14">
        <f t="shared" si="4"/>
        <v>1249506.2620900001</v>
      </c>
      <c r="I35" s="14">
        <f t="shared" si="4"/>
        <v>1270297.0629999998</v>
      </c>
      <c r="J35" s="14">
        <f t="shared" si="4"/>
        <v>1030958.9598600001</v>
      </c>
      <c r="K35" s="14">
        <f t="shared" si="4"/>
        <v>923282.21501500008</v>
      </c>
      <c r="L35" s="14">
        <f t="shared" si="4"/>
        <v>1149752.8182400002</v>
      </c>
      <c r="M35" s="14">
        <f t="shared" si="4"/>
        <v>1459116.6989829999</v>
      </c>
      <c r="N35" s="14">
        <f t="shared" si="4"/>
        <v>1.1368683772161603E-13</v>
      </c>
      <c r="O35" s="14">
        <f t="shared" si="4"/>
        <v>12642232.023274004</v>
      </c>
    </row>
    <row r="36" spans="1:15" x14ac:dyDescent="0.2">
      <c r="A36" s="9" t="s">
        <v>50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2">
      <c r="A37" s="10" t="s">
        <v>51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x14ac:dyDescent="0.2">
      <c r="A38" s="11" t="s">
        <v>52</v>
      </c>
      <c r="B38" s="12">
        <v>-2151.5</v>
      </c>
      <c r="C38" s="12">
        <v>-13593.6</v>
      </c>
      <c r="D38" s="12">
        <v>-191205.31</v>
      </c>
      <c r="E38" s="12">
        <v>-4536</v>
      </c>
      <c r="F38" s="12">
        <v>-194278.83</v>
      </c>
      <c r="G38" s="12">
        <v>-185024.02</v>
      </c>
      <c r="H38" s="12">
        <v>0</v>
      </c>
      <c r="I38" s="12">
        <v>0</v>
      </c>
      <c r="J38" s="12">
        <v>-17800.759999999998</v>
      </c>
      <c r="K38" s="12">
        <v>0</v>
      </c>
      <c r="L38" s="12">
        <v>0</v>
      </c>
      <c r="M38" s="12">
        <v>0</v>
      </c>
      <c r="N38" s="12">
        <v>19890</v>
      </c>
      <c r="O38" s="12">
        <f t="shared" ref="O38:O43" si="5">SUM(B38:N38)</f>
        <v>-588700.02</v>
      </c>
    </row>
    <row r="39" spans="1:15" x14ac:dyDescent="0.2">
      <c r="A39" s="11" t="s">
        <v>53</v>
      </c>
      <c r="B39" s="12">
        <v>0</v>
      </c>
      <c r="C39" s="12">
        <v>-14214.37</v>
      </c>
      <c r="D39" s="12">
        <v>-3346.37</v>
      </c>
      <c r="E39" s="12">
        <v>0</v>
      </c>
      <c r="F39" s="12">
        <v>0</v>
      </c>
      <c r="G39" s="12">
        <v>-3346.37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20907.11</v>
      </c>
      <c r="O39" s="12">
        <f t="shared" si="5"/>
        <v>0</v>
      </c>
    </row>
    <row r="40" spans="1:15" x14ac:dyDescent="0.2">
      <c r="A40" s="11" t="s">
        <v>54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-4536</v>
      </c>
      <c r="I40" s="12">
        <v>-350261.78</v>
      </c>
      <c r="J40" s="12">
        <v>-2134.06</v>
      </c>
      <c r="K40" s="12">
        <v>-19890</v>
      </c>
      <c r="L40" s="12">
        <v>0</v>
      </c>
      <c r="M40" s="12">
        <v>0</v>
      </c>
      <c r="N40" s="12">
        <v>0</v>
      </c>
      <c r="O40" s="12">
        <f t="shared" si="5"/>
        <v>-376821.84</v>
      </c>
    </row>
    <row r="41" spans="1:15" x14ac:dyDescent="0.2">
      <c r="A41" s="11" t="s">
        <v>55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-19890</v>
      </c>
      <c r="O41" s="12">
        <f t="shared" si="5"/>
        <v>-19890</v>
      </c>
    </row>
    <row r="42" spans="1:15" x14ac:dyDescent="0.2">
      <c r="A42" s="11" t="s">
        <v>56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0.01</v>
      </c>
      <c r="L42" s="12">
        <v>0.02</v>
      </c>
      <c r="M42" s="12">
        <v>40.840000000000003</v>
      </c>
      <c r="N42" s="12">
        <v>0</v>
      </c>
      <c r="O42" s="12">
        <f t="shared" si="5"/>
        <v>40.870000000000005</v>
      </c>
    </row>
    <row r="43" spans="1:15" x14ac:dyDescent="0.2">
      <c r="A43" s="11" t="s">
        <v>57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3556.55</v>
      </c>
      <c r="N43" s="12">
        <v>0</v>
      </c>
      <c r="O43" s="12">
        <f t="shared" si="5"/>
        <v>3556.55</v>
      </c>
    </row>
    <row r="44" spans="1:15" x14ac:dyDescent="0.2">
      <c r="A44" s="13" t="s">
        <v>58</v>
      </c>
      <c r="B44" s="14">
        <f t="shared" ref="B44:O44" si="6">SUM(B38:B43)</f>
        <v>-2151.5</v>
      </c>
      <c r="C44" s="14">
        <f t="shared" si="6"/>
        <v>-27807.97</v>
      </c>
      <c r="D44" s="14">
        <f t="shared" si="6"/>
        <v>-194551.67999999999</v>
      </c>
      <c r="E44" s="14">
        <f t="shared" si="6"/>
        <v>-4536</v>
      </c>
      <c r="F44" s="14">
        <f t="shared" si="6"/>
        <v>-194278.83</v>
      </c>
      <c r="G44" s="14">
        <f t="shared" si="6"/>
        <v>-188370.38999999998</v>
      </c>
      <c r="H44" s="14">
        <f t="shared" si="6"/>
        <v>-4536</v>
      </c>
      <c r="I44" s="14">
        <f t="shared" si="6"/>
        <v>-350261.78</v>
      </c>
      <c r="J44" s="14">
        <f t="shared" si="6"/>
        <v>-19934.82</v>
      </c>
      <c r="K44" s="14">
        <f t="shared" si="6"/>
        <v>-19889.990000000002</v>
      </c>
      <c r="L44" s="14">
        <f t="shared" si="6"/>
        <v>0.02</v>
      </c>
      <c r="M44" s="14">
        <f t="shared" si="6"/>
        <v>3597.3900000000003</v>
      </c>
      <c r="N44" s="14">
        <f t="shared" si="6"/>
        <v>20907.11</v>
      </c>
      <c r="O44" s="14">
        <f t="shared" si="6"/>
        <v>-981814.44000000006</v>
      </c>
    </row>
    <row r="45" spans="1:15" x14ac:dyDescent="0.2">
      <c r="A45" s="10" t="s">
        <v>59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x14ac:dyDescent="0.2">
      <c r="A46" s="11" t="s">
        <v>60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3154.8</v>
      </c>
      <c r="N46" s="12">
        <v>-214678.99</v>
      </c>
      <c r="O46" s="12">
        <f>SUM(B46:N46)</f>
        <v>-211524.19</v>
      </c>
    </row>
    <row r="47" spans="1:15" x14ac:dyDescent="0.2">
      <c r="A47" s="11" t="s">
        <v>61</v>
      </c>
      <c r="B47" s="12">
        <v>-8647.75</v>
      </c>
      <c r="C47" s="12">
        <v>0</v>
      </c>
      <c r="D47" s="12">
        <v>0</v>
      </c>
      <c r="E47" s="12">
        <v>-8647.75</v>
      </c>
      <c r="F47" s="12">
        <v>0</v>
      </c>
      <c r="G47" s="12">
        <v>0</v>
      </c>
      <c r="H47" s="12">
        <v>-10251.81</v>
      </c>
      <c r="I47" s="12">
        <v>-2504.64</v>
      </c>
      <c r="J47" s="12">
        <v>-109074.89</v>
      </c>
      <c r="K47" s="12">
        <v>-82808.800000000003</v>
      </c>
      <c r="L47" s="12">
        <v>-70756.039999999994</v>
      </c>
      <c r="M47" s="12">
        <v>-37548.693271999997</v>
      </c>
      <c r="N47" s="12">
        <v>310890.25</v>
      </c>
      <c r="O47" s="12">
        <f>SUM(B47:N47)</f>
        <v>-19350.123271999997</v>
      </c>
    </row>
    <row r="48" spans="1:15" x14ac:dyDescent="0.2">
      <c r="A48" s="11" t="s">
        <v>62</v>
      </c>
      <c r="B48" s="12">
        <v>-223.36</v>
      </c>
      <c r="C48" s="12">
        <v>-523.11</v>
      </c>
      <c r="D48" s="12">
        <v>-313.86</v>
      </c>
      <c r="E48" s="12">
        <v>-391.86</v>
      </c>
      <c r="F48" s="12">
        <v>-352.86</v>
      </c>
      <c r="G48" s="12">
        <v>-884.11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0.02</v>
      </c>
      <c r="N48" s="12">
        <v>-122173.17</v>
      </c>
      <c r="O48" s="12">
        <f>SUM(B48:N48)</f>
        <v>-124862.31</v>
      </c>
    </row>
    <row r="49" spans="1:15" x14ac:dyDescent="0.2">
      <c r="A49" s="11" t="s">
        <v>63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-35482</v>
      </c>
      <c r="N49" s="12">
        <v>0</v>
      </c>
      <c r="O49" s="12">
        <f>SUM(B49:N49)</f>
        <v>-35482</v>
      </c>
    </row>
    <row r="50" spans="1:15" x14ac:dyDescent="0.2">
      <c r="A50" s="11" t="s">
        <v>64</v>
      </c>
      <c r="B50" s="12">
        <v>-800.8</v>
      </c>
      <c r="C50" s="12">
        <v>-33134.800000000003</v>
      </c>
      <c r="D50" s="12">
        <v>-800.8</v>
      </c>
      <c r="E50" s="12">
        <v>-800.8</v>
      </c>
      <c r="F50" s="12">
        <v>-800.8</v>
      </c>
      <c r="G50" s="12">
        <v>-1050.8</v>
      </c>
      <c r="H50" s="12">
        <v>-78852.12</v>
      </c>
      <c r="I50" s="12">
        <v>-23706.83</v>
      </c>
      <c r="J50" s="12">
        <v>-34946</v>
      </c>
      <c r="K50" s="12">
        <v>0</v>
      </c>
      <c r="L50" s="12">
        <v>-169770.83</v>
      </c>
      <c r="M50" s="12">
        <v>-170087</v>
      </c>
      <c r="N50" s="12">
        <v>5054.8</v>
      </c>
      <c r="O50" s="12">
        <f>SUM(B50:N50)</f>
        <v>-509696.77999999997</v>
      </c>
    </row>
    <row r="51" spans="1:15" x14ac:dyDescent="0.2">
      <c r="A51" s="13" t="s">
        <v>65</v>
      </c>
      <c r="B51" s="14">
        <f t="shared" ref="B51:O51" si="7">SUM(B46:B50)</f>
        <v>-9671.91</v>
      </c>
      <c r="C51" s="14">
        <f t="shared" si="7"/>
        <v>-33657.910000000003</v>
      </c>
      <c r="D51" s="14">
        <f t="shared" si="7"/>
        <v>-1114.6599999999999</v>
      </c>
      <c r="E51" s="14">
        <f t="shared" si="7"/>
        <v>-9840.41</v>
      </c>
      <c r="F51" s="14">
        <f t="shared" si="7"/>
        <v>-1153.6599999999999</v>
      </c>
      <c r="G51" s="14">
        <f t="shared" si="7"/>
        <v>-1934.9099999999999</v>
      </c>
      <c r="H51" s="14">
        <f t="shared" si="7"/>
        <v>-89103.93</v>
      </c>
      <c r="I51" s="14">
        <f t="shared" si="7"/>
        <v>-26211.47</v>
      </c>
      <c r="J51" s="14">
        <f t="shared" si="7"/>
        <v>-144020.89000000001</v>
      </c>
      <c r="K51" s="14">
        <f t="shared" si="7"/>
        <v>-82808.800000000003</v>
      </c>
      <c r="L51" s="14">
        <f t="shared" si="7"/>
        <v>-240526.87</v>
      </c>
      <c r="M51" s="14">
        <f t="shared" si="7"/>
        <v>-239962.873272</v>
      </c>
      <c r="N51" s="14">
        <f t="shared" si="7"/>
        <v>-20907.10999999999</v>
      </c>
      <c r="O51" s="14">
        <f t="shared" si="7"/>
        <v>-900915.40327199991</v>
      </c>
    </row>
    <row r="52" spans="1:15" x14ac:dyDescent="0.2">
      <c r="A52" s="15" t="s">
        <v>66</v>
      </c>
      <c r="B52" s="14">
        <f t="shared" ref="B52:O52" si="8">B44+B51</f>
        <v>-11823.41</v>
      </c>
      <c r="C52" s="14">
        <f t="shared" si="8"/>
        <v>-61465.880000000005</v>
      </c>
      <c r="D52" s="14">
        <f t="shared" si="8"/>
        <v>-195666.34</v>
      </c>
      <c r="E52" s="14">
        <f t="shared" si="8"/>
        <v>-14376.41</v>
      </c>
      <c r="F52" s="14">
        <f t="shared" si="8"/>
        <v>-195432.49</v>
      </c>
      <c r="G52" s="14">
        <f t="shared" si="8"/>
        <v>-190305.3</v>
      </c>
      <c r="H52" s="14">
        <f t="shared" si="8"/>
        <v>-93639.93</v>
      </c>
      <c r="I52" s="14">
        <f t="shared" si="8"/>
        <v>-376473.25</v>
      </c>
      <c r="J52" s="14">
        <f t="shared" si="8"/>
        <v>-163955.71000000002</v>
      </c>
      <c r="K52" s="14">
        <f t="shared" si="8"/>
        <v>-102698.79000000001</v>
      </c>
      <c r="L52" s="14">
        <f t="shared" si="8"/>
        <v>-240526.85</v>
      </c>
      <c r="M52" s="14">
        <f t="shared" si="8"/>
        <v>-236365.48327199998</v>
      </c>
      <c r="N52" s="14">
        <f t="shared" si="8"/>
        <v>0</v>
      </c>
      <c r="O52" s="14">
        <f t="shared" si="8"/>
        <v>-1882729.8432720001</v>
      </c>
    </row>
    <row r="53" spans="1:15" x14ac:dyDescent="0.2">
      <c r="A53" s="16" t="s">
        <v>67</v>
      </c>
      <c r="B53" s="14">
        <f t="shared" ref="B53:O53" si="9">B35+B52</f>
        <v>934044.90055000002</v>
      </c>
      <c r="C53" s="14">
        <f t="shared" si="9"/>
        <v>898817.81212799996</v>
      </c>
      <c r="D53" s="14">
        <f t="shared" si="9"/>
        <v>920683.56952300004</v>
      </c>
      <c r="E53" s="14">
        <f t="shared" si="9"/>
        <v>730512.45</v>
      </c>
      <c r="F53" s="14">
        <f t="shared" si="9"/>
        <v>647917.05803500011</v>
      </c>
      <c r="G53" s="14">
        <f t="shared" si="9"/>
        <v>758272.38584999996</v>
      </c>
      <c r="H53" s="14">
        <f t="shared" si="9"/>
        <v>1155866.3320900002</v>
      </c>
      <c r="I53" s="14">
        <f t="shared" si="9"/>
        <v>893823.81299999985</v>
      </c>
      <c r="J53" s="14">
        <f t="shared" si="9"/>
        <v>867003.2498600001</v>
      </c>
      <c r="K53" s="14">
        <f t="shared" si="9"/>
        <v>820583.42501500004</v>
      </c>
      <c r="L53" s="14">
        <f t="shared" si="9"/>
        <v>909225.96824000019</v>
      </c>
      <c r="M53" s="14">
        <f t="shared" si="9"/>
        <v>1222751.2157109999</v>
      </c>
      <c r="N53" s="14">
        <f t="shared" si="9"/>
        <v>1.1368683772161603E-13</v>
      </c>
      <c r="O53" s="14">
        <f t="shared" si="9"/>
        <v>10759502.180002004</v>
      </c>
    </row>
    <row r="54" spans="1:15" x14ac:dyDescent="0.2">
      <c r="A54" s="8" t="s">
        <v>68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x14ac:dyDescent="0.2">
      <c r="A55" s="9" t="s">
        <v>69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15" x14ac:dyDescent="0.2">
      <c r="A56" s="10" t="s">
        <v>70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x14ac:dyDescent="0.2">
      <c r="A57" s="11" t="s">
        <v>71</v>
      </c>
      <c r="B57" s="12">
        <v>-2283.5807500000001</v>
      </c>
      <c r="C57" s="12">
        <v>-4286.7801950000003</v>
      </c>
      <c r="D57" s="12">
        <v>-3796.3015099999998</v>
      </c>
      <c r="E57" s="12">
        <v>-3388.9535700000001</v>
      </c>
      <c r="F57" s="12">
        <v>-2725.8163599999998</v>
      </c>
      <c r="G57" s="12">
        <v>-2003.86823</v>
      </c>
      <c r="H57" s="12">
        <v>-2157.2011149999998</v>
      </c>
      <c r="I57" s="12">
        <v>-2252.5573749999999</v>
      </c>
      <c r="J57" s="12">
        <v>-2323.5917650000001</v>
      </c>
      <c r="K57" s="12">
        <v>-2357.0635550000002</v>
      </c>
      <c r="L57" s="12">
        <v>-2666.46522</v>
      </c>
      <c r="M57" s="12">
        <v>-11252.61908</v>
      </c>
      <c r="N57" s="12">
        <v>0</v>
      </c>
      <c r="O57" s="12">
        <f t="shared" ref="O57:O64" si="10">SUM(B57:N57)</f>
        <v>-41494.798725000001</v>
      </c>
    </row>
    <row r="58" spans="1:15" x14ac:dyDescent="0.2">
      <c r="A58" s="11" t="s">
        <v>72</v>
      </c>
      <c r="B58" s="12">
        <v>-1815.56</v>
      </c>
      <c r="C58" s="12">
        <v>-1227.56</v>
      </c>
      <c r="D58" s="12">
        <v>-1632.24</v>
      </c>
      <c r="E58" s="12">
        <v>-1524.22</v>
      </c>
      <c r="F58" s="12">
        <v>-1488.22</v>
      </c>
      <c r="G58" s="12">
        <v>-1424.09</v>
      </c>
      <c r="H58" s="12">
        <v>-1392.16</v>
      </c>
      <c r="I58" s="12">
        <v>-1434.51</v>
      </c>
      <c r="J58" s="12">
        <v>-1434.64</v>
      </c>
      <c r="K58" s="12">
        <v>-1504.45</v>
      </c>
      <c r="L58" s="12">
        <v>-2641.94</v>
      </c>
      <c r="M58" s="12">
        <v>-1880.73</v>
      </c>
      <c r="N58" s="12">
        <v>0</v>
      </c>
      <c r="O58" s="12">
        <f t="shared" si="10"/>
        <v>-19400.32</v>
      </c>
    </row>
    <row r="59" spans="1:15" x14ac:dyDescent="0.2">
      <c r="A59" s="11" t="s">
        <v>73</v>
      </c>
      <c r="B59" s="12">
        <v>-6407.52</v>
      </c>
      <c r="C59" s="12">
        <v>-6407.52</v>
      </c>
      <c r="D59" s="12">
        <v>-6693.15</v>
      </c>
      <c r="E59" s="12">
        <v>-6412.77</v>
      </c>
      <c r="F59" s="12">
        <v>-7032</v>
      </c>
      <c r="G59" s="12">
        <v>-7237.21</v>
      </c>
      <c r="H59" s="12">
        <v>-7061.1</v>
      </c>
      <c r="I59" s="12">
        <v>-7107.8</v>
      </c>
      <c r="J59" s="12">
        <v>-7061.1</v>
      </c>
      <c r="K59" s="12">
        <v>-7061.1</v>
      </c>
      <c r="L59" s="12">
        <v>-7290.94</v>
      </c>
      <c r="M59" s="12">
        <v>-7061.1</v>
      </c>
      <c r="N59" s="12">
        <v>0</v>
      </c>
      <c r="O59" s="12">
        <f t="shared" si="10"/>
        <v>-82833.310000000012</v>
      </c>
    </row>
    <row r="60" spans="1:15" x14ac:dyDescent="0.2">
      <c r="A60" s="11" t="s">
        <v>74</v>
      </c>
      <c r="B60" s="12">
        <v>0</v>
      </c>
      <c r="C60" s="12">
        <v>-588</v>
      </c>
      <c r="D60" s="12">
        <v>-294</v>
      </c>
      <c r="E60" s="12">
        <v>-294</v>
      </c>
      <c r="F60" s="12">
        <v>-294</v>
      </c>
      <c r="G60" s="12">
        <v>-294</v>
      </c>
      <c r="H60" s="12">
        <v>-294</v>
      </c>
      <c r="I60" s="12">
        <v>-294</v>
      </c>
      <c r="J60" s="12">
        <v>-294</v>
      </c>
      <c r="K60" s="12">
        <v>-294</v>
      </c>
      <c r="L60" s="12">
        <v>-588</v>
      </c>
      <c r="M60" s="12">
        <v>0</v>
      </c>
      <c r="N60" s="12">
        <v>0</v>
      </c>
      <c r="O60" s="12">
        <f t="shared" si="10"/>
        <v>-3528</v>
      </c>
    </row>
    <row r="61" spans="1:15" x14ac:dyDescent="0.2">
      <c r="A61" s="11" t="s">
        <v>75</v>
      </c>
      <c r="B61" s="12">
        <v>-105607.269</v>
      </c>
      <c r="C61" s="12">
        <v>-106792.205475</v>
      </c>
      <c r="D61" s="12">
        <v>-49099.431231000002</v>
      </c>
      <c r="E61" s="12">
        <v>-70866.535350000006</v>
      </c>
      <c r="F61" s="12">
        <v>-68583.963124000002</v>
      </c>
      <c r="G61" s="12">
        <v>-74939.532586000001</v>
      </c>
      <c r="H61" s="12">
        <v>-95898.121071999994</v>
      </c>
      <c r="I61" s="12">
        <v>-101780.196623</v>
      </c>
      <c r="J61" s="12">
        <v>-84709.912039999996</v>
      </c>
      <c r="K61" s="12">
        <v>-81984.013088000007</v>
      </c>
      <c r="L61" s="12">
        <v>-90124.844899999996</v>
      </c>
      <c r="M61" s="12">
        <v>-51749.319613</v>
      </c>
      <c r="N61" s="12">
        <v>0</v>
      </c>
      <c r="O61" s="12">
        <f t="shared" si="10"/>
        <v>-982135.344102</v>
      </c>
    </row>
    <row r="62" spans="1:15" x14ac:dyDescent="0.2">
      <c r="A62" s="11" t="s">
        <v>76</v>
      </c>
      <c r="B62" s="12">
        <v>0</v>
      </c>
      <c r="C62" s="12">
        <v>0</v>
      </c>
      <c r="D62" s="12">
        <v>0</v>
      </c>
      <c r="E62" s="12">
        <v>0</v>
      </c>
      <c r="F62" s="12">
        <v>-440.3</v>
      </c>
      <c r="G62" s="12">
        <v>-220.15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-660</v>
      </c>
      <c r="N62" s="12">
        <v>0</v>
      </c>
      <c r="O62" s="12">
        <f t="shared" si="10"/>
        <v>-1320.45</v>
      </c>
    </row>
    <row r="63" spans="1:15" x14ac:dyDescent="0.2">
      <c r="A63" s="11" t="s">
        <v>77</v>
      </c>
      <c r="B63" s="12">
        <v>-13753.64</v>
      </c>
      <c r="C63" s="12">
        <v>-1072.45</v>
      </c>
      <c r="D63" s="12">
        <v>-1014.25505</v>
      </c>
      <c r="E63" s="12">
        <v>-44</v>
      </c>
      <c r="F63" s="12">
        <v>-481.5</v>
      </c>
      <c r="G63" s="12">
        <v>-437.5</v>
      </c>
      <c r="H63" s="12">
        <v>-467.2</v>
      </c>
      <c r="I63" s="12">
        <v>-738.5</v>
      </c>
      <c r="J63" s="12">
        <v>-880</v>
      </c>
      <c r="K63" s="12">
        <v>-524.39</v>
      </c>
      <c r="L63" s="12">
        <v>-3667.65</v>
      </c>
      <c r="M63" s="12">
        <v>-702.76</v>
      </c>
      <c r="N63" s="12">
        <v>0</v>
      </c>
      <c r="O63" s="12">
        <f t="shared" si="10"/>
        <v>-23783.84505</v>
      </c>
    </row>
    <row r="64" spans="1:15" x14ac:dyDescent="0.2">
      <c r="A64" s="11" t="s">
        <v>78</v>
      </c>
      <c r="B64" s="12">
        <v>-300</v>
      </c>
      <c r="C64" s="12">
        <v>0</v>
      </c>
      <c r="D64" s="12">
        <v>0</v>
      </c>
      <c r="E64" s="12">
        <v>-300</v>
      </c>
      <c r="F64" s="12">
        <v>0</v>
      </c>
      <c r="G64" s="12">
        <v>0</v>
      </c>
      <c r="H64" s="12">
        <v>-351.05</v>
      </c>
      <c r="I64" s="12">
        <v>-973</v>
      </c>
      <c r="J64" s="12">
        <v>0</v>
      </c>
      <c r="K64" s="12">
        <v>-300</v>
      </c>
      <c r="L64" s="12">
        <v>0</v>
      </c>
      <c r="M64" s="12">
        <v>0</v>
      </c>
      <c r="N64" s="12">
        <v>0</v>
      </c>
      <c r="O64" s="12">
        <f t="shared" si="10"/>
        <v>-2224.0500000000002</v>
      </c>
    </row>
    <row r="65" spans="1:15" x14ac:dyDescent="0.2">
      <c r="A65" s="13" t="s">
        <v>79</v>
      </c>
      <c r="B65" s="14">
        <f t="shared" ref="B65:O65" si="11">SUM(B57:B64)</f>
        <v>-130167.56975</v>
      </c>
      <c r="C65" s="14">
        <f t="shared" si="11"/>
        <v>-120374.51566999999</v>
      </c>
      <c r="D65" s="14">
        <f t="shared" si="11"/>
        <v>-62529.377790999999</v>
      </c>
      <c r="E65" s="14">
        <f t="shared" si="11"/>
        <v>-82830.478920000009</v>
      </c>
      <c r="F65" s="14">
        <f t="shared" si="11"/>
        <v>-81045.799484000003</v>
      </c>
      <c r="G65" s="14">
        <f t="shared" si="11"/>
        <v>-86556.350815999991</v>
      </c>
      <c r="H65" s="14">
        <f t="shared" si="11"/>
        <v>-107620.83218699999</v>
      </c>
      <c r="I65" s="14">
        <f t="shared" si="11"/>
        <v>-114580.563998</v>
      </c>
      <c r="J65" s="14">
        <f t="shared" si="11"/>
        <v>-96703.243804999991</v>
      </c>
      <c r="K65" s="14">
        <f t="shared" si="11"/>
        <v>-94025.01664300001</v>
      </c>
      <c r="L65" s="14">
        <f t="shared" si="11"/>
        <v>-106979.84011999999</v>
      </c>
      <c r="M65" s="14">
        <f t="shared" si="11"/>
        <v>-73306.528692999986</v>
      </c>
      <c r="N65" s="14">
        <f t="shared" si="11"/>
        <v>0</v>
      </c>
      <c r="O65" s="14">
        <f t="shared" si="11"/>
        <v>-1156720.1178769998</v>
      </c>
    </row>
    <row r="66" spans="1:15" x14ac:dyDescent="0.2">
      <c r="A66" s="10" t="s">
        <v>80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x14ac:dyDescent="0.2">
      <c r="A67" s="11" t="s">
        <v>81</v>
      </c>
      <c r="B67" s="12">
        <v>-33.21</v>
      </c>
      <c r="C67" s="12">
        <v>-33.21</v>
      </c>
      <c r="D67" s="12">
        <v>-33.21</v>
      </c>
      <c r="E67" s="12">
        <v>-33.21</v>
      </c>
      <c r="F67" s="12">
        <v>-33.21</v>
      </c>
      <c r="G67" s="12">
        <v>-33.21</v>
      </c>
      <c r="H67" s="12">
        <v>-33.21</v>
      </c>
      <c r="I67" s="12">
        <v>-33.21</v>
      </c>
      <c r="J67" s="12">
        <v>-33.21</v>
      </c>
      <c r="K67" s="12">
        <v>-33.21</v>
      </c>
      <c r="L67" s="12">
        <v>-33.21</v>
      </c>
      <c r="M67" s="12">
        <v>-33.21</v>
      </c>
      <c r="N67" s="12">
        <v>0</v>
      </c>
      <c r="O67" s="12">
        <f t="shared" ref="O67:O74" si="12">SUM(B67:N67)</f>
        <v>-398.51999999999992</v>
      </c>
    </row>
    <row r="68" spans="1:15" x14ac:dyDescent="0.2">
      <c r="A68" s="11" t="s">
        <v>82</v>
      </c>
      <c r="B68" s="12">
        <v>-39080</v>
      </c>
      <c r="C68" s="12">
        <v>-37935</v>
      </c>
      <c r="D68" s="12">
        <v>0</v>
      </c>
      <c r="E68" s="12">
        <v>0</v>
      </c>
      <c r="F68" s="12">
        <v>0</v>
      </c>
      <c r="G68" s="12">
        <v>0</v>
      </c>
      <c r="H68" s="12">
        <v>-33220</v>
      </c>
      <c r="I68" s="12">
        <v>-38720</v>
      </c>
      <c r="J68" s="12">
        <v>0</v>
      </c>
      <c r="K68" s="12">
        <v>0</v>
      </c>
      <c r="L68" s="12">
        <v>0</v>
      </c>
      <c r="M68" s="12">
        <v>148955</v>
      </c>
      <c r="N68" s="12">
        <v>0</v>
      </c>
      <c r="O68" s="12">
        <f t="shared" si="12"/>
        <v>0</v>
      </c>
    </row>
    <row r="69" spans="1:15" x14ac:dyDescent="0.2">
      <c r="A69" s="11" t="s">
        <v>83</v>
      </c>
      <c r="B69" s="12">
        <v>1049.07</v>
      </c>
      <c r="C69" s="12">
        <v>1789.59</v>
      </c>
      <c r="D69" s="12">
        <v>1913.01</v>
      </c>
      <c r="E69" s="12">
        <v>1357.62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f t="shared" si="12"/>
        <v>6109.29</v>
      </c>
    </row>
    <row r="70" spans="1:15" x14ac:dyDescent="0.2">
      <c r="A70" s="11" t="s">
        <v>84</v>
      </c>
      <c r="B70" s="12">
        <v>-555344.48704799998</v>
      </c>
      <c r="C70" s="12">
        <v>-583810.06364299997</v>
      </c>
      <c r="D70" s="12">
        <v>-586343.60291500005</v>
      </c>
      <c r="E70" s="12">
        <v>-452022.63880000002</v>
      </c>
      <c r="F70" s="12">
        <v>-436336.44365600002</v>
      </c>
      <c r="G70" s="12">
        <v>-474459.71423600003</v>
      </c>
      <c r="H70" s="12">
        <v>-507272.31342199998</v>
      </c>
      <c r="I70" s="12">
        <v>-539354.95083800005</v>
      </c>
      <c r="J70" s="12">
        <v>-532536.76009999996</v>
      </c>
      <c r="K70" s="12">
        <v>-541526.736255</v>
      </c>
      <c r="L70" s="12">
        <v>-604774.95597600006</v>
      </c>
      <c r="M70" s="12">
        <v>-615382.39601000003</v>
      </c>
      <c r="N70" s="12">
        <v>0</v>
      </c>
      <c r="O70" s="12">
        <f t="shared" si="12"/>
        <v>-6429165.062899</v>
      </c>
    </row>
    <row r="71" spans="1:15" x14ac:dyDescent="0.2">
      <c r="A71" s="11" t="s">
        <v>85</v>
      </c>
      <c r="B71" s="12">
        <v>-75000</v>
      </c>
      <c r="C71" s="12">
        <v>-74565</v>
      </c>
      <c r="D71" s="12">
        <v>-25.54</v>
      </c>
      <c r="E71" s="12">
        <v>0</v>
      </c>
      <c r="F71" s="12">
        <v>0</v>
      </c>
      <c r="G71" s="12">
        <v>0</v>
      </c>
      <c r="H71" s="12">
        <v>-76193</v>
      </c>
      <c r="I71" s="12">
        <v>-76193</v>
      </c>
      <c r="J71" s="12">
        <v>0</v>
      </c>
      <c r="K71" s="12">
        <v>0</v>
      </c>
      <c r="L71" s="12">
        <v>0</v>
      </c>
      <c r="M71" s="12">
        <v>-105126.38</v>
      </c>
      <c r="N71" s="12">
        <v>0</v>
      </c>
      <c r="O71" s="12">
        <f t="shared" si="12"/>
        <v>-407102.92000000004</v>
      </c>
    </row>
    <row r="72" spans="1:15" x14ac:dyDescent="0.2">
      <c r="A72" s="11" t="s">
        <v>86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2">
        <v>-33956.370000000003</v>
      </c>
      <c r="H72" s="12">
        <v>-1765.38</v>
      </c>
      <c r="I72" s="12">
        <v>-2144.2600000000002</v>
      </c>
      <c r="J72" s="12">
        <v>-12201.26</v>
      </c>
      <c r="K72" s="12">
        <v>-12156.41</v>
      </c>
      <c r="L72" s="12">
        <v>-21868.36</v>
      </c>
      <c r="M72" s="12">
        <v>-2813.75</v>
      </c>
      <c r="N72" s="12">
        <v>0</v>
      </c>
      <c r="O72" s="12">
        <f t="shared" si="12"/>
        <v>-86905.790000000008</v>
      </c>
    </row>
    <row r="73" spans="1:15" x14ac:dyDescent="0.2">
      <c r="A73" s="11" t="s">
        <v>87</v>
      </c>
      <c r="B73" s="12">
        <v>256</v>
      </c>
      <c r="C73" s="12">
        <v>0</v>
      </c>
      <c r="D73" s="12">
        <v>94567.03</v>
      </c>
      <c r="E73" s="12">
        <v>0</v>
      </c>
      <c r="F73" s="12">
        <v>0</v>
      </c>
      <c r="G73" s="12">
        <v>0</v>
      </c>
      <c r="H73" s="12">
        <v>0</v>
      </c>
      <c r="I73" s="12">
        <v>5684.21</v>
      </c>
      <c r="J73" s="12">
        <v>0</v>
      </c>
      <c r="K73" s="12">
        <v>0</v>
      </c>
      <c r="L73" s="12">
        <v>0</v>
      </c>
      <c r="M73" s="12">
        <v>-118466.88</v>
      </c>
      <c r="N73" s="12">
        <v>0</v>
      </c>
      <c r="O73" s="12">
        <f t="shared" si="12"/>
        <v>-17959.64</v>
      </c>
    </row>
    <row r="74" spans="1:15" x14ac:dyDescent="0.2">
      <c r="A74" s="11" t="s">
        <v>88</v>
      </c>
      <c r="B74" s="12">
        <v>-1160.07</v>
      </c>
      <c r="C74" s="12">
        <v>-1197.25</v>
      </c>
      <c r="D74" s="12">
        <v>-1213.8</v>
      </c>
      <c r="E74" s="12">
        <v>-1099.8499999999999</v>
      </c>
      <c r="F74" s="12">
        <v>-1099.8499999999999</v>
      </c>
      <c r="G74" s="12">
        <v>-1099.8499999999999</v>
      </c>
      <c r="H74" s="12">
        <v>-1109.8399999999999</v>
      </c>
      <c r="I74" s="12">
        <v>-1511.6</v>
      </c>
      <c r="J74" s="12">
        <v>-1120.08</v>
      </c>
      <c r="K74" s="12">
        <v>-1099.8499999999999</v>
      </c>
      <c r="L74" s="12">
        <v>-1115.8399999999999</v>
      </c>
      <c r="M74" s="12">
        <v>-1128.04</v>
      </c>
      <c r="N74" s="12">
        <v>0</v>
      </c>
      <c r="O74" s="12">
        <f t="shared" si="12"/>
        <v>-13955.920000000002</v>
      </c>
    </row>
    <row r="75" spans="1:15" x14ac:dyDescent="0.2">
      <c r="A75" s="13" t="s">
        <v>89</v>
      </c>
      <c r="B75" s="14">
        <f t="shared" ref="B75:O75" si="13">SUM(B67:B74)</f>
        <v>-669312.69704799994</v>
      </c>
      <c r="C75" s="14">
        <f t="shared" si="13"/>
        <v>-695750.93364299997</v>
      </c>
      <c r="D75" s="14">
        <f t="shared" si="13"/>
        <v>-491136.11291500001</v>
      </c>
      <c r="E75" s="14">
        <f t="shared" si="13"/>
        <v>-451798.07880000002</v>
      </c>
      <c r="F75" s="14">
        <f t="shared" si="13"/>
        <v>-437469.50365600002</v>
      </c>
      <c r="G75" s="14">
        <f t="shared" si="13"/>
        <v>-509549.14423600002</v>
      </c>
      <c r="H75" s="14">
        <f t="shared" si="13"/>
        <v>-619593.74342199997</v>
      </c>
      <c r="I75" s="14">
        <f t="shared" si="13"/>
        <v>-652272.81083800003</v>
      </c>
      <c r="J75" s="14">
        <f t="shared" si="13"/>
        <v>-545891.31009999989</v>
      </c>
      <c r="K75" s="14">
        <f t="shared" si="13"/>
        <v>-554816.20625499997</v>
      </c>
      <c r="L75" s="14">
        <f t="shared" si="13"/>
        <v>-627792.36597599997</v>
      </c>
      <c r="M75" s="14">
        <f t="shared" si="13"/>
        <v>-693995.65601000004</v>
      </c>
      <c r="N75" s="14">
        <f t="shared" si="13"/>
        <v>0</v>
      </c>
      <c r="O75" s="14">
        <f t="shared" si="13"/>
        <v>-6949378.562899</v>
      </c>
    </row>
    <row r="76" spans="1:15" x14ac:dyDescent="0.2">
      <c r="A76" s="15" t="s">
        <v>90</v>
      </c>
      <c r="B76" s="14">
        <f t="shared" ref="B76:O76" si="14">B65+B75</f>
        <v>-799480.26679799997</v>
      </c>
      <c r="C76" s="14">
        <f t="shared" si="14"/>
        <v>-816125.44931299996</v>
      </c>
      <c r="D76" s="14">
        <f t="shared" si="14"/>
        <v>-553665.49070600001</v>
      </c>
      <c r="E76" s="14">
        <f t="shared" si="14"/>
        <v>-534628.55772000004</v>
      </c>
      <c r="F76" s="14">
        <f t="shared" si="14"/>
        <v>-518515.30314000003</v>
      </c>
      <c r="G76" s="14">
        <f t="shared" si="14"/>
        <v>-596105.49505200004</v>
      </c>
      <c r="H76" s="14">
        <f t="shared" si="14"/>
        <v>-727214.57560899993</v>
      </c>
      <c r="I76" s="14">
        <f t="shared" si="14"/>
        <v>-766853.37483600003</v>
      </c>
      <c r="J76" s="14">
        <f t="shared" si="14"/>
        <v>-642594.55390499986</v>
      </c>
      <c r="K76" s="14">
        <f t="shared" si="14"/>
        <v>-648841.22289799992</v>
      </c>
      <c r="L76" s="14">
        <f t="shared" si="14"/>
        <v>-734772.20609599992</v>
      </c>
      <c r="M76" s="14">
        <f t="shared" si="14"/>
        <v>-767302.18470300001</v>
      </c>
      <c r="N76" s="14">
        <f t="shared" si="14"/>
        <v>0</v>
      </c>
      <c r="O76" s="14">
        <f t="shared" si="14"/>
        <v>-8106098.680776</v>
      </c>
    </row>
    <row r="77" spans="1:15" x14ac:dyDescent="0.2">
      <c r="A77" s="9" t="s">
        <v>91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 x14ac:dyDescent="0.2">
      <c r="A78" s="10" t="s">
        <v>92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x14ac:dyDescent="0.2">
      <c r="A79" s="11" t="s">
        <v>93</v>
      </c>
      <c r="B79" s="12">
        <v>-731.18</v>
      </c>
      <c r="C79" s="12">
        <v>-731.18</v>
      </c>
      <c r="D79" s="12">
        <v>-731.18</v>
      </c>
      <c r="E79" s="12">
        <v>-731.18</v>
      </c>
      <c r="F79" s="12">
        <v>-731.18</v>
      </c>
      <c r="G79" s="12">
        <v>-390.98</v>
      </c>
      <c r="H79" s="12">
        <v>-390.97</v>
      </c>
      <c r="I79" s="12">
        <v>-390.97</v>
      </c>
      <c r="J79" s="12">
        <v>-50.73</v>
      </c>
      <c r="K79" s="12">
        <v>-50.72</v>
      </c>
      <c r="L79" s="12">
        <v>-50.73</v>
      </c>
      <c r="M79" s="12">
        <v>0</v>
      </c>
      <c r="N79" s="12">
        <v>0</v>
      </c>
      <c r="O79" s="12">
        <f>SUM(B79:N79)</f>
        <v>-4980.9999999999991</v>
      </c>
    </row>
    <row r="80" spans="1:15" x14ac:dyDescent="0.2">
      <c r="A80" s="11" t="s">
        <v>94</v>
      </c>
      <c r="B80" s="12">
        <v>-2862.96</v>
      </c>
      <c r="C80" s="12">
        <v>-2863.04</v>
      </c>
      <c r="D80" s="12">
        <v>-2825.66</v>
      </c>
      <c r="E80" s="12">
        <v>-2452.34</v>
      </c>
      <c r="F80" s="12">
        <v>-2362.1</v>
      </c>
      <c r="G80" s="12">
        <v>-1859.68</v>
      </c>
      <c r="H80" s="12">
        <v>-1859.71</v>
      </c>
      <c r="I80" s="12">
        <v>-1842.25</v>
      </c>
      <c r="J80" s="12">
        <v>-2160.0100000000002</v>
      </c>
      <c r="K80" s="12">
        <v>-2144.02</v>
      </c>
      <c r="L80" s="12">
        <v>-2143.87</v>
      </c>
      <c r="M80" s="12">
        <v>-2420.11</v>
      </c>
      <c r="N80" s="12">
        <v>0</v>
      </c>
      <c r="O80" s="12">
        <f>SUM(B80:N80)</f>
        <v>-27795.75</v>
      </c>
    </row>
    <row r="81" spans="1:15" x14ac:dyDescent="0.2">
      <c r="A81" s="11" t="s">
        <v>95</v>
      </c>
      <c r="B81" s="12">
        <v>-740</v>
      </c>
      <c r="C81" s="12">
        <v>-740</v>
      </c>
      <c r="D81" s="12">
        <v>-740</v>
      </c>
      <c r="E81" s="12">
        <v>-740</v>
      </c>
      <c r="F81" s="12">
        <v>-740</v>
      </c>
      <c r="G81" s="12">
        <v>-740</v>
      </c>
      <c r="H81" s="12">
        <v>-740</v>
      </c>
      <c r="I81" s="12">
        <v>-740</v>
      </c>
      <c r="J81" s="12">
        <v>-740</v>
      </c>
      <c r="K81" s="12">
        <v>-740</v>
      </c>
      <c r="L81" s="12">
        <v>-740</v>
      </c>
      <c r="M81" s="12">
        <v>-740</v>
      </c>
      <c r="N81" s="12">
        <v>0</v>
      </c>
      <c r="O81" s="12">
        <f>SUM(B81:N81)</f>
        <v>-8880</v>
      </c>
    </row>
    <row r="82" spans="1:15" x14ac:dyDescent="0.2">
      <c r="A82" s="11" t="s">
        <v>96</v>
      </c>
      <c r="B82" s="12">
        <v>-11</v>
      </c>
      <c r="C82" s="12">
        <v>-11</v>
      </c>
      <c r="D82" s="12">
        <v>-11</v>
      </c>
      <c r="E82" s="12">
        <v>-11</v>
      </c>
      <c r="F82" s="12">
        <v>-11</v>
      </c>
      <c r="G82" s="12">
        <v>-11</v>
      </c>
      <c r="H82" s="12">
        <v>-11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f>SUM(B82:N82)</f>
        <v>-77</v>
      </c>
    </row>
    <row r="83" spans="1:15" x14ac:dyDescent="0.2">
      <c r="A83" s="11" t="s">
        <v>97</v>
      </c>
      <c r="B83" s="12">
        <v>0</v>
      </c>
      <c r="C83" s="12">
        <v>-117.22</v>
      </c>
      <c r="D83" s="12">
        <v>-146.72</v>
      </c>
      <c r="E83" s="12">
        <v>-162.38999999999999</v>
      </c>
      <c r="F83" s="12">
        <v>-195.19800000000001</v>
      </c>
      <c r="G83" s="12">
        <v>-1964.729</v>
      </c>
      <c r="H83" s="12">
        <v>-1964.4745</v>
      </c>
      <c r="I83" s="12">
        <v>-2494.3724999999999</v>
      </c>
      <c r="J83" s="12">
        <v>-2715.7694999999999</v>
      </c>
      <c r="K83" s="12">
        <v>-13226.056500000001</v>
      </c>
      <c r="L83" s="12">
        <v>-2446.056</v>
      </c>
      <c r="M83" s="12">
        <v>-3425.1669999999999</v>
      </c>
      <c r="N83" s="12">
        <v>0</v>
      </c>
      <c r="O83" s="12">
        <f>SUM(B83:N83)</f>
        <v>-28858.153000000002</v>
      </c>
    </row>
    <row r="84" spans="1:15" x14ac:dyDescent="0.2">
      <c r="A84" s="13" t="s">
        <v>98</v>
      </c>
      <c r="B84" s="14">
        <f t="shared" ref="B84:O84" si="15">SUM(B79:B83)</f>
        <v>-4345.1399999999994</v>
      </c>
      <c r="C84" s="14">
        <f t="shared" si="15"/>
        <v>-4462.4399999999996</v>
      </c>
      <c r="D84" s="14">
        <f t="shared" si="15"/>
        <v>-4454.5600000000004</v>
      </c>
      <c r="E84" s="14">
        <f t="shared" si="15"/>
        <v>-4096.91</v>
      </c>
      <c r="F84" s="14">
        <f t="shared" si="15"/>
        <v>-4039.4779999999996</v>
      </c>
      <c r="G84" s="14">
        <f t="shared" si="15"/>
        <v>-4966.3890000000001</v>
      </c>
      <c r="H84" s="14">
        <f t="shared" si="15"/>
        <v>-4966.1545000000006</v>
      </c>
      <c r="I84" s="14">
        <f t="shared" si="15"/>
        <v>-5467.5925000000007</v>
      </c>
      <c r="J84" s="14">
        <f t="shared" si="15"/>
        <v>-5666.5095000000001</v>
      </c>
      <c r="K84" s="14">
        <f t="shared" si="15"/>
        <v>-16160.7965</v>
      </c>
      <c r="L84" s="14">
        <f t="shared" si="15"/>
        <v>-5380.6559999999999</v>
      </c>
      <c r="M84" s="14">
        <f t="shared" si="15"/>
        <v>-6585.277</v>
      </c>
      <c r="N84" s="14">
        <f t="shared" si="15"/>
        <v>0</v>
      </c>
      <c r="O84" s="14">
        <f t="shared" si="15"/>
        <v>-70591.903000000006</v>
      </c>
    </row>
    <row r="85" spans="1:15" x14ac:dyDescent="0.2">
      <c r="A85" s="15" t="s">
        <v>99</v>
      </c>
      <c r="B85" s="14">
        <f t="shared" ref="B85:O85" si="16">B84+0</f>
        <v>-4345.1399999999994</v>
      </c>
      <c r="C85" s="14">
        <f t="shared" si="16"/>
        <v>-4462.4399999999996</v>
      </c>
      <c r="D85" s="14">
        <f t="shared" si="16"/>
        <v>-4454.5600000000004</v>
      </c>
      <c r="E85" s="14">
        <f t="shared" si="16"/>
        <v>-4096.91</v>
      </c>
      <c r="F85" s="14">
        <f t="shared" si="16"/>
        <v>-4039.4779999999996</v>
      </c>
      <c r="G85" s="14">
        <f t="shared" si="16"/>
        <v>-4966.3890000000001</v>
      </c>
      <c r="H85" s="14">
        <f t="shared" si="16"/>
        <v>-4966.1545000000006</v>
      </c>
      <c r="I85" s="14">
        <f t="shared" si="16"/>
        <v>-5467.5925000000007</v>
      </c>
      <c r="J85" s="14">
        <f t="shared" si="16"/>
        <v>-5666.5095000000001</v>
      </c>
      <c r="K85" s="14">
        <f t="shared" si="16"/>
        <v>-16160.7965</v>
      </c>
      <c r="L85" s="14">
        <f t="shared" si="16"/>
        <v>-5380.6559999999999</v>
      </c>
      <c r="M85" s="14">
        <f t="shared" si="16"/>
        <v>-6585.277</v>
      </c>
      <c r="N85" s="14">
        <f t="shared" si="16"/>
        <v>0</v>
      </c>
      <c r="O85" s="14">
        <f t="shared" si="16"/>
        <v>-70591.903000000006</v>
      </c>
    </row>
    <row r="86" spans="1:15" x14ac:dyDescent="0.2">
      <c r="A86" s="9" t="s">
        <v>100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x14ac:dyDescent="0.2">
      <c r="A87" s="17" t="s">
        <v>101</v>
      </c>
      <c r="B87" s="12">
        <v>-2807.0133959999998</v>
      </c>
      <c r="C87" s="12">
        <v>-2840.3425419999999</v>
      </c>
      <c r="D87" s="12">
        <v>-4202.6868670000003</v>
      </c>
      <c r="E87" s="12">
        <v>-64.710800000000006</v>
      </c>
      <c r="F87" s="12">
        <v>-1004.912991</v>
      </c>
      <c r="G87" s="12">
        <v>-6857.3929340000004</v>
      </c>
      <c r="H87" s="12">
        <v>-251.03756799999999</v>
      </c>
      <c r="I87" s="12">
        <v>-1741.775731</v>
      </c>
      <c r="J87" s="12">
        <v>-53.967984999999999</v>
      </c>
      <c r="K87" s="12">
        <v>-16047.777695000001</v>
      </c>
      <c r="L87" s="12">
        <v>-414.06828000000002</v>
      </c>
      <c r="M87" s="12">
        <v>-460.91290800000002</v>
      </c>
      <c r="N87" s="12">
        <v>0</v>
      </c>
      <c r="O87" s="12">
        <f t="shared" ref="O87:O118" si="17">SUM(B87:N87)</f>
        <v>-36746.599697000005</v>
      </c>
    </row>
    <row r="88" spans="1:15" x14ac:dyDescent="0.2">
      <c r="A88" s="17" t="s">
        <v>102</v>
      </c>
      <c r="B88" s="12">
        <v>-1100</v>
      </c>
      <c r="C88" s="12">
        <v>-1100</v>
      </c>
      <c r="D88" s="12">
        <v>-1100</v>
      </c>
      <c r="E88" s="12">
        <v>-1100</v>
      </c>
      <c r="F88" s="12">
        <v>-1100</v>
      </c>
      <c r="G88" s="12">
        <v>-1100</v>
      </c>
      <c r="H88" s="12">
        <v>-1100</v>
      </c>
      <c r="I88" s="12">
        <v>-1100</v>
      </c>
      <c r="J88" s="12">
        <v>-1100</v>
      </c>
      <c r="K88" s="12">
        <v>-1100</v>
      </c>
      <c r="L88" s="12">
        <v>-1100</v>
      </c>
      <c r="M88" s="12">
        <v>-10739.406000000001</v>
      </c>
      <c r="N88" s="12">
        <v>0</v>
      </c>
      <c r="O88" s="12">
        <f t="shared" si="17"/>
        <v>-22839.406000000003</v>
      </c>
    </row>
    <row r="89" spans="1:15" x14ac:dyDescent="0.2">
      <c r="A89" s="17" t="s">
        <v>103</v>
      </c>
      <c r="B89" s="12">
        <v>-2421.56</v>
      </c>
      <c r="C89" s="12">
        <v>-2550.92</v>
      </c>
      <c r="D89" s="12">
        <v>-2481.6799999999998</v>
      </c>
      <c r="E89" s="12">
        <v>-2115.31</v>
      </c>
      <c r="F89" s="12">
        <v>-2123</v>
      </c>
      <c r="G89" s="12">
        <v>-1736.57</v>
      </c>
      <c r="H89" s="12">
        <v>-1648.38</v>
      </c>
      <c r="I89" s="12">
        <v>-2603.15</v>
      </c>
      <c r="J89" s="12">
        <v>-2656.79</v>
      </c>
      <c r="K89" s="12">
        <v>-2765.86</v>
      </c>
      <c r="L89" s="12">
        <v>-2768.06</v>
      </c>
      <c r="M89" s="12">
        <v>-2782.5</v>
      </c>
      <c r="N89" s="12">
        <v>0</v>
      </c>
      <c r="O89" s="12">
        <f t="shared" si="17"/>
        <v>-28653.780000000002</v>
      </c>
    </row>
    <row r="90" spans="1:15" x14ac:dyDescent="0.2">
      <c r="A90" s="17" t="s">
        <v>104</v>
      </c>
      <c r="B90" s="12">
        <v>-4267.45</v>
      </c>
      <c r="C90" s="12">
        <v>-267.06148000000002</v>
      </c>
      <c r="D90" s="12">
        <v>-1577.3584000000001</v>
      </c>
      <c r="E90" s="12">
        <v>785.69833600000004</v>
      </c>
      <c r="F90" s="12">
        <v>-8141.9594999999999</v>
      </c>
      <c r="G90" s="12">
        <v>-8708.3558919999996</v>
      </c>
      <c r="H90" s="12">
        <v>268.82</v>
      </c>
      <c r="I90" s="12">
        <v>-330.17</v>
      </c>
      <c r="J90" s="12">
        <v>-154.4</v>
      </c>
      <c r="K90" s="12">
        <v>-395.08</v>
      </c>
      <c r="L90" s="12">
        <v>-185.09</v>
      </c>
      <c r="M90" s="12">
        <v>-13464.31417</v>
      </c>
      <c r="N90" s="12">
        <v>0</v>
      </c>
      <c r="O90" s="12">
        <f t="shared" si="17"/>
        <v>-36436.721106000005</v>
      </c>
    </row>
    <row r="91" spans="1:15" x14ac:dyDescent="0.2">
      <c r="A91" s="17" t="s">
        <v>105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-2259.61</v>
      </c>
      <c r="N91" s="12">
        <v>0</v>
      </c>
      <c r="O91" s="12">
        <f t="shared" si="17"/>
        <v>-2259.61</v>
      </c>
    </row>
    <row r="92" spans="1:15" x14ac:dyDescent="0.2">
      <c r="A92" s="17" t="s">
        <v>106</v>
      </c>
      <c r="B92" s="12">
        <v>0</v>
      </c>
      <c r="C92" s="12">
        <v>0</v>
      </c>
      <c r="D92" s="12">
        <v>0</v>
      </c>
      <c r="E92" s="12">
        <v>-1.4293659999999999</v>
      </c>
      <c r="F92" s="12">
        <v>0</v>
      </c>
      <c r="G92" s="12">
        <v>0</v>
      </c>
      <c r="H92" s="12">
        <v>0</v>
      </c>
      <c r="I92" s="12">
        <v>0</v>
      </c>
      <c r="J92" s="12">
        <v>-7153.22</v>
      </c>
      <c r="K92" s="12">
        <v>0</v>
      </c>
      <c r="L92" s="12">
        <v>0</v>
      </c>
      <c r="M92" s="12">
        <v>-5430.7691759999998</v>
      </c>
      <c r="N92" s="12">
        <v>0</v>
      </c>
      <c r="O92" s="12">
        <f t="shared" si="17"/>
        <v>-12585.418541999999</v>
      </c>
    </row>
    <row r="93" spans="1:15" x14ac:dyDescent="0.2">
      <c r="A93" s="17" t="s">
        <v>107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-1000</v>
      </c>
      <c r="N93" s="12">
        <v>0</v>
      </c>
      <c r="O93" s="12">
        <f t="shared" si="17"/>
        <v>-1000</v>
      </c>
    </row>
    <row r="94" spans="1:15" x14ac:dyDescent="0.2">
      <c r="A94" s="17" t="s">
        <v>108</v>
      </c>
      <c r="B94" s="12">
        <v>0</v>
      </c>
      <c r="C94" s="12">
        <v>-1890.84</v>
      </c>
      <c r="D94" s="12">
        <v>-1330.41</v>
      </c>
      <c r="E94" s="12">
        <v>-1191.5999999999999</v>
      </c>
      <c r="F94" s="12">
        <v>0</v>
      </c>
      <c r="G94" s="12">
        <v>-198.2</v>
      </c>
      <c r="H94" s="12">
        <v>-474.17</v>
      </c>
      <c r="I94" s="12">
        <v>-935.4</v>
      </c>
      <c r="J94" s="12">
        <v>-2022.06</v>
      </c>
      <c r="K94" s="12">
        <v>-1630.2</v>
      </c>
      <c r="L94" s="12">
        <v>-1216.8</v>
      </c>
      <c r="M94" s="12">
        <v>-5442.12</v>
      </c>
      <c r="N94" s="12">
        <v>0</v>
      </c>
      <c r="O94" s="12">
        <f t="shared" si="17"/>
        <v>-16331.8</v>
      </c>
    </row>
    <row r="95" spans="1:15" x14ac:dyDescent="0.2">
      <c r="A95" s="17" t="s">
        <v>109</v>
      </c>
      <c r="B95" s="12">
        <v>0</v>
      </c>
      <c r="C95" s="12">
        <v>-4224</v>
      </c>
      <c r="D95" s="12">
        <v>-3371.2</v>
      </c>
      <c r="E95" s="12">
        <v>-2011.2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-414.4</v>
      </c>
      <c r="N95" s="12">
        <v>0</v>
      </c>
      <c r="O95" s="12">
        <f t="shared" si="17"/>
        <v>-10020.799999999999</v>
      </c>
    </row>
    <row r="96" spans="1:15" x14ac:dyDescent="0.2">
      <c r="A96" s="17" t="s">
        <v>110</v>
      </c>
      <c r="B96" s="12">
        <v>-8047.94</v>
      </c>
      <c r="C96" s="12">
        <v>-13860.69</v>
      </c>
      <c r="D96" s="12">
        <v>3280.23</v>
      </c>
      <c r="E96" s="12">
        <v>-551.16</v>
      </c>
      <c r="F96" s="12">
        <v>0</v>
      </c>
      <c r="G96" s="12">
        <v>-381.4</v>
      </c>
      <c r="H96" s="12">
        <v>729.15</v>
      </c>
      <c r="I96" s="12">
        <v>328.82</v>
      </c>
      <c r="J96" s="12">
        <v>-884.27</v>
      </c>
      <c r="K96" s="12">
        <v>-1948.18</v>
      </c>
      <c r="L96" s="12">
        <v>568.54</v>
      </c>
      <c r="M96" s="12">
        <v>-153.80000000000001</v>
      </c>
      <c r="N96" s="12">
        <v>0</v>
      </c>
      <c r="O96" s="12">
        <f t="shared" si="17"/>
        <v>-20920.7</v>
      </c>
    </row>
    <row r="97" spans="1:15" x14ac:dyDescent="0.2">
      <c r="A97" s="17" t="s">
        <v>111</v>
      </c>
      <c r="B97" s="12">
        <v>-6955.24</v>
      </c>
      <c r="C97" s="12">
        <v>-12832.92</v>
      </c>
      <c r="D97" s="12">
        <v>-6272.45</v>
      </c>
      <c r="E97" s="12">
        <v>-561.19000000000005</v>
      </c>
      <c r="F97" s="12">
        <v>181.92</v>
      </c>
      <c r="G97" s="12">
        <v>-430.46</v>
      </c>
      <c r="H97" s="12">
        <v>-3023.65</v>
      </c>
      <c r="I97" s="12">
        <v>-1022.4</v>
      </c>
      <c r="J97" s="12">
        <v>-2916.9</v>
      </c>
      <c r="K97" s="12">
        <v>-2169.58</v>
      </c>
      <c r="L97" s="12">
        <v>-835.28</v>
      </c>
      <c r="M97" s="12">
        <v>-650.62</v>
      </c>
      <c r="N97" s="12">
        <v>0</v>
      </c>
      <c r="O97" s="12">
        <f t="shared" si="17"/>
        <v>-37488.770000000004</v>
      </c>
    </row>
    <row r="98" spans="1:15" x14ac:dyDescent="0.2">
      <c r="A98" s="17" t="s">
        <v>112</v>
      </c>
      <c r="B98" s="12">
        <v>-882.29</v>
      </c>
      <c r="C98" s="12">
        <v>-2644.29</v>
      </c>
      <c r="D98" s="12">
        <v>-4485.9799999999996</v>
      </c>
      <c r="E98" s="12">
        <v>3389.96</v>
      </c>
      <c r="F98" s="12">
        <v>0</v>
      </c>
      <c r="G98" s="12">
        <v>0</v>
      </c>
      <c r="H98" s="12">
        <v>-10.5</v>
      </c>
      <c r="I98" s="12">
        <v>-66</v>
      </c>
      <c r="J98" s="12">
        <v>-753.18</v>
      </c>
      <c r="K98" s="12">
        <v>-112.55</v>
      </c>
      <c r="L98" s="12">
        <v>-144</v>
      </c>
      <c r="M98" s="12">
        <v>-9909.0319319999999</v>
      </c>
      <c r="N98" s="12">
        <v>0</v>
      </c>
      <c r="O98" s="12">
        <f t="shared" si="17"/>
        <v>-15617.861932</v>
      </c>
    </row>
    <row r="99" spans="1:15" x14ac:dyDescent="0.2">
      <c r="A99" s="17" t="s">
        <v>113</v>
      </c>
      <c r="B99" s="12">
        <v>-12616.95</v>
      </c>
      <c r="C99" s="12">
        <v>-10627.38</v>
      </c>
      <c r="D99" s="12">
        <v>-4749.74</v>
      </c>
      <c r="E99" s="12">
        <v>0</v>
      </c>
      <c r="F99" s="12">
        <v>-897.2</v>
      </c>
      <c r="G99" s="12">
        <v>-376.63</v>
      </c>
      <c r="H99" s="12">
        <v>-3515.41</v>
      </c>
      <c r="I99" s="12">
        <v>-3687.63</v>
      </c>
      <c r="J99" s="12">
        <v>-1071.3900000000001</v>
      </c>
      <c r="K99" s="12">
        <v>-1977.66</v>
      </c>
      <c r="L99" s="12">
        <v>-5766.38</v>
      </c>
      <c r="M99" s="12">
        <v>-1471.29</v>
      </c>
      <c r="N99" s="12">
        <v>0</v>
      </c>
      <c r="O99" s="12">
        <f t="shared" si="17"/>
        <v>-46757.659999999996</v>
      </c>
    </row>
    <row r="100" spans="1:15" x14ac:dyDescent="0.2">
      <c r="A100" s="17" t="s">
        <v>114</v>
      </c>
      <c r="B100" s="12">
        <v>-733.11</v>
      </c>
      <c r="C100" s="12">
        <v>-1035.2244840000001</v>
      </c>
      <c r="D100" s="12">
        <v>-111.15539099999999</v>
      </c>
      <c r="E100" s="12">
        <v>-16.809999999999999</v>
      </c>
      <c r="F100" s="12">
        <v>0</v>
      </c>
      <c r="G100" s="12">
        <v>-26.05</v>
      </c>
      <c r="H100" s="12">
        <v>-35.159999999999997</v>
      </c>
      <c r="I100" s="12">
        <v>-95.68</v>
      </c>
      <c r="J100" s="12">
        <v>-37.659999999999997</v>
      </c>
      <c r="K100" s="12">
        <v>-156.58000000000001</v>
      </c>
      <c r="L100" s="12">
        <v>-149.11000000000001</v>
      </c>
      <c r="M100" s="12">
        <v>-48.87</v>
      </c>
      <c r="N100" s="12">
        <v>0</v>
      </c>
      <c r="O100" s="12">
        <f t="shared" si="17"/>
        <v>-2445.4098749999998</v>
      </c>
    </row>
    <row r="101" spans="1:15" x14ac:dyDescent="0.2">
      <c r="A101" s="17" t="s">
        <v>115</v>
      </c>
      <c r="B101" s="12">
        <v>0</v>
      </c>
      <c r="C101" s="12">
        <v>-4945.7018520000001</v>
      </c>
      <c r="D101" s="12">
        <v>-6836.8</v>
      </c>
      <c r="E101" s="12">
        <v>-1875</v>
      </c>
      <c r="F101" s="12">
        <v>-137</v>
      </c>
      <c r="G101" s="12">
        <v>-28</v>
      </c>
      <c r="H101" s="12">
        <v>-358.4</v>
      </c>
      <c r="I101" s="12">
        <v>-1660.8</v>
      </c>
      <c r="J101" s="12">
        <v>-1880.2</v>
      </c>
      <c r="K101" s="12">
        <v>-1655.8</v>
      </c>
      <c r="L101" s="12">
        <v>-1131.2</v>
      </c>
      <c r="M101" s="12">
        <v>-3278.8</v>
      </c>
      <c r="N101" s="12">
        <v>0</v>
      </c>
      <c r="O101" s="12">
        <f t="shared" si="17"/>
        <v>-23787.701851999998</v>
      </c>
    </row>
    <row r="102" spans="1:15" x14ac:dyDescent="0.2">
      <c r="A102" s="17" t="s">
        <v>116</v>
      </c>
      <c r="B102" s="12">
        <v>-9708.0116300000009</v>
      </c>
      <c r="C102" s="12">
        <v>-12864.976006000001</v>
      </c>
      <c r="D102" s="12">
        <v>-5660.5200100000002</v>
      </c>
      <c r="E102" s="12">
        <v>-762.30831999999998</v>
      </c>
      <c r="F102" s="12">
        <v>-162.19</v>
      </c>
      <c r="G102" s="12">
        <v>-420.18506000000002</v>
      </c>
      <c r="H102" s="12">
        <v>-1803.9383399999999</v>
      </c>
      <c r="I102" s="12">
        <v>-2136.1958749999999</v>
      </c>
      <c r="J102" s="12">
        <v>-1156.6420499999999</v>
      </c>
      <c r="K102" s="12">
        <v>-2364.4819689999999</v>
      </c>
      <c r="L102" s="12">
        <v>-1232.1645599999999</v>
      </c>
      <c r="M102" s="12">
        <v>2622.8049500000002</v>
      </c>
      <c r="N102" s="12">
        <v>0</v>
      </c>
      <c r="O102" s="12">
        <f t="shared" si="17"/>
        <v>-35648.808870000001</v>
      </c>
    </row>
    <row r="103" spans="1:15" x14ac:dyDescent="0.2">
      <c r="A103" s="17" t="s">
        <v>117</v>
      </c>
      <c r="B103" s="12">
        <v>0</v>
      </c>
      <c r="C103" s="12">
        <v>-243.62</v>
      </c>
      <c r="D103" s="12">
        <v>-240.52</v>
      </c>
      <c r="E103" s="12">
        <v>-34.29</v>
      </c>
      <c r="F103" s="12">
        <v>0</v>
      </c>
      <c r="G103" s="12">
        <v>-79.819999999999993</v>
      </c>
      <c r="H103" s="12">
        <v>-46.65</v>
      </c>
      <c r="I103" s="12">
        <v>0</v>
      </c>
      <c r="J103" s="12">
        <v>-21.3</v>
      </c>
      <c r="K103" s="12">
        <v>-64.39</v>
      </c>
      <c r="L103" s="12">
        <v>0</v>
      </c>
      <c r="M103" s="12">
        <v>-457.05984999999998</v>
      </c>
      <c r="N103" s="12">
        <v>0</v>
      </c>
      <c r="O103" s="12">
        <f t="shared" si="17"/>
        <v>-1187.6498499999998</v>
      </c>
    </row>
    <row r="104" spans="1:15" x14ac:dyDescent="0.2">
      <c r="A104" s="17" t="s">
        <v>118</v>
      </c>
      <c r="B104" s="12">
        <v>0</v>
      </c>
      <c r="C104" s="12">
        <v>-1872</v>
      </c>
      <c r="D104" s="12">
        <v>-6239.7</v>
      </c>
      <c r="E104" s="12">
        <v>-17.34</v>
      </c>
      <c r="F104" s="12">
        <v>-10048.27</v>
      </c>
      <c r="G104" s="12">
        <v>-1047.73</v>
      </c>
      <c r="H104" s="12">
        <v>-335.05</v>
      </c>
      <c r="I104" s="12">
        <v>-5431.15</v>
      </c>
      <c r="J104" s="12">
        <v>-3283.32</v>
      </c>
      <c r="K104" s="12">
        <v>-1131.49</v>
      </c>
      <c r="L104" s="12">
        <v>-1755.1</v>
      </c>
      <c r="M104" s="12">
        <v>-3849.98</v>
      </c>
      <c r="N104" s="12">
        <v>0</v>
      </c>
      <c r="O104" s="12">
        <f t="shared" si="17"/>
        <v>-35011.129999999997</v>
      </c>
    </row>
    <row r="105" spans="1:15" x14ac:dyDescent="0.2">
      <c r="A105" s="17" t="s">
        <v>119</v>
      </c>
      <c r="B105" s="12">
        <v>-998.22</v>
      </c>
      <c r="C105" s="12">
        <v>-713.91</v>
      </c>
      <c r="D105" s="12">
        <v>-663.63</v>
      </c>
      <c r="E105" s="12">
        <v>-998.22</v>
      </c>
      <c r="F105" s="12">
        <v>-700.65255999999999</v>
      </c>
      <c r="G105" s="12">
        <v>-710.64061000000004</v>
      </c>
      <c r="H105" s="12">
        <v>-1230.3643050000001</v>
      </c>
      <c r="I105" s="12">
        <v>-760.09412499999996</v>
      </c>
      <c r="J105" s="12">
        <v>-760.00385500000004</v>
      </c>
      <c r="K105" s="12">
        <v>-760.50602600000002</v>
      </c>
      <c r="L105" s="12">
        <v>-1028.49</v>
      </c>
      <c r="M105" s="12">
        <v>-210.23816400000001</v>
      </c>
      <c r="N105" s="12">
        <v>0</v>
      </c>
      <c r="O105" s="12">
        <f t="shared" si="17"/>
        <v>-9534.969645000001</v>
      </c>
    </row>
    <row r="106" spans="1:15" x14ac:dyDescent="0.2">
      <c r="A106" s="17" t="s">
        <v>120</v>
      </c>
      <c r="B106" s="12">
        <v>-7665.61</v>
      </c>
      <c r="C106" s="12">
        <v>-4503.3599999999997</v>
      </c>
      <c r="D106" s="12">
        <v>-7518.04</v>
      </c>
      <c r="E106" s="12">
        <v>-7518.04</v>
      </c>
      <c r="F106" s="12">
        <v>-7518.04</v>
      </c>
      <c r="G106" s="12">
        <v>-7429.04</v>
      </c>
      <c r="H106" s="12">
        <v>-8500.4500000000007</v>
      </c>
      <c r="I106" s="12">
        <v>-8948.85</v>
      </c>
      <c r="J106" s="12">
        <v>-8615.85</v>
      </c>
      <c r="K106" s="12">
        <v>-9619.48</v>
      </c>
      <c r="L106" s="12">
        <v>3062.6606959999999</v>
      </c>
      <c r="M106" s="12">
        <v>-10379.280612</v>
      </c>
      <c r="N106" s="12">
        <v>0</v>
      </c>
      <c r="O106" s="12">
        <f t="shared" si="17"/>
        <v>-85153.379915999991</v>
      </c>
    </row>
    <row r="107" spans="1:15" x14ac:dyDescent="0.2">
      <c r="A107" s="17" t="s">
        <v>121</v>
      </c>
      <c r="B107" s="12">
        <v>0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-68.62</v>
      </c>
      <c r="N107" s="12">
        <v>0</v>
      </c>
      <c r="O107" s="12">
        <f t="shared" si="17"/>
        <v>-68.62</v>
      </c>
    </row>
    <row r="108" spans="1:15" x14ac:dyDescent="0.2">
      <c r="A108" s="17" t="s">
        <v>122</v>
      </c>
      <c r="B108" s="12">
        <v>0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-93.28</v>
      </c>
      <c r="N108" s="12">
        <v>0</v>
      </c>
      <c r="O108" s="12">
        <f t="shared" si="17"/>
        <v>-93.28</v>
      </c>
    </row>
    <row r="109" spans="1:15" x14ac:dyDescent="0.2">
      <c r="A109" s="17" t="s">
        <v>123</v>
      </c>
      <c r="B109" s="12">
        <v>-19274.2</v>
      </c>
      <c r="C109" s="12">
        <v>-9.41</v>
      </c>
      <c r="D109" s="12">
        <v>-9.5399999999999991</v>
      </c>
      <c r="E109" s="12">
        <v>-92.63</v>
      </c>
      <c r="F109" s="12">
        <v>-9.33</v>
      </c>
      <c r="G109" s="12">
        <v>-9.0299999999999994</v>
      </c>
      <c r="H109" s="12">
        <v>-8.7899999999999991</v>
      </c>
      <c r="I109" s="12">
        <v>-8.64</v>
      </c>
      <c r="J109" s="12">
        <v>-8.68</v>
      </c>
      <c r="K109" s="12">
        <v>-1860</v>
      </c>
      <c r="L109" s="12">
        <v>-8.57</v>
      </c>
      <c r="M109" s="12">
        <v>-8.34</v>
      </c>
      <c r="N109" s="12">
        <v>0</v>
      </c>
      <c r="O109" s="12">
        <f t="shared" si="17"/>
        <v>-21307.160000000003</v>
      </c>
    </row>
    <row r="110" spans="1:15" x14ac:dyDescent="0.2">
      <c r="A110" s="17" t="s">
        <v>124</v>
      </c>
      <c r="B110" s="12">
        <v>-267.24</v>
      </c>
      <c r="C110" s="12">
        <v>-3971.237564</v>
      </c>
      <c r="D110" s="12">
        <v>-1376.3925999999999</v>
      </c>
      <c r="E110" s="12">
        <v>-291.08999999999997</v>
      </c>
      <c r="F110" s="12">
        <v>-293.52</v>
      </c>
      <c r="G110" s="12">
        <v>-1466.7775999999999</v>
      </c>
      <c r="H110" s="12">
        <v>-1115.2460000000001</v>
      </c>
      <c r="I110" s="12">
        <v>-5285.97</v>
      </c>
      <c r="J110" s="12">
        <v>-1092.6339</v>
      </c>
      <c r="K110" s="12">
        <v>-312.76</v>
      </c>
      <c r="L110" s="12">
        <v>-303.73046199999999</v>
      </c>
      <c r="M110" s="12">
        <v>-1670.0624789999999</v>
      </c>
      <c r="N110" s="12">
        <v>0</v>
      </c>
      <c r="O110" s="12">
        <f t="shared" si="17"/>
        <v>-17446.660605000001</v>
      </c>
    </row>
    <row r="111" spans="1:15" x14ac:dyDescent="0.2">
      <c r="A111" s="17" t="s">
        <v>125</v>
      </c>
      <c r="B111" s="12">
        <v>-13811.789049999999</v>
      </c>
      <c r="C111" s="12">
        <v>-511.12972000000002</v>
      </c>
      <c r="D111" s="12">
        <v>-9.0132899999999996</v>
      </c>
      <c r="E111" s="12">
        <v>-161.66003000000001</v>
      </c>
      <c r="F111" s="12">
        <v>-8.9464400000000008</v>
      </c>
      <c r="G111" s="12">
        <v>-2455.1224699999998</v>
      </c>
      <c r="H111" s="12">
        <v>-714.96700499999997</v>
      </c>
      <c r="I111" s="12">
        <v>-603.194795</v>
      </c>
      <c r="J111" s="12">
        <v>-613.51513499999999</v>
      </c>
      <c r="K111" s="12">
        <v>-1535.8964599999999</v>
      </c>
      <c r="L111" s="12">
        <v>-1235.63661</v>
      </c>
      <c r="M111" s="12">
        <v>-1018.16177</v>
      </c>
      <c r="N111" s="12">
        <v>0</v>
      </c>
      <c r="O111" s="12">
        <f t="shared" si="17"/>
        <v>-22679.032775</v>
      </c>
    </row>
    <row r="112" spans="1:15" x14ac:dyDescent="0.2">
      <c r="A112" s="17" t="s">
        <v>126</v>
      </c>
      <c r="B112" s="12">
        <v>-279.95999999999998</v>
      </c>
      <c r="C112" s="12">
        <v>-244.97</v>
      </c>
      <c r="D112" s="12">
        <v>-209.97</v>
      </c>
      <c r="E112" s="12">
        <v>-209.97</v>
      </c>
      <c r="F112" s="12">
        <v>-209.97</v>
      </c>
      <c r="G112" s="12">
        <v>-209.97</v>
      </c>
      <c r="H112" s="12">
        <v>-209.97</v>
      </c>
      <c r="I112" s="12">
        <v>-209.97</v>
      </c>
      <c r="J112" s="12">
        <v>-577.62</v>
      </c>
      <c r="K112" s="12">
        <v>-1206.08</v>
      </c>
      <c r="L112" s="12">
        <v>-209.97</v>
      </c>
      <c r="M112" s="12">
        <v>-209.97</v>
      </c>
      <c r="N112" s="12">
        <v>0</v>
      </c>
      <c r="O112" s="12">
        <f t="shared" si="17"/>
        <v>-3988.3899999999994</v>
      </c>
    </row>
    <row r="113" spans="1:15" x14ac:dyDescent="0.2">
      <c r="A113" s="17" t="s">
        <v>127</v>
      </c>
      <c r="B113" s="12">
        <v>-1726.1369999999999</v>
      </c>
      <c r="C113" s="12">
        <v>1555.162</v>
      </c>
      <c r="D113" s="12">
        <v>-1437.263565</v>
      </c>
      <c r="E113" s="12">
        <v>-1389.4</v>
      </c>
      <c r="F113" s="12">
        <v>-4690.5568560000002</v>
      </c>
      <c r="G113" s="12">
        <v>-647.17200000000003</v>
      </c>
      <c r="H113" s="12">
        <v>-1453.048</v>
      </c>
      <c r="I113" s="12">
        <v>-1236.9985979999999</v>
      </c>
      <c r="J113" s="12">
        <v>-1514.88</v>
      </c>
      <c r="K113" s="12">
        <v>-1622.1869999999999</v>
      </c>
      <c r="L113" s="12">
        <v>-675.702</v>
      </c>
      <c r="M113" s="12">
        <v>-1896.1814999999999</v>
      </c>
      <c r="N113" s="12">
        <v>0</v>
      </c>
      <c r="O113" s="12">
        <f t="shared" si="17"/>
        <v>-16734.364518999999</v>
      </c>
    </row>
    <row r="114" spans="1:15" x14ac:dyDescent="0.2">
      <c r="A114" s="17" t="s">
        <v>128</v>
      </c>
      <c r="B114" s="12">
        <v>0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-9359</v>
      </c>
      <c r="L114" s="12">
        <v>0</v>
      </c>
      <c r="M114" s="12">
        <v>-476.51751999999999</v>
      </c>
      <c r="N114" s="12">
        <v>0</v>
      </c>
      <c r="O114" s="12">
        <f t="shared" si="17"/>
        <v>-9835.5175199999994</v>
      </c>
    </row>
    <row r="115" spans="1:15" x14ac:dyDescent="0.2">
      <c r="A115" s="17" t="s">
        <v>129</v>
      </c>
      <c r="B115" s="12">
        <v>0</v>
      </c>
      <c r="C115" s="12">
        <v>0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-22828.240000000002</v>
      </c>
      <c r="N115" s="12">
        <v>0</v>
      </c>
      <c r="O115" s="12">
        <f t="shared" si="17"/>
        <v>-22828.240000000002</v>
      </c>
    </row>
    <row r="116" spans="1:15" x14ac:dyDescent="0.2">
      <c r="A116" s="17" t="s">
        <v>130</v>
      </c>
      <c r="B116" s="12">
        <v>0</v>
      </c>
      <c r="C116" s="12">
        <v>-110.75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f t="shared" si="17"/>
        <v>-110.75</v>
      </c>
    </row>
    <row r="117" spans="1:15" x14ac:dyDescent="0.2">
      <c r="A117" s="17" t="s">
        <v>131</v>
      </c>
      <c r="B117" s="12">
        <v>-87.37</v>
      </c>
      <c r="C117" s="12">
        <v>-69.72</v>
      </c>
      <c r="D117" s="12">
        <v>-46.19</v>
      </c>
      <c r="E117" s="12">
        <v>-40.65</v>
      </c>
      <c r="F117" s="12">
        <v>0</v>
      </c>
      <c r="G117" s="12">
        <v>-140.61000000000001</v>
      </c>
      <c r="H117" s="12">
        <v>-41.43</v>
      </c>
      <c r="I117" s="12">
        <v>0</v>
      </c>
      <c r="J117" s="12">
        <v>0</v>
      </c>
      <c r="K117" s="12">
        <v>-140.38499999999999</v>
      </c>
      <c r="L117" s="12">
        <v>-41.43</v>
      </c>
      <c r="M117" s="12">
        <v>-41.43</v>
      </c>
      <c r="N117" s="12">
        <v>0</v>
      </c>
      <c r="O117" s="12">
        <f t="shared" si="17"/>
        <v>-649.21499999999992</v>
      </c>
    </row>
    <row r="118" spans="1:15" x14ac:dyDescent="0.2">
      <c r="A118" s="17" t="s">
        <v>132</v>
      </c>
      <c r="B118" s="12">
        <v>0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-1500</v>
      </c>
      <c r="M118" s="12">
        <v>0</v>
      </c>
      <c r="N118" s="12">
        <v>0</v>
      </c>
      <c r="O118" s="12">
        <f t="shared" si="17"/>
        <v>-1500</v>
      </c>
    </row>
    <row r="119" spans="1:15" x14ac:dyDescent="0.2">
      <c r="A119" s="17" t="s">
        <v>133</v>
      </c>
      <c r="B119" s="12">
        <v>-22.973244000000001</v>
      </c>
      <c r="C119" s="12">
        <v>-170.72428400000001</v>
      </c>
      <c r="D119" s="12">
        <v>-142.549297</v>
      </c>
      <c r="E119" s="12">
        <v>-14.7</v>
      </c>
      <c r="F119" s="12">
        <v>0</v>
      </c>
      <c r="G119" s="12">
        <v>-34.21</v>
      </c>
      <c r="H119" s="12">
        <v>-19.989999999999998</v>
      </c>
      <c r="I119" s="12">
        <v>0</v>
      </c>
      <c r="J119" s="12">
        <v>-9.1300000000000008</v>
      </c>
      <c r="K119" s="12">
        <v>-27.59</v>
      </c>
      <c r="L119" s="12">
        <v>0</v>
      </c>
      <c r="M119" s="12">
        <v>-12</v>
      </c>
      <c r="N119" s="12">
        <v>0</v>
      </c>
      <c r="O119" s="12">
        <f t="shared" ref="O119:O150" si="18">SUM(B119:N119)</f>
        <v>-453.86682499999995</v>
      </c>
    </row>
    <row r="120" spans="1:15" x14ac:dyDescent="0.2">
      <c r="A120" s="17" t="s">
        <v>134</v>
      </c>
      <c r="B120" s="12">
        <v>-784.81930199999999</v>
      </c>
      <c r="C120" s="12">
        <v>-745.39090799999997</v>
      </c>
      <c r="D120" s="12">
        <v>-1261.148522</v>
      </c>
      <c r="E120" s="12">
        <v>-368.18583999999998</v>
      </c>
      <c r="F120" s="12">
        <v>-545.45098800000005</v>
      </c>
      <c r="G120" s="12">
        <v>-474.11078199999997</v>
      </c>
      <c r="H120" s="12">
        <v>-1375.7946240000001</v>
      </c>
      <c r="I120" s="12">
        <v>-959.82214199999999</v>
      </c>
      <c r="J120" s="12">
        <v>-1453.57728</v>
      </c>
      <c r="K120" s="12">
        <v>-1635.4005299999999</v>
      </c>
      <c r="L120" s="12">
        <v>-738.29741999999999</v>
      </c>
      <c r="M120" s="12">
        <v>-397.432683</v>
      </c>
      <c r="N120" s="12">
        <v>0</v>
      </c>
      <c r="O120" s="12">
        <f t="shared" si="18"/>
        <v>-10739.431021</v>
      </c>
    </row>
    <row r="121" spans="1:15" x14ac:dyDescent="0.2">
      <c r="A121" s="17" t="s">
        <v>135</v>
      </c>
      <c r="B121" s="12">
        <v>-1840.5733600000001</v>
      </c>
      <c r="C121" s="12">
        <v>-1210.717498</v>
      </c>
      <c r="D121" s="12">
        <v>-864.59355000000005</v>
      </c>
      <c r="E121" s="12">
        <v>-2537.3613</v>
      </c>
      <c r="F121" s="12">
        <v>-820.49627999999996</v>
      </c>
      <c r="G121" s="12">
        <v>-1271.0488</v>
      </c>
      <c r="H121" s="12">
        <v>-796.17451000000005</v>
      </c>
      <c r="I121" s="12">
        <v>-813.69574999999998</v>
      </c>
      <c r="J121" s="12">
        <v>-793.60261000000003</v>
      </c>
      <c r="K121" s="12">
        <v>-864.11647000000005</v>
      </c>
      <c r="L121" s="12">
        <v>-791.80228</v>
      </c>
      <c r="M121" s="12">
        <v>-1475.383638</v>
      </c>
      <c r="N121" s="12">
        <v>0</v>
      </c>
      <c r="O121" s="12">
        <f t="shared" si="18"/>
        <v>-14079.566046000002</v>
      </c>
    </row>
    <row r="122" spans="1:15" x14ac:dyDescent="0.2">
      <c r="A122" s="17" t="s">
        <v>136</v>
      </c>
      <c r="B122" s="12">
        <v>-8900</v>
      </c>
      <c r="C122" s="12">
        <v>-8900</v>
      </c>
      <c r="D122" s="12">
        <v>-8900</v>
      </c>
      <c r="E122" s="12">
        <v>-8900</v>
      </c>
      <c r="F122" s="12">
        <v>-8900</v>
      </c>
      <c r="G122" s="12">
        <v>-8900</v>
      </c>
      <c r="H122" s="12">
        <v>-8900</v>
      </c>
      <c r="I122" s="12">
        <v>-8900</v>
      </c>
      <c r="J122" s="12">
        <v>-8900</v>
      </c>
      <c r="K122" s="12">
        <v>-19075</v>
      </c>
      <c r="L122" s="12">
        <v>-8900</v>
      </c>
      <c r="M122" s="12">
        <v>-8900</v>
      </c>
      <c r="N122" s="12">
        <v>0</v>
      </c>
      <c r="O122" s="12">
        <f t="shared" si="18"/>
        <v>-116975</v>
      </c>
    </row>
    <row r="123" spans="1:15" x14ac:dyDescent="0.2">
      <c r="A123" s="17" t="s">
        <v>137</v>
      </c>
      <c r="B123" s="12">
        <v>0</v>
      </c>
      <c r="C123" s="12">
        <v>10850</v>
      </c>
      <c r="D123" s="12">
        <v>0</v>
      </c>
      <c r="E123" s="12">
        <v>0</v>
      </c>
      <c r="F123" s="12">
        <v>0</v>
      </c>
      <c r="G123" s="12">
        <v>0</v>
      </c>
      <c r="H123" s="12">
        <v>-45000</v>
      </c>
      <c r="I123" s="12">
        <v>0</v>
      </c>
      <c r="J123" s="12">
        <v>45000</v>
      </c>
      <c r="K123" s="12">
        <v>0</v>
      </c>
      <c r="L123" s="12">
        <v>0</v>
      </c>
      <c r="M123" s="12">
        <v>-50482</v>
      </c>
      <c r="N123" s="12">
        <v>0</v>
      </c>
      <c r="O123" s="12">
        <f t="shared" si="18"/>
        <v>-39632</v>
      </c>
    </row>
    <row r="124" spans="1:15" x14ac:dyDescent="0.2">
      <c r="A124" s="17" t="s">
        <v>138</v>
      </c>
      <c r="B124" s="12">
        <v>0</v>
      </c>
      <c r="C124" s="12">
        <v>-27.515630000000002</v>
      </c>
      <c r="D124" s="12">
        <v>-1732.5808500000001</v>
      </c>
      <c r="E124" s="12">
        <v>-242.70823999999999</v>
      </c>
      <c r="F124" s="12">
        <v>-35.551560000000002</v>
      </c>
      <c r="G124" s="12">
        <v>-1687.32</v>
      </c>
      <c r="H124" s="12">
        <v>-250.09890999999999</v>
      </c>
      <c r="I124" s="12">
        <v>-152.063625</v>
      </c>
      <c r="J124" s="12">
        <v>-1689.0322200000001</v>
      </c>
      <c r="K124" s="12">
        <v>-384.03720600000003</v>
      </c>
      <c r="L124" s="12">
        <v>-23.782699999999998</v>
      </c>
      <c r="M124" s="12">
        <v>-8115.9547199999997</v>
      </c>
      <c r="N124" s="12">
        <v>0</v>
      </c>
      <c r="O124" s="12">
        <f t="shared" si="18"/>
        <v>-14340.645660999999</v>
      </c>
    </row>
    <row r="125" spans="1:15" x14ac:dyDescent="0.2">
      <c r="A125" s="17" t="s">
        <v>139</v>
      </c>
      <c r="B125" s="12">
        <v>-201.43</v>
      </c>
      <c r="C125" s="12">
        <v>0</v>
      </c>
      <c r="D125" s="12">
        <v>0</v>
      </c>
      <c r="E125" s="12">
        <v>-72.642083999999997</v>
      </c>
      <c r="F125" s="12">
        <v>0</v>
      </c>
      <c r="G125" s="12">
        <v>-33.61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-3250</v>
      </c>
      <c r="N125" s="12">
        <v>0</v>
      </c>
      <c r="O125" s="12">
        <f t="shared" si="18"/>
        <v>-3557.682084</v>
      </c>
    </row>
    <row r="126" spans="1:15" x14ac:dyDescent="0.2">
      <c r="A126" s="17" t="s">
        <v>140</v>
      </c>
      <c r="B126" s="12">
        <v>0</v>
      </c>
      <c r="C126" s="12">
        <v>-482.27</v>
      </c>
      <c r="D126" s="12">
        <v>0</v>
      </c>
      <c r="E126" s="12">
        <v>-1132.45</v>
      </c>
      <c r="F126" s="12">
        <v>0</v>
      </c>
      <c r="G126" s="12">
        <v>12</v>
      </c>
      <c r="H126" s="12">
        <v>-2019.15</v>
      </c>
      <c r="I126" s="12">
        <v>41.6</v>
      </c>
      <c r="J126" s="12">
        <v>-61.6</v>
      </c>
      <c r="K126" s="12">
        <v>-2009.75</v>
      </c>
      <c r="L126" s="12">
        <v>0</v>
      </c>
      <c r="M126" s="12">
        <v>-20024.75</v>
      </c>
      <c r="N126" s="12">
        <v>0</v>
      </c>
      <c r="O126" s="12">
        <f t="shared" si="18"/>
        <v>-25676.37</v>
      </c>
    </row>
    <row r="127" spans="1:15" x14ac:dyDescent="0.2">
      <c r="A127" s="17" t="s">
        <v>141</v>
      </c>
      <c r="B127" s="12">
        <v>-378.98</v>
      </c>
      <c r="C127" s="12">
        <v>-19.29</v>
      </c>
      <c r="D127" s="12">
        <v>-132.47999999999999</v>
      </c>
      <c r="E127" s="12">
        <v>-57.19</v>
      </c>
      <c r="F127" s="12">
        <v>-218.06988000000001</v>
      </c>
      <c r="G127" s="12">
        <v>-89.81</v>
      </c>
      <c r="H127" s="12">
        <v>-180.53</v>
      </c>
      <c r="I127" s="12">
        <v>-26.28</v>
      </c>
      <c r="J127" s="12">
        <v>-368.74</v>
      </c>
      <c r="K127" s="12">
        <v>-103.07</v>
      </c>
      <c r="L127" s="12">
        <v>-43.06</v>
      </c>
      <c r="M127" s="12">
        <v>-236.61943199999999</v>
      </c>
      <c r="N127" s="12">
        <v>0</v>
      </c>
      <c r="O127" s="12">
        <f t="shared" si="18"/>
        <v>-1854.1193119999998</v>
      </c>
    </row>
    <row r="128" spans="1:15" x14ac:dyDescent="0.2">
      <c r="A128" s="17" t="s">
        <v>142</v>
      </c>
      <c r="B128" s="12">
        <v>-24792.628700000001</v>
      </c>
      <c r="C128" s="12">
        <v>-25596.700499999999</v>
      </c>
      <c r="D128" s="12">
        <v>-29357.7994</v>
      </c>
      <c r="E128" s="12">
        <v>-28132.4827</v>
      </c>
      <c r="F128" s="12">
        <v>-28071.7196</v>
      </c>
      <c r="G128" s="12">
        <v>-31829.5353</v>
      </c>
      <c r="H128" s="12">
        <v>-31008.11765</v>
      </c>
      <c r="I128" s="12">
        <v>-31006.016250000001</v>
      </c>
      <c r="J128" s="12">
        <v>-31001.923449999998</v>
      </c>
      <c r="K128" s="12">
        <v>-32460.796050000001</v>
      </c>
      <c r="L128" s="12">
        <v>-32439.154200000001</v>
      </c>
      <c r="M128" s="12">
        <v>-54611.238299999997</v>
      </c>
      <c r="N128" s="12">
        <v>0</v>
      </c>
      <c r="O128" s="12">
        <f t="shared" si="18"/>
        <v>-380308.11210000003</v>
      </c>
    </row>
    <row r="129" spans="1:15" x14ac:dyDescent="0.2">
      <c r="A129" s="17" t="s">
        <v>143</v>
      </c>
      <c r="B129" s="12">
        <v>-800</v>
      </c>
      <c r="C129" s="12">
        <v>-800</v>
      </c>
      <c r="D129" s="12">
        <v>-800</v>
      </c>
      <c r="E129" s="12">
        <v>-800</v>
      </c>
      <c r="F129" s="12">
        <v>-800</v>
      </c>
      <c r="G129" s="12">
        <v>-800</v>
      </c>
      <c r="H129" s="12">
        <v>-800</v>
      </c>
      <c r="I129" s="12">
        <v>-800</v>
      </c>
      <c r="J129" s="12">
        <v>-800</v>
      </c>
      <c r="K129" s="12">
        <v>-6575</v>
      </c>
      <c r="L129" s="12">
        <v>-800</v>
      </c>
      <c r="M129" s="12">
        <v>-800</v>
      </c>
      <c r="N129" s="12">
        <v>0</v>
      </c>
      <c r="O129" s="12">
        <f t="shared" si="18"/>
        <v>-15375</v>
      </c>
    </row>
    <row r="130" spans="1:15" x14ac:dyDescent="0.2">
      <c r="A130" s="17" t="s">
        <v>144</v>
      </c>
      <c r="B130" s="12">
        <v>0</v>
      </c>
      <c r="C130" s="12">
        <v>0</v>
      </c>
      <c r="D130" s="12">
        <v>0</v>
      </c>
      <c r="E130" s="12">
        <v>0</v>
      </c>
      <c r="F130" s="12">
        <v>0</v>
      </c>
      <c r="G130" s="12">
        <v>-18424.12</v>
      </c>
      <c r="H130" s="12">
        <v>18410.95</v>
      </c>
      <c r="I130" s="12">
        <v>0</v>
      </c>
      <c r="J130" s="12">
        <v>0</v>
      </c>
      <c r="K130" s="12">
        <v>0</v>
      </c>
      <c r="L130" s="12">
        <v>-528</v>
      </c>
      <c r="M130" s="12">
        <v>0</v>
      </c>
      <c r="N130" s="12">
        <v>0</v>
      </c>
      <c r="O130" s="12">
        <f t="shared" si="18"/>
        <v>-541.16999999999825</v>
      </c>
    </row>
    <row r="131" spans="1:15" x14ac:dyDescent="0.2">
      <c r="A131" s="17" t="s">
        <v>145</v>
      </c>
      <c r="B131" s="12">
        <v>905.80930000000001</v>
      </c>
      <c r="C131" s="12">
        <v>0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815.28177500000004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f t="shared" si="18"/>
        <v>1721.091075</v>
      </c>
    </row>
    <row r="132" spans="1:15" x14ac:dyDescent="0.2">
      <c r="A132" s="17" t="s">
        <v>146</v>
      </c>
      <c r="B132" s="12">
        <v>-10104.799999999999</v>
      </c>
      <c r="C132" s="12">
        <v>-10990.37</v>
      </c>
      <c r="D132" s="12">
        <v>-16212.5</v>
      </c>
      <c r="E132" s="12">
        <v>-8849.6</v>
      </c>
      <c r="F132" s="12">
        <v>-8546.4</v>
      </c>
      <c r="G132" s="12">
        <v>-19433.599999999999</v>
      </c>
      <c r="H132" s="12">
        <v>-10480.290000000001</v>
      </c>
      <c r="I132" s="12">
        <v>-9800</v>
      </c>
      <c r="J132" s="12">
        <v>-26922.080000000002</v>
      </c>
      <c r="K132" s="12">
        <v>-10578.33</v>
      </c>
      <c r="L132" s="12">
        <v>-9159.4500000000007</v>
      </c>
      <c r="M132" s="12">
        <v>-34071.29</v>
      </c>
      <c r="N132" s="12">
        <v>0</v>
      </c>
      <c r="O132" s="12">
        <f t="shared" si="18"/>
        <v>-175148.71000000002</v>
      </c>
    </row>
    <row r="133" spans="1:15" x14ac:dyDescent="0.2">
      <c r="A133" s="17" t="s">
        <v>147</v>
      </c>
      <c r="B133" s="12">
        <v>-1926.31</v>
      </c>
      <c r="C133" s="12">
        <v>-1585.57</v>
      </c>
      <c r="D133" s="12">
        <v>-1140</v>
      </c>
      <c r="E133" s="12">
        <v>-529.42999999999995</v>
      </c>
      <c r="F133" s="12">
        <v>-186.6</v>
      </c>
      <c r="G133" s="12">
        <v>-1039.6400000000001</v>
      </c>
      <c r="H133" s="12">
        <v>-829.71</v>
      </c>
      <c r="I133" s="12">
        <v>-1497.49</v>
      </c>
      <c r="J133" s="12">
        <v>-1091.8699999999999</v>
      </c>
      <c r="K133" s="12">
        <v>-1111.48</v>
      </c>
      <c r="L133" s="12">
        <v>-977.92</v>
      </c>
      <c r="M133" s="12">
        <v>-572.13</v>
      </c>
      <c r="N133" s="12">
        <v>0</v>
      </c>
      <c r="O133" s="12">
        <f t="shared" si="18"/>
        <v>-12488.150000000001</v>
      </c>
    </row>
    <row r="134" spans="1:15" x14ac:dyDescent="0.2">
      <c r="A134" s="17" t="s">
        <v>148</v>
      </c>
      <c r="B134" s="12">
        <v>-1500</v>
      </c>
      <c r="C134" s="12">
        <v>-25500</v>
      </c>
      <c r="D134" s="12">
        <v>-3503.65</v>
      </c>
      <c r="E134" s="12">
        <v>0</v>
      </c>
      <c r="F134" s="12">
        <v>0</v>
      </c>
      <c r="G134" s="12">
        <v>30503.65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f t="shared" si="18"/>
        <v>0</v>
      </c>
    </row>
    <row r="135" spans="1:15" x14ac:dyDescent="0.2">
      <c r="A135" s="17" t="s">
        <v>149</v>
      </c>
      <c r="B135" s="12">
        <v>-2853.4001859999998</v>
      </c>
      <c r="C135" s="12">
        <v>-3477.5447979999999</v>
      </c>
      <c r="D135" s="12">
        <v>-3545.564961</v>
      </c>
      <c r="E135" s="12">
        <v>-3761.3188300000002</v>
      </c>
      <c r="F135" s="12">
        <v>-2997.859962</v>
      </c>
      <c r="G135" s="12">
        <v>-3282.6213779999998</v>
      </c>
      <c r="H135" s="12">
        <v>-3060.9116330000002</v>
      </c>
      <c r="I135" s="12">
        <v>-2719.6824230000002</v>
      </c>
      <c r="J135" s="12">
        <v>-2545.645955</v>
      </c>
      <c r="K135" s="12">
        <v>-2620.3728259999998</v>
      </c>
      <c r="L135" s="12">
        <v>-2218.72136</v>
      </c>
      <c r="M135" s="12">
        <v>-3033.384818</v>
      </c>
      <c r="N135" s="12">
        <v>0</v>
      </c>
      <c r="O135" s="12">
        <f t="shared" si="18"/>
        <v>-36117.029130000003</v>
      </c>
    </row>
    <row r="136" spans="1:15" x14ac:dyDescent="0.2">
      <c r="A136" s="17" t="s">
        <v>150</v>
      </c>
      <c r="B136" s="12">
        <v>-297.47000000000003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f t="shared" si="18"/>
        <v>-297.47000000000003</v>
      </c>
    </row>
    <row r="137" spans="1:15" x14ac:dyDescent="0.2">
      <c r="A137" s="17" t="s">
        <v>151</v>
      </c>
      <c r="B137" s="12">
        <v>-54304.41</v>
      </c>
      <c r="C137" s="12">
        <v>-54304.2</v>
      </c>
      <c r="D137" s="12">
        <v>-54304.23</v>
      </c>
      <c r="E137" s="12">
        <v>-22981.52</v>
      </c>
      <c r="F137" s="12">
        <v>-22500</v>
      </c>
      <c r="G137" s="12">
        <v>-30000</v>
      </c>
      <c r="H137" s="12">
        <v>-40599.29</v>
      </c>
      <c r="I137" s="12">
        <v>-22500</v>
      </c>
      <c r="J137" s="12">
        <v>-43919.775000000001</v>
      </c>
      <c r="K137" s="12">
        <v>-50073.25</v>
      </c>
      <c r="L137" s="12">
        <v>-51700</v>
      </c>
      <c r="M137" s="12">
        <v>-56689.64</v>
      </c>
      <c r="N137" s="12">
        <v>0</v>
      </c>
      <c r="O137" s="12">
        <f t="shared" si="18"/>
        <v>-503876.315</v>
      </c>
    </row>
    <row r="138" spans="1:15" x14ac:dyDescent="0.2">
      <c r="A138" s="17" t="s">
        <v>152</v>
      </c>
      <c r="B138" s="12">
        <v>-1845.72</v>
      </c>
      <c r="C138" s="12">
        <v>-6136.09</v>
      </c>
      <c r="D138" s="12">
        <v>-536.01</v>
      </c>
      <c r="E138" s="12">
        <v>-308.77</v>
      </c>
      <c r="F138" s="12">
        <v>-235</v>
      </c>
      <c r="G138" s="12">
        <v>-435</v>
      </c>
      <c r="H138" s="12">
        <v>-470</v>
      </c>
      <c r="I138" s="12">
        <v>-529.49</v>
      </c>
      <c r="J138" s="12">
        <v>-1270</v>
      </c>
      <c r="K138" s="12">
        <v>-518.94000000000005</v>
      </c>
      <c r="L138" s="12">
        <v>-330.05</v>
      </c>
      <c r="M138" s="12">
        <v>-435</v>
      </c>
      <c r="N138" s="12">
        <v>0</v>
      </c>
      <c r="O138" s="12">
        <f t="shared" si="18"/>
        <v>-13050.07</v>
      </c>
    </row>
    <row r="139" spans="1:15" x14ac:dyDescent="0.2">
      <c r="A139" s="17" t="s">
        <v>153</v>
      </c>
      <c r="B139" s="12">
        <v>0</v>
      </c>
      <c r="C139" s="12">
        <v>0</v>
      </c>
      <c r="D139" s="12">
        <v>0</v>
      </c>
      <c r="E139" s="12">
        <v>0</v>
      </c>
      <c r="F139" s="12">
        <v>0</v>
      </c>
      <c r="G139" s="12">
        <v>0</v>
      </c>
      <c r="H139" s="12">
        <v>-7200</v>
      </c>
      <c r="I139" s="12">
        <v>-2400</v>
      </c>
      <c r="J139" s="12">
        <v>-2400</v>
      </c>
      <c r="K139" s="12">
        <v>-2400</v>
      </c>
      <c r="L139" s="12">
        <v>-2400</v>
      </c>
      <c r="M139" s="12">
        <v>-2400</v>
      </c>
      <c r="N139" s="12">
        <v>0</v>
      </c>
      <c r="O139" s="12">
        <f t="shared" si="18"/>
        <v>-19200</v>
      </c>
    </row>
    <row r="140" spans="1:15" x14ac:dyDescent="0.2">
      <c r="A140" s="17" t="s">
        <v>154</v>
      </c>
      <c r="B140" s="12">
        <v>0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-1305</v>
      </c>
      <c r="N140" s="12">
        <v>0</v>
      </c>
      <c r="O140" s="12">
        <f t="shared" si="18"/>
        <v>-1305</v>
      </c>
    </row>
    <row r="141" spans="1:15" x14ac:dyDescent="0.2">
      <c r="A141" s="17" t="s">
        <v>155</v>
      </c>
      <c r="B141" s="12">
        <v>0</v>
      </c>
      <c r="C141" s="12">
        <v>0</v>
      </c>
      <c r="D141" s="12">
        <v>0</v>
      </c>
      <c r="E141" s="12">
        <v>-478.15</v>
      </c>
      <c r="F141" s="12">
        <v>0</v>
      </c>
      <c r="G141" s="12">
        <v>1527.39</v>
      </c>
      <c r="H141" s="12">
        <v>-4971.7299999999996</v>
      </c>
      <c r="I141" s="12">
        <v>2982.69</v>
      </c>
      <c r="J141" s="12">
        <v>0</v>
      </c>
      <c r="K141" s="12">
        <v>-514.54999999999995</v>
      </c>
      <c r="L141" s="12">
        <v>0</v>
      </c>
      <c r="M141" s="12">
        <v>-531.04999999999995</v>
      </c>
      <c r="N141" s="12">
        <v>0</v>
      </c>
      <c r="O141" s="12">
        <f t="shared" si="18"/>
        <v>-1985.3999999999992</v>
      </c>
    </row>
    <row r="142" spans="1:15" x14ac:dyDescent="0.2">
      <c r="A142" s="17" t="s">
        <v>156</v>
      </c>
      <c r="B142" s="12">
        <v>-3662.54</v>
      </c>
      <c r="C142" s="12">
        <v>-1375.44</v>
      </c>
      <c r="D142" s="12">
        <v>-1657.66</v>
      </c>
      <c r="E142" s="12">
        <v>-1280.0899999999999</v>
      </c>
      <c r="F142" s="12">
        <v>-1285.69</v>
      </c>
      <c r="G142" s="12">
        <v>-1369.14</v>
      </c>
      <c r="H142" s="12">
        <v>-1565.38</v>
      </c>
      <c r="I142" s="12">
        <v>-1378.31</v>
      </c>
      <c r="J142" s="12">
        <v>-1425.35</v>
      </c>
      <c r="K142" s="12">
        <v>-1753.44</v>
      </c>
      <c r="L142" s="12">
        <v>-1372.66</v>
      </c>
      <c r="M142" s="12">
        <v>-1287.53</v>
      </c>
      <c r="N142" s="12">
        <v>471</v>
      </c>
      <c r="O142" s="12">
        <f t="shared" si="18"/>
        <v>-18942.229999999996</v>
      </c>
    </row>
    <row r="143" spans="1:15" x14ac:dyDescent="0.2">
      <c r="A143" s="17" t="s">
        <v>157</v>
      </c>
      <c r="B143" s="12">
        <v>-93.5</v>
      </c>
      <c r="C143" s="12">
        <v>0</v>
      </c>
      <c r="D143" s="12">
        <v>0</v>
      </c>
      <c r="E143" s="12">
        <v>0</v>
      </c>
      <c r="F143" s="12">
        <v>-2496.14</v>
      </c>
      <c r="G143" s="12">
        <v>0</v>
      </c>
      <c r="H143" s="12">
        <v>-199.24</v>
      </c>
      <c r="I143" s="12">
        <v>-199.24</v>
      </c>
      <c r="J143" s="12">
        <v>-199.24</v>
      </c>
      <c r="K143" s="12">
        <v>-199.24</v>
      </c>
      <c r="L143" s="12">
        <v>-1045.3599999999999</v>
      </c>
      <c r="M143" s="12">
        <v>-199.24</v>
      </c>
      <c r="N143" s="12">
        <v>116</v>
      </c>
      <c r="O143" s="12">
        <f t="shared" si="18"/>
        <v>-4515.1999999999989</v>
      </c>
    </row>
    <row r="144" spans="1:15" x14ac:dyDescent="0.2">
      <c r="A144" s="17" t="s">
        <v>158</v>
      </c>
      <c r="B144" s="12">
        <v>3935.75</v>
      </c>
      <c r="C144" s="12">
        <v>-493</v>
      </c>
      <c r="D144" s="12">
        <v>-493</v>
      </c>
      <c r="E144" s="12">
        <v>-1016.53</v>
      </c>
      <c r="F144" s="12">
        <v>-755</v>
      </c>
      <c r="G144" s="12">
        <v>-1135.76</v>
      </c>
      <c r="H144" s="12">
        <v>-671.59</v>
      </c>
      <c r="I144" s="12">
        <v>1071.77</v>
      </c>
      <c r="J144" s="12">
        <v>0</v>
      </c>
      <c r="K144" s="12">
        <v>0</v>
      </c>
      <c r="L144" s="12">
        <v>0</v>
      </c>
      <c r="M144" s="12">
        <v>-842.42</v>
      </c>
      <c r="N144" s="12">
        <v>66</v>
      </c>
      <c r="O144" s="12">
        <f t="shared" si="18"/>
        <v>-333.78</v>
      </c>
    </row>
    <row r="145" spans="1:15" x14ac:dyDescent="0.2">
      <c r="A145" s="17" t="s">
        <v>159</v>
      </c>
      <c r="B145" s="12">
        <v>-37.15</v>
      </c>
      <c r="C145" s="12">
        <v>-39.700000000000003</v>
      </c>
      <c r="D145" s="12">
        <v>-40.74</v>
      </c>
      <c r="E145" s="12">
        <v>-46.2</v>
      </c>
      <c r="F145" s="12">
        <v>0</v>
      </c>
      <c r="G145" s="12">
        <v>0</v>
      </c>
      <c r="H145" s="12">
        <v>-43.97</v>
      </c>
      <c r="I145" s="12">
        <v>-78.91</v>
      </c>
      <c r="J145" s="12">
        <v>0</v>
      </c>
      <c r="K145" s="12">
        <v>-45.95</v>
      </c>
      <c r="L145" s="12">
        <v>-159.68</v>
      </c>
      <c r="M145" s="12">
        <v>0</v>
      </c>
      <c r="N145" s="12">
        <v>0</v>
      </c>
      <c r="O145" s="12">
        <f t="shared" si="18"/>
        <v>-492.3</v>
      </c>
    </row>
    <row r="146" spans="1:15" x14ac:dyDescent="0.2">
      <c r="A146" s="17" t="s">
        <v>160</v>
      </c>
      <c r="B146" s="12">
        <v>-1671.39</v>
      </c>
      <c r="C146" s="12">
        <v>-180.08</v>
      </c>
      <c r="D146" s="12">
        <v>-180.08</v>
      </c>
      <c r="E146" s="12">
        <v>-217.9</v>
      </c>
      <c r="F146" s="12">
        <v>-180.08</v>
      </c>
      <c r="G146" s="12">
        <v>-180.08</v>
      </c>
      <c r="H146" s="12">
        <v>-180.08</v>
      </c>
      <c r="I146" s="12">
        <v>-180.08</v>
      </c>
      <c r="J146" s="12">
        <v>-180.08</v>
      </c>
      <c r="K146" s="12">
        <v>-180.08</v>
      </c>
      <c r="L146" s="12">
        <v>-301.89999999999998</v>
      </c>
      <c r="M146" s="12">
        <v>-180.08</v>
      </c>
      <c r="N146" s="12">
        <v>84</v>
      </c>
      <c r="O146" s="12">
        <f t="shared" si="18"/>
        <v>-3727.9099999999994</v>
      </c>
    </row>
    <row r="147" spans="1:15" x14ac:dyDescent="0.2">
      <c r="A147" s="17" t="s">
        <v>161</v>
      </c>
      <c r="B147" s="12">
        <v>-1814</v>
      </c>
      <c r="C147" s="12">
        <v>-665.12</v>
      </c>
      <c r="D147" s="12">
        <v>-613.07000000000005</v>
      </c>
      <c r="E147" s="12">
        <v>-1029.92</v>
      </c>
      <c r="F147" s="12">
        <v>-368.97</v>
      </c>
      <c r="G147" s="12">
        <v>-464.26</v>
      </c>
      <c r="H147" s="12">
        <v>-383.18</v>
      </c>
      <c r="I147" s="12">
        <v>557.15</v>
      </c>
      <c r="J147" s="12">
        <v>0</v>
      </c>
      <c r="K147" s="12">
        <v>0</v>
      </c>
      <c r="L147" s="12">
        <v>0</v>
      </c>
      <c r="M147" s="12">
        <v>0</v>
      </c>
      <c r="N147" s="12">
        <v>83</v>
      </c>
      <c r="O147" s="12">
        <f t="shared" si="18"/>
        <v>-4698.3700000000017</v>
      </c>
    </row>
    <row r="148" spans="1:15" x14ac:dyDescent="0.2">
      <c r="A148" s="17" t="s">
        <v>162</v>
      </c>
      <c r="B148" s="12">
        <v>0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-714.28</v>
      </c>
      <c r="I148" s="12">
        <v>-907.04</v>
      </c>
      <c r="J148" s="12">
        <v>-1482</v>
      </c>
      <c r="K148" s="12">
        <v>-494</v>
      </c>
      <c r="L148" s="12">
        <v>-528.4</v>
      </c>
      <c r="M148" s="12">
        <v>-494</v>
      </c>
      <c r="N148" s="12">
        <v>368</v>
      </c>
      <c r="O148" s="12">
        <f t="shared" si="18"/>
        <v>-4251.7199999999993</v>
      </c>
    </row>
    <row r="149" spans="1:15" x14ac:dyDescent="0.2">
      <c r="A149" s="17" t="s">
        <v>163</v>
      </c>
      <c r="B149" s="12">
        <v>0</v>
      </c>
      <c r="C149" s="12">
        <v>0</v>
      </c>
      <c r="D149" s="12">
        <v>0</v>
      </c>
      <c r="E149" s="12">
        <v>0</v>
      </c>
      <c r="F149" s="12">
        <v>0</v>
      </c>
      <c r="G149" s="12">
        <v>-70.790000000000006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f t="shared" si="18"/>
        <v>-70.790000000000006</v>
      </c>
    </row>
    <row r="150" spans="1:15" x14ac:dyDescent="0.2">
      <c r="A150" s="17" t="s">
        <v>164</v>
      </c>
      <c r="B150" s="12">
        <v>-1309.02</v>
      </c>
      <c r="C150" s="12">
        <v>-314.44</v>
      </c>
      <c r="D150" s="12">
        <v>-300.77</v>
      </c>
      <c r="E150" s="12">
        <v>-392.65</v>
      </c>
      <c r="F150" s="12">
        <v>-275.94</v>
      </c>
      <c r="G150" s="12">
        <v>-379.42</v>
      </c>
      <c r="H150" s="12">
        <v>-381.44</v>
      </c>
      <c r="I150" s="12">
        <v>-417.56</v>
      </c>
      <c r="J150" s="12">
        <v>-357.96</v>
      </c>
      <c r="K150" s="12">
        <v>-617.21</v>
      </c>
      <c r="L150" s="12">
        <v>-483.78</v>
      </c>
      <c r="M150" s="12">
        <v>-386.13</v>
      </c>
      <c r="N150" s="12">
        <v>134</v>
      </c>
      <c r="O150" s="12">
        <f t="shared" si="18"/>
        <v>-5482.32</v>
      </c>
    </row>
    <row r="151" spans="1:15" x14ac:dyDescent="0.2">
      <c r="A151" s="17" t="s">
        <v>165</v>
      </c>
      <c r="B151" s="12">
        <v>-1584.62</v>
      </c>
      <c r="C151" s="12">
        <v>-1354.74</v>
      </c>
      <c r="D151" s="12">
        <v>-660.85</v>
      </c>
      <c r="E151" s="12">
        <v>-841.12</v>
      </c>
      <c r="F151" s="12">
        <v>0</v>
      </c>
      <c r="G151" s="12">
        <v>-1307.2</v>
      </c>
      <c r="H151" s="12">
        <v>-141.16999999999999</v>
      </c>
      <c r="I151" s="12">
        <v>-150</v>
      </c>
      <c r="J151" s="12">
        <v>-535.08000000000004</v>
      </c>
      <c r="K151" s="12">
        <v>-225.66</v>
      </c>
      <c r="L151" s="12">
        <v>-230.71</v>
      </c>
      <c r="M151" s="12">
        <v>-390.45</v>
      </c>
      <c r="N151" s="12">
        <v>308</v>
      </c>
      <c r="O151" s="12">
        <f t="shared" ref="O151:O182" si="19">SUM(B151:N151)</f>
        <v>-7113.5999999999995</v>
      </c>
    </row>
    <row r="152" spans="1:15" x14ac:dyDescent="0.2">
      <c r="A152" s="17" t="s">
        <v>166</v>
      </c>
      <c r="B152" s="12">
        <v>0</v>
      </c>
      <c r="C152" s="12">
        <v>0</v>
      </c>
      <c r="D152" s="12">
        <v>0</v>
      </c>
      <c r="E152" s="12">
        <v>0</v>
      </c>
      <c r="F152" s="12">
        <v>0</v>
      </c>
      <c r="G152" s="12">
        <v>-851.2</v>
      </c>
      <c r="H152" s="12">
        <v>-1645.03</v>
      </c>
      <c r="I152" s="12">
        <v>-413.99</v>
      </c>
      <c r="J152" s="12">
        <v>-413.99</v>
      </c>
      <c r="K152" s="12">
        <v>-161.99</v>
      </c>
      <c r="L152" s="12">
        <v>-1137.23</v>
      </c>
      <c r="M152" s="12">
        <v>-375.35</v>
      </c>
      <c r="N152" s="12">
        <v>252</v>
      </c>
      <c r="O152" s="12">
        <f t="shared" si="19"/>
        <v>-4746.7800000000007</v>
      </c>
    </row>
    <row r="153" spans="1:15" x14ac:dyDescent="0.2">
      <c r="A153" s="17" t="s">
        <v>167</v>
      </c>
      <c r="B153" s="12">
        <v>-1451.08</v>
      </c>
      <c r="C153" s="12">
        <v>-364.21</v>
      </c>
      <c r="D153" s="12">
        <v>-242.5</v>
      </c>
      <c r="E153" s="12">
        <v>-242.5</v>
      </c>
      <c r="F153" s="12">
        <v>-495.53</v>
      </c>
      <c r="G153" s="12">
        <v>-284.81</v>
      </c>
      <c r="H153" s="12">
        <v>-377.46</v>
      </c>
      <c r="I153" s="12">
        <v>-410.5</v>
      </c>
      <c r="J153" s="12">
        <v>-242.5</v>
      </c>
      <c r="K153" s="12">
        <v>-1140.3</v>
      </c>
      <c r="L153" s="12">
        <v>-380.58</v>
      </c>
      <c r="M153" s="12">
        <v>-402.02</v>
      </c>
      <c r="N153" s="12">
        <v>0</v>
      </c>
      <c r="O153" s="12">
        <f t="shared" si="19"/>
        <v>-6033.99</v>
      </c>
    </row>
    <row r="154" spans="1:15" x14ac:dyDescent="0.2">
      <c r="A154" s="17" t="s">
        <v>168</v>
      </c>
      <c r="B154" s="12">
        <v>-2787.51</v>
      </c>
      <c r="C154" s="12">
        <v>0</v>
      </c>
      <c r="D154" s="12">
        <v>0</v>
      </c>
      <c r="E154" s="12">
        <v>-512.76</v>
      </c>
      <c r="F154" s="12">
        <v>-87.4</v>
      </c>
      <c r="G154" s="12">
        <v>0</v>
      </c>
      <c r="H154" s="12">
        <v>0</v>
      </c>
      <c r="I154" s="12">
        <v>0</v>
      </c>
      <c r="J154" s="12">
        <v>-496.16</v>
      </c>
      <c r="K154" s="12">
        <v>-115.62</v>
      </c>
      <c r="L154" s="12">
        <v>-84.08</v>
      </c>
      <c r="M154" s="12">
        <v>-403.05</v>
      </c>
      <c r="N154" s="12">
        <v>0</v>
      </c>
      <c r="O154" s="12">
        <f t="shared" si="19"/>
        <v>-4486.58</v>
      </c>
    </row>
    <row r="155" spans="1:15" x14ac:dyDescent="0.2">
      <c r="A155" s="17" t="s">
        <v>169</v>
      </c>
      <c r="B155" s="12">
        <v>-1414.04</v>
      </c>
      <c r="C155" s="12">
        <v>-393.85</v>
      </c>
      <c r="D155" s="12">
        <v>-625.55999999999995</v>
      </c>
      <c r="E155" s="12">
        <v>-322.12</v>
      </c>
      <c r="F155" s="12">
        <v>-311.5</v>
      </c>
      <c r="G155" s="12">
        <v>-342.43</v>
      </c>
      <c r="H155" s="12">
        <v>-438.54</v>
      </c>
      <c r="I155" s="12">
        <v>-597.35</v>
      </c>
      <c r="J155" s="12">
        <v>-487.2</v>
      </c>
      <c r="K155" s="12">
        <v>-370.6</v>
      </c>
      <c r="L155" s="12">
        <v>-831.63</v>
      </c>
      <c r="M155" s="12">
        <v>-372.43</v>
      </c>
      <c r="N155" s="12">
        <v>106</v>
      </c>
      <c r="O155" s="12">
        <f t="shared" si="19"/>
        <v>-6401.25</v>
      </c>
    </row>
    <row r="156" spans="1:15" x14ac:dyDescent="0.2">
      <c r="A156" s="17" t="s">
        <v>170</v>
      </c>
      <c r="B156" s="12">
        <v>-1519.45</v>
      </c>
      <c r="C156" s="12">
        <v>-526.97</v>
      </c>
      <c r="D156" s="12">
        <v>-468.37</v>
      </c>
      <c r="E156" s="12">
        <v>-1379.58</v>
      </c>
      <c r="F156" s="12">
        <v>-449.7</v>
      </c>
      <c r="G156" s="12">
        <v>-583.83000000000004</v>
      </c>
      <c r="H156" s="12">
        <v>-513.02</v>
      </c>
      <c r="I156" s="12">
        <v>-511.56</v>
      </c>
      <c r="J156" s="12">
        <v>324.85000000000002</v>
      </c>
      <c r="K156" s="12">
        <v>-551.21</v>
      </c>
      <c r="L156" s="12">
        <v>-209.34</v>
      </c>
      <c r="M156" s="12">
        <v>-243.68</v>
      </c>
      <c r="N156" s="12">
        <v>42</v>
      </c>
      <c r="O156" s="12">
        <f t="shared" si="19"/>
        <v>-6589.8600000000006</v>
      </c>
    </row>
    <row r="157" spans="1:15" x14ac:dyDescent="0.2">
      <c r="A157" s="17" t="s">
        <v>171</v>
      </c>
      <c r="B157" s="12">
        <v>0</v>
      </c>
      <c r="C157" s="12">
        <v>0</v>
      </c>
      <c r="D157" s="12">
        <v>0</v>
      </c>
      <c r="E157" s="12">
        <v>0</v>
      </c>
      <c r="F157" s="12">
        <v>0</v>
      </c>
      <c r="G157" s="12">
        <v>0</v>
      </c>
      <c r="H157" s="12">
        <v>0</v>
      </c>
      <c r="I157" s="12">
        <v>-138</v>
      </c>
      <c r="J157" s="12">
        <v>-1321.89</v>
      </c>
      <c r="K157" s="12">
        <v>0</v>
      </c>
      <c r="L157" s="12">
        <v>-1494.16</v>
      </c>
      <c r="M157" s="12">
        <v>-460</v>
      </c>
      <c r="N157" s="12">
        <v>138</v>
      </c>
      <c r="O157" s="12">
        <f t="shared" si="19"/>
        <v>-3276.05</v>
      </c>
    </row>
    <row r="158" spans="1:15" x14ac:dyDescent="0.2">
      <c r="A158" s="17" t="s">
        <v>172</v>
      </c>
      <c r="B158" s="12">
        <v>-1544.29</v>
      </c>
      <c r="C158" s="12">
        <v>-280.18</v>
      </c>
      <c r="D158" s="12">
        <v>-320.99</v>
      </c>
      <c r="E158" s="12">
        <v>-1019.98</v>
      </c>
      <c r="F158" s="12">
        <v>-1351.34</v>
      </c>
      <c r="G158" s="12">
        <v>1654.09</v>
      </c>
      <c r="H158" s="12">
        <v>0</v>
      </c>
      <c r="I158" s="12">
        <v>-140.12</v>
      </c>
      <c r="J158" s="12">
        <v>-40.06</v>
      </c>
      <c r="K158" s="12">
        <v>-225.63</v>
      </c>
      <c r="L158" s="12">
        <v>-89.85</v>
      </c>
      <c r="M158" s="12">
        <v>-97.36</v>
      </c>
      <c r="N158" s="12">
        <v>-30</v>
      </c>
      <c r="O158" s="12">
        <f t="shared" si="19"/>
        <v>-3485.7099999999996</v>
      </c>
    </row>
    <row r="159" spans="1:15" x14ac:dyDescent="0.2">
      <c r="A159" s="17" t="s">
        <v>173</v>
      </c>
      <c r="B159" s="12">
        <v>-1124.08</v>
      </c>
      <c r="C159" s="12">
        <v>-404.69</v>
      </c>
      <c r="D159" s="12">
        <v>-244.23</v>
      </c>
      <c r="E159" s="12">
        <v>-358.63</v>
      </c>
      <c r="F159" s="12">
        <v>-408.97</v>
      </c>
      <c r="G159" s="12">
        <v>-257.23</v>
      </c>
      <c r="H159" s="12">
        <v>-367.03</v>
      </c>
      <c r="I159" s="12">
        <v>-244.94</v>
      </c>
      <c r="J159" s="12">
        <v>-316.54000000000002</v>
      </c>
      <c r="K159" s="12">
        <v>-198.2</v>
      </c>
      <c r="L159" s="12">
        <v>-449.35</v>
      </c>
      <c r="M159" s="12">
        <v>-446.58</v>
      </c>
      <c r="N159" s="12">
        <v>122</v>
      </c>
      <c r="O159" s="12">
        <f t="shared" si="19"/>
        <v>-4698.47</v>
      </c>
    </row>
    <row r="160" spans="1:15" x14ac:dyDescent="0.2">
      <c r="A160" s="17" t="s">
        <v>174</v>
      </c>
      <c r="B160" s="12">
        <v>0</v>
      </c>
      <c r="C160" s="12">
        <v>0</v>
      </c>
      <c r="D160" s="12">
        <v>0</v>
      </c>
      <c r="E160" s="12">
        <v>0</v>
      </c>
      <c r="F160" s="12">
        <v>-233.84</v>
      </c>
      <c r="G160" s="12">
        <v>0</v>
      </c>
      <c r="H160" s="12">
        <v>-924.58</v>
      </c>
      <c r="I160" s="12">
        <v>-753.87</v>
      </c>
      <c r="J160" s="12">
        <v>-1070.9100000000001</v>
      </c>
      <c r="K160" s="12">
        <v>-1133.25</v>
      </c>
      <c r="L160" s="12">
        <v>-751.36</v>
      </c>
      <c r="M160" s="12">
        <v>0</v>
      </c>
      <c r="N160" s="12">
        <v>0</v>
      </c>
      <c r="O160" s="12">
        <f t="shared" si="19"/>
        <v>-4867.8099999999995</v>
      </c>
    </row>
    <row r="161" spans="1:15" x14ac:dyDescent="0.2">
      <c r="A161" s="15" t="s">
        <v>175</v>
      </c>
      <c r="B161" s="14">
        <f t="shared" ref="B161:O161" si="20">SUM(B87:B160)</f>
        <v>-219374.71656800003</v>
      </c>
      <c r="C161" s="14">
        <f t="shared" si="20"/>
        <v>-217868.09526599993</v>
      </c>
      <c r="D161" s="14">
        <f t="shared" si="20"/>
        <v>-184930.93670299998</v>
      </c>
      <c r="E161" s="14">
        <f t="shared" si="20"/>
        <v>-104654.83917399996</v>
      </c>
      <c r="F161" s="14">
        <f t="shared" si="20"/>
        <v>-119420.876617</v>
      </c>
      <c r="G161" s="14">
        <f t="shared" si="20"/>
        <v>-125722.80282599994</v>
      </c>
      <c r="H161" s="14">
        <f t="shared" si="20"/>
        <v>-172975.46854499998</v>
      </c>
      <c r="I161" s="14">
        <f t="shared" si="20"/>
        <v>-120692.76753900002</v>
      </c>
      <c r="J161" s="14">
        <f t="shared" si="20"/>
        <v>-124799.56944000002</v>
      </c>
      <c r="K161" s="14">
        <f t="shared" si="20"/>
        <v>-198299.98723199998</v>
      </c>
      <c r="L161" s="14">
        <f t="shared" si="20"/>
        <v>-138669.88917599997</v>
      </c>
      <c r="M161" s="14">
        <f t="shared" si="20"/>
        <v>-352014.19472200004</v>
      </c>
      <c r="N161" s="14">
        <f t="shared" si="20"/>
        <v>2260</v>
      </c>
      <c r="O161" s="14">
        <f t="shared" si="20"/>
        <v>-2077164.1438080003</v>
      </c>
    </row>
    <row r="162" spans="1:15" x14ac:dyDescent="0.2">
      <c r="A162" s="16" t="s">
        <v>176</v>
      </c>
      <c r="B162" s="14">
        <f t="shared" ref="B162:O162" si="21">B76+B85+B161</f>
        <v>-1023200.123366</v>
      </c>
      <c r="C162" s="14">
        <f t="shared" si="21"/>
        <v>-1038455.9845789998</v>
      </c>
      <c r="D162" s="14">
        <f t="shared" si="21"/>
        <v>-743050.98740900005</v>
      </c>
      <c r="E162" s="14">
        <f t="shared" si="21"/>
        <v>-643380.30689400004</v>
      </c>
      <c r="F162" s="14">
        <f t="shared" si="21"/>
        <v>-641975.65775700007</v>
      </c>
      <c r="G162" s="14">
        <f t="shared" si="21"/>
        <v>-726794.68687799992</v>
      </c>
      <c r="H162" s="14">
        <f t="shared" si="21"/>
        <v>-905156.19865399983</v>
      </c>
      <c r="I162" s="14">
        <f t="shared" si="21"/>
        <v>-893013.73487500008</v>
      </c>
      <c r="J162" s="14">
        <f t="shared" si="21"/>
        <v>-773060.6328449999</v>
      </c>
      <c r="K162" s="14">
        <f t="shared" si="21"/>
        <v>-863302.00662999996</v>
      </c>
      <c r="L162" s="14">
        <f t="shared" si="21"/>
        <v>-878822.75127199991</v>
      </c>
      <c r="M162" s="14">
        <f t="shared" si="21"/>
        <v>-1125901.6564250002</v>
      </c>
      <c r="N162" s="14">
        <f t="shared" si="21"/>
        <v>2260</v>
      </c>
      <c r="O162" s="14">
        <f t="shared" si="21"/>
        <v>-10253854.727584001</v>
      </c>
    </row>
    <row r="163" spans="1:15" x14ac:dyDescent="0.2">
      <c r="A163" s="18" t="s">
        <v>177</v>
      </c>
      <c r="B163" s="14">
        <f t="shared" ref="B163:O163" si="22">B53+B162</f>
        <v>-89155.222815999994</v>
      </c>
      <c r="C163" s="14">
        <f t="shared" si="22"/>
        <v>-139638.17245099985</v>
      </c>
      <c r="D163" s="14">
        <f t="shared" si="22"/>
        <v>177632.58211399999</v>
      </c>
      <c r="E163" s="14">
        <f t="shared" si="22"/>
        <v>87132.143105999916</v>
      </c>
      <c r="F163" s="14">
        <f t="shared" si="22"/>
        <v>5941.4002780000446</v>
      </c>
      <c r="G163" s="14">
        <f t="shared" si="22"/>
        <v>31477.698972000042</v>
      </c>
      <c r="H163" s="14">
        <f t="shared" si="22"/>
        <v>250710.13343600032</v>
      </c>
      <c r="I163" s="14">
        <f t="shared" si="22"/>
        <v>810.07812499976717</v>
      </c>
      <c r="J163" s="14">
        <f t="shared" si="22"/>
        <v>93942.6170150002</v>
      </c>
      <c r="K163" s="14">
        <f t="shared" si="22"/>
        <v>-42718.581614999915</v>
      </c>
      <c r="L163" s="14">
        <f t="shared" si="22"/>
        <v>30403.216968000284</v>
      </c>
      <c r="M163" s="14">
        <f t="shared" si="22"/>
        <v>96849.559285999741</v>
      </c>
      <c r="N163" s="14">
        <f t="shared" si="22"/>
        <v>2260</v>
      </c>
      <c r="O163" s="14">
        <f t="shared" si="22"/>
        <v>505647.45241800323</v>
      </c>
    </row>
    <row r="164" spans="1:15" x14ac:dyDescent="0.2">
      <c r="A164" s="7" t="s">
        <v>178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x14ac:dyDescent="0.2">
      <c r="A165" s="8" t="s">
        <v>179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x14ac:dyDescent="0.2">
      <c r="A166" s="19" t="s">
        <v>180</v>
      </c>
      <c r="B166" s="12">
        <v>139.22</v>
      </c>
      <c r="C166" s="12">
        <v>138.65</v>
      </c>
      <c r="D166" s="12">
        <v>138.08000000000001</v>
      </c>
      <c r="E166" s="12">
        <v>274.43</v>
      </c>
      <c r="F166" s="12">
        <v>137.97</v>
      </c>
      <c r="G166" s="12">
        <v>136.35</v>
      </c>
      <c r="H166" s="12">
        <v>374.76</v>
      </c>
      <c r="I166" s="12">
        <v>259.54000000000002</v>
      </c>
      <c r="J166" s="12">
        <v>134.62</v>
      </c>
      <c r="K166" s="12">
        <v>134.05000000000001</v>
      </c>
      <c r="L166" s="12">
        <v>133.47</v>
      </c>
      <c r="M166" s="12">
        <v>14837.19</v>
      </c>
      <c r="N166" s="12">
        <v>0</v>
      </c>
      <c r="O166" s="12">
        <f>SUM(B166:N166)</f>
        <v>16838.330000000002</v>
      </c>
    </row>
    <row r="167" spans="1:15" x14ac:dyDescent="0.2">
      <c r="A167" s="19" t="s">
        <v>181</v>
      </c>
      <c r="B167" s="12">
        <v>0</v>
      </c>
      <c r="C167" s="12">
        <v>0</v>
      </c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4999.6499999999996</v>
      </c>
      <c r="N167" s="12">
        <v>0</v>
      </c>
      <c r="O167" s="12">
        <f>SUM(B167:N167)</f>
        <v>4999.6499999999996</v>
      </c>
    </row>
    <row r="168" spans="1:15" x14ac:dyDescent="0.2">
      <c r="A168" s="16" t="s">
        <v>182</v>
      </c>
      <c r="B168" s="14">
        <f t="shared" ref="B168:O168" si="23">SUM(B166:B167)</f>
        <v>139.22</v>
      </c>
      <c r="C168" s="14">
        <f t="shared" si="23"/>
        <v>138.65</v>
      </c>
      <c r="D168" s="14">
        <f t="shared" si="23"/>
        <v>138.08000000000001</v>
      </c>
      <c r="E168" s="14">
        <f t="shared" si="23"/>
        <v>274.43</v>
      </c>
      <c r="F168" s="14">
        <f t="shared" si="23"/>
        <v>137.97</v>
      </c>
      <c r="G168" s="14">
        <f t="shared" si="23"/>
        <v>136.35</v>
      </c>
      <c r="H168" s="14">
        <f t="shared" si="23"/>
        <v>374.76</v>
      </c>
      <c r="I168" s="14">
        <f t="shared" si="23"/>
        <v>259.54000000000002</v>
      </c>
      <c r="J168" s="14">
        <f t="shared" si="23"/>
        <v>134.62</v>
      </c>
      <c r="K168" s="14">
        <f t="shared" si="23"/>
        <v>134.05000000000001</v>
      </c>
      <c r="L168" s="14">
        <f t="shared" si="23"/>
        <v>133.47</v>
      </c>
      <c r="M168" s="14">
        <f t="shared" si="23"/>
        <v>19836.84</v>
      </c>
      <c r="N168" s="14">
        <f t="shared" si="23"/>
        <v>0</v>
      </c>
      <c r="O168" s="14">
        <f t="shared" si="23"/>
        <v>21837.980000000003</v>
      </c>
    </row>
    <row r="169" spans="1:15" x14ac:dyDescent="0.2">
      <c r="A169" s="8" t="s">
        <v>183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x14ac:dyDescent="0.2">
      <c r="A170" s="19" t="s">
        <v>184</v>
      </c>
      <c r="B170" s="12">
        <v>0</v>
      </c>
      <c r="C170" s="12">
        <v>0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-123</v>
      </c>
      <c r="M170" s="12">
        <v>0</v>
      </c>
      <c r="N170" s="12">
        <v>0</v>
      </c>
      <c r="O170" s="12">
        <f>SUM(B170:N170)</f>
        <v>-123</v>
      </c>
    </row>
    <row r="171" spans="1:15" x14ac:dyDescent="0.2">
      <c r="A171" s="19" t="s">
        <v>185</v>
      </c>
      <c r="B171" s="12">
        <v>1268.98</v>
      </c>
      <c r="C171" s="12">
        <v>1404.22</v>
      </c>
      <c r="D171" s="12">
        <v>768.03</v>
      </c>
      <c r="E171" s="12">
        <v>739.82</v>
      </c>
      <c r="F171" s="12">
        <v>0</v>
      </c>
      <c r="G171" s="12">
        <v>582.07000000000005</v>
      </c>
      <c r="H171" s="12">
        <v>0</v>
      </c>
      <c r="I171" s="12">
        <v>240.77</v>
      </c>
      <c r="J171" s="12">
        <v>173.55</v>
      </c>
      <c r="K171" s="12">
        <v>370.66</v>
      </c>
      <c r="L171" s="12">
        <v>279.64999999999998</v>
      </c>
      <c r="M171" s="12">
        <v>-5189.1899999999996</v>
      </c>
      <c r="N171" s="12">
        <v>0</v>
      </c>
      <c r="O171" s="12">
        <f>SUM(B171:N171)</f>
        <v>638.55999999999949</v>
      </c>
    </row>
    <row r="172" spans="1:15" x14ac:dyDescent="0.2">
      <c r="A172" s="19" t="s">
        <v>186</v>
      </c>
      <c r="B172" s="12">
        <v>0</v>
      </c>
      <c r="C172" s="12">
        <v>0</v>
      </c>
      <c r="D172" s="12">
        <v>0</v>
      </c>
      <c r="E172" s="12">
        <v>0</v>
      </c>
      <c r="F172" s="12">
        <v>0</v>
      </c>
      <c r="G172" s="12">
        <v>1900.02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1900.02</v>
      </c>
      <c r="N172" s="12">
        <v>0</v>
      </c>
      <c r="O172" s="12">
        <f>SUM(B172:N172)</f>
        <v>3800.04</v>
      </c>
    </row>
    <row r="173" spans="1:15" x14ac:dyDescent="0.2">
      <c r="A173" s="16" t="s">
        <v>187</v>
      </c>
      <c r="B173" s="14">
        <f t="shared" ref="B173:O173" si="24">SUM(B170:B172)</f>
        <v>1268.98</v>
      </c>
      <c r="C173" s="14">
        <f t="shared" si="24"/>
        <v>1404.22</v>
      </c>
      <c r="D173" s="14">
        <f t="shared" si="24"/>
        <v>768.03</v>
      </c>
      <c r="E173" s="14">
        <f t="shared" si="24"/>
        <v>739.82</v>
      </c>
      <c r="F173" s="14">
        <f t="shared" si="24"/>
        <v>0</v>
      </c>
      <c r="G173" s="14">
        <f t="shared" si="24"/>
        <v>2482.09</v>
      </c>
      <c r="H173" s="14">
        <f t="shared" si="24"/>
        <v>0</v>
      </c>
      <c r="I173" s="14">
        <f t="shared" si="24"/>
        <v>240.77</v>
      </c>
      <c r="J173" s="14">
        <f t="shared" si="24"/>
        <v>173.55</v>
      </c>
      <c r="K173" s="14">
        <f t="shared" si="24"/>
        <v>370.66</v>
      </c>
      <c r="L173" s="14">
        <f t="shared" si="24"/>
        <v>156.64999999999998</v>
      </c>
      <c r="M173" s="14">
        <f t="shared" si="24"/>
        <v>-3289.1699999999996</v>
      </c>
      <c r="N173" s="14">
        <f t="shared" si="24"/>
        <v>0</v>
      </c>
      <c r="O173" s="14">
        <f t="shared" si="24"/>
        <v>4315.5999999999995</v>
      </c>
    </row>
    <row r="174" spans="1:15" x14ac:dyDescent="0.2">
      <c r="A174" s="8" t="s">
        <v>188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x14ac:dyDescent="0.2">
      <c r="A175" s="19" t="s">
        <v>189</v>
      </c>
      <c r="B175" s="12">
        <v>0</v>
      </c>
      <c r="C175" s="12">
        <v>0</v>
      </c>
      <c r="D175" s="12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13886.696488</v>
      </c>
      <c r="N175" s="12">
        <v>0</v>
      </c>
      <c r="O175" s="12">
        <f>SUM(B175:N175)</f>
        <v>13886.696488</v>
      </c>
    </row>
    <row r="176" spans="1:15" x14ac:dyDescent="0.2">
      <c r="A176" s="19" t="s">
        <v>190</v>
      </c>
      <c r="B176" s="12">
        <v>-470.64</v>
      </c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-561.27</v>
      </c>
      <c r="N176" s="12">
        <v>0</v>
      </c>
      <c r="O176" s="12">
        <f>SUM(B176:N176)</f>
        <v>-1031.9099999999999</v>
      </c>
    </row>
    <row r="177" spans="1:15" x14ac:dyDescent="0.2">
      <c r="A177" s="19" t="s">
        <v>191</v>
      </c>
      <c r="B177" s="12">
        <v>0</v>
      </c>
      <c r="C177" s="12">
        <v>0</v>
      </c>
      <c r="D177" s="12">
        <v>0</v>
      </c>
      <c r="E177" s="12">
        <v>0</v>
      </c>
      <c r="F177" s="12">
        <v>0</v>
      </c>
      <c r="G177" s="12">
        <v>-16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f>SUM(B177:N177)</f>
        <v>-16</v>
      </c>
    </row>
    <row r="178" spans="1:15" x14ac:dyDescent="0.2">
      <c r="A178" s="19" t="s">
        <v>192</v>
      </c>
      <c r="B178" s="12">
        <v>0</v>
      </c>
      <c r="C178" s="12">
        <v>0</v>
      </c>
      <c r="D178" s="12">
        <v>0</v>
      </c>
      <c r="E178" s="12">
        <v>0</v>
      </c>
      <c r="F178" s="12">
        <v>0</v>
      </c>
      <c r="G178" s="12">
        <v>-1900.02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-1900.02</v>
      </c>
      <c r="N178" s="12">
        <v>0</v>
      </c>
      <c r="O178" s="12">
        <f>SUM(B178:N178)</f>
        <v>-3800.04</v>
      </c>
    </row>
    <row r="179" spans="1:15" x14ac:dyDescent="0.2">
      <c r="A179" s="16" t="s">
        <v>193</v>
      </c>
      <c r="B179" s="14">
        <f t="shared" ref="B179:O179" si="25">SUM(B175:B178)</f>
        <v>-470.64</v>
      </c>
      <c r="C179" s="14">
        <f t="shared" si="25"/>
        <v>0</v>
      </c>
      <c r="D179" s="14">
        <f t="shared" si="25"/>
        <v>0</v>
      </c>
      <c r="E179" s="14">
        <f t="shared" si="25"/>
        <v>0</v>
      </c>
      <c r="F179" s="14">
        <f t="shared" si="25"/>
        <v>0</v>
      </c>
      <c r="G179" s="14">
        <f t="shared" si="25"/>
        <v>-1916.02</v>
      </c>
      <c r="H179" s="14">
        <f t="shared" si="25"/>
        <v>0</v>
      </c>
      <c r="I179" s="14">
        <f t="shared" si="25"/>
        <v>0</v>
      </c>
      <c r="J179" s="14">
        <f t="shared" si="25"/>
        <v>0</v>
      </c>
      <c r="K179" s="14">
        <f t="shared" si="25"/>
        <v>0</v>
      </c>
      <c r="L179" s="14">
        <f t="shared" si="25"/>
        <v>0</v>
      </c>
      <c r="M179" s="14">
        <f t="shared" si="25"/>
        <v>11425.406487999999</v>
      </c>
      <c r="N179" s="14">
        <f t="shared" si="25"/>
        <v>0</v>
      </c>
      <c r="O179" s="14">
        <f t="shared" si="25"/>
        <v>9038.7464880000007</v>
      </c>
    </row>
    <row r="180" spans="1:15" x14ac:dyDescent="0.2">
      <c r="A180" s="18" t="s">
        <v>194</v>
      </c>
      <c r="B180" s="14">
        <f t="shared" ref="B180:O180" si="26">0+B168+B173+0+B179</f>
        <v>937.56000000000006</v>
      </c>
      <c r="C180" s="14">
        <f t="shared" si="26"/>
        <v>1542.8700000000001</v>
      </c>
      <c r="D180" s="14">
        <f t="shared" si="26"/>
        <v>906.11</v>
      </c>
      <c r="E180" s="14">
        <f t="shared" si="26"/>
        <v>1014.25</v>
      </c>
      <c r="F180" s="14">
        <f t="shared" si="26"/>
        <v>137.97</v>
      </c>
      <c r="G180" s="14">
        <f t="shared" si="26"/>
        <v>702.42000000000007</v>
      </c>
      <c r="H180" s="14">
        <f t="shared" si="26"/>
        <v>374.76</v>
      </c>
      <c r="I180" s="14">
        <f t="shared" si="26"/>
        <v>500.31000000000006</v>
      </c>
      <c r="J180" s="14">
        <f t="shared" si="26"/>
        <v>308.17</v>
      </c>
      <c r="K180" s="14">
        <f t="shared" si="26"/>
        <v>504.71000000000004</v>
      </c>
      <c r="L180" s="14">
        <f t="shared" si="26"/>
        <v>290.12</v>
      </c>
      <c r="M180" s="14">
        <f t="shared" si="26"/>
        <v>27973.076487999999</v>
      </c>
      <c r="N180" s="14">
        <f t="shared" si="26"/>
        <v>0</v>
      </c>
      <c r="O180" s="14">
        <f t="shared" si="26"/>
        <v>35192.326488000006</v>
      </c>
    </row>
    <row r="181" spans="1:15" x14ac:dyDescent="0.2">
      <c r="A181" s="7" t="s">
        <v>195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1:15" x14ac:dyDescent="0.2">
      <c r="A182" s="20" t="s">
        <v>196</v>
      </c>
      <c r="B182" s="12">
        <v>-24</v>
      </c>
      <c r="C182" s="12">
        <v>-20.170000000000002</v>
      </c>
      <c r="D182" s="12">
        <v>-12.19</v>
      </c>
      <c r="E182" s="12">
        <v>-8.8000000000000007</v>
      </c>
      <c r="F182" s="12">
        <v>-1.89</v>
      </c>
      <c r="G182" s="12">
        <v>-1.76</v>
      </c>
      <c r="H182" s="12">
        <v>-1.42</v>
      </c>
      <c r="I182" s="12">
        <v>-5</v>
      </c>
      <c r="J182" s="12">
        <v>-7.89</v>
      </c>
      <c r="K182" s="12">
        <v>-5.08</v>
      </c>
      <c r="L182" s="12">
        <v>-3.83</v>
      </c>
      <c r="M182" s="12">
        <v>-89.22</v>
      </c>
      <c r="N182" s="12">
        <v>0</v>
      </c>
      <c r="O182" s="12">
        <f t="shared" ref="O182:O188" si="27">SUM(B182:N182)</f>
        <v>-181.25</v>
      </c>
    </row>
    <row r="183" spans="1:15" x14ac:dyDescent="0.2">
      <c r="A183" s="20" t="s">
        <v>197</v>
      </c>
      <c r="B183" s="12">
        <v>0</v>
      </c>
      <c r="C183" s="12">
        <v>0</v>
      </c>
      <c r="D183" s="12">
        <v>0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-1617.27</v>
      </c>
      <c r="M183" s="12">
        <v>1612.23</v>
      </c>
      <c r="N183" s="12">
        <v>0</v>
      </c>
      <c r="O183" s="12">
        <f t="shared" si="27"/>
        <v>-5.0399999999999636</v>
      </c>
    </row>
    <row r="184" spans="1:15" x14ac:dyDescent="0.2">
      <c r="A184" s="20" t="s">
        <v>198</v>
      </c>
      <c r="B184" s="12">
        <v>0</v>
      </c>
      <c r="C184" s="12">
        <v>-2500</v>
      </c>
      <c r="D184" s="12">
        <v>-112090</v>
      </c>
      <c r="E184" s="12">
        <v>110504</v>
      </c>
      <c r="F184" s="12">
        <v>-437</v>
      </c>
      <c r="G184" s="12">
        <v>-3649</v>
      </c>
      <c r="H184" s="12">
        <v>0</v>
      </c>
      <c r="I184" s="12">
        <v>-437</v>
      </c>
      <c r="J184" s="12">
        <v>0</v>
      </c>
      <c r="K184" s="12">
        <v>0</v>
      </c>
      <c r="L184" s="12">
        <v>-439</v>
      </c>
      <c r="M184" s="12">
        <v>-90706.655469999998</v>
      </c>
      <c r="N184" s="12">
        <v>814</v>
      </c>
      <c r="O184" s="12">
        <f t="shared" si="27"/>
        <v>-98940.655469999998</v>
      </c>
    </row>
    <row r="185" spans="1:15" x14ac:dyDescent="0.2">
      <c r="A185" s="20" t="s">
        <v>199</v>
      </c>
      <c r="B185" s="12">
        <v>0</v>
      </c>
      <c r="C185" s="12">
        <v>0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1250</v>
      </c>
      <c r="N185" s="12">
        <v>0</v>
      </c>
      <c r="O185" s="12">
        <f t="shared" si="27"/>
        <v>1250</v>
      </c>
    </row>
    <row r="186" spans="1:15" x14ac:dyDescent="0.2">
      <c r="A186" s="20" t="s">
        <v>200</v>
      </c>
      <c r="B186" s="12">
        <v>0</v>
      </c>
      <c r="C186" s="12">
        <v>0</v>
      </c>
      <c r="D186" s="12">
        <v>-6278.41</v>
      </c>
      <c r="E186" s="12">
        <v>6077.72</v>
      </c>
      <c r="F186" s="12">
        <v>0</v>
      </c>
      <c r="G186" s="12">
        <v>-200.69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-4914.88</v>
      </c>
      <c r="N186" s="12">
        <v>44.76</v>
      </c>
      <c r="O186" s="12">
        <f t="shared" si="27"/>
        <v>-5271.4999999999991</v>
      </c>
    </row>
    <row r="187" spans="1:15" x14ac:dyDescent="0.2">
      <c r="A187" s="20" t="s">
        <v>201</v>
      </c>
      <c r="B187" s="12">
        <v>0</v>
      </c>
      <c r="C187" s="12">
        <v>-27264</v>
      </c>
      <c r="D187" s="12">
        <v>0</v>
      </c>
      <c r="E187" s="12">
        <v>0</v>
      </c>
      <c r="F187" s="12">
        <v>21040</v>
      </c>
      <c r="G187" s="12">
        <v>4475.8</v>
      </c>
      <c r="H187" s="12">
        <v>0</v>
      </c>
      <c r="I187" s="12">
        <v>0</v>
      </c>
      <c r="J187" s="12">
        <v>0</v>
      </c>
      <c r="K187" s="12">
        <v>0</v>
      </c>
      <c r="L187" s="12">
        <v>-19928</v>
      </c>
      <c r="M187" s="12">
        <v>-67739</v>
      </c>
      <c r="N187" s="12">
        <v>319</v>
      </c>
      <c r="O187" s="12">
        <f t="shared" si="27"/>
        <v>-89096.2</v>
      </c>
    </row>
    <row r="188" spans="1:15" x14ac:dyDescent="0.2">
      <c r="A188" s="20" t="s">
        <v>202</v>
      </c>
      <c r="B188" s="12">
        <v>-436.85</v>
      </c>
      <c r="C188" s="12">
        <v>-367.47</v>
      </c>
      <c r="D188" s="12">
        <v>-221.8</v>
      </c>
      <c r="E188" s="12">
        <v>-160.13</v>
      </c>
      <c r="F188" s="12">
        <v>-34.49</v>
      </c>
      <c r="G188" s="12">
        <v>-32.01</v>
      </c>
      <c r="H188" s="12">
        <v>-25.93</v>
      </c>
      <c r="I188" s="12">
        <v>-91.28</v>
      </c>
      <c r="J188" s="12">
        <v>-143.74</v>
      </c>
      <c r="K188" s="12">
        <v>-92.67</v>
      </c>
      <c r="L188" s="12">
        <v>-69.92</v>
      </c>
      <c r="M188" s="12">
        <v>-1623.03</v>
      </c>
      <c r="N188" s="12">
        <v>0</v>
      </c>
      <c r="O188" s="12">
        <f t="shared" si="27"/>
        <v>-3299.32</v>
      </c>
    </row>
    <row r="189" spans="1:15" x14ac:dyDescent="0.2">
      <c r="A189" s="18" t="s">
        <v>203</v>
      </c>
      <c r="B189" s="14">
        <f t="shared" ref="B189:O189" si="28">SUM(B182:B188)</f>
        <v>-460.85</v>
      </c>
      <c r="C189" s="14">
        <f t="shared" si="28"/>
        <v>-30151.64</v>
      </c>
      <c r="D189" s="14">
        <f t="shared" si="28"/>
        <v>-118602.40000000001</v>
      </c>
      <c r="E189" s="14">
        <f t="shared" si="28"/>
        <v>116412.79</v>
      </c>
      <c r="F189" s="14">
        <f t="shared" si="28"/>
        <v>20566.62</v>
      </c>
      <c r="G189" s="14">
        <f t="shared" si="28"/>
        <v>592.33999999999992</v>
      </c>
      <c r="H189" s="14">
        <f t="shared" si="28"/>
        <v>-27.35</v>
      </c>
      <c r="I189" s="14">
        <f t="shared" si="28"/>
        <v>-533.28</v>
      </c>
      <c r="J189" s="14">
        <f t="shared" si="28"/>
        <v>-151.63</v>
      </c>
      <c r="K189" s="14">
        <f t="shared" si="28"/>
        <v>-97.75</v>
      </c>
      <c r="L189" s="14">
        <f t="shared" si="28"/>
        <v>-22058.019999999997</v>
      </c>
      <c r="M189" s="14">
        <f t="shared" si="28"/>
        <v>-162210.55546999999</v>
      </c>
      <c r="N189" s="14">
        <f t="shared" si="28"/>
        <v>1177.76</v>
      </c>
      <c r="O189" s="14">
        <f t="shared" si="28"/>
        <v>-195543.96547</v>
      </c>
    </row>
    <row r="190" spans="1:15" x14ac:dyDescent="0.2">
      <c r="A190" s="7" t="s">
        <v>204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 x14ac:dyDescent="0.2">
      <c r="A191" s="20" t="s">
        <v>205</v>
      </c>
      <c r="B191" s="12">
        <v>0</v>
      </c>
      <c r="C191" s="12">
        <v>0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-2260</v>
      </c>
      <c r="O191" s="12">
        <f>SUM(B191:N191)</f>
        <v>-2260</v>
      </c>
    </row>
    <row r="192" spans="1:15" x14ac:dyDescent="0.2">
      <c r="A192" s="18" t="s">
        <v>206</v>
      </c>
      <c r="B192" s="14">
        <f t="shared" ref="B192:O192" si="29">SUM(B191)</f>
        <v>0</v>
      </c>
      <c r="C192" s="14">
        <f t="shared" si="29"/>
        <v>0</v>
      </c>
      <c r="D192" s="14">
        <f t="shared" si="29"/>
        <v>0</v>
      </c>
      <c r="E192" s="14">
        <f t="shared" si="29"/>
        <v>0</v>
      </c>
      <c r="F192" s="14">
        <f t="shared" si="29"/>
        <v>0</v>
      </c>
      <c r="G192" s="14">
        <f t="shared" si="29"/>
        <v>0</v>
      </c>
      <c r="H192" s="14">
        <f t="shared" si="29"/>
        <v>0</v>
      </c>
      <c r="I192" s="14">
        <f t="shared" si="29"/>
        <v>0</v>
      </c>
      <c r="J192" s="14">
        <f t="shared" si="29"/>
        <v>0</v>
      </c>
      <c r="K192" s="14">
        <f t="shared" si="29"/>
        <v>0</v>
      </c>
      <c r="L192" s="14">
        <f t="shared" si="29"/>
        <v>0</v>
      </c>
      <c r="M192" s="14">
        <f t="shared" si="29"/>
        <v>0</v>
      </c>
      <c r="N192" s="14">
        <f t="shared" si="29"/>
        <v>-2260</v>
      </c>
      <c r="O192" s="14">
        <f t="shared" si="29"/>
        <v>-2260</v>
      </c>
    </row>
    <row r="193" spans="1:15" x14ac:dyDescent="0.2">
      <c r="A193" s="21" t="s">
        <v>207</v>
      </c>
      <c r="B193" s="14">
        <f t="shared" ref="B193:O193" si="30">B163+B180+B189+B192</f>
        <v>-88678.512816000002</v>
      </c>
      <c r="C193" s="14">
        <f t="shared" si="30"/>
        <v>-168246.94245099986</v>
      </c>
      <c r="D193" s="14">
        <f t="shared" si="30"/>
        <v>59936.292113999967</v>
      </c>
      <c r="E193" s="14">
        <f t="shared" si="30"/>
        <v>204559.18310599989</v>
      </c>
      <c r="F193" s="14">
        <f t="shared" si="30"/>
        <v>26645.990278000045</v>
      </c>
      <c r="G193" s="14">
        <f t="shared" si="30"/>
        <v>32772.458972000037</v>
      </c>
      <c r="H193" s="14">
        <f t="shared" si="30"/>
        <v>251057.54343600033</v>
      </c>
      <c r="I193" s="14">
        <f t="shared" si="30"/>
        <v>777.10812499976714</v>
      </c>
      <c r="J193" s="14">
        <f t="shared" si="30"/>
        <v>94099.157015000193</v>
      </c>
      <c r="K193" s="14">
        <f t="shared" si="30"/>
        <v>-42311.621614999916</v>
      </c>
      <c r="L193" s="14">
        <f t="shared" si="30"/>
        <v>8635.3169680002866</v>
      </c>
      <c r="M193" s="14">
        <f t="shared" si="30"/>
        <v>-37387.919696000259</v>
      </c>
      <c r="N193" s="14">
        <f t="shared" si="30"/>
        <v>1177.7600000000002</v>
      </c>
      <c r="O193" s="14">
        <f t="shared" si="30"/>
        <v>343035.81343600323</v>
      </c>
    </row>
  </sheetData>
  <mergeCells count="3">
    <mergeCell ref="A1:O1"/>
    <mergeCell ref="A2:O2"/>
    <mergeCell ref="A3:O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PGPLConsolidated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2023-08-08T21:19:43Z</dcterms:created>
  <dcterms:modified xsi:type="dcterms:W3CDTF">2023-08-08T21:20:12Z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