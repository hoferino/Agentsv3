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0\"/>
    </mc:Choice>
  </mc:AlternateContent>
  <xr:revisionPtr revIDLastSave="0" documentId="13_ncr:40009_{55C2EA60-1102-4A4F-89C3-29E068254BA1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8" i="1" l="1"/>
  <c r="F188" i="1"/>
  <c r="E188" i="1"/>
  <c r="D188" i="1"/>
  <c r="C188" i="1"/>
  <c r="B188" i="1"/>
  <c r="H187" i="1"/>
  <c r="H188" i="1" s="1"/>
  <c r="G185" i="1"/>
  <c r="F185" i="1"/>
  <c r="E185" i="1"/>
  <c r="D185" i="1"/>
  <c r="C185" i="1"/>
  <c r="B185" i="1"/>
  <c r="H184" i="1"/>
  <c r="H183" i="1"/>
  <c r="H182" i="1"/>
  <c r="H181" i="1"/>
  <c r="H180" i="1"/>
  <c r="H179" i="1"/>
  <c r="H178" i="1"/>
  <c r="G175" i="1"/>
  <c r="F175" i="1"/>
  <c r="E175" i="1"/>
  <c r="D175" i="1"/>
  <c r="C175" i="1"/>
  <c r="B175" i="1"/>
  <c r="H174" i="1"/>
  <c r="H173" i="1"/>
  <c r="H172" i="1"/>
  <c r="H171" i="1"/>
  <c r="G169" i="1"/>
  <c r="F169" i="1"/>
  <c r="E169" i="1"/>
  <c r="D169" i="1"/>
  <c r="C169" i="1"/>
  <c r="B169" i="1"/>
  <c r="H168" i="1"/>
  <c r="H167" i="1"/>
  <c r="H166" i="1"/>
  <c r="G164" i="1"/>
  <c r="F164" i="1"/>
  <c r="E164" i="1"/>
  <c r="D164" i="1"/>
  <c r="C164" i="1"/>
  <c r="B164" i="1"/>
  <c r="B176" i="1" s="1"/>
  <c r="H163" i="1"/>
  <c r="H162" i="1"/>
  <c r="G157" i="1"/>
  <c r="F157" i="1"/>
  <c r="E157" i="1"/>
  <c r="D157" i="1"/>
  <c r="C157" i="1"/>
  <c r="B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G81" i="1"/>
  <c r="G82" i="1" s="1"/>
  <c r="F81" i="1"/>
  <c r="F82" i="1" s="1"/>
  <c r="E81" i="1"/>
  <c r="E82" i="1" s="1"/>
  <c r="D81" i="1"/>
  <c r="D82" i="1" s="1"/>
  <c r="C81" i="1"/>
  <c r="C82" i="1" s="1"/>
  <c r="B81" i="1"/>
  <c r="B82" i="1" s="1"/>
  <c r="H80" i="1"/>
  <c r="H79" i="1"/>
  <c r="H78" i="1"/>
  <c r="H77" i="1"/>
  <c r="H76" i="1"/>
  <c r="G72" i="1"/>
  <c r="F72" i="1"/>
  <c r="E72" i="1"/>
  <c r="D72" i="1"/>
  <c r="C72" i="1"/>
  <c r="B72" i="1"/>
  <c r="H71" i="1"/>
  <c r="H70" i="1"/>
  <c r="H69" i="1"/>
  <c r="H68" i="1"/>
  <c r="H67" i="1"/>
  <c r="H66" i="1"/>
  <c r="H65" i="1"/>
  <c r="G63" i="1"/>
  <c r="F63" i="1"/>
  <c r="F73" i="1" s="1"/>
  <c r="E63" i="1"/>
  <c r="D63" i="1"/>
  <c r="D73" i="1" s="1"/>
  <c r="C63" i="1"/>
  <c r="B63" i="1"/>
  <c r="B73" i="1" s="1"/>
  <c r="H62" i="1"/>
  <c r="H61" i="1"/>
  <c r="H60" i="1"/>
  <c r="H59" i="1"/>
  <c r="H58" i="1"/>
  <c r="H57" i="1"/>
  <c r="H56" i="1"/>
  <c r="H55" i="1"/>
  <c r="D50" i="1"/>
  <c r="G49" i="1"/>
  <c r="F49" i="1"/>
  <c r="E49" i="1"/>
  <c r="D49" i="1"/>
  <c r="C49" i="1"/>
  <c r="B49" i="1"/>
  <c r="H48" i="1"/>
  <c r="H47" i="1"/>
  <c r="H46" i="1"/>
  <c r="H45" i="1"/>
  <c r="H44" i="1"/>
  <c r="G42" i="1"/>
  <c r="F42" i="1"/>
  <c r="E42" i="1"/>
  <c r="D42" i="1"/>
  <c r="C42" i="1"/>
  <c r="C50" i="1" s="1"/>
  <c r="B42" i="1"/>
  <c r="B50" i="1" s="1"/>
  <c r="H41" i="1"/>
  <c r="H40" i="1"/>
  <c r="H39" i="1"/>
  <c r="H38" i="1"/>
  <c r="H37" i="1"/>
  <c r="G33" i="1"/>
  <c r="F33" i="1"/>
  <c r="E33" i="1"/>
  <c r="D33" i="1"/>
  <c r="C33" i="1"/>
  <c r="B33" i="1"/>
  <c r="H32" i="1"/>
  <c r="H31" i="1"/>
  <c r="H30" i="1"/>
  <c r="H29" i="1"/>
  <c r="H28" i="1"/>
  <c r="H27" i="1"/>
  <c r="H26" i="1"/>
  <c r="H25" i="1"/>
  <c r="H24" i="1"/>
  <c r="G22" i="1"/>
  <c r="F22" i="1"/>
  <c r="E22" i="1"/>
  <c r="D22" i="1"/>
  <c r="C22" i="1"/>
  <c r="B22" i="1"/>
  <c r="H21" i="1"/>
  <c r="H20" i="1"/>
  <c r="H19" i="1"/>
  <c r="H18" i="1"/>
  <c r="H17" i="1"/>
  <c r="H16" i="1"/>
  <c r="H15" i="1"/>
  <c r="H14" i="1"/>
  <c r="H13" i="1"/>
  <c r="H12" i="1"/>
  <c r="H11" i="1"/>
  <c r="C34" i="1" l="1"/>
  <c r="B158" i="1"/>
  <c r="E176" i="1"/>
  <c r="F34" i="1"/>
  <c r="H185" i="1"/>
  <c r="E50" i="1"/>
  <c r="E34" i="1"/>
  <c r="E73" i="1"/>
  <c r="E158" i="1" s="1"/>
  <c r="B34" i="1"/>
  <c r="B51" i="1" s="1"/>
  <c r="H49" i="1"/>
  <c r="D176" i="1"/>
  <c r="F176" i="1"/>
  <c r="H72" i="1"/>
  <c r="C51" i="1"/>
  <c r="D34" i="1"/>
  <c r="D51" i="1" s="1"/>
  <c r="F50" i="1"/>
  <c r="G73" i="1"/>
  <c r="G158" i="1" s="1"/>
  <c r="F158" i="1"/>
  <c r="H22" i="1"/>
  <c r="G34" i="1"/>
  <c r="H81" i="1"/>
  <c r="H82" i="1" s="1"/>
  <c r="H33" i="1"/>
  <c r="C176" i="1"/>
  <c r="C73" i="1"/>
  <c r="C158" i="1" s="1"/>
  <c r="C159" i="1" s="1"/>
  <c r="C189" i="1" s="1"/>
  <c r="G176" i="1"/>
  <c r="H63" i="1"/>
  <c r="H73" i="1" s="1"/>
  <c r="H42" i="1"/>
  <c r="G50" i="1"/>
  <c r="G51" i="1" s="1"/>
  <c r="H164" i="1"/>
  <c r="H157" i="1"/>
  <c r="H169" i="1"/>
  <c r="H175" i="1"/>
  <c r="D158" i="1"/>
  <c r="D159" i="1" s="1"/>
  <c r="E51" i="1" l="1"/>
  <c r="E159" i="1" s="1"/>
  <c r="E189" i="1" s="1"/>
  <c r="F51" i="1"/>
  <c r="F159" i="1" s="1"/>
  <c r="F189" i="1" s="1"/>
  <c r="D189" i="1"/>
  <c r="H50" i="1"/>
  <c r="B159" i="1"/>
  <c r="B189" i="1" s="1"/>
  <c r="G159" i="1"/>
  <c r="G189" i="1" s="1"/>
  <c r="H176" i="1"/>
  <c r="H158" i="1"/>
  <c r="H34" i="1"/>
  <c r="H51" i="1" l="1"/>
  <c r="H159" i="1" s="1"/>
  <c r="H189" i="1" s="1"/>
</calcChain>
</file>

<file path=xl/sharedStrings.xml><?xml version="1.0" encoding="utf-8"?>
<sst xmlns="http://schemas.openxmlformats.org/spreadsheetml/2006/main" count="203" uniqueCount="197">
  <si>
    <t>PROMATIS software GmbH</t>
  </si>
  <si>
    <t>Firma (Consolidated)</t>
  </si>
  <si>
    <t>PG P+L Consolidated</t>
  </si>
  <si>
    <t>From Jan 2020 to Adjust 2020</t>
  </si>
  <si>
    <t>Financial Row</t>
  </si>
  <si>
    <t>Horus software GmbH</t>
  </si>
  <si>
    <t>PROMATIS AG</t>
  </si>
  <si>
    <t>PROMATIS Corp.</t>
  </si>
  <si>
    <t>PROMATIS GmbH</t>
  </si>
  <si>
    <t>SEGRA GmbH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</si>
  <si>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</si>
  <si>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</si>
  <si>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</si>
  <si>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</si>
  <si>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</si>
  <si>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</si>
  <si>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</si>
  <si>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</si>
  <si>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473600 - Cash discounts granted, Standard VAT</t>
  </si>
  <si>
    <t>477000 - Rebates granted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</si>
  <si>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</si>
  <si>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</si>
  <si>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</si>
  <si>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</si>
  <si>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</si>
  <si>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</si>
  <si>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400000 - Sales (free text)</t>
  </si>
  <si>
    <t>410000 - Tax-exempt sales, section 4 no. 8 ff. UStG</t>
  </si>
  <si>
    <t>474000 - Volume discounts granted</t>
  </si>
  <si>
    <t>Total Revenue</t>
  </si>
  <si>
    <t>4. Other operating income</t>
  </si>
  <si>
    <t>494700 - Alloc. other non-cash benefits from provi. of car, Std VAT</t>
  </si>
  <si>
    <t>494900 - Allocated other non-cash benefits, no VAT</t>
  </si>
  <si>
    <t>490000 - Income from disposal of fixed assets</t>
  </si>
  <si>
    <t>492500 - Income from recoveries of receivables previously written off</t>
  </si>
  <si>
    <t>493000 - Income from reversal of provisions</t>
  </si>
  <si>
    <t>483000 - Other operating income</t>
  </si>
  <si>
    <t>484000 - Realized Foreign Exchange Gain</t>
  </si>
  <si>
    <t>483800 - Reimbursed input tax, other countries</t>
  </si>
  <si>
    <t>454000 - Revenue infrastructure standard VAT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</si>
  <si>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</si>
  <si>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</si>
  <si>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</si>
  <si>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</si>
  <si>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</si>
  <si>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540000 - Cost of merchandise, Standard input tax</t>
  </si>
  <si>
    <t>542500 - Intra-EU acquisitions, Standard input tax and 7% VAT</t>
  </si>
  <si>
    <t>580010 - Invoice PO price variance standard rate</t>
  </si>
  <si>
    <t>577000 - Rebates received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</si>
  <si>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</si>
  <si>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</si>
  <si>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</si>
  <si>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</si>
  <si>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590600 - Purchased services, Standard input tax</t>
  </si>
  <si>
    <t>592500 - Serv.s supplied by foreign contractor, Std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</si>
  <si>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</si>
  <si>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</si>
  <si>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</si>
  <si>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</si>
  <si>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</si>
  <si>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</si>
  <si>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</si>
  <si>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</si>
  <si>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</si>
  <si>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</si>
  <si>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</si>
  <si>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</si>
  <si>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</si>
  <si>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</si>
  <si>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</si>
  <si>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</si>
  <si>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</si>
  <si>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606900 - Flat-rate tax on other benefits (e.g. travel allowances)</t>
  </si>
  <si>
    <t>497200 - Refunds Act on Reimbursement of Employers' Expenses (AAG)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</si>
  <si>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</si>
  <si>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</si>
  <si>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</si>
  <si>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</si>
  <si>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</si>
  <si>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</si>
  <si>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</si>
  <si>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</si>
  <si>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</si>
  <si>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</si>
  <si>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</si>
  <si>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</si>
  <si>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620500 - Goodwill amortisation and write-downs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</si>
  <si>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</si>
  <si>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</si>
  <si>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</si>
  <si>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</si>
  <si>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</si>
  <si>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683000 - Bookkeeping costs</t>
  </si>
  <si>
    <t>633000 - Cleaning</t>
  </si>
  <si>
    <t>642000 - Contributions</t>
  </si>
  <si>
    <t>688100 - Currency Exchange Losses</t>
  </si>
  <si>
    <t>688000 - Currency translation losses</t>
  </si>
  <si>
    <t>644000 - Disabled persons equalisation levy</t>
  </si>
  <si>
    <t>666800 - Employee mileage reimbursement</t>
  </si>
  <si>
    <t>666500 - Employee travel expens, add. sub costs,Income tax liability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</si>
  <si>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</si>
  <si>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</si>
  <si>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</si>
  <si>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</si>
  <si>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</si>
  <si>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</si>
  <si>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</si>
  <si>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</si>
  <si>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</si>
  <si>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</si>
  <si>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632500 - Gas, electricity, water</t>
  </si>
  <si>
    <t>661000 - Gifts, deductible, without s. 37b EStG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</si>
  <si>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</si>
  <si>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</si>
  <si>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</si>
  <si>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</si>
  <si>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683600 - Leases (movable assets)</t>
  </si>
  <si>
    <t>682500 - Legal and consulting costs</t>
  </si>
  <si>
    <t>682800 - Legal and consulting fees §13b UStG Supplier EU service</t>
  </si>
  <si>
    <t>690000 - Losses on disposal of fixed assets</t>
  </si>
  <si>
    <t>633500 - Maintenance of operating premises</t>
  </si>
  <si>
    <t>682000 - Newspapers, books</t>
  </si>
  <si>
    <t>639300 - Non-cash benefits, donations for church, non-profit purposes</t>
  </si>
  <si>
    <t>664400 - Non-deductible entertainment expenses</t>
  </si>
  <si>
    <t>681500 - Office supplies</t>
  </si>
  <si>
    <t>656000 - Operating leases (motor vehicles)</t>
  </si>
  <si>
    <t>684000 - Operating leases (mov. assets)</t>
  </si>
  <si>
    <t>696900 - Other infrequent expenses</t>
  </si>
  <si>
    <t>685000 - Other operating supplies</t>
  </si>
  <si>
    <t>649000 - Other repairs and maintenance</t>
  </si>
  <si>
    <t>682700 - Period-end closing and audit costs</t>
  </si>
  <si>
    <t>680000 - Postage</t>
  </si>
  <si>
    <t>631000 - Rent (immovable property)</t>
  </si>
  <si>
    <t>683500 - Rent of fixtures and fittings (movable assets)</t>
  </si>
  <si>
    <t>646000 - Repairs and maintenance of technical equipment and machinery</t>
  </si>
  <si>
    <t>689200 - Revenue from sales of long-term financial assets</t>
  </si>
  <si>
    <t>699400 - Selling expenses</t>
  </si>
  <si>
    <t>664300 - Small gifts</t>
  </si>
  <si>
    <t>680500 - Telephone</t>
  </si>
  <si>
    <t>681400 - Third country service</t>
  </si>
  <si>
    <t>678000 - Third-party services (distribution)</t>
  </si>
  <si>
    <t>682100 - Training costs</t>
  </si>
  <si>
    <t>692300 - Transfer to specific valuation allowance on receivables</t>
  </si>
  <si>
    <t>692000 - Transfers to global valuation allowance on receivables</t>
  </si>
  <si>
    <t>669900 - Travel costs liability adjustment account</t>
  </si>
  <si>
    <t>650035 - Vehicle Expenses KA-FS 5712/2 BMW 740d xDrive Limousine</t>
  </si>
  <si>
    <t>650033 - Vehicle expenses  KA-MW 8801 Mazda CX30</t>
  </si>
  <si>
    <t>650031 - Vehicle expenses KA-AC 3211 Skoda Kodiaq 2.0 TDI</t>
  </si>
  <si>
    <t>650018 - Vehicle expenses KA-B 9883 Skoda Octavia</t>
  </si>
  <si>
    <t>650036 - Vehicle expenses KA-B 9884 Skodia Fabia</t>
  </si>
  <si>
    <t>650013 - Vehicle expenses KA-DK 1015 VW T-Roc</t>
  </si>
  <si>
    <t>650021 - Vehicle expenses KA-EW 1155 Skoda KODIAQ Drive 2.0 TDI</t>
  </si>
  <si>
    <t>650027 - Vehicle expenses KA-FS 5712 BMW 740d Drive Limousine</t>
  </si>
  <si>
    <t>650017 - Vehicle expenses KA-JM 1075 Skoda Superb</t>
  </si>
  <si>
    <t>650026 - Vehicle expenses KA-JR 1012 Audi Q5 2.0 Quattro TDI</t>
  </si>
  <si>
    <t>650037 - Vehicle expenses KA-JR 1240 Audi Q3 Sportsback 45 TFSI</t>
  </si>
  <si>
    <t>650014 - Vehicle expenses KA-KS 1186 Mercedes GLA</t>
  </si>
  <si>
    <t>650012 - Vehicle expenses KA-M 3390 Tesla</t>
  </si>
  <si>
    <t>650019 - Vehicle expenses KA-MA 9080 Skoda Superb Combi 1.8 TSI</t>
  </si>
  <si>
    <t>650025 - Vehicle expenses KA-MP 1018 KIA Sportage</t>
  </si>
  <si>
    <t>650034 - Vehicle expenses KA-MP 1019 KIA Xceed 1.4 T-GDI</t>
  </si>
  <si>
    <t>650016 - Vehicle expenses KA-MW 8800 Toyota Verso</t>
  </si>
  <si>
    <t>650011 - Vehicle expenses KA-S 2730 Skoda Octavia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</si>
  <si>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</si>
  <si>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</si>
  <si>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</si>
  <si>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</si>
  <si>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</si>
  <si>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</si>
  <si>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</si>
  <si>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</si>
  <si>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</si>
  <si>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</si>
  <si>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730800 - Interest expenses, section 233a AO, section 4(5b) EStG</t>
  </si>
  <si>
    <t>710000 - Other interest and similar income</t>
  </si>
  <si>
    <t>711900 - Other interest income from affiliated companies</t>
  </si>
  <si>
    <t>Total Other interest and similar income</t>
  </si>
  <si>
    <t>13. Interest and similar expenses</t>
  </si>
  <si>
    <t>740200 - Extraordinary income standard</t>
  </si>
  <si>
    <t>736000 - Interest cost included in additions to pension provisions</t>
  </si>
  <si>
    <t>731100 - Interest expense §§ 234 to 237 AO deductible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</si>
  <si>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</si>
  <si>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</si>
  <si>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</si>
  <si>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</si>
  <si>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</si>
  <si>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764100 - Backpayments and refunds of trade tax for prior years</t>
  </si>
  <si>
    <t>760000 - Corporate income tax</t>
  </si>
  <si>
    <t>760300 - Corporate income tax for prior years</t>
  </si>
  <si>
    <t>760800 - Solidarity surcharge</t>
  </si>
  <si>
    <t>761000 - Trade tax</t>
  </si>
  <si>
    <t>763000 - Withholding tax on investment income, 25%</t>
  </si>
  <si>
    <t>Total Taxes on income</t>
  </si>
  <si>
    <t>16. Other taxes</t>
  </si>
  <si>
    <t>768500 - Motor vehicle tax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</si>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</sst>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9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72.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8" width="15.83203125" bestFit="1" customWidth="1"/>
  </cols>
  <sheetData>
    <row r="1" spans="1:8" ht="15.75" x14ac:dyDescent="0.25">
      <c r="A1" s="1" t="s">
        <v>1</v>
      </c>
      <c r="B1" s="1"/>
      <c r="C1" s="1"/>
      <c r="D1" s="1"/>
      <c r="E1" s="1"/>
      <c r="F1" s="1"/>
      <c r="G1" s="1"/>
      <c r="H1" s="1"/>
    </row>
    <row r="2" spans="1:8" ht="18" x14ac:dyDescent="0.25">
      <c r="A2" s="2" t="s">
        <v>2</v>
      </c>
      <c r="B2" s="2"/>
      <c r="C2" s="2"/>
      <c r="D2" s="2"/>
      <c r="E2" s="2"/>
      <c r="F2" s="2"/>
      <c r="G2" s="2"/>
      <c r="H2" s="2"/>
    </row>
    <row r="3" spans="1:8" ht="18" x14ac:dyDescent="0.25">
      <c r="A3" s="2" t="s">
        <v>3</v>
      </c>
      <c r="B3" s="2"/>
      <c r="C3" s="2"/>
      <c r="D3" s="2"/>
      <c r="E3" s="2"/>
      <c r="F3" s="2"/>
      <c r="G3" s="2"/>
      <c r="H3" s="2"/>
    </row>
    <row r="4" spans="1:8" x14ac:dyDescent="0.2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0</v>
      </c>
      <c r="G4" s="4" t="s">
        <v>9</v>
      </c>
      <c r="H4" s="4" t="s">
        <v>10</v>
      </c>
    </row>
    <row r="5" spans="1:8" x14ac:dyDescent="0.2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x14ac:dyDescent="0.2">
      <c r="A6" s="5" t="s">
        <v>13</v>
      </c>
      <c r="B6" s="6"/>
      <c r="C6" s="6"/>
      <c r="D6" s="6"/>
      <c r="E6" s="6"/>
      <c r="F6" s="6"/>
      <c r="G6" s="6"/>
      <c r="H6" s="6"/>
    </row>
    <row r="7" spans="1:8" x14ac:dyDescent="0.2">
      <c r="A7" s="7" t="s">
        <v>14</v>
      </c>
      <c r="B7" s="6"/>
      <c r="C7" s="6"/>
      <c r="D7" s="6"/>
      <c r="E7" s="6"/>
      <c r="F7" s="6"/>
      <c r="G7" s="6"/>
      <c r="H7" s="6"/>
    </row>
    <row r="8" spans="1:8" x14ac:dyDescent="0.2">
      <c r="A8" s="8" t="s">
        <v>15</v>
      </c>
      <c r="B8" s="6"/>
      <c r="C8" s="6"/>
      <c r="D8" s="6"/>
      <c r="E8" s="6"/>
      <c r="F8" s="6"/>
      <c r="G8" s="6"/>
      <c r="H8" s="6"/>
    </row>
    <row r="9" spans="1:8" x14ac:dyDescent="0.2">
      <c r="A9" s="9" t="s">
        <v>16</v>
      </c>
      <c r="B9" s="6"/>
      <c r="C9" s="6"/>
      <c r="D9" s="6"/>
      <c r="E9" s="6"/>
      <c r="F9" s="6"/>
      <c r="G9" s="6"/>
      <c r="H9" s="6"/>
    </row>
    <row r="10" spans="1:8" x14ac:dyDescent="0.2">
      <c r="A10" s="10" t="s">
        <v>17</v>
      </c>
      <c r="B10" s="6"/>
      <c r="C10" s="6"/>
      <c r="D10" s="6"/>
      <c r="E10" s="6"/>
      <c r="F10" s="6"/>
      <c r="G10" s="6"/>
      <c r="H10" s="6"/>
    </row>
    <row r="11" spans="1:8" x14ac:dyDescent="0.2">
      <c r="A11" s="11" t="s">
        <v>18</v>
      </c>
      <c r="B11" s="12">
        <v>0</v>
      </c>
      <c r="C11" s="12">
        <v>0</v>
      </c>
      <c r="D11" s="12">
        <v>0</v>
      </c>
      <c r="E11" s="12">
        <v>0</v>
      </c>
      <c r="F11" s="12">
        <v>-3750</v>
      </c>
      <c r="G11" s="12">
        <v>0</v>
      </c>
      <c r="H11" s="12">
        <f t="shared" ref="H11:H21" si="0">SUM(B11:G11)</f>
        <v>-3750</v>
      </c>
    </row>
    <row r="12" spans="1:8" x14ac:dyDescent="0.2">
      <c r="A12" s="11" t="s">
        <v>19</v>
      </c>
      <c r="B12" s="12">
        <v>0</v>
      </c>
      <c r="C12" s="12">
        <v>0</v>
      </c>
      <c r="D12" s="12">
        <v>0</v>
      </c>
      <c r="E12" s="12">
        <v>0</v>
      </c>
      <c r="F12" s="12">
        <v>-2500</v>
      </c>
      <c r="G12" s="12">
        <v>0</v>
      </c>
      <c r="H12" s="12">
        <f t="shared" si="0"/>
        <v>-2500</v>
      </c>
    </row>
    <row r="13" spans="1:8" x14ac:dyDescent="0.2">
      <c r="A13" s="11" t="s">
        <v>20</v>
      </c>
      <c r="B13" s="12">
        <v>-30333.5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f t="shared" si="0"/>
        <v>-30333.5</v>
      </c>
    </row>
    <row r="14" spans="1:8" x14ac:dyDescent="0.2">
      <c r="A14" s="11" t="s">
        <v>21</v>
      </c>
      <c r="B14" s="12">
        <v>0</v>
      </c>
      <c r="C14" s="12">
        <v>-45164.183693999999</v>
      </c>
      <c r="D14" s="12">
        <v>0</v>
      </c>
      <c r="E14" s="12">
        <v>0</v>
      </c>
      <c r="F14" s="12">
        <v>357316.3</v>
      </c>
      <c r="G14" s="12">
        <v>0</v>
      </c>
      <c r="H14" s="12">
        <f t="shared" si="0"/>
        <v>312152.11630599998</v>
      </c>
    </row>
    <row r="15" spans="1:8" x14ac:dyDescent="0.2">
      <c r="A15" s="11" t="s">
        <v>22</v>
      </c>
      <c r="B15" s="12">
        <v>0</v>
      </c>
      <c r="C15" s="12">
        <v>0</v>
      </c>
      <c r="D15" s="12">
        <v>205358.902775</v>
      </c>
      <c r="E15" s="12">
        <v>0</v>
      </c>
      <c r="F15" s="12">
        <v>0</v>
      </c>
      <c r="G15" s="12">
        <v>0</v>
      </c>
      <c r="H15" s="12">
        <f t="shared" si="0"/>
        <v>205358.902775</v>
      </c>
    </row>
    <row r="16" spans="1:8" x14ac:dyDescent="0.2">
      <c r="A16" s="11" t="s">
        <v>23</v>
      </c>
      <c r="B16" s="12">
        <v>80795</v>
      </c>
      <c r="C16" s="12">
        <v>272451.29125499999</v>
      </c>
      <c r="D16" s="12">
        <v>4270</v>
      </c>
      <c r="E16" s="12">
        <v>836459.75</v>
      </c>
      <c r="F16" s="12">
        <v>9683603.5600000005</v>
      </c>
      <c r="G16" s="12">
        <v>137492.10999999999</v>
      </c>
      <c r="H16" s="12">
        <f t="shared" si="0"/>
        <v>11015071.711254999</v>
      </c>
    </row>
    <row r="17" spans="1:8" x14ac:dyDescent="0.2">
      <c r="A17" s="11" t="s">
        <v>24</v>
      </c>
      <c r="B17" s="12">
        <v>0</v>
      </c>
      <c r="C17" s="12">
        <v>0</v>
      </c>
      <c r="D17" s="12">
        <v>0</v>
      </c>
      <c r="E17" s="12">
        <v>19251</v>
      </c>
      <c r="F17" s="12">
        <v>482042.8</v>
      </c>
      <c r="G17" s="12">
        <v>0</v>
      </c>
      <c r="H17" s="12">
        <f t="shared" si="0"/>
        <v>501293.8</v>
      </c>
    </row>
    <row r="18" spans="1:8" x14ac:dyDescent="0.2">
      <c r="A18" s="11" t="s">
        <v>25</v>
      </c>
      <c r="B18" s="12">
        <v>0</v>
      </c>
      <c r="C18" s="12">
        <v>0</v>
      </c>
      <c r="D18" s="12">
        <v>0</v>
      </c>
      <c r="E18" s="12">
        <v>0</v>
      </c>
      <c r="F18" s="12">
        <v>444103.8</v>
      </c>
      <c r="G18" s="12">
        <v>0</v>
      </c>
      <c r="H18" s="12">
        <f t="shared" si="0"/>
        <v>444103.8</v>
      </c>
    </row>
    <row r="19" spans="1:8" x14ac:dyDescent="0.2">
      <c r="A19" s="11" t="s">
        <v>26</v>
      </c>
      <c r="B19" s="12">
        <v>5390.33</v>
      </c>
      <c r="C19" s="12">
        <v>0</v>
      </c>
      <c r="D19" s="12">
        <v>0</v>
      </c>
      <c r="E19" s="12">
        <v>0</v>
      </c>
      <c r="F19" s="12">
        <v>9701.39</v>
      </c>
      <c r="G19" s="12">
        <v>0</v>
      </c>
      <c r="H19" s="12">
        <f t="shared" si="0"/>
        <v>15091.72</v>
      </c>
    </row>
    <row r="20" spans="1:8" x14ac:dyDescent="0.2">
      <c r="A20" s="11" t="s">
        <v>27</v>
      </c>
      <c r="B20" s="12">
        <v>0</v>
      </c>
      <c r="C20" s="12">
        <v>0</v>
      </c>
      <c r="D20" s="12">
        <v>0</v>
      </c>
      <c r="E20" s="12">
        <v>6600</v>
      </c>
      <c r="F20" s="12">
        <v>0</v>
      </c>
      <c r="G20" s="12">
        <v>0</v>
      </c>
      <c r="H20" s="12">
        <f t="shared" si="0"/>
        <v>6600</v>
      </c>
    </row>
    <row r="21" spans="1:8" x14ac:dyDescent="0.2">
      <c r="A21" s="11" t="s">
        <v>28</v>
      </c>
      <c r="B21" s="12">
        <v>0</v>
      </c>
      <c r="C21" s="12">
        <v>0</v>
      </c>
      <c r="D21" s="12">
        <v>-177.64949999999999</v>
      </c>
      <c r="E21" s="12">
        <v>0</v>
      </c>
      <c r="F21" s="12">
        <v>0</v>
      </c>
      <c r="G21" s="12">
        <v>0</v>
      </c>
      <c r="H21" s="12">
        <f t="shared" si="0"/>
        <v>-177.64949999999999</v>
      </c>
    </row>
    <row r="22" spans="1:8" x14ac:dyDescent="0.2">
      <c r="A22" s="13" t="s">
        <v>29</v>
      </c>
      <c r="B22" s="14">
        <f t="shared" ref="B22:H22" si="1">SUM(B11:B21)</f>
        <v>55851.83</v>
      </c>
      <c r="C22" s="14">
        <f t="shared" si="1"/>
        <v>227287.10756099998</v>
      </c>
      <c r="D22" s="14">
        <f t="shared" si="1"/>
        <v>209451.253275</v>
      </c>
      <c r="E22" s="14">
        <f t="shared" si="1"/>
        <v>862310.75</v>
      </c>
      <c r="F22" s="14">
        <f t="shared" si="1"/>
        <v>10970517.850000003</v>
      </c>
      <c r="G22" s="14">
        <f t="shared" si="1"/>
        <v>137492.10999999999</v>
      </c>
      <c r="H22" s="14">
        <f t="shared" si="1"/>
        <v>12462910.900836002</v>
      </c>
    </row>
    <row r="23" spans="1:8" x14ac:dyDescent="0.2">
      <c r="A23" s="10" t="s">
        <v>30</v>
      </c>
      <c r="B23" s="6"/>
      <c r="C23" s="6"/>
      <c r="D23" s="6"/>
      <c r="E23" s="6"/>
      <c r="F23" s="6"/>
      <c r="G23" s="6"/>
      <c r="H23" s="6"/>
    </row>
    <row r="24" spans="1:8" x14ac:dyDescent="0.2">
      <c r="A24" s="11" t="s">
        <v>31</v>
      </c>
      <c r="B24" s="12">
        <v>0</v>
      </c>
      <c r="C24" s="12">
        <v>0</v>
      </c>
      <c r="D24" s="12">
        <v>0</v>
      </c>
      <c r="E24" s="12">
        <v>0</v>
      </c>
      <c r="F24" s="12">
        <v>85313.83</v>
      </c>
      <c r="G24" s="12">
        <v>0</v>
      </c>
      <c r="H24" s="12">
        <f t="shared" ref="H24:H32" si="2">SUM(B24:G24)</f>
        <v>85313.83</v>
      </c>
    </row>
    <row r="25" spans="1:8" x14ac:dyDescent="0.2">
      <c r="A25" s="11" t="s">
        <v>32</v>
      </c>
      <c r="B25" s="12">
        <v>0</v>
      </c>
      <c r="C25" s="12">
        <v>0</v>
      </c>
      <c r="D25" s="12">
        <v>0</v>
      </c>
      <c r="E25" s="12">
        <v>0</v>
      </c>
      <c r="F25" s="12">
        <v>1383.99</v>
      </c>
      <c r="G25" s="12">
        <v>0</v>
      </c>
      <c r="H25" s="12">
        <f t="shared" si="2"/>
        <v>1383.99</v>
      </c>
    </row>
    <row r="26" spans="1:8" x14ac:dyDescent="0.2">
      <c r="A26" s="11" t="s">
        <v>33</v>
      </c>
      <c r="B26" s="12">
        <v>0</v>
      </c>
      <c r="C26" s="12">
        <v>0</v>
      </c>
      <c r="D26" s="12">
        <v>0</v>
      </c>
      <c r="E26" s="12">
        <v>17716.04</v>
      </c>
      <c r="F26" s="12">
        <v>0</v>
      </c>
      <c r="G26" s="12">
        <v>0</v>
      </c>
      <c r="H26" s="12">
        <f t="shared" si="2"/>
        <v>17716.04</v>
      </c>
    </row>
    <row r="27" spans="1:8" x14ac:dyDescent="0.2">
      <c r="A27" s="11" t="s">
        <v>34</v>
      </c>
      <c r="B27" s="12">
        <v>0</v>
      </c>
      <c r="C27" s="12">
        <v>1389.294408</v>
      </c>
      <c r="D27" s="12">
        <v>0</v>
      </c>
      <c r="E27" s="12">
        <v>0</v>
      </c>
      <c r="F27" s="12">
        <v>0</v>
      </c>
      <c r="G27" s="12">
        <v>0</v>
      </c>
      <c r="H27" s="12">
        <f t="shared" si="2"/>
        <v>1389.294408</v>
      </c>
    </row>
    <row r="28" spans="1:8" x14ac:dyDescent="0.2">
      <c r="A28" s="11" t="s">
        <v>35</v>
      </c>
      <c r="B28" s="12">
        <v>0</v>
      </c>
      <c r="C28" s="12">
        <v>0</v>
      </c>
      <c r="D28" s="12">
        <v>0</v>
      </c>
      <c r="E28" s="12">
        <v>325</v>
      </c>
      <c r="F28" s="12">
        <v>0</v>
      </c>
      <c r="G28" s="12">
        <v>0</v>
      </c>
      <c r="H28" s="12">
        <f t="shared" si="2"/>
        <v>325</v>
      </c>
    </row>
    <row r="29" spans="1:8" x14ac:dyDescent="0.2">
      <c r="A29" s="11" t="s">
        <v>36</v>
      </c>
      <c r="B29" s="12">
        <v>0</v>
      </c>
      <c r="C29" s="12">
        <v>269.67802999999998</v>
      </c>
      <c r="D29" s="12">
        <v>0</v>
      </c>
      <c r="E29" s="12">
        <v>59.15</v>
      </c>
      <c r="F29" s="12">
        <v>27381.040000000001</v>
      </c>
      <c r="G29" s="12">
        <v>0</v>
      </c>
      <c r="H29" s="12">
        <f t="shared" si="2"/>
        <v>27709.868030000001</v>
      </c>
    </row>
    <row r="30" spans="1:8" x14ac:dyDescent="0.2">
      <c r="A30" s="11" t="s">
        <v>37</v>
      </c>
      <c r="B30" s="12">
        <v>0</v>
      </c>
      <c r="C30" s="12">
        <v>0</v>
      </c>
      <c r="D30" s="12">
        <v>0</v>
      </c>
      <c r="E30" s="12">
        <v>0</v>
      </c>
      <c r="F30" s="12">
        <v>-402.95</v>
      </c>
      <c r="G30" s="12">
        <v>0</v>
      </c>
      <c r="H30" s="12">
        <f t="shared" si="2"/>
        <v>-402.95</v>
      </c>
    </row>
    <row r="31" spans="1:8" x14ac:dyDescent="0.2">
      <c r="A31" s="11" t="s">
        <v>38</v>
      </c>
      <c r="B31" s="12">
        <v>0</v>
      </c>
      <c r="C31" s="12">
        <v>0</v>
      </c>
      <c r="D31" s="12">
        <v>0</v>
      </c>
      <c r="E31" s="12">
        <v>0</v>
      </c>
      <c r="F31" s="12">
        <v>3886.05</v>
      </c>
      <c r="G31" s="12">
        <v>0</v>
      </c>
      <c r="H31" s="12">
        <f t="shared" si="2"/>
        <v>3886.05</v>
      </c>
    </row>
    <row r="32" spans="1:8" x14ac:dyDescent="0.2">
      <c r="A32" s="11" t="s">
        <v>39</v>
      </c>
      <c r="B32" s="12">
        <v>0</v>
      </c>
      <c r="C32" s="12">
        <v>0</v>
      </c>
      <c r="D32" s="12">
        <v>0</v>
      </c>
      <c r="E32" s="12">
        <v>0</v>
      </c>
      <c r="F32" s="12">
        <v>42000</v>
      </c>
      <c r="G32" s="12">
        <v>0</v>
      </c>
      <c r="H32" s="12">
        <f t="shared" si="2"/>
        <v>42000</v>
      </c>
    </row>
    <row r="33" spans="1:8" x14ac:dyDescent="0.2">
      <c r="A33" s="13" t="s">
        <v>40</v>
      </c>
      <c r="B33" s="14">
        <f t="shared" ref="B33:H33" si="3">SUM(B24:B32)</f>
        <v>0</v>
      </c>
      <c r="C33" s="14">
        <f t="shared" si="3"/>
        <v>1658.972438</v>
      </c>
      <c r="D33" s="14">
        <f t="shared" si="3"/>
        <v>0</v>
      </c>
      <c r="E33" s="14">
        <f t="shared" si="3"/>
        <v>18100.190000000002</v>
      </c>
      <c r="F33" s="14">
        <f t="shared" si="3"/>
        <v>159561.96000000002</v>
      </c>
      <c r="G33" s="14">
        <f t="shared" si="3"/>
        <v>0</v>
      </c>
      <c r="H33" s="14">
        <f t="shared" si="3"/>
        <v>179321.12243799999</v>
      </c>
    </row>
    <row r="34" spans="1:8" x14ac:dyDescent="0.2">
      <c r="A34" s="15" t="s">
        <v>41</v>
      </c>
      <c r="B34" s="14">
        <f t="shared" ref="B34:H34" si="4">B22+0+0+B33</f>
        <v>55851.83</v>
      </c>
      <c r="C34" s="14">
        <f t="shared" si="4"/>
        <v>228946.07999899998</v>
      </c>
      <c r="D34" s="14">
        <f t="shared" si="4"/>
        <v>209451.253275</v>
      </c>
      <c r="E34" s="14">
        <f t="shared" si="4"/>
        <v>880410.94</v>
      </c>
      <c r="F34" s="14">
        <f t="shared" si="4"/>
        <v>11130079.810000004</v>
      </c>
      <c r="G34" s="14">
        <f t="shared" si="4"/>
        <v>137492.10999999999</v>
      </c>
      <c r="H34" s="14">
        <f t="shared" si="4"/>
        <v>12642232.023274003</v>
      </c>
    </row>
    <row r="35" spans="1:8" x14ac:dyDescent="0.2">
      <c r="A35" s="9" t="s">
        <v>42</v>
      </c>
      <c r="B35" s="6"/>
      <c r="C35" s="6"/>
      <c r="D35" s="6"/>
      <c r="E35" s="6"/>
      <c r="F35" s="6"/>
      <c r="G35" s="6"/>
      <c r="H35" s="6"/>
    </row>
    <row r="36" spans="1:8" x14ac:dyDescent="0.2">
      <c r="A36" s="10" t="s">
        <v>43</v>
      </c>
      <c r="B36" s="6"/>
      <c r="C36" s="6"/>
      <c r="D36" s="6"/>
      <c r="E36" s="6"/>
      <c r="F36" s="6"/>
      <c r="G36" s="6"/>
      <c r="H36" s="6"/>
    </row>
    <row r="37" spans="1:8" x14ac:dyDescent="0.2">
      <c r="A37" s="11" t="s">
        <v>44</v>
      </c>
      <c r="B37" s="12">
        <v>0</v>
      </c>
      <c r="C37" s="12">
        <v>0</v>
      </c>
      <c r="D37" s="12">
        <v>0</v>
      </c>
      <c r="E37" s="12">
        <v>0</v>
      </c>
      <c r="F37" s="12">
        <v>-588700.02</v>
      </c>
      <c r="G37" s="12">
        <v>0</v>
      </c>
      <c r="H37" s="12">
        <f>SUM(B37:G37)</f>
        <v>-588700.02</v>
      </c>
    </row>
    <row r="38" spans="1:8" x14ac:dyDescent="0.2">
      <c r="A38" s="11" t="s">
        <v>45</v>
      </c>
      <c r="B38" s="12">
        <v>0</v>
      </c>
      <c r="C38" s="12">
        <v>0</v>
      </c>
      <c r="D38" s="12">
        <v>0</v>
      </c>
      <c r="E38" s="12">
        <v>0</v>
      </c>
      <c r="F38" s="12">
        <v>-376821.84</v>
      </c>
      <c r="G38" s="12">
        <v>0</v>
      </c>
      <c r="H38" s="12">
        <f>SUM(B38:G38)</f>
        <v>-376821.84</v>
      </c>
    </row>
    <row r="39" spans="1:8" x14ac:dyDescent="0.2">
      <c r="A39" s="11" t="s">
        <v>46</v>
      </c>
      <c r="B39" s="12">
        <v>0</v>
      </c>
      <c r="C39" s="12">
        <v>0</v>
      </c>
      <c r="D39" s="12">
        <v>0</v>
      </c>
      <c r="E39" s="12">
        <v>0</v>
      </c>
      <c r="F39" s="12">
        <v>-19890</v>
      </c>
      <c r="G39" s="12">
        <v>0</v>
      </c>
      <c r="H39" s="12">
        <f>SUM(B39:G39)</f>
        <v>-19890</v>
      </c>
    </row>
    <row r="40" spans="1:8" x14ac:dyDescent="0.2">
      <c r="A40" s="11" t="s">
        <v>47</v>
      </c>
      <c r="B40" s="12">
        <v>0</v>
      </c>
      <c r="C40" s="12">
        <v>0</v>
      </c>
      <c r="D40" s="12">
        <v>0</v>
      </c>
      <c r="E40" s="12">
        <v>0</v>
      </c>
      <c r="F40" s="12">
        <v>40.869999999999997</v>
      </c>
      <c r="G40" s="12">
        <v>0</v>
      </c>
      <c r="H40" s="12">
        <f>SUM(B40:G40)</f>
        <v>40.869999999999997</v>
      </c>
    </row>
    <row r="41" spans="1:8" x14ac:dyDescent="0.2">
      <c r="A41" s="11" t="s">
        <v>48</v>
      </c>
      <c r="B41" s="12">
        <v>0</v>
      </c>
      <c r="C41" s="12">
        <v>0</v>
      </c>
      <c r="D41" s="12">
        <v>0</v>
      </c>
      <c r="E41" s="12">
        <v>0</v>
      </c>
      <c r="F41" s="12">
        <v>3556.55</v>
      </c>
      <c r="G41" s="12">
        <v>0</v>
      </c>
      <c r="H41" s="12">
        <f>SUM(B41:G41)</f>
        <v>3556.55</v>
      </c>
    </row>
    <row r="42" spans="1:8" x14ac:dyDescent="0.2">
      <c r="A42" s="13" t="s">
        <v>49</v>
      </c>
      <c r="B42" s="14">
        <f t="shared" ref="B42:H42" si="5">SUM(B37:B41)</f>
        <v>0</v>
      </c>
      <c r="C42" s="14">
        <f t="shared" si="5"/>
        <v>0</v>
      </c>
      <c r="D42" s="14">
        <f t="shared" si="5"/>
        <v>0</v>
      </c>
      <c r="E42" s="14">
        <f t="shared" si="5"/>
        <v>0</v>
      </c>
      <c r="F42" s="14">
        <f t="shared" si="5"/>
        <v>-981814.44000000006</v>
      </c>
      <c r="G42" s="14">
        <f t="shared" si="5"/>
        <v>0</v>
      </c>
      <c r="H42" s="14">
        <f t="shared" si="5"/>
        <v>-981814.44000000006</v>
      </c>
    </row>
    <row r="43" spans="1:8" x14ac:dyDescent="0.2">
      <c r="A43" s="10" t="s">
        <v>50</v>
      </c>
      <c r="B43" s="6"/>
      <c r="C43" s="6"/>
      <c r="D43" s="6"/>
      <c r="E43" s="6"/>
      <c r="F43" s="6"/>
      <c r="G43" s="6"/>
      <c r="H43" s="6"/>
    </row>
    <row r="44" spans="1:8" x14ac:dyDescent="0.2">
      <c r="A44" s="11" t="s">
        <v>51</v>
      </c>
      <c r="B44" s="12">
        <v>0</v>
      </c>
      <c r="C44" s="12">
        <v>0</v>
      </c>
      <c r="D44" s="12">
        <v>0</v>
      </c>
      <c r="E44" s="12">
        <v>0</v>
      </c>
      <c r="F44" s="12">
        <v>-200785</v>
      </c>
      <c r="G44" s="12">
        <v>-10739.19</v>
      </c>
      <c r="H44" s="12">
        <f>SUM(B44:G44)</f>
        <v>-211524.19</v>
      </c>
    </row>
    <row r="45" spans="1:8" x14ac:dyDescent="0.2">
      <c r="A45" s="11" t="s">
        <v>52</v>
      </c>
      <c r="B45" s="12">
        <v>0</v>
      </c>
      <c r="C45" s="12">
        <v>-19350.123272000001</v>
      </c>
      <c r="D45" s="12">
        <v>0</v>
      </c>
      <c r="E45" s="12">
        <v>0</v>
      </c>
      <c r="F45" s="12">
        <v>0</v>
      </c>
      <c r="G45" s="12">
        <v>0</v>
      </c>
      <c r="H45" s="12">
        <f>SUM(B45:G45)</f>
        <v>-19350.123272000001</v>
      </c>
    </row>
    <row r="46" spans="1:8" x14ac:dyDescent="0.2">
      <c r="A46" s="11" t="s">
        <v>53</v>
      </c>
      <c r="B46" s="12">
        <v>0</v>
      </c>
      <c r="C46" s="12">
        <v>0</v>
      </c>
      <c r="D46" s="12">
        <v>0</v>
      </c>
      <c r="E46" s="12">
        <v>0</v>
      </c>
      <c r="F46" s="12">
        <v>-119962.5</v>
      </c>
      <c r="G46" s="12">
        <v>-4899.8100000000004</v>
      </c>
      <c r="H46" s="12">
        <f>SUM(B46:G46)</f>
        <v>-124862.31</v>
      </c>
    </row>
    <row r="47" spans="1:8" x14ac:dyDescent="0.2">
      <c r="A47" s="11" t="s">
        <v>54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-35482</v>
      </c>
      <c r="H47" s="12">
        <f>SUM(B47:G47)</f>
        <v>-35482</v>
      </c>
    </row>
    <row r="48" spans="1:8" x14ac:dyDescent="0.2">
      <c r="A48" s="11" t="s">
        <v>55</v>
      </c>
      <c r="B48" s="12">
        <v>0</v>
      </c>
      <c r="C48" s="12">
        <v>0</v>
      </c>
      <c r="D48" s="12">
        <v>0</v>
      </c>
      <c r="E48" s="12">
        <v>-509696.78</v>
      </c>
      <c r="F48" s="12">
        <v>0</v>
      </c>
      <c r="G48" s="12">
        <v>0</v>
      </c>
      <c r="H48" s="12">
        <f>SUM(B48:G48)</f>
        <v>-509696.78</v>
      </c>
    </row>
    <row r="49" spans="1:8" x14ac:dyDescent="0.2">
      <c r="A49" s="13" t="s">
        <v>56</v>
      </c>
      <c r="B49" s="14">
        <f t="shared" ref="B49:H49" si="6">SUM(B44:B48)</f>
        <v>0</v>
      </c>
      <c r="C49" s="14">
        <f t="shared" si="6"/>
        <v>-19350.123272000001</v>
      </c>
      <c r="D49" s="14">
        <f t="shared" si="6"/>
        <v>0</v>
      </c>
      <c r="E49" s="14">
        <f t="shared" si="6"/>
        <v>-509696.78</v>
      </c>
      <c r="F49" s="14">
        <f t="shared" si="6"/>
        <v>-320747.5</v>
      </c>
      <c r="G49" s="14">
        <f t="shared" si="6"/>
        <v>-51121</v>
      </c>
      <c r="H49" s="14">
        <f t="shared" si="6"/>
        <v>-900915.40327200003</v>
      </c>
    </row>
    <row r="50" spans="1:8" x14ac:dyDescent="0.2">
      <c r="A50" s="15" t="s">
        <v>57</v>
      </c>
      <c r="B50" s="14">
        <f t="shared" ref="B50:H50" si="7">B42+B49</f>
        <v>0</v>
      </c>
      <c r="C50" s="14">
        <f t="shared" si="7"/>
        <v>-19350.123272000001</v>
      </c>
      <c r="D50" s="14">
        <f t="shared" si="7"/>
        <v>0</v>
      </c>
      <c r="E50" s="14">
        <f t="shared" si="7"/>
        <v>-509696.78</v>
      </c>
      <c r="F50" s="14">
        <f t="shared" si="7"/>
        <v>-1302561.94</v>
      </c>
      <c r="G50" s="14">
        <f t="shared" si="7"/>
        <v>-51121</v>
      </c>
      <c r="H50" s="14">
        <f t="shared" si="7"/>
        <v>-1882729.8432720001</v>
      </c>
    </row>
    <row r="51" spans="1:8" x14ac:dyDescent="0.2">
      <c r="A51" s="16" t="s">
        <v>58</v>
      </c>
      <c r="B51" s="14">
        <f t="shared" ref="B51:H51" si="8">B34+B50</f>
        <v>55851.83</v>
      </c>
      <c r="C51" s="14">
        <f t="shared" si="8"/>
        <v>209595.95672699998</v>
      </c>
      <c r="D51" s="14">
        <f t="shared" si="8"/>
        <v>209451.253275</v>
      </c>
      <c r="E51" s="14">
        <f t="shared" si="8"/>
        <v>370714.15999999992</v>
      </c>
      <c r="F51" s="14">
        <f t="shared" si="8"/>
        <v>9827517.8700000048</v>
      </c>
      <c r="G51" s="14">
        <f t="shared" si="8"/>
        <v>86371.109999999986</v>
      </c>
      <c r="H51" s="14">
        <f t="shared" si="8"/>
        <v>10759502.180002002</v>
      </c>
    </row>
    <row r="52" spans="1:8" x14ac:dyDescent="0.2">
      <c r="A52" s="8" t="s">
        <v>59</v>
      </c>
      <c r="B52" s="6"/>
      <c r="C52" s="6"/>
      <c r="D52" s="6"/>
      <c r="E52" s="6"/>
      <c r="F52" s="6"/>
      <c r="G52" s="6"/>
      <c r="H52" s="6"/>
    </row>
    <row r="53" spans="1:8" x14ac:dyDescent="0.2">
      <c r="A53" s="9" t="s">
        <v>60</v>
      </c>
      <c r="B53" s="6"/>
      <c r="C53" s="6"/>
      <c r="D53" s="6"/>
      <c r="E53" s="6"/>
      <c r="F53" s="6"/>
      <c r="G53" s="6"/>
      <c r="H53" s="6"/>
    </row>
    <row r="54" spans="1:8" x14ac:dyDescent="0.2">
      <c r="A54" s="10" t="s">
        <v>61</v>
      </c>
      <c r="B54" s="6"/>
      <c r="C54" s="6"/>
      <c r="D54" s="6"/>
      <c r="E54" s="6"/>
      <c r="F54" s="6"/>
      <c r="G54" s="6"/>
      <c r="H54" s="6"/>
    </row>
    <row r="55" spans="1:8" x14ac:dyDescent="0.2">
      <c r="A55" s="11" t="s">
        <v>62</v>
      </c>
      <c r="B55" s="12">
        <v>-56.72</v>
      </c>
      <c r="C55" s="12">
        <v>-15595.378725</v>
      </c>
      <c r="D55" s="12">
        <v>0</v>
      </c>
      <c r="E55" s="12">
        <v>-2648.55</v>
      </c>
      <c r="F55" s="12">
        <v>-23194.15</v>
      </c>
      <c r="G55" s="12">
        <v>0</v>
      </c>
      <c r="H55" s="12">
        <f t="shared" ref="H55:H62" si="9">SUM(B55:G55)</f>
        <v>-41494.798725000001</v>
      </c>
    </row>
    <row r="56" spans="1:8" x14ac:dyDescent="0.2">
      <c r="A56" s="11" t="s">
        <v>63</v>
      </c>
      <c r="B56" s="12">
        <v>-196.68</v>
      </c>
      <c r="C56" s="12">
        <v>0</v>
      </c>
      <c r="D56" s="12">
        <v>0</v>
      </c>
      <c r="E56" s="12">
        <v>0</v>
      </c>
      <c r="F56" s="12">
        <v>-19203.64</v>
      </c>
      <c r="G56" s="12">
        <v>0</v>
      </c>
      <c r="H56" s="12">
        <f t="shared" si="9"/>
        <v>-19400.32</v>
      </c>
    </row>
    <row r="57" spans="1:8" x14ac:dyDescent="0.2">
      <c r="A57" s="11" t="s">
        <v>64</v>
      </c>
      <c r="B57" s="12">
        <v>0</v>
      </c>
      <c r="C57" s="12">
        <v>0</v>
      </c>
      <c r="D57" s="12">
        <v>0</v>
      </c>
      <c r="E57" s="12">
        <v>-3570.43</v>
      </c>
      <c r="F57" s="12">
        <v>-79262.880000000005</v>
      </c>
      <c r="G57" s="12">
        <v>0</v>
      </c>
      <c r="H57" s="12">
        <f t="shared" si="9"/>
        <v>-82833.31</v>
      </c>
    </row>
    <row r="58" spans="1:8" x14ac:dyDescent="0.2">
      <c r="A58" s="11" t="s">
        <v>65</v>
      </c>
      <c r="B58" s="12">
        <v>0</v>
      </c>
      <c r="C58" s="12">
        <v>0</v>
      </c>
      <c r="D58" s="12">
        <v>0</v>
      </c>
      <c r="E58" s="12">
        <v>0</v>
      </c>
      <c r="F58" s="12">
        <v>-3528</v>
      </c>
      <c r="G58" s="12">
        <v>0</v>
      </c>
      <c r="H58" s="12">
        <f t="shared" si="9"/>
        <v>-3528</v>
      </c>
    </row>
    <row r="59" spans="1:8" x14ac:dyDescent="0.2">
      <c r="A59" s="11" t="s">
        <v>66</v>
      </c>
      <c r="B59" s="12">
        <v>-3583.6</v>
      </c>
      <c r="C59" s="12">
        <v>19699.484694999999</v>
      </c>
      <c r="D59" s="12">
        <v>-42290.208796999999</v>
      </c>
      <c r="E59" s="12">
        <v>-38947.4</v>
      </c>
      <c r="F59" s="12">
        <v>-917013.62</v>
      </c>
      <c r="G59" s="12">
        <v>0</v>
      </c>
      <c r="H59" s="12">
        <f t="shared" si="9"/>
        <v>-982135.344102</v>
      </c>
    </row>
    <row r="60" spans="1:8" x14ac:dyDescent="0.2">
      <c r="A60" s="11" t="s">
        <v>67</v>
      </c>
      <c r="B60" s="12">
        <v>0</v>
      </c>
      <c r="C60" s="12">
        <v>0</v>
      </c>
      <c r="D60" s="12">
        <v>0</v>
      </c>
      <c r="E60" s="12">
        <v>0</v>
      </c>
      <c r="F60" s="12">
        <v>-1320.45</v>
      </c>
      <c r="G60" s="12">
        <v>0</v>
      </c>
      <c r="H60" s="12">
        <f t="shared" si="9"/>
        <v>-1320.45</v>
      </c>
    </row>
    <row r="61" spans="1:8" x14ac:dyDescent="0.2">
      <c r="A61" s="11" t="s">
        <v>68</v>
      </c>
      <c r="B61" s="12">
        <v>0</v>
      </c>
      <c r="C61" s="12">
        <v>-419.75504999999998</v>
      </c>
      <c r="D61" s="12">
        <v>0</v>
      </c>
      <c r="E61" s="12">
        <v>0</v>
      </c>
      <c r="F61" s="12">
        <v>-23364.09</v>
      </c>
      <c r="G61" s="12">
        <v>0</v>
      </c>
      <c r="H61" s="12">
        <f t="shared" si="9"/>
        <v>-23783.84505</v>
      </c>
    </row>
    <row r="62" spans="1:8" x14ac:dyDescent="0.2">
      <c r="A62" s="11" t="s">
        <v>69</v>
      </c>
      <c r="B62" s="12">
        <v>0</v>
      </c>
      <c r="C62" s="12">
        <v>0</v>
      </c>
      <c r="D62" s="12">
        <v>0</v>
      </c>
      <c r="E62" s="12">
        <v>0</v>
      </c>
      <c r="F62" s="12">
        <v>-2224.0500000000002</v>
      </c>
      <c r="G62" s="12">
        <v>0</v>
      </c>
      <c r="H62" s="12">
        <f t="shared" si="9"/>
        <v>-2224.0500000000002</v>
      </c>
    </row>
    <row r="63" spans="1:8" x14ac:dyDescent="0.2">
      <c r="A63" s="13" t="s">
        <v>70</v>
      </c>
      <c r="B63" s="14">
        <f t="shared" ref="B63:H63" si="10">SUM(B55:B62)</f>
        <v>-3837</v>
      </c>
      <c r="C63" s="14">
        <f t="shared" si="10"/>
        <v>3684.350919999999</v>
      </c>
      <c r="D63" s="14">
        <f t="shared" si="10"/>
        <v>-42290.208796999999</v>
      </c>
      <c r="E63" s="14">
        <f t="shared" si="10"/>
        <v>-45166.380000000005</v>
      </c>
      <c r="F63" s="14">
        <f t="shared" si="10"/>
        <v>-1069110.8800000001</v>
      </c>
      <c r="G63" s="14">
        <f t="shared" si="10"/>
        <v>0</v>
      </c>
      <c r="H63" s="14">
        <f t="shared" si="10"/>
        <v>-1156720.1178769998</v>
      </c>
    </row>
    <row r="64" spans="1:8" x14ac:dyDescent="0.2">
      <c r="A64" s="10" t="s">
        <v>71</v>
      </c>
      <c r="B64" s="6"/>
      <c r="C64" s="6"/>
      <c r="D64" s="6"/>
      <c r="E64" s="6"/>
      <c r="F64" s="6"/>
      <c r="G64" s="6"/>
      <c r="H64" s="6"/>
    </row>
    <row r="65" spans="1:8" x14ac:dyDescent="0.2">
      <c r="A65" s="11" t="s">
        <v>72</v>
      </c>
      <c r="B65" s="12">
        <v>0</v>
      </c>
      <c r="C65" s="12">
        <v>0</v>
      </c>
      <c r="D65" s="12">
        <v>0</v>
      </c>
      <c r="E65" s="12">
        <v>0</v>
      </c>
      <c r="F65" s="12">
        <v>-398.52</v>
      </c>
      <c r="G65" s="12">
        <v>0</v>
      </c>
      <c r="H65" s="12">
        <f t="shared" ref="H65:H71" si="11">SUM(B65:G65)</f>
        <v>-398.52</v>
      </c>
    </row>
    <row r="66" spans="1:8" x14ac:dyDescent="0.2">
      <c r="A66" s="11" t="s">
        <v>73</v>
      </c>
      <c r="B66" s="12">
        <v>0</v>
      </c>
      <c r="C66" s="12">
        <v>0</v>
      </c>
      <c r="D66" s="12">
        <v>0</v>
      </c>
      <c r="E66" s="12">
        <v>0</v>
      </c>
      <c r="F66" s="12">
        <v>6109.29</v>
      </c>
      <c r="G66" s="12">
        <v>0</v>
      </c>
      <c r="H66" s="12">
        <f t="shared" si="11"/>
        <v>6109.29</v>
      </c>
    </row>
    <row r="67" spans="1:8" x14ac:dyDescent="0.2">
      <c r="A67" s="11" t="s">
        <v>74</v>
      </c>
      <c r="B67" s="12">
        <v>-17188.64</v>
      </c>
      <c r="C67" s="12">
        <v>-115295.64649</v>
      </c>
      <c r="D67" s="12">
        <v>-288743.26640899997</v>
      </c>
      <c r="E67" s="12">
        <v>-256360.26</v>
      </c>
      <c r="F67" s="12">
        <v>-5751577.25</v>
      </c>
      <c r="G67" s="12">
        <v>0</v>
      </c>
      <c r="H67" s="12">
        <f t="shared" si="11"/>
        <v>-6429165.062899</v>
      </c>
    </row>
    <row r="68" spans="1:8" x14ac:dyDescent="0.2">
      <c r="A68" s="11" t="s">
        <v>75</v>
      </c>
      <c r="B68" s="12">
        <v>0</v>
      </c>
      <c r="C68" s="12">
        <v>0</v>
      </c>
      <c r="D68" s="12">
        <v>0</v>
      </c>
      <c r="E68" s="12">
        <v>0</v>
      </c>
      <c r="F68" s="12">
        <v>-407102.92</v>
      </c>
      <c r="G68" s="12">
        <v>0</v>
      </c>
      <c r="H68" s="12">
        <f t="shared" si="11"/>
        <v>-407102.92</v>
      </c>
    </row>
    <row r="69" spans="1:8" x14ac:dyDescent="0.2">
      <c r="A69" s="11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-86905.79</v>
      </c>
      <c r="G69" s="12">
        <v>0</v>
      </c>
      <c r="H69" s="12">
        <f t="shared" si="11"/>
        <v>-86905.79</v>
      </c>
    </row>
    <row r="70" spans="1:8" x14ac:dyDescent="0.2">
      <c r="A70" s="11" t="s">
        <v>77</v>
      </c>
      <c r="B70" s="12">
        <v>-658</v>
      </c>
      <c r="C70" s="12">
        <v>0</v>
      </c>
      <c r="D70" s="12">
        <v>0</v>
      </c>
      <c r="E70" s="12">
        <v>0</v>
      </c>
      <c r="F70" s="12">
        <v>-17301.64</v>
      </c>
      <c r="G70" s="12">
        <v>0</v>
      </c>
      <c r="H70" s="12">
        <f t="shared" si="11"/>
        <v>-17959.64</v>
      </c>
    </row>
    <row r="71" spans="1:8" x14ac:dyDescent="0.2">
      <c r="A71" s="11" t="s">
        <v>78</v>
      </c>
      <c r="B71" s="12">
        <v>0</v>
      </c>
      <c r="C71" s="12">
        <v>0</v>
      </c>
      <c r="D71" s="12">
        <v>0</v>
      </c>
      <c r="E71" s="12">
        <v>-125.02</v>
      </c>
      <c r="F71" s="12">
        <v>-13830.9</v>
      </c>
      <c r="G71" s="12">
        <v>0</v>
      </c>
      <c r="H71" s="12">
        <f t="shared" si="11"/>
        <v>-13955.92</v>
      </c>
    </row>
    <row r="72" spans="1:8" x14ac:dyDescent="0.2">
      <c r="A72" s="13" t="s">
        <v>79</v>
      </c>
      <c r="B72" s="14">
        <f t="shared" ref="B72:H72" si="12">SUM(B65:B71)</f>
        <v>-17846.64</v>
      </c>
      <c r="C72" s="14">
        <f t="shared" si="12"/>
        <v>-115295.64649</v>
      </c>
      <c r="D72" s="14">
        <f t="shared" si="12"/>
        <v>-288743.26640899997</v>
      </c>
      <c r="E72" s="14">
        <f t="shared" si="12"/>
        <v>-256485.28</v>
      </c>
      <c r="F72" s="14">
        <f t="shared" si="12"/>
        <v>-6271007.7300000004</v>
      </c>
      <c r="G72" s="14">
        <f t="shared" si="12"/>
        <v>0</v>
      </c>
      <c r="H72" s="14">
        <f t="shared" si="12"/>
        <v>-6949378.562899</v>
      </c>
    </row>
    <row r="73" spans="1:8" x14ac:dyDescent="0.2">
      <c r="A73" s="15" t="s">
        <v>80</v>
      </c>
      <c r="B73" s="14">
        <f t="shared" ref="B73:H73" si="13">B63+B72</f>
        <v>-21683.64</v>
      </c>
      <c r="C73" s="14">
        <f t="shared" si="13"/>
        <v>-111611.29557</v>
      </c>
      <c r="D73" s="14">
        <f t="shared" si="13"/>
        <v>-331033.47520599997</v>
      </c>
      <c r="E73" s="14">
        <f t="shared" si="13"/>
        <v>-301651.66000000003</v>
      </c>
      <c r="F73" s="14">
        <f t="shared" si="13"/>
        <v>-7340118.6100000003</v>
      </c>
      <c r="G73" s="14">
        <f t="shared" si="13"/>
        <v>0</v>
      </c>
      <c r="H73" s="14">
        <f t="shared" si="13"/>
        <v>-8106098.680776</v>
      </c>
    </row>
    <row r="74" spans="1:8" x14ac:dyDescent="0.2">
      <c r="A74" s="9" t="s">
        <v>81</v>
      </c>
      <c r="B74" s="6"/>
      <c r="C74" s="6"/>
      <c r="D74" s="6"/>
      <c r="E74" s="6"/>
      <c r="F74" s="6"/>
      <c r="G74" s="6"/>
      <c r="H74" s="6"/>
    </row>
    <row r="75" spans="1:8" x14ac:dyDescent="0.2">
      <c r="A75" s="10" t="s">
        <v>82</v>
      </c>
      <c r="B75" s="6"/>
      <c r="C75" s="6"/>
      <c r="D75" s="6"/>
      <c r="E75" s="6"/>
      <c r="F75" s="6"/>
      <c r="G75" s="6"/>
      <c r="H75" s="6"/>
    </row>
    <row r="76" spans="1:8" x14ac:dyDescent="0.2">
      <c r="A76" s="11" t="s">
        <v>83</v>
      </c>
      <c r="B76" s="12">
        <v>0</v>
      </c>
      <c r="C76" s="12">
        <v>0</v>
      </c>
      <c r="D76" s="12">
        <v>0</v>
      </c>
      <c r="E76" s="12">
        <v>0</v>
      </c>
      <c r="F76" s="12">
        <v>-4981</v>
      </c>
      <c r="G76" s="12">
        <v>0</v>
      </c>
      <c r="H76" s="12">
        <f>SUM(B76:G76)</f>
        <v>-4981</v>
      </c>
    </row>
    <row r="77" spans="1:8" x14ac:dyDescent="0.2">
      <c r="A77" s="11" t="s">
        <v>84</v>
      </c>
      <c r="B77" s="12">
        <v>0</v>
      </c>
      <c r="C77" s="12">
        <v>0</v>
      </c>
      <c r="D77" s="12">
        <v>0</v>
      </c>
      <c r="E77" s="12">
        <v>-815.83</v>
      </c>
      <c r="F77" s="12">
        <v>-944</v>
      </c>
      <c r="G77" s="12">
        <v>-26035.919999999998</v>
      </c>
      <c r="H77" s="12">
        <f>SUM(B77:G77)</f>
        <v>-27795.75</v>
      </c>
    </row>
    <row r="78" spans="1:8" x14ac:dyDescent="0.2">
      <c r="A78" s="11" t="s">
        <v>85</v>
      </c>
      <c r="B78" s="12">
        <v>0</v>
      </c>
      <c r="C78" s="12">
        <v>0</v>
      </c>
      <c r="D78" s="12">
        <v>0</v>
      </c>
      <c r="E78" s="12">
        <v>0</v>
      </c>
      <c r="F78" s="12">
        <v>-8880</v>
      </c>
      <c r="G78" s="12">
        <v>0</v>
      </c>
      <c r="H78" s="12">
        <f>SUM(B78:G78)</f>
        <v>-8880</v>
      </c>
    </row>
    <row r="79" spans="1:8" x14ac:dyDescent="0.2">
      <c r="A79" s="11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-77</v>
      </c>
      <c r="G79" s="12">
        <v>0</v>
      </c>
      <c r="H79" s="12">
        <f>SUM(B79:G79)</f>
        <v>-77</v>
      </c>
    </row>
    <row r="80" spans="1:8" x14ac:dyDescent="0.2">
      <c r="A80" s="11" t="s">
        <v>87</v>
      </c>
      <c r="B80" s="12">
        <v>0</v>
      </c>
      <c r="C80" s="12">
        <v>-260.39299999999997</v>
      </c>
      <c r="D80" s="12">
        <v>0</v>
      </c>
      <c r="E80" s="12">
        <v>-438.92</v>
      </c>
      <c r="F80" s="12">
        <v>-851.72</v>
      </c>
      <c r="G80" s="12">
        <v>-27307.119999999999</v>
      </c>
      <c r="H80" s="12">
        <f>SUM(B80:G80)</f>
        <v>-28858.152999999998</v>
      </c>
    </row>
    <row r="81" spans="1:8" x14ac:dyDescent="0.2">
      <c r="A81" s="13" t="s">
        <v>88</v>
      </c>
      <c r="B81" s="14">
        <f t="shared" ref="B81:H81" si="14">SUM(B76:B80)</f>
        <v>0</v>
      </c>
      <c r="C81" s="14">
        <f t="shared" si="14"/>
        <v>-260.39299999999997</v>
      </c>
      <c r="D81" s="14">
        <f t="shared" si="14"/>
        <v>0</v>
      </c>
      <c r="E81" s="14">
        <f t="shared" si="14"/>
        <v>-1254.75</v>
      </c>
      <c r="F81" s="14">
        <f t="shared" si="14"/>
        <v>-15733.72</v>
      </c>
      <c r="G81" s="14">
        <f t="shared" si="14"/>
        <v>-53343.039999999994</v>
      </c>
      <c r="H81" s="14">
        <f t="shared" si="14"/>
        <v>-70591.902999999991</v>
      </c>
    </row>
    <row r="82" spans="1:8" x14ac:dyDescent="0.2">
      <c r="A82" s="15" t="s">
        <v>89</v>
      </c>
      <c r="B82" s="14">
        <f t="shared" ref="B82:H82" si="15">B81+0</f>
        <v>0</v>
      </c>
      <c r="C82" s="14">
        <f t="shared" si="15"/>
        <v>-260.39299999999997</v>
      </c>
      <c r="D82" s="14">
        <f t="shared" si="15"/>
        <v>0</v>
      </c>
      <c r="E82" s="14">
        <f t="shared" si="15"/>
        <v>-1254.75</v>
      </c>
      <c r="F82" s="14">
        <f t="shared" si="15"/>
        <v>-15733.72</v>
      </c>
      <c r="G82" s="14">
        <f t="shared" si="15"/>
        <v>-53343.039999999994</v>
      </c>
      <c r="H82" s="14">
        <f t="shared" si="15"/>
        <v>-70591.902999999991</v>
      </c>
    </row>
    <row r="83" spans="1:8" x14ac:dyDescent="0.2">
      <c r="A83" s="9" t="s">
        <v>90</v>
      </c>
      <c r="B83" s="6"/>
      <c r="C83" s="6"/>
      <c r="D83" s="6"/>
      <c r="E83" s="6"/>
      <c r="F83" s="6"/>
      <c r="G83" s="6"/>
      <c r="H83" s="6"/>
    </row>
    <row r="84" spans="1:8" x14ac:dyDescent="0.2">
      <c r="A84" s="17" t="s">
        <v>91</v>
      </c>
      <c r="B84" s="12">
        <v>-18740</v>
      </c>
      <c r="C84" s="12">
        <v>-218.63520299999999</v>
      </c>
      <c r="D84" s="12">
        <v>-1666.4144940000001</v>
      </c>
      <c r="E84" s="12">
        <v>-809.89</v>
      </c>
      <c r="F84" s="12">
        <v>-15311.66</v>
      </c>
      <c r="G84" s="12">
        <v>0</v>
      </c>
      <c r="H84" s="12">
        <f t="shared" ref="H84:H115" si="16">SUM(B84:G84)</f>
        <v>-36746.599696999998</v>
      </c>
    </row>
    <row r="85" spans="1:8" x14ac:dyDescent="0.2">
      <c r="A85" s="17" t="s">
        <v>92</v>
      </c>
      <c r="B85" s="12">
        <v>-3600</v>
      </c>
      <c r="C85" s="12">
        <v>-9639.4060000000009</v>
      </c>
      <c r="D85" s="12">
        <v>0</v>
      </c>
      <c r="E85" s="12">
        <v>0</v>
      </c>
      <c r="F85" s="12">
        <v>0</v>
      </c>
      <c r="G85" s="12">
        <v>-9600</v>
      </c>
      <c r="H85" s="12">
        <f t="shared" si="16"/>
        <v>-22839.406000000003</v>
      </c>
    </row>
    <row r="86" spans="1:8" x14ac:dyDescent="0.2">
      <c r="A86" s="17" t="s">
        <v>93</v>
      </c>
      <c r="B86" s="12">
        <v>0</v>
      </c>
      <c r="C86" s="12">
        <v>-235.95</v>
      </c>
      <c r="D86" s="12">
        <v>0</v>
      </c>
      <c r="E86" s="12">
        <v>0</v>
      </c>
      <c r="F86" s="12">
        <v>-28417.83</v>
      </c>
      <c r="G86" s="12">
        <v>0</v>
      </c>
      <c r="H86" s="12">
        <f t="shared" si="16"/>
        <v>-28653.780000000002</v>
      </c>
    </row>
    <row r="87" spans="1:8" x14ac:dyDescent="0.2">
      <c r="A87" s="17" t="s">
        <v>94</v>
      </c>
      <c r="B87" s="12">
        <v>-503.63</v>
      </c>
      <c r="C87" s="12">
        <v>-2179.1661260000001</v>
      </c>
      <c r="D87" s="12">
        <v>-650.85497999999995</v>
      </c>
      <c r="E87" s="12">
        <v>-348.94</v>
      </c>
      <c r="F87" s="12">
        <v>-31316.66</v>
      </c>
      <c r="G87" s="12">
        <v>-1437.47</v>
      </c>
      <c r="H87" s="12">
        <f t="shared" si="16"/>
        <v>-36436.721106000005</v>
      </c>
    </row>
    <row r="88" spans="1:8" x14ac:dyDescent="0.2">
      <c r="A88" s="17" t="s">
        <v>95</v>
      </c>
      <c r="B88" s="12">
        <v>0</v>
      </c>
      <c r="C88" s="12">
        <v>0</v>
      </c>
      <c r="D88" s="12">
        <v>0</v>
      </c>
      <c r="E88" s="12">
        <v>0</v>
      </c>
      <c r="F88" s="12">
        <v>-2259.61</v>
      </c>
      <c r="G88" s="12">
        <v>0</v>
      </c>
      <c r="H88" s="12">
        <f t="shared" si="16"/>
        <v>-2259.61</v>
      </c>
    </row>
    <row r="89" spans="1:8" x14ac:dyDescent="0.2">
      <c r="A89" s="17" t="s">
        <v>96</v>
      </c>
      <c r="B89" s="12">
        <v>0</v>
      </c>
      <c r="C89" s="12">
        <v>-12.778542</v>
      </c>
      <c r="D89" s="12">
        <v>0</v>
      </c>
      <c r="E89" s="12">
        <v>0</v>
      </c>
      <c r="F89" s="12">
        <v>-12572.64</v>
      </c>
      <c r="G89" s="12">
        <v>0</v>
      </c>
      <c r="H89" s="12">
        <f t="shared" si="16"/>
        <v>-12585.418541999999</v>
      </c>
    </row>
    <row r="90" spans="1:8" x14ac:dyDescent="0.2">
      <c r="A90" s="17" t="s">
        <v>97</v>
      </c>
      <c r="B90" s="12">
        <v>0</v>
      </c>
      <c r="C90" s="12">
        <v>0</v>
      </c>
      <c r="D90" s="12">
        <v>0</v>
      </c>
      <c r="E90" s="12">
        <v>0</v>
      </c>
      <c r="F90" s="12">
        <v>-1000</v>
      </c>
      <c r="G90" s="12">
        <v>0</v>
      </c>
      <c r="H90" s="12">
        <f t="shared" si="16"/>
        <v>-1000</v>
      </c>
    </row>
    <row r="91" spans="1:8" x14ac:dyDescent="0.2">
      <c r="A91" s="17" t="s">
        <v>98</v>
      </c>
      <c r="B91" s="12">
        <v>0</v>
      </c>
      <c r="C91" s="12">
        <v>0</v>
      </c>
      <c r="D91" s="12">
        <v>0</v>
      </c>
      <c r="E91" s="12">
        <v>0</v>
      </c>
      <c r="F91" s="12">
        <v>-16331.8</v>
      </c>
      <c r="G91" s="12">
        <v>0</v>
      </c>
      <c r="H91" s="12">
        <f t="shared" si="16"/>
        <v>-16331.8</v>
      </c>
    </row>
    <row r="92" spans="1:8" x14ac:dyDescent="0.2">
      <c r="A92" s="17" t="s">
        <v>99</v>
      </c>
      <c r="B92" s="12">
        <v>0</v>
      </c>
      <c r="C92" s="12">
        <v>0</v>
      </c>
      <c r="D92" s="12">
        <v>0</v>
      </c>
      <c r="E92" s="12">
        <v>0</v>
      </c>
      <c r="F92" s="12">
        <v>-10020.799999999999</v>
      </c>
      <c r="G92" s="12">
        <v>0</v>
      </c>
      <c r="H92" s="12">
        <f t="shared" si="16"/>
        <v>-10020.799999999999</v>
      </c>
    </row>
    <row r="93" spans="1:8" x14ac:dyDescent="0.2">
      <c r="A93" s="17" t="s">
        <v>100</v>
      </c>
      <c r="B93" s="12">
        <v>0</v>
      </c>
      <c r="C93" s="12">
        <v>0</v>
      </c>
      <c r="D93" s="12">
        <v>0</v>
      </c>
      <c r="E93" s="12">
        <v>-397.7</v>
      </c>
      <c r="F93" s="12">
        <v>-20523</v>
      </c>
      <c r="G93" s="12">
        <v>0</v>
      </c>
      <c r="H93" s="12">
        <f t="shared" si="16"/>
        <v>-20920.7</v>
      </c>
    </row>
    <row r="94" spans="1:8" x14ac:dyDescent="0.2">
      <c r="A94" s="17" t="s">
        <v>101</v>
      </c>
      <c r="B94" s="12">
        <v>0</v>
      </c>
      <c r="C94" s="12">
        <v>0</v>
      </c>
      <c r="D94" s="12">
        <v>0</v>
      </c>
      <c r="E94" s="12">
        <v>0</v>
      </c>
      <c r="F94" s="12">
        <v>-37488.769999999997</v>
      </c>
      <c r="G94" s="12">
        <v>0</v>
      </c>
      <c r="H94" s="12">
        <f t="shared" si="16"/>
        <v>-37488.769999999997</v>
      </c>
    </row>
    <row r="95" spans="1:8" x14ac:dyDescent="0.2">
      <c r="A95" s="17" t="s">
        <v>102</v>
      </c>
      <c r="B95" s="12">
        <v>0</v>
      </c>
      <c r="C95" s="12">
        <v>-3285.0319319999999</v>
      </c>
      <c r="D95" s="12">
        <v>0</v>
      </c>
      <c r="E95" s="12">
        <v>-524.9</v>
      </c>
      <c r="F95" s="12">
        <v>-11807.93</v>
      </c>
      <c r="G95" s="12">
        <v>0</v>
      </c>
      <c r="H95" s="12">
        <f t="shared" si="16"/>
        <v>-15617.861932</v>
      </c>
    </row>
    <row r="96" spans="1:8" x14ac:dyDescent="0.2">
      <c r="A96" s="17" t="s">
        <v>103</v>
      </c>
      <c r="B96" s="12">
        <v>0</v>
      </c>
      <c r="C96" s="12">
        <v>0</v>
      </c>
      <c r="D96" s="12">
        <v>0</v>
      </c>
      <c r="E96" s="12">
        <v>0</v>
      </c>
      <c r="F96" s="12">
        <v>-46757.66</v>
      </c>
      <c r="G96" s="12">
        <v>0</v>
      </c>
      <c r="H96" s="12">
        <f t="shared" si="16"/>
        <v>-46757.66</v>
      </c>
    </row>
    <row r="97" spans="1:8" x14ac:dyDescent="0.2">
      <c r="A97" s="17" t="s">
        <v>104</v>
      </c>
      <c r="B97" s="12">
        <v>0</v>
      </c>
      <c r="C97" s="12">
        <v>0</v>
      </c>
      <c r="D97" s="12">
        <v>-275.42987499999998</v>
      </c>
      <c r="E97" s="12">
        <v>0</v>
      </c>
      <c r="F97" s="12">
        <v>-2169.98</v>
      </c>
      <c r="G97" s="12">
        <v>0</v>
      </c>
      <c r="H97" s="12">
        <f t="shared" si="16"/>
        <v>-2445.4098749999998</v>
      </c>
    </row>
    <row r="98" spans="1:8" x14ac:dyDescent="0.2">
      <c r="A98" s="17" t="s">
        <v>105</v>
      </c>
      <c r="B98" s="12">
        <v>0</v>
      </c>
      <c r="C98" s="12">
        <v>0</v>
      </c>
      <c r="D98" s="12">
        <v>-373.50185199999999</v>
      </c>
      <c r="E98" s="12">
        <v>0</v>
      </c>
      <c r="F98" s="12">
        <v>-23414.2</v>
      </c>
      <c r="G98" s="12">
        <v>0</v>
      </c>
      <c r="H98" s="12">
        <f t="shared" si="16"/>
        <v>-23787.701852000002</v>
      </c>
    </row>
    <row r="99" spans="1:8" x14ac:dyDescent="0.2">
      <c r="A99" s="17" t="s">
        <v>106</v>
      </c>
      <c r="B99" s="12">
        <v>0</v>
      </c>
      <c r="C99" s="12">
        <v>-7874.2758540000004</v>
      </c>
      <c r="D99" s="12">
        <v>-1504.583016</v>
      </c>
      <c r="E99" s="12">
        <v>-6316.5</v>
      </c>
      <c r="F99" s="12">
        <v>-19953.45</v>
      </c>
      <c r="G99" s="12">
        <v>0</v>
      </c>
      <c r="H99" s="12">
        <f t="shared" si="16"/>
        <v>-35648.808870000001</v>
      </c>
    </row>
    <row r="100" spans="1:8" x14ac:dyDescent="0.2">
      <c r="A100" s="17" t="s">
        <v>107</v>
      </c>
      <c r="B100" s="12">
        <v>0</v>
      </c>
      <c r="C100" s="12">
        <v>-429.05984999999998</v>
      </c>
      <c r="D100" s="12">
        <v>0</v>
      </c>
      <c r="E100" s="12">
        <v>0</v>
      </c>
      <c r="F100" s="12">
        <v>-758.59</v>
      </c>
      <c r="G100" s="12">
        <v>0</v>
      </c>
      <c r="H100" s="12">
        <f t="shared" si="16"/>
        <v>-1187.64985</v>
      </c>
    </row>
    <row r="101" spans="1:8" x14ac:dyDescent="0.2">
      <c r="A101" s="17" t="s">
        <v>108</v>
      </c>
      <c r="B101" s="12">
        <v>-5407.49</v>
      </c>
      <c r="C101" s="12">
        <v>0</v>
      </c>
      <c r="D101" s="12">
        <v>0</v>
      </c>
      <c r="E101" s="12">
        <v>0</v>
      </c>
      <c r="F101" s="12">
        <v>-29603.64</v>
      </c>
      <c r="G101" s="12">
        <v>0</v>
      </c>
      <c r="H101" s="12">
        <f t="shared" si="16"/>
        <v>-35011.129999999997</v>
      </c>
    </row>
    <row r="102" spans="1:8" x14ac:dyDescent="0.2">
      <c r="A102" s="17" t="s">
        <v>109</v>
      </c>
      <c r="B102" s="12">
        <v>-69.959999999999994</v>
      </c>
      <c r="C102" s="12">
        <v>-479.44964499999998</v>
      </c>
      <c r="D102" s="12">
        <v>0</v>
      </c>
      <c r="E102" s="12">
        <v>-20</v>
      </c>
      <c r="F102" s="12">
        <v>-8965.56</v>
      </c>
      <c r="G102" s="12">
        <v>0</v>
      </c>
      <c r="H102" s="12">
        <f t="shared" si="16"/>
        <v>-9534.9696449999992</v>
      </c>
    </row>
    <row r="103" spans="1:8" x14ac:dyDescent="0.2">
      <c r="A103" s="17" t="s">
        <v>110</v>
      </c>
      <c r="B103" s="12">
        <v>0</v>
      </c>
      <c r="C103" s="12">
        <v>3.0084E-2</v>
      </c>
      <c r="D103" s="12">
        <v>0</v>
      </c>
      <c r="E103" s="12">
        <v>-900.99</v>
      </c>
      <c r="F103" s="12">
        <v>-84252.42</v>
      </c>
      <c r="G103" s="12">
        <v>0</v>
      </c>
      <c r="H103" s="12">
        <f t="shared" si="16"/>
        <v>-85153.379916000005</v>
      </c>
    </row>
    <row r="104" spans="1:8" x14ac:dyDescent="0.2">
      <c r="A104" s="17" t="s">
        <v>111</v>
      </c>
      <c r="B104" s="12">
        <v>0</v>
      </c>
      <c r="C104" s="12">
        <v>0</v>
      </c>
      <c r="D104" s="12">
        <v>0</v>
      </c>
      <c r="E104" s="12">
        <v>0</v>
      </c>
      <c r="F104" s="12">
        <v>-68.62</v>
      </c>
      <c r="G104" s="12">
        <v>0</v>
      </c>
      <c r="H104" s="12">
        <f t="shared" si="16"/>
        <v>-68.62</v>
      </c>
    </row>
    <row r="105" spans="1:8" x14ac:dyDescent="0.2">
      <c r="A105" s="17" t="s">
        <v>112</v>
      </c>
      <c r="B105" s="12">
        <v>0</v>
      </c>
      <c r="C105" s="12">
        <v>0</v>
      </c>
      <c r="D105" s="12">
        <v>0</v>
      </c>
      <c r="E105" s="12">
        <v>0</v>
      </c>
      <c r="F105" s="12">
        <v>-93.28</v>
      </c>
      <c r="G105" s="12">
        <v>0</v>
      </c>
      <c r="H105" s="12">
        <f t="shared" si="16"/>
        <v>-93.28</v>
      </c>
    </row>
    <row r="106" spans="1:8" x14ac:dyDescent="0.2">
      <c r="A106" s="17" t="s">
        <v>113</v>
      </c>
      <c r="B106" s="12">
        <v>0</v>
      </c>
      <c r="C106" s="12">
        <v>0</v>
      </c>
      <c r="D106" s="12">
        <v>0</v>
      </c>
      <c r="E106" s="12">
        <v>0</v>
      </c>
      <c r="F106" s="12">
        <v>-19447.16</v>
      </c>
      <c r="G106" s="12">
        <v>-1860</v>
      </c>
      <c r="H106" s="12">
        <f t="shared" si="16"/>
        <v>-21307.16</v>
      </c>
    </row>
    <row r="107" spans="1:8" x14ac:dyDescent="0.2">
      <c r="A107" s="17" t="s">
        <v>114</v>
      </c>
      <c r="B107" s="12">
        <v>-131.54</v>
      </c>
      <c r="C107" s="12">
        <v>-218.348544</v>
      </c>
      <c r="D107" s="12">
        <v>2.7938999999999999E-2</v>
      </c>
      <c r="E107" s="12">
        <v>-774.57</v>
      </c>
      <c r="F107" s="12">
        <v>-16123.14</v>
      </c>
      <c r="G107" s="12">
        <v>-199.09</v>
      </c>
      <c r="H107" s="12">
        <f t="shared" si="16"/>
        <v>-17446.660605000001</v>
      </c>
    </row>
    <row r="108" spans="1:8" x14ac:dyDescent="0.2">
      <c r="A108" s="17" t="s">
        <v>115</v>
      </c>
      <c r="B108" s="12">
        <v>0</v>
      </c>
      <c r="C108" s="12">
        <v>-339.47404</v>
      </c>
      <c r="D108" s="12">
        <v>-9258.2887350000001</v>
      </c>
      <c r="E108" s="12">
        <v>-152.62</v>
      </c>
      <c r="F108" s="12">
        <v>-12928.65</v>
      </c>
      <c r="G108" s="12">
        <v>0</v>
      </c>
      <c r="H108" s="12">
        <f t="shared" si="16"/>
        <v>-22679.032775</v>
      </c>
    </row>
    <row r="109" spans="1:8" x14ac:dyDescent="0.2">
      <c r="A109" s="17" t="s">
        <v>116</v>
      </c>
      <c r="B109" s="12">
        <v>0</v>
      </c>
      <c r="C109" s="12">
        <v>0</v>
      </c>
      <c r="D109" s="12">
        <v>0</v>
      </c>
      <c r="E109" s="12">
        <v>0</v>
      </c>
      <c r="F109" s="12">
        <v>-3988.39</v>
      </c>
      <c r="G109" s="12">
        <v>0</v>
      </c>
      <c r="H109" s="12">
        <f t="shared" si="16"/>
        <v>-3988.39</v>
      </c>
    </row>
    <row r="110" spans="1:8" x14ac:dyDescent="0.2">
      <c r="A110" s="17" t="s">
        <v>117</v>
      </c>
      <c r="B110" s="12">
        <v>0</v>
      </c>
      <c r="C110" s="12">
        <v>0</v>
      </c>
      <c r="D110" s="12">
        <v>-10144.464518999999</v>
      </c>
      <c r="E110" s="12">
        <v>0</v>
      </c>
      <c r="F110" s="12">
        <v>-6589.9</v>
      </c>
      <c r="G110" s="12">
        <v>0</v>
      </c>
      <c r="H110" s="12">
        <f t="shared" si="16"/>
        <v>-16734.364518999999</v>
      </c>
    </row>
    <row r="111" spans="1:8" x14ac:dyDescent="0.2">
      <c r="A111" s="17" t="s">
        <v>118</v>
      </c>
      <c r="B111" s="12">
        <v>0</v>
      </c>
      <c r="C111" s="12">
        <v>-9835.5175199999994</v>
      </c>
      <c r="D111" s="12">
        <v>0</v>
      </c>
      <c r="E111" s="12">
        <v>0</v>
      </c>
      <c r="F111" s="12">
        <v>0</v>
      </c>
      <c r="G111" s="12">
        <v>0</v>
      </c>
      <c r="H111" s="12">
        <f t="shared" si="16"/>
        <v>-9835.5175199999994</v>
      </c>
    </row>
    <row r="112" spans="1:8" x14ac:dyDescent="0.2">
      <c r="A112" s="17" t="s">
        <v>119</v>
      </c>
      <c r="B112" s="12">
        <v>0</v>
      </c>
      <c r="C112" s="12">
        <v>0</v>
      </c>
      <c r="D112" s="12">
        <v>0</v>
      </c>
      <c r="E112" s="12">
        <v>0</v>
      </c>
      <c r="F112" s="12">
        <v>-22828.240000000002</v>
      </c>
      <c r="G112" s="12">
        <v>0</v>
      </c>
      <c r="H112" s="12">
        <f t="shared" si="16"/>
        <v>-22828.240000000002</v>
      </c>
    </row>
    <row r="113" spans="1:8" x14ac:dyDescent="0.2">
      <c r="A113" s="17" t="s">
        <v>120</v>
      </c>
      <c r="B113" s="12">
        <v>0</v>
      </c>
      <c r="C113" s="12">
        <v>0</v>
      </c>
      <c r="D113" s="12">
        <v>0</v>
      </c>
      <c r="E113" s="12">
        <v>0</v>
      </c>
      <c r="F113" s="12">
        <v>-110.75</v>
      </c>
      <c r="G113" s="12">
        <v>0</v>
      </c>
      <c r="H113" s="12">
        <f t="shared" si="16"/>
        <v>-110.75</v>
      </c>
    </row>
    <row r="114" spans="1:8" x14ac:dyDescent="0.2">
      <c r="A114" s="17" t="s">
        <v>121</v>
      </c>
      <c r="B114" s="12">
        <v>0</v>
      </c>
      <c r="C114" s="12">
        <v>-280.995</v>
      </c>
      <c r="D114" s="12">
        <v>0</v>
      </c>
      <c r="E114" s="12">
        <v>0</v>
      </c>
      <c r="F114" s="12">
        <v>-368.22</v>
      </c>
      <c r="G114" s="12">
        <v>0</v>
      </c>
      <c r="H114" s="12">
        <f t="shared" si="16"/>
        <v>-649.21500000000003</v>
      </c>
    </row>
    <row r="115" spans="1:8" x14ac:dyDescent="0.2">
      <c r="A115" s="17" t="s">
        <v>122</v>
      </c>
      <c r="B115" s="12">
        <v>0</v>
      </c>
      <c r="C115" s="12">
        <v>0</v>
      </c>
      <c r="D115" s="12">
        <v>0</v>
      </c>
      <c r="E115" s="12">
        <v>0</v>
      </c>
      <c r="F115" s="12">
        <v>-1500</v>
      </c>
      <c r="G115" s="12">
        <v>0</v>
      </c>
      <c r="H115" s="12">
        <f t="shared" si="16"/>
        <v>-1500</v>
      </c>
    </row>
    <row r="116" spans="1:8" x14ac:dyDescent="0.2">
      <c r="A116" s="17" t="s">
        <v>123</v>
      </c>
      <c r="B116" s="12">
        <v>0</v>
      </c>
      <c r="C116" s="12">
        <v>0</v>
      </c>
      <c r="D116" s="12">
        <v>-128.75682499999999</v>
      </c>
      <c r="E116" s="12">
        <v>0</v>
      </c>
      <c r="F116" s="12">
        <v>-325.11</v>
      </c>
      <c r="G116" s="12">
        <v>0</v>
      </c>
      <c r="H116" s="12">
        <f t="shared" ref="H116:H147" si="17">SUM(B116:G116)</f>
        <v>-453.86682500000001</v>
      </c>
    </row>
    <row r="117" spans="1:8" x14ac:dyDescent="0.2">
      <c r="A117" s="17" t="s">
        <v>124</v>
      </c>
      <c r="B117" s="12">
        <v>0</v>
      </c>
      <c r="C117" s="12">
        <v>-139.93149</v>
      </c>
      <c r="D117" s="12">
        <v>-2760.939531</v>
      </c>
      <c r="E117" s="12">
        <v>-267.39</v>
      </c>
      <c r="F117" s="12">
        <v>-5680.55</v>
      </c>
      <c r="G117" s="12">
        <v>-1890.62</v>
      </c>
      <c r="H117" s="12">
        <f t="shared" si="17"/>
        <v>-10739.431021</v>
      </c>
    </row>
    <row r="118" spans="1:8" x14ac:dyDescent="0.2">
      <c r="A118" s="17" t="s">
        <v>125</v>
      </c>
      <c r="B118" s="12">
        <v>0</v>
      </c>
      <c r="C118" s="12">
        <v>-13078.117308000001</v>
      </c>
      <c r="D118" s="12">
        <v>-669.41873799999996</v>
      </c>
      <c r="E118" s="12">
        <v>0</v>
      </c>
      <c r="F118" s="12">
        <v>-332.03</v>
      </c>
      <c r="G118" s="12">
        <v>0</v>
      </c>
      <c r="H118" s="12">
        <f t="shared" si="17"/>
        <v>-14079.566046000002</v>
      </c>
    </row>
    <row r="119" spans="1:8" x14ac:dyDescent="0.2">
      <c r="A119" s="17" t="s">
        <v>126</v>
      </c>
      <c r="B119" s="12">
        <v>0</v>
      </c>
      <c r="C119" s="12">
        <v>0</v>
      </c>
      <c r="D119" s="12">
        <v>0</v>
      </c>
      <c r="E119" s="12">
        <v>0</v>
      </c>
      <c r="F119" s="12">
        <v>-116975</v>
      </c>
      <c r="G119" s="12">
        <v>0</v>
      </c>
      <c r="H119" s="12">
        <f t="shared" si="17"/>
        <v>-116975</v>
      </c>
    </row>
    <row r="120" spans="1:8" x14ac:dyDescent="0.2">
      <c r="A120" s="17" t="s">
        <v>127</v>
      </c>
      <c r="B120" s="12">
        <v>0</v>
      </c>
      <c r="C120" s="12">
        <v>0</v>
      </c>
      <c r="D120" s="12">
        <v>0</v>
      </c>
      <c r="E120" s="12">
        <v>0</v>
      </c>
      <c r="F120" s="12">
        <v>-39632</v>
      </c>
      <c r="G120" s="12">
        <v>0</v>
      </c>
      <c r="H120" s="12">
        <f t="shared" si="17"/>
        <v>-39632</v>
      </c>
    </row>
    <row r="121" spans="1:8" x14ac:dyDescent="0.2">
      <c r="A121" s="17" t="s">
        <v>128</v>
      </c>
      <c r="B121" s="12">
        <v>0</v>
      </c>
      <c r="C121" s="12">
        <v>-14340.645661</v>
      </c>
      <c r="D121" s="12">
        <v>0</v>
      </c>
      <c r="E121" s="12">
        <v>0</v>
      </c>
      <c r="F121" s="12">
        <v>0</v>
      </c>
      <c r="G121" s="12">
        <v>0</v>
      </c>
      <c r="H121" s="12">
        <f t="shared" si="17"/>
        <v>-14340.645661</v>
      </c>
    </row>
    <row r="122" spans="1:8" x14ac:dyDescent="0.2">
      <c r="A122" s="17" t="s">
        <v>129</v>
      </c>
      <c r="B122" s="12">
        <v>0</v>
      </c>
      <c r="C122" s="12">
        <v>-72.642083999999997</v>
      </c>
      <c r="D122" s="12">
        <v>0</v>
      </c>
      <c r="E122" s="12">
        <v>0</v>
      </c>
      <c r="F122" s="12">
        <v>-3485.04</v>
      </c>
      <c r="G122" s="12">
        <v>0</v>
      </c>
      <c r="H122" s="12">
        <f t="shared" si="17"/>
        <v>-3557.682084</v>
      </c>
    </row>
    <row r="123" spans="1:8" x14ac:dyDescent="0.2">
      <c r="A123" s="17" t="s">
        <v>130</v>
      </c>
      <c r="B123" s="12">
        <v>-708.7</v>
      </c>
      <c r="C123" s="12">
        <v>0</v>
      </c>
      <c r="D123" s="12">
        <v>0</v>
      </c>
      <c r="E123" s="12">
        <v>-10728.6</v>
      </c>
      <c r="F123" s="12">
        <v>-13278.17</v>
      </c>
      <c r="G123" s="12">
        <v>-960.9</v>
      </c>
      <c r="H123" s="12">
        <f t="shared" si="17"/>
        <v>-25676.370000000003</v>
      </c>
    </row>
    <row r="124" spans="1:8" x14ac:dyDescent="0.2">
      <c r="A124" s="17" t="s">
        <v>131</v>
      </c>
      <c r="B124" s="12">
        <v>0</v>
      </c>
      <c r="C124" s="12">
        <v>-204.57931199999999</v>
      </c>
      <c r="D124" s="12">
        <v>0</v>
      </c>
      <c r="E124" s="12">
        <v>-30.85</v>
      </c>
      <c r="F124" s="12">
        <v>-1618.69</v>
      </c>
      <c r="G124" s="12">
        <v>0</v>
      </c>
      <c r="H124" s="12">
        <f t="shared" si="17"/>
        <v>-1854.119312</v>
      </c>
    </row>
    <row r="125" spans="1:8" x14ac:dyDescent="0.2">
      <c r="A125" s="17" t="s">
        <v>132</v>
      </c>
      <c r="B125" s="12">
        <v>0</v>
      </c>
      <c r="C125" s="12">
        <v>-26556.233700000001</v>
      </c>
      <c r="D125" s="12">
        <v>-22977.1584</v>
      </c>
      <c r="E125" s="12">
        <v>-7451.84</v>
      </c>
      <c r="F125" s="12">
        <v>-323322.88</v>
      </c>
      <c r="G125" s="12">
        <v>0</v>
      </c>
      <c r="H125" s="12">
        <f t="shared" si="17"/>
        <v>-380308.11210000003</v>
      </c>
    </row>
    <row r="126" spans="1:8" x14ac:dyDescent="0.2">
      <c r="A126" s="17" t="s">
        <v>133</v>
      </c>
      <c r="B126" s="12">
        <v>0</v>
      </c>
      <c r="C126" s="12">
        <v>0</v>
      </c>
      <c r="D126" s="12">
        <v>0</v>
      </c>
      <c r="E126" s="12">
        <v>0</v>
      </c>
      <c r="F126" s="12">
        <v>-15375</v>
      </c>
      <c r="G126" s="12">
        <v>0</v>
      </c>
      <c r="H126" s="12">
        <f t="shared" si="17"/>
        <v>-15375</v>
      </c>
    </row>
    <row r="127" spans="1:8" x14ac:dyDescent="0.2">
      <c r="A127" s="17" t="s">
        <v>134</v>
      </c>
      <c r="B127" s="12">
        <v>0</v>
      </c>
      <c r="C127" s="12">
        <v>0</v>
      </c>
      <c r="D127" s="12">
        <v>0</v>
      </c>
      <c r="E127" s="12">
        <v>-113.17</v>
      </c>
      <c r="F127" s="12">
        <v>-428</v>
      </c>
      <c r="G127" s="12">
        <v>0</v>
      </c>
      <c r="H127" s="12">
        <f t="shared" si="17"/>
        <v>-541.16999999999996</v>
      </c>
    </row>
    <row r="128" spans="1:8" x14ac:dyDescent="0.2">
      <c r="A128" s="17" t="s">
        <v>135</v>
      </c>
      <c r="B128" s="12">
        <v>0</v>
      </c>
      <c r="C128" s="12">
        <v>1721.091075</v>
      </c>
      <c r="D128" s="12">
        <v>0</v>
      </c>
      <c r="E128" s="12">
        <v>0</v>
      </c>
      <c r="F128" s="12">
        <v>0</v>
      </c>
      <c r="G128" s="12">
        <v>0</v>
      </c>
      <c r="H128" s="12">
        <f t="shared" si="17"/>
        <v>1721.091075</v>
      </c>
    </row>
    <row r="129" spans="1:8" x14ac:dyDescent="0.2">
      <c r="A129" s="17" t="s">
        <v>136</v>
      </c>
      <c r="B129" s="12">
        <v>0</v>
      </c>
      <c r="C129" s="12">
        <v>0</v>
      </c>
      <c r="D129" s="12">
        <v>0</v>
      </c>
      <c r="E129" s="12">
        <v>0</v>
      </c>
      <c r="F129" s="12">
        <v>-175148.71</v>
      </c>
      <c r="G129" s="12">
        <v>0</v>
      </c>
      <c r="H129" s="12">
        <f t="shared" si="17"/>
        <v>-175148.71</v>
      </c>
    </row>
    <row r="130" spans="1:8" x14ac:dyDescent="0.2">
      <c r="A130" s="17" t="s">
        <v>137</v>
      </c>
      <c r="B130" s="12">
        <v>0</v>
      </c>
      <c r="C130" s="12">
        <v>0</v>
      </c>
      <c r="D130" s="12">
        <v>0</v>
      </c>
      <c r="E130" s="12">
        <v>-42.37</v>
      </c>
      <c r="F130" s="12">
        <v>-12445.78</v>
      </c>
      <c r="G130" s="12">
        <v>0</v>
      </c>
      <c r="H130" s="12">
        <f t="shared" si="17"/>
        <v>-12488.150000000001</v>
      </c>
    </row>
    <row r="131" spans="1:8" x14ac:dyDescent="0.2">
      <c r="A131" s="17" t="s">
        <v>138</v>
      </c>
      <c r="B131" s="12">
        <v>0</v>
      </c>
      <c r="C131" s="12">
        <v>-1410.364423</v>
      </c>
      <c r="D131" s="12">
        <v>-1458.324707</v>
      </c>
      <c r="E131" s="12">
        <v>-3240.59</v>
      </c>
      <c r="F131" s="12">
        <v>-30007.75</v>
      </c>
      <c r="G131" s="12">
        <v>0</v>
      </c>
      <c r="H131" s="12">
        <f t="shared" si="17"/>
        <v>-36117.029130000003</v>
      </c>
    </row>
    <row r="132" spans="1:8" x14ac:dyDescent="0.2">
      <c r="A132" s="17" t="s">
        <v>139</v>
      </c>
      <c r="B132" s="12">
        <v>0</v>
      </c>
      <c r="C132" s="12">
        <v>0</v>
      </c>
      <c r="D132" s="12">
        <v>0</v>
      </c>
      <c r="E132" s="12">
        <v>0</v>
      </c>
      <c r="F132" s="12">
        <v>-297.47000000000003</v>
      </c>
      <c r="G132" s="12">
        <v>0</v>
      </c>
      <c r="H132" s="12">
        <f t="shared" si="17"/>
        <v>-297.47000000000003</v>
      </c>
    </row>
    <row r="133" spans="1:8" x14ac:dyDescent="0.2">
      <c r="A133" s="17" t="s">
        <v>140</v>
      </c>
      <c r="B133" s="12">
        <v>0</v>
      </c>
      <c r="C133" s="12">
        <v>0</v>
      </c>
      <c r="D133" s="12">
        <v>-1535.7149999999999</v>
      </c>
      <c r="E133" s="12">
        <v>-1940.6</v>
      </c>
      <c r="F133" s="12">
        <v>-500400</v>
      </c>
      <c r="G133" s="12">
        <v>0</v>
      </c>
      <c r="H133" s="12">
        <f t="shared" si="17"/>
        <v>-503876.315</v>
      </c>
    </row>
    <row r="134" spans="1:8" x14ac:dyDescent="0.2">
      <c r="A134" s="17" t="s">
        <v>141</v>
      </c>
      <c r="B134" s="12">
        <v>-110</v>
      </c>
      <c r="C134" s="12">
        <v>0</v>
      </c>
      <c r="D134" s="12">
        <v>0</v>
      </c>
      <c r="E134" s="12">
        <v>0</v>
      </c>
      <c r="F134" s="12">
        <v>-12940.07</v>
      </c>
      <c r="G134" s="12">
        <v>0</v>
      </c>
      <c r="H134" s="12">
        <f t="shared" si="17"/>
        <v>-13050.07</v>
      </c>
    </row>
    <row r="135" spans="1:8" x14ac:dyDescent="0.2">
      <c r="A135" s="17" t="s">
        <v>142</v>
      </c>
      <c r="B135" s="12">
        <v>0</v>
      </c>
      <c r="C135" s="12">
        <v>0</v>
      </c>
      <c r="D135" s="12">
        <v>0</v>
      </c>
      <c r="E135" s="12">
        <v>0</v>
      </c>
      <c r="F135" s="12">
        <v>-19200</v>
      </c>
      <c r="G135" s="12">
        <v>0</v>
      </c>
      <c r="H135" s="12">
        <f t="shared" si="17"/>
        <v>-19200</v>
      </c>
    </row>
    <row r="136" spans="1:8" x14ac:dyDescent="0.2">
      <c r="A136" s="17" t="s">
        <v>143</v>
      </c>
      <c r="B136" s="12">
        <v>0</v>
      </c>
      <c r="C136" s="12">
        <v>0</v>
      </c>
      <c r="D136" s="12">
        <v>0</v>
      </c>
      <c r="E136" s="12">
        <v>0</v>
      </c>
      <c r="F136" s="12">
        <v>-1305</v>
      </c>
      <c r="G136" s="12">
        <v>0</v>
      </c>
      <c r="H136" s="12">
        <f t="shared" si="17"/>
        <v>-1305</v>
      </c>
    </row>
    <row r="137" spans="1:8" x14ac:dyDescent="0.2">
      <c r="A137" s="17" t="s">
        <v>144</v>
      </c>
      <c r="B137" s="12">
        <v>0</v>
      </c>
      <c r="C137" s="12">
        <v>0</v>
      </c>
      <c r="D137" s="12">
        <v>0</v>
      </c>
      <c r="E137" s="12">
        <v>-1985.4</v>
      </c>
      <c r="F137" s="12">
        <v>0</v>
      </c>
      <c r="G137" s="12">
        <v>0</v>
      </c>
      <c r="H137" s="12">
        <f t="shared" si="17"/>
        <v>-1985.4</v>
      </c>
    </row>
    <row r="138" spans="1:8" x14ac:dyDescent="0.2">
      <c r="A138" s="17" t="s">
        <v>145</v>
      </c>
      <c r="B138" s="12">
        <v>0</v>
      </c>
      <c r="C138" s="12">
        <v>0</v>
      </c>
      <c r="D138" s="12">
        <v>0</v>
      </c>
      <c r="E138" s="12">
        <v>0</v>
      </c>
      <c r="F138" s="12">
        <v>-18942.23</v>
      </c>
      <c r="G138" s="12">
        <v>0</v>
      </c>
      <c r="H138" s="12">
        <f t="shared" si="17"/>
        <v>-18942.23</v>
      </c>
    </row>
    <row r="139" spans="1:8" x14ac:dyDescent="0.2">
      <c r="A139" s="17" t="s">
        <v>146</v>
      </c>
      <c r="B139" s="12">
        <v>0</v>
      </c>
      <c r="C139" s="12">
        <v>-93.5</v>
      </c>
      <c r="D139" s="12">
        <v>0</v>
      </c>
      <c r="E139" s="12">
        <v>0</v>
      </c>
      <c r="F139" s="12">
        <v>-4421.7</v>
      </c>
      <c r="G139" s="12">
        <v>0</v>
      </c>
      <c r="H139" s="12">
        <f t="shared" si="17"/>
        <v>-4515.2</v>
      </c>
    </row>
    <row r="140" spans="1:8" x14ac:dyDescent="0.2">
      <c r="A140" s="17" t="s">
        <v>147</v>
      </c>
      <c r="B140" s="12">
        <v>0</v>
      </c>
      <c r="C140" s="12">
        <v>0</v>
      </c>
      <c r="D140" s="12">
        <v>0</v>
      </c>
      <c r="E140" s="12">
        <v>0</v>
      </c>
      <c r="F140" s="12">
        <v>-333.78</v>
      </c>
      <c r="G140" s="12">
        <v>0</v>
      </c>
      <c r="H140" s="12">
        <f t="shared" si="17"/>
        <v>-333.78</v>
      </c>
    </row>
    <row r="141" spans="1:8" x14ac:dyDescent="0.2">
      <c r="A141" s="17" t="s">
        <v>148</v>
      </c>
      <c r="B141" s="12">
        <v>0</v>
      </c>
      <c r="C141" s="12">
        <v>0</v>
      </c>
      <c r="D141" s="12">
        <v>0</v>
      </c>
      <c r="E141" s="12">
        <v>0</v>
      </c>
      <c r="F141" s="12">
        <v>-492.3</v>
      </c>
      <c r="G141" s="12">
        <v>0</v>
      </c>
      <c r="H141" s="12">
        <f t="shared" si="17"/>
        <v>-492.3</v>
      </c>
    </row>
    <row r="142" spans="1:8" x14ac:dyDescent="0.2">
      <c r="A142" s="17" t="s">
        <v>149</v>
      </c>
      <c r="B142" s="12">
        <v>0</v>
      </c>
      <c r="C142" s="12">
        <v>0</v>
      </c>
      <c r="D142" s="12">
        <v>0</v>
      </c>
      <c r="E142" s="12">
        <v>0</v>
      </c>
      <c r="F142" s="12">
        <v>-3727.91</v>
      </c>
      <c r="G142" s="12">
        <v>0</v>
      </c>
      <c r="H142" s="12">
        <f t="shared" si="17"/>
        <v>-3727.91</v>
      </c>
    </row>
    <row r="143" spans="1:8" x14ac:dyDescent="0.2">
      <c r="A143" s="17" t="s">
        <v>150</v>
      </c>
      <c r="B143" s="12">
        <v>0</v>
      </c>
      <c r="C143" s="12">
        <v>0</v>
      </c>
      <c r="D143" s="12">
        <v>0</v>
      </c>
      <c r="E143" s="12">
        <v>0</v>
      </c>
      <c r="F143" s="12">
        <v>-4698.37</v>
      </c>
      <c r="G143" s="12">
        <v>0</v>
      </c>
      <c r="H143" s="12">
        <f t="shared" si="17"/>
        <v>-4698.37</v>
      </c>
    </row>
    <row r="144" spans="1:8" x14ac:dyDescent="0.2">
      <c r="A144" s="17" t="s">
        <v>151</v>
      </c>
      <c r="B144" s="12">
        <v>0</v>
      </c>
      <c r="C144" s="12">
        <v>0</v>
      </c>
      <c r="D144" s="12">
        <v>0</v>
      </c>
      <c r="E144" s="12">
        <v>0</v>
      </c>
      <c r="F144" s="12">
        <v>-4251.72</v>
      </c>
      <c r="G144" s="12">
        <v>0</v>
      </c>
      <c r="H144" s="12">
        <f t="shared" si="17"/>
        <v>-4251.72</v>
      </c>
    </row>
    <row r="145" spans="1:8" x14ac:dyDescent="0.2">
      <c r="A145" s="17" t="s">
        <v>152</v>
      </c>
      <c r="B145" s="12">
        <v>0</v>
      </c>
      <c r="C145" s="12">
        <v>0</v>
      </c>
      <c r="D145" s="12">
        <v>0</v>
      </c>
      <c r="E145" s="12">
        <v>0</v>
      </c>
      <c r="F145" s="12">
        <v>-70.790000000000006</v>
      </c>
      <c r="G145" s="12">
        <v>0</v>
      </c>
      <c r="H145" s="12">
        <f t="shared" si="17"/>
        <v>-70.790000000000006</v>
      </c>
    </row>
    <row r="146" spans="1:8" x14ac:dyDescent="0.2">
      <c r="A146" s="17" t="s">
        <v>153</v>
      </c>
      <c r="B146" s="12">
        <v>0</v>
      </c>
      <c r="C146" s="12">
        <v>0</v>
      </c>
      <c r="D146" s="12">
        <v>0</v>
      </c>
      <c r="E146" s="12">
        <v>0</v>
      </c>
      <c r="F146" s="12">
        <v>-5482.32</v>
      </c>
      <c r="G146" s="12">
        <v>0</v>
      </c>
      <c r="H146" s="12">
        <f t="shared" si="17"/>
        <v>-5482.32</v>
      </c>
    </row>
    <row r="147" spans="1:8" x14ac:dyDescent="0.2">
      <c r="A147" s="17" t="s">
        <v>154</v>
      </c>
      <c r="B147" s="12">
        <v>0</v>
      </c>
      <c r="C147" s="12">
        <v>0</v>
      </c>
      <c r="D147" s="12">
        <v>0</v>
      </c>
      <c r="E147" s="12">
        <v>0</v>
      </c>
      <c r="F147" s="12">
        <v>-7113.6</v>
      </c>
      <c r="G147" s="12">
        <v>0</v>
      </c>
      <c r="H147" s="12">
        <f t="shared" si="17"/>
        <v>-7113.6</v>
      </c>
    </row>
    <row r="148" spans="1:8" x14ac:dyDescent="0.2">
      <c r="A148" s="17" t="s">
        <v>155</v>
      </c>
      <c r="B148" s="12">
        <v>0</v>
      </c>
      <c r="C148" s="12">
        <v>0</v>
      </c>
      <c r="D148" s="12">
        <v>0</v>
      </c>
      <c r="E148" s="12">
        <v>0</v>
      </c>
      <c r="F148" s="12">
        <v>-4746.78</v>
      </c>
      <c r="G148" s="12">
        <v>0</v>
      </c>
      <c r="H148" s="12">
        <f t="shared" ref="H148:H179" si="18">SUM(B148:G148)</f>
        <v>-4746.78</v>
      </c>
    </row>
    <row r="149" spans="1:8" x14ac:dyDescent="0.2">
      <c r="A149" s="17" t="s">
        <v>156</v>
      </c>
      <c r="B149" s="12">
        <v>0</v>
      </c>
      <c r="C149" s="12">
        <v>0</v>
      </c>
      <c r="D149" s="12">
        <v>0</v>
      </c>
      <c r="E149" s="12">
        <v>0</v>
      </c>
      <c r="F149" s="12">
        <v>-6033.99</v>
      </c>
      <c r="G149" s="12">
        <v>0</v>
      </c>
      <c r="H149" s="12">
        <f t="shared" si="18"/>
        <v>-6033.99</v>
      </c>
    </row>
    <row r="150" spans="1:8" x14ac:dyDescent="0.2">
      <c r="A150" s="17" t="s">
        <v>157</v>
      </c>
      <c r="B150" s="12">
        <v>0</v>
      </c>
      <c r="C150" s="12">
        <v>0</v>
      </c>
      <c r="D150" s="12">
        <v>0</v>
      </c>
      <c r="E150" s="12">
        <v>0</v>
      </c>
      <c r="F150" s="12">
        <v>-4486.58</v>
      </c>
      <c r="G150" s="12">
        <v>0</v>
      </c>
      <c r="H150" s="12">
        <f t="shared" si="18"/>
        <v>-4486.58</v>
      </c>
    </row>
    <row r="151" spans="1:8" x14ac:dyDescent="0.2">
      <c r="A151" s="17" t="s">
        <v>158</v>
      </c>
      <c r="B151" s="12">
        <v>0</v>
      </c>
      <c r="C151" s="12">
        <v>0</v>
      </c>
      <c r="D151" s="12">
        <v>0</v>
      </c>
      <c r="E151" s="12">
        <v>0</v>
      </c>
      <c r="F151" s="12">
        <v>-6401.25</v>
      </c>
      <c r="G151" s="12">
        <v>0</v>
      </c>
      <c r="H151" s="12">
        <f t="shared" si="18"/>
        <v>-6401.25</v>
      </c>
    </row>
    <row r="152" spans="1:8" x14ac:dyDescent="0.2">
      <c r="A152" s="17" t="s">
        <v>159</v>
      </c>
      <c r="B152" s="12">
        <v>0</v>
      </c>
      <c r="C152" s="12">
        <v>0</v>
      </c>
      <c r="D152" s="12">
        <v>0</v>
      </c>
      <c r="E152" s="12">
        <v>0</v>
      </c>
      <c r="F152" s="12">
        <v>-6589.86</v>
      </c>
      <c r="G152" s="12">
        <v>0</v>
      </c>
      <c r="H152" s="12">
        <f t="shared" si="18"/>
        <v>-6589.86</v>
      </c>
    </row>
    <row r="153" spans="1:8" x14ac:dyDescent="0.2">
      <c r="A153" s="17" t="s">
        <v>160</v>
      </c>
      <c r="B153" s="12">
        <v>0</v>
      </c>
      <c r="C153" s="12">
        <v>0</v>
      </c>
      <c r="D153" s="12">
        <v>0</v>
      </c>
      <c r="E153" s="12">
        <v>0</v>
      </c>
      <c r="F153" s="12">
        <v>-3276.05</v>
      </c>
      <c r="G153" s="12">
        <v>0</v>
      </c>
      <c r="H153" s="12">
        <f t="shared" si="18"/>
        <v>-3276.05</v>
      </c>
    </row>
    <row r="154" spans="1:8" x14ac:dyDescent="0.2">
      <c r="A154" s="17" t="s">
        <v>161</v>
      </c>
      <c r="B154" s="12">
        <v>0</v>
      </c>
      <c r="C154" s="12">
        <v>0</v>
      </c>
      <c r="D154" s="12">
        <v>0</v>
      </c>
      <c r="E154" s="12">
        <v>0</v>
      </c>
      <c r="F154" s="12">
        <v>-3485.71</v>
      </c>
      <c r="G154" s="12">
        <v>0</v>
      </c>
      <c r="H154" s="12">
        <f t="shared" si="18"/>
        <v>-3485.71</v>
      </c>
    </row>
    <row r="155" spans="1:8" x14ac:dyDescent="0.2">
      <c r="A155" s="17" t="s">
        <v>162</v>
      </c>
      <c r="B155" s="12">
        <v>0</v>
      </c>
      <c r="C155" s="12">
        <v>0</v>
      </c>
      <c r="D155" s="12">
        <v>0</v>
      </c>
      <c r="E155" s="12">
        <v>0</v>
      </c>
      <c r="F155" s="12">
        <v>-4698.47</v>
      </c>
      <c r="G155" s="12">
        <v>0</v>
      </c>
      <c r="H155" s="12">
        <f t="shared" si="18"/>
        <v>-4698.47</v>
      </c>
    </row>
    <row r="156" spans="1:8" x14ac:dyDescent="0.2">
      <c r="A156" s="17" t="s">
        <v>163</v>
      </c>
      <c r="B156" s="12">
        <v>0</v>
      </c>
      <c r="C156" s="12">
        <v>0</v>
      </c>
      <c r="D156" s="12">
        <v>0</v>
      </c>
      <c r="E156" s="12">
        <v>0</v>
      </c>
      <c r="F156" s="12">
        <v>-3001.81</v>
      </c>
      <c r="G156" s="12">
        <v>-1866</v>
      </c>
      <c r="H156" s="12">
        <f t="shared" si="18"/>
        <v>-4867.8099999999995</v>
      </c>
    </row>
    <row r="157" spans="1:8" x14ac:dyDescent="0.2">
      <c r="A157" s="15" t="s">
        <v>164</v>
      </c>
      <c r="B157" s="14">
        <f t="shared" ref="B157:H157" si="19">SUM(B84:B156)</f>
        <v>-29271.320000000003</v>
      </c>
      <c r="C157" s="14">
        <f t="shared" si="19"/>
        <v>-89202.981075000018</v>
      </c>
      <c r="D157" s="14">
        <f t="shared" si="19"/>
        <v>-53403.822733000001</v>
      </c>
      <c r="E157" s="14">
        <f t="shared" si="19"/>
        <v>-36046.92</v>
      </c>
      <c r="F157" s="14">
        <f t="shared" si="19"/>
        <v>-1851425.0200000005</v>
      </c>
      <c r="G157" s="14">
        <f t="shared" si="19"/>
        <v>-17814.080000000002</v>
      </c>
      <c r="H157" s="14">
        <f t="shared" si="19"/>
        <v>-2077164.1438080003</v>
      </c>
    </row>
    <row r="158" spans="1:8" x14ac:dyDescent="0.2">
      <c r="A158" s="16" t="s">
        <v>165</v>
      </c>
      <c r="B158" s="14">
        <f t="shared" ref="B158:H158" si="20">B73+B82+B157</f>
        <v>-50954.960000000006</v>
      </c>
      <c r="C158" s="14">
        <f t="shared" si="20"/>
        <v>-201074.66964500002</v>
      </c>
      <c r="D158" s="14">
        <f t="shared" si="20"/>
        <v>-384437.29793899995</v>
      </c>
      <c r="E158" s="14">
        <f t="shared" si="20"/>
        <v>-338953.33</v>
      </c>
      <c r="F158" s="14">
        <f t="shared" si="20"/>
        <v>-9207277.3500000015</v>
      </c>
      <c r="G158" s="14">
        <f t="shared" si="20"/>
        <v>-71157.119999999995</v>
      </c>
      <c r="H158" s="14">
        <f t="shared" si="20"/>
        <v>-10253854.727584001</v>
      </c>
    </row>
    <row r="159" spans="1:8" x14ac:dyDescent="0.2">
      <c r="A159" s="18" t="s">
        <v>166</v>
      </c>
      <c r="B159" s="14">
        <f t="shared" ref="B159:H159" si="21">B51+B158</f>
        <v>4896.8699999999953</v>
      </c>
      <c r="C159" s="14">
        <f t="shared" si="21"/>
        <v>8521.2870819999662</v>
      </c>
      <c r="D159" s="14">
        <f t="shared" si="21"/>
        <v>-174986.04466399996</v>
      </c>
      <c r="E159" s="14">
        <f t="shared" si="21"/>
        <v>31760.8299999999</v>
      </c>
      <c r="F159" s="14">
        <f t="shared" si="21"/>
        <v>620240.52000000328</v>
      </c>
      <c r="G159" s="14">
        <f t="shared" si="21"/>
        <v>15213.989999999991</v>
      </c>
      <c r="H159" s="14">
        <f t="shared" si="21"/>
        <v>505647.45241800137</v>
      </c>
    </row>
    <row r="160" spans="1:8" x14ac:dyDescent="0.2">
      <c r="A160" s="7" t="s">
        <v>167</v>
      </c>
      <c r="B160" s="6"/>
      <c r="C160" s="6"/>
      <c r="D160" s="6"/>
      <c r="E160" s="6"/>
      <c r="F160" s="6"/>
      <c r="G160" s="6"/>
      <c r="H160" s="6"/>
    </row>
    <row r="161" spans="1:8" x14ac:dyDescent="0.2">
      <c r="A161" s="8" t="s">
        <v>168</v>
      </c>
      <c r="B161" s="6"/>
      <c r="C161" s="6"/>
      <c r="D161" s="6"/>
      <c r="E161" s="6"/>
      <c r="F161" s="6"/>
      <c r="G161" s="6"/>
      <c r="H161" s="6"/>
    </row>
    <row r="162" spans="1:8" x14ac:dyDescent="0.2">
      <c r="A162" s="19" t="s">
        <v>169</v>
      </c>
      <c r="B162" s="12">
        <v>0</v>
      </c>
      <c r="C162" s="12">
        <v>0</v>
      </c>
      <c r="D162" s="12">
        <v>0</v>
      </c>
      <c r="E162" s="12">
        <v>0</v>
      </c>
      <c r="F162" s="12">
        <v>15073.29</v>
      </c>
      <c r="G162" s="12">
        <v>1765.04</v>
      </c>
      <c r="H162" s="12">
        <f>SUM(B162:G162)</f>
        <v>16838.330000000002</v>
      </c>
    </row>
    <row r="163" spans="1:8" x14ac:dyDescent="0.2">
      <c r="A163" s="19" t="s">
        <v>170</v>
      </c>
      <c r="B163" s="12">
        <v>0</v>
      </c>
      <c r="C163" s="12">
        <v>0</v>
      </c>
      <c r="D163" s="12">
        <v>0</v>
      </c>
      <c r="E163" s="12">
        <v>0</v>
      </c>
      <c r="F163" s="12">
        <v>4999.6499999999996</v>
      </c>
      <c r="G163" s="12">
        <v>0</v>
      </c>
      <c r="H163" s="12">
        <f>SUM(B163:G163)</f>
        <v>4999.6499999999996</v>
      </c>
    </row>
    <row r="164" spans="1:8" x14ac:dyDescent="0.2">
      <c r="A164" s="16" t="s">
        <v>171</v>
      </c>
      <c r="B164" s="14">
        <f t="shared" ref="B164:H164" si="22">SUM(B162:B163)</f>
        <v>0</v>
      </c>
      <c r="C164" s="14">
        <f t="shared" si="22"/>
        <v>0</v>
      </c>
      <c r="D164" s="14">
        <f t="shared" si="22"/>
        <v>0</v>
      </c>
      <c r="E164" s="14">
        <f t="shared" si="22"/>
        <v>0</v>
      </c>
      <c r="F164" s="14">
        <f t="shared" si="22"/>
        <v>20072.940000000002</v>
      </c>
      <c r="G164" s="14">
        <f t="shared" si="22"/>
        <v>1765.04</v>
      </c>
      <c r="H164" s="14">
        <f t="shared" si="22"/>
        <v>21837.980000000003</v>
      </c>
    </row>
    <row r="165" spans="1:8" x14ac:dyDescent="0.2">
      <c r="A165" s="8" t="s">
        <v>172</v>
      </c>
      <c r="B165" s="6"/>
      <c r="C165" s="6"/>
      <c r="D165" s="6"/>
      <c r="E165" s="6"/>
      <c r="F165" s="6"/>
      <c r="G165" s="6"/>
      <c r="H165" s="6"/>
    </row>
    <row r="166" spans="1:8" x14ac:dyDescent="0.2">
      <c r="A166" s="19" t="s">
        <v>173</v>
      </c>
      <c r="B166" s="12">
        <v>0</v>
      </c>
      <c r="C166" s="12">
        <v>0</v>
      </c>
      <c r="D166" s="12">
        <v>0</v>
      </c>
      <c r="E166" s="12">
        <v>0</v>
      </c>
      <c r="F166" s="12">
        <v>-123</v>
      </c>
      <c r="G166" s="12">
        <v>0</v>
      </c>
      <c r="H166" s="12">
        <f>SUM(B166:G166)</f>
        <v>-123</v>
      </c>
    </row>
    <row r="167" spans="1:8" x14ac:dyDescent="0.2">
      <c r="A167" s="19" t="s">
        <v>174</v>
      </c>
      <c r="B167" s="12">
        <v>0</v>
      </c>
      <c r="C167" s="12">
        <v>0</v>
      </c>
      <c r="D167" s="12">
        <v>0</v>
      </c>
      <c r="E167" s="12">
        <v>19.79</v>
      </c>
      <c r="F167" s="12">
        <v>499.71</v>
      </c>
      <c r="G167" s="12">
        <v>119.06</v>
      </c>
      <c r="H167" s="12">
        <f>SUM(B167:G167)</f>
        <v>638.55999999999995</v>
      </c>
    </row>
    <row r="168" spans="1:8" x14ac:dyDescent="0.2">
      <c r="A168" s="19" t="s">
        <v>175</v>
      </c>
      <c r="B168" s="12">
        <v>3800.04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f>SUM(B168:G168)</f>
        <v>3800.04</v>
      </c>
    </row>
    <row r="169" spans="1:8" x14ac:dyDescent="0.2">
      <c r="A169" s="16" t="s">
        <v>176</v>
      </c>
      <c r="B169" s="14">
        <f t="shared" ref="B169:H169" si="23">SUM(B166:B168)</f>
        <v>3800.04</v>
      </c>
      <c r="C169" s="14">
        <f t="shared" si="23"/>
        <v>0</v>
      </c>
      <c r="D169" s="14">
        <f t="shared" si="23"/>
        <v>0</v>
      </c>
      <c r="E169" s="14">
        <f t="shared" si="23"/>
        <v>19.79</v>
      </c>
      <c r="F169" s="14">
        <f t="shared" si="23"/>
        <v>376.71</v>
      </c>
      <c r="G169" s="14">
        <f t="shared" si="23"/>
        <v>119.06</v>
      </c>
      <c r="H169" s="14">
        <f t="shared" si="23"/>
        <v>4315.6000000000004</v>
      </c>
    </row>
    <row r="170" spans="1:8" x14ac:dyDescent="0.2">
      <c r="A170" s="8" t="s">
        <v>177</v>
      </c>
      <c r="B170" s="6"/>
      <c r="C170" s="6"/>
      <c r="D170" s="6"/>
      <c r="E170" s="6"/>
      <c r="F170" s="6"/>
      <c r="G170" s="6"/>
      <c r="H170" s="6"/>
    </row>
    <row r="171" spans="1:8" x14ac:dyDescent="0.2">
      <c r="A171" s="19" t="s">
        <v>178</v>
      </c>
      <c r="B171" s="12">
        <v>0</v>
      </c>
      <c r="C171" s="12">
        <v>13886.696488</v>
      </c>
      <c r="D171" s="12">
        <v>0</v>
      </c>
      <c r="E171" s="12">
        <v>0</v>
      </c>
      <c r="F171" s="12">
        <v>0</v>
      </c>
      <c r="G171" s="12">
        <v>0</v>
      </c>
      <c r="H171" s="12">
        <f>SUM(B171:G171)</f>
        <v>13886.696488</v>
      </c>
    </row>
    <row r="172" spans="1:8" x14ac:dyDescent="0.2">
      <c r="A172" s="19" t="s">
        <v>179</v>
      </c>
      <c r="B172" s="12">
        <v>0</v>
      </c>
      <c r="C172" s="12">
        <v>0</v>
      </c>
      <c r="D172" s="12">
        <v>0</v>
      </c>
      <c r="E172" s="12">
        <v>-1031.9100000000001</v>
      </c>
      <c r="F172" s="12">
        <v>0</v>
      </c>
      <c r="G172" s="12">
        <v>0</v>
      </c>
      <c r="H172" s="12">
        <f>SUM(B172:G172)</f>
        <v>-1031.9100000000001</v>
      </c>
    </row>
    <row r="173" spans="1:8" x14ac:dyDescent="0.2">
      <c r="A173" s="19" t="s">
        <v>180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2">
        <v>-16</v>
      </c>
      <c r="H173" s="12">
        <f>SUM(B173:G173)</f>
        <v>-16</v>
      </c>
    </row>
    <row r="174" spans="1:8" x14ac:dyDescent="0.2">
      <c r="A174" s="19" t="s">
        <v>181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2">
        <v>-3800.04</v>
      </c>
      <c r="H174" s="12">
        <f>SUM(B174:G174)</f>
        <v>-3800.04</v>
      </c>
    </row>
    <row r="175" spans="1:8" x14ac:dyDescent="0.2">
      <c r="A175" s="16" t="s">
        <v>182</v>
      </c>
      <c r="B175" s="14">
        <f t="shared" ref="B175:H175" si="24">SUM(B171:B174)</f>
        <v>0</v>
      </c>
      <c r="C175" s="14">
        <f t="shared" si="24"/>
        <v>13886.696488</v>
      </c>
      <c r="D175" s="14">
        <f t="shared" si="24"/>
        <v>0</v>
      </c>
      <c r="E175" s="14">
        <f t="shared" si="24"/>
        <v>-1031.9100000000001</v>
      </c>
      <c r="F175" s="14">
        <f t="shared" si="24"/>
        <v>0</v>
      </c>
      <c r="G175" s="14">
        <f t="shared" si="24"/>
        <v>-3816.04</v>
      </c>
      <c r="H175" s="14">
        <f t="shared" si="24"/>
        <v>9038.7464880000007</v>
      </c>
    </row>
    <row r="176" spans="1:8" x14ac:dyDescent="0.2">
      <c r="A176" s="18" t="s">
        <v>183</v>
      </c>
      <c r="B176" s="14">
        <f t="shared" ref="B176:H176" si="25">0+B164+B169+0+B175</f>
        <v>3800.04</v>
      </c>
      <c r="C176" s="14">
        <f t="shared" si="25"/>
        <v>13886.696488</v>
      </c>
      <c r="D176" s="14">
        <f t="shared" si="25"/>
        <v>0</v>
      </c>
      <c r="E176" s="14">
        <f t="shared" si="25"/>
        <v>-1012.1200000000001</v>
      </c>
      <c r="F176" s="14">
        <f t="shared" si="25"/>
        <v>20449.650000000001</v>
      </c>
      <c r="G176" s="14">
        <f t="shared" si="25"/>
        <v>-1931.94</v>
      </c>
      <c r="H176" s="14">
        <f t="shared" si="25"/>
        <v>35192.326488000006</v>
      </c>
    </row>
    <row r="177" spans="1:8" x14ac:dyDescent="0.2">
      <c r="A177" s="7" t="s">
        <v>184</v>
      </c>
      <c r="B177" s="6"/>
      <c r="C177" s="6"/>
      <c r="D177" s="6"/>
      <c r="E177" s="6"/>
      <c r="F177" s="6"/>
      <c r="G177" s="6"/>
      <c r="H177" s="6"/>
    </row>
    <row r="178" spans="1:8" x14ac:dyDescent="0.2">
      <c r="A178" s="20" t="s">
        <v>185</v>
      </c>
      <c r="B178" s="12">
        <v>0</v>
      </c>
      <c r="C178" s="12">
        <v>0</v>
      </c>
      <c r="D178" s="12">
        <v>0</v>
      </c>
      <c r="E178" s="12">
        <v>0</v>
      </c>
      <c r="F178" s="12">
        <v>-179.62</v>
      </c>
      <c r="G178" s="12">
        <v>-1.63</v>
      </c>
      <c r="H178" s="12">
        <f t="shared" ref="H178:H184" si="26">SUM(B178:G178)</f>
        <v>-181.25</v>
      </c>
    </row>
    <row r="179" spans="1:8" x14ac:dyDescent="0.2">
      <c r="A179" s="20" t="s">
        <v>186</v>
      </c>
      <c r="B179" s="12">
        <v>0</v>
      </c>
      <c r="C179" s="12">
        <v>0</v>
      </c>
      <c r="D179" s="12">
        <v>0</v>
      </c>
      <c r="E179" s="12">
        <v>0</v>
      </c>
      <c r="F179" s="12">
        <v>-5.04</v>
      </c>
      <c r="G179" s="12">
        <v>0</v>
      </c>
      <c r="H179" s="12">
        <f t="shared" si="26"/>
        <v>-5.04</v>
      </c>
    </row>
    <row r="180" spans="1:8" x14ac:dyDescent="0.2">
      <c r="A180" s="20" t="s">
        <v>187</v>
      </c>
      <c r="B180" s="12">
        <v>-1304</v>
      </c>
      <c r="C180" s="12">
        <v>-1349.6554699999999</v>
      </c>
      <c r="D180" s="12">
        <v>0</v>
      </c>
      <c r="E180" s="12">
        <v>-1750</v>
      </c>
      <c r="F180" s="12">
        <v>-92575</v>
      </c>
      <c r="G180" s="12">
        <v>-1962</v>
      </c>
      <c r="H180" s="12">
        <f t="shared" si="26"/>
        <v>-98940.655469999998</v>
      </c>
    </row>
    <row r="181" spans="1:8" x14ac:dyDescent="0.2">
      <c r="A181" s="20" t="s">
        <v>188</v>
      </c>
      <c r="B181" s="12">
        <v>0</v>
      </c>
      <c r="C181" s="12">
        <v>0</v>
      </c>
      <c r="D181" s="12">
        <v>0</v>
      </c>
      <c r="E181" s="12">
        <v>1250</v>
      </c>
      <c r="F181" s="12">
        <v>0</v>
      </c>
      <c r="G181" s="12">
        <v>0</v>
      </c>
      <c r="H181" s="12">
        <f t="shared" si="26"/>
        <v>1250</v>
      </c>
    </row>
    <row r="182" spans="1:8" x14ac:dyDescent="0.2">
      <c r="A182" s="20" t="s">
        <v>189</v>
      </c>
      <c r="B182" s="12">
        <v>-71.72</v>
      </c>
      <c r="C182" s="12">
        <v>0</v>
      </c>
      <c r="D182" s="12">
        <v>0</v>
      </c>
      <c r="E182" s="12">
        <v>0</v>
      </c>
      <c r="F182" s="12">
        <v>-5091.8500000000004</v>
      </c>
      <c r="G182" s="12">
        <v>-107.93</v>
      </c>
      <c r="H182" s="12">
        <f t="shared" si="26"/>
        <v>-5271.5000000000009</v>
      </c>
    </row>
    <row r="183" spans="1:8" x14ac:dyDescent="0.2">
      <c r="A183" s="20" t="s">
        <v>190</v>
      </c>
      <c r="B183" s="12">
        <v>-1097.2</v>
      </c>
      <c r="C183" s="12">
        <v>0</v>
      </c>
      <c r="D183" s="12">
        <v>0</v>
      </c>
      <c r="E183" s="12">
        <v>0</v>
      </c>
      <c r="F183" s="12">
        <v>-86313</v>
      </c>
      <c r="G183" s="12">
        <v>-1686</v>
      </c>
      <c r="H183" s="12">
        <f t="shared" si="26"/>
        <v>-89096.2</v>
      </c>
    </row>
    <row r="184" spans="1:8" x14ac:dyDescent="0.2">
      <c r="A184" s="20" t="s">
        <v>191</v>
      </c>
      <c r="B184" s="12">
        <v>0</v>
      </c>
      <c r="C184" s="12">
        <v>0</v>
      </c>
      <c r="D184" s="12">
        <v>0</v>
      </c>
      <c r="E184" s="12">
        <v>0</v>
      </c>
      <c r="F184" s="12">
        <v>-3269.55</v>
      </c>
      <c r="G184" s="12">
        <v>-29.77</v>
      </c>
      <c r="H184" s="12">
        <f t="shared" si="26"/>
        <v>-3299.32</v>
      </c>
    </row>
    <row r="185" spans="1:8" x14ac:dyDescent="0.2">
      <c r="A185" s="18" t="s">
        <v>192</v>
      </c>
      <c r="B185" s="14">
        <f t="shared" ref="B185:H185" si="27">SUM(B178:B184)</f>
        <v>-2472.92</v>
      </c>
      <c r="C185" s="14">
        <f t="shared" si="27"/>
        <v>-1349.6554699999999</v>
      </c>
      <c r="D185" s="14">
        <f t="shared" si="27"/>
        <v>0</v>
      </c>
      <c r="E185" s="14">
        <f t="shared" si="27"/>
        <v>-500</v>
      </c>
      <c r="F185" s="14">
        <f t="shared" si="27"/>
        <v>-187434.06</v>
      </c>
      <c r="G185" s="14">
        <f t="shared" si="27"/>
        <v>-3787.33</v>
      </c>
      <c r="H185" s="14">
        <f t="shared" si="27"/>
        <v>-195543.96547</v>
      </c>
    </row>
    <row r="186" spans="1:8" x14ac:dyDescent="0.2">
      <c r="A186" s="7" t="s">
        <v>193</v>
      </c>
      <c r="B186" s="6"/>
      <c r="C186" s="6"/>
      <c r="D186" s="6"/>
      <c r="E186" s="6"/>
      <c r="F186" s="6"/>
      <c r="G186" s="6"/>
      <c r="H186" s="6"/>
    </row>
    <row r="187" spans="1:8" x14ac:dyDescent="0.2">
      <c r="A187" s="20" t="s">
        <v>194</v>
      </c>
      <c r="B187" s="12">
        <v>0</v>
      </c>
      <c r="C187" s="12">
        <v>0</v>
      </c>
      <c r="D187" s="12">
        <v>0</v>
      </c>
      <c r="E187" s="12">
        <v>0</v>
      </c>
      <c r="F187" s="12">
        <v>-2260</v>
      </c>
      <c r="G187" s="12">
        <v>0</v>
      </c>
      <c r="H187" s="12">
        <f>SUM(B187:G187)</f>
        <v>-2260</v>
      </c>
    </row>
    <row r="188" spans="1:8" x14ac:dyDescent="0.2">
      <c r="A188" s="18" t="s">
        <v>195</v>
      </c>
      <c r="B188" s="14">
        <f t="shared" ref="B188:H188" si="28">SUM(B187)</f>
        <v>0</v>
      </c>
      <c r="C188" s="14">
        <f t="shared" si="28"/>
        <v>0</v>
      </c>
      <c r="D188" s="14">
        <f t="shared" si="28"/>
        <v>0</v>
      </c>
      <c r="E188" s="14">
        <f t="shared" si="28"/>
        <v>0</v>
      </c>
      <c r="F188" s="14">
        <f t="shared" si="28"/>
        <v>-2260</v>
      </c>
      <c r="G188" s="14">
        <f t="shared" si="28"/>
        <v>0</v>
      </c>
      <c r="H188" s="14">
        <f t="shared" si="28"/>
        <v>-2260</v>
      </c>
    </row>
    <row r="189" spans="1:8" x14ac:dyDescent="0.2">
      <c r="A189" s="21" t="s">
        <v>196</v>
      </c>
      <c r="B189" s="14">
        <f t="shared" ref="B189:H189" si="29">B159+B176+B185+B188</f>
        <v>6223.9899999999961</v>
      </c>
      <c r="C189" s="14">
        <f t="shared" si="29"/>
        <v>21058.328099999966</v>
      </c>
      <c r="D189" s="14">
        <f t="shared" si="29"/>
        <v>-174986.04466399996</v>
      </c>
      <c r="E189" s="14">
        <f t="shared" si="29"/>
        <v>30248.709999999901</v>
      </c>
      <c r="F189" s="14">
        <f t="shared" si="29"/>
        <v>450996.1100000033</v>
      </c>
      <c r="G189" s="14">
        <f t="shared" si="29"/>
        <v>9494.7199999999903</v>
      </c>
      <c r="H189" s="14">
        <f t="shared" si="29"/>
        <v>343035.81343600136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2023-08-08T21:21:33Z</dcterms:created>
  <dcterms:modified xsi:type="dcterms:W3CDTF">2023-08-08T21:22:07Z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