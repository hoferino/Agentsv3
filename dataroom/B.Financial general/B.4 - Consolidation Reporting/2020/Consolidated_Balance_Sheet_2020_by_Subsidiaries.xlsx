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0\"/>
    </mc:Choice>
  </mc:AlternateContent>
  <xr:revisionPtr revIDLastSave="0" documentId="13_ncr:1_{3022DFB7-AEDB-4C32-8112-546BD61DDC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GBalanceSheetConsoli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6" i="1" l="1"/>
  <c r="F176" i="1"/>
  <c r="E176" i="1"/>
  <c r="D176" i="1"/>
  <c r="C176" i="1"/>
  <c r="B176" i="1"/>
  <c r="H175" i="1"/>
  <c r="H174" i="1"/>
  <c r="H176" i="1" s="1"/>
  <c r="G170" i="1"/>
  <c r="F170" i="1"/>
  <c r="E170" i="1"/>
  <c r="D170" i="1"/>
  <c r="C170" i="1"/>
  <c r="B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G152" i="1"/>
  <c r="F152" i="1"/>
  <c r="E152" i="1"/>
  <c r="D152" i="1"/>
  <c r="C152" i="1"/>
  <c r="B152" i="1"/>
  <c r="H151" i="1"/>
  <c r="H150" i="1"/>
  <c r="H149" i="1"/>
  <c r="H147" i="1"/>
  <c r="G147" i="1"/>
  <c r="F147" i="1"/>
  <c r="E147" i="1"/>
  <c r="D147" i="1"/>
  <c r="D171" i="1" s="1"/>
  <c r="C147" i="1"/>
  <c r="B147" i="1"/>
  <c r="B171" i="1" s="1"/>
  <c r="H146" i="1"/>
  <c r="G142" i="1"/>
  <c r="G143" i="1" s="1"/>
  <c r="F142" i="1"/>
  <c r="E142" i="1"/>
  <c r="D142" i="1"/>
  <c r="C142" i="1"/>
  <c r="B142" i="1"/>
  <c r="H141" i="1"/>
  <c r="H140" i="1"/>
  <c r="H139" i="1"/>
  <c r="H138" i="1"/>
  <c r="H137" i="1"/>
  <c r="H136" i="1"/>
  <c r="G134" i="1"/>
  <c r="F134" i="1"/>
  <c r="E134" i="1"/>
  <c r="D134" i="1"/>
  <c r="D143" i="1" s="1"/>
  <c r="C134" i="1"/>
  <c r="B134" i="1"/>
  <c r="H133" i="1"/>
  <c r="H132" i="1"/>
  <c r="H131" i="1"/>
  <c r="H126" i="1"/>
  <c r="H125" i="1"/>
  <c r="H124" i="1"/>
  <c r="G123" i="1"/>
  <c r="G127" i="1" s="1"/>
  <c r="F123" i="1"/>
  <c r="F127" i="1" s="1"/>
  <c r="E123" i="1"/>
  <c r="E127" i="1" s="1"/>
  <c r="D123" i="1"/>
  <c r="D127" i="1" s="1"/>
  <c r="C123" i="1"/>
  <c r="C127" i="1" s="1"/>
  <c r="B123" i="1"/>
  <c r="B127" i="1" s="1"/>
  <c r="H122" i="1"/>
  <c r="H123" i="1" s="1"/>
  <c r="G116" i="1"/>
  <c r="F116" i="1"/>
  <c r="E116" i="1"/>
  <c r="D116" i="1"/>
  <c r="C116" i="1"/>
  <c r="B116" i="1"/>
  <c r="H115" i="1"/>
  <c r="H116" i="1" s="1"/>
  <c r="G110" i="1"/>
  <c r="F110" i="1"/>
  <c r="E110" i="1"/>
  <c r="D110" i="1"/>
  <c r="C110" i="1"/>
  <c r="B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0" i="1"/>
  <c r="G90" i="1"/>
  <c r="F90" i="1"/>
  <c r="E90" i="1"/>
  <c r="D90" i="1"/>
  <c r="C90" i="1"/>
  <c r="C111" i="1" s="1"/>
  <c r="B90" i="1"/>
  <c r="H89" i="1"/>
  <c r="G85" i="1"/>
  <c r="F85" i="1"/>
  <c r="E85" i="1"/>
  <c r="D85" i="1"/>
  <c r="C85" i="1"/>
  <c r="B85" i="1"/>
  <c r="H84" i="1"/>
  <c r="H83" i="1"/>
  <c r="H82" i="1"/>
  <c r="H81" i="1"/>
  <c r="H80" i="1"/>
  <c r="H79" i="1"/>
  <c r="H78" i="1"/>
  <c r="H77" i="1"/>
  <c r="H76" i="1"/>
  <c r="H75" i="1"/>
  <c r="G73" i="1"/>
  <c r="F73" i="1"/>
  <c r="E73" i="1"/>
  <c r="E86" i="1" s="1"/>
  <c r="D73" i="1"/>
  <c r="C73" i="1"/>
  <c r="B73" i="1"/>
  <c r="H72" i="1"/>
  <c r="H71" i="1"/>
  <c r="H70" i="1"/>
  <c r="H69" i="1"/>
  <c r="H68" i="1"/>
  <c r="H67" i="1"/>
  <c r="G65" i="1"/>
  <c r="F65" i="1"/>
  <c r="E65" i="1"/>
  <c r="D65" i="1"/>
  <c r="C65" i="1"/>
  <c r="C86" i="1" s="1"/>
  <c r="B65" i="1"/>
  <c r="H64" i="1"/>
  <c r="H63" i="1"/>
  <c r="H62" i="1"/>
  <c r="H61" i="1"/>
  <c r="G54" i="1"/>
  <c r="F54" i="1"/>
  <c r="E54" i="1"/>
  <c r="D54" i="1"/>
  <c r="C54" i="1"/>
  <c r="B54" i="1"/>
  <c r="H53" i="1"/>
  <c r="H54" i="1" s="1"/>
  <c r="G51" i="1"/>
  <c r="F51" i="1"/>
  <c r="E51" i="1"/>
  <c r="D51" i="1"/>
  <c r="C51" i="1"/>
  <c r="B51" i="1"/>
  <c r="H50" i="1"/>
  <c r="H51" i="1" s="1"/>
  <c r="G48" i="1"/>
  <c r="F48" i="1"/>
  <c r="E48" i="1"/>
  <c r="D48" i="1"/>
  <c r="C48" i="1"/>
  <c r="B48" i="1"/>
  <c r="H47" i="1"/>
  <c r="H46" i="1"/>
  <c r="G44" i="1"/>
  <c r="F44" i="1"/>
  <c r="E44" i="1"/>
  <c r="D44" i="1"/>
  <c r="C44" i="1"/>
  <c r="B44" i="1"/>
  <c r="H43" i="1"/>
  <c r="H44" i="1" s="1"/>
  <c r="G39" i="1"/>
  <c r="F39" i="1"/>
  <c r="E39" i="1"/>
  <c r="D39" i="1"/>
  <c r="C39" i="1"/>
  <c r="B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G24" i="1"/>
  <c r="F24" i="1"/>
  <c r="F40" i="1" s="1"/>
  <c r="E24" i="1"/>
  <c r="E40" i="1" s="1"/>
  <c r="D24" i="1"/>
  <c r="C24" i="1"/>
  <c r="B24" i="1"/>
  <c r="H23" i="1"/>
  <c r="H22" i="1"/>
  <c r="H21" i="1"/>
  <c r="H20" i="1"/>
  <c r="H24" i="1" s="1"/>
  <c r="G16" i="1"/>
  <c r="F16" i="1"/>
  <c r="E16" i="1"/>
  <c r="D16" i="1"/>
  <c r="C16" i="1"/>
  <c r="B16" i="1"/>
  <c r="H15" i="1"/>
  <c r="H14" i="1"/>
  <c r="H16" i="1" s="1"/>
  <c r="G12" i="1"/>
  <c r="G17" i="1" s="1"/>
  <c r="F12" i="1"/>
  <c r="F17" i="1" s="1"/>
  <c r="E12" i="1"/>
  <c r="D12" i="1"/>
  <c r="D17" i="1" s="1"/>
  <c r="C12" i="1"/>
  <c r="C17" i="1" s="1"/>
  <c r="B12" i="1"/>
  <c r="B17" i="1" s="1"/>
  <c r="H11" i="1"/>
  <c r="H10" i="1"/>
  <c r="H12" i="1" s="1"/>
  <c r="H17" i="1" s="1"/>
  <c r="C55" i="1" l="1"/>
  <c r="H127" i="1"/>
  <c r="E17" i="1"/>
  <c r="G171" i="1"/>
  <c r="F55" i="1"/>
  <c r="H48" i="1"/>
  <c r="H55" i="1" s="1"/>
  <c r="H73" i="1"/>
  <c r="D86" i="1"/>
  <c r="E111" i="1"/>
  <c r="E112" i="1" s="1"/>
  <c r="C40" i="1"/>
  <c r="E171" i="1"/>
  <c r="E143" i="1"/>
  <c r="E178" i="1" s="1"/>
  <c r="D40" i="1"/>
  <c r="G55" i="1"/>
  <c r="G86" i="1"/>
  <c r="D111" i="1"/>
  <c r="H152" i="1"/>
  <c r="H171" i="1" s="1"/>
  <c r="D112" i="1"/>
  <c r="H170" i="1"/>
  <c r="B40" i="1"/>
  <c r="F111" i="1"/>
  <c r="G178" i="1"/>
  <c r="H134" i="1"/>
  <c r="C171" i="1"/>
  <c r="B55" i="1"/>
  <c r="B86" i="1"/>
  <c r="F86" i="1"/>
  <c r="G111" i="1"/>
  <c r="H142" i="1"/>
  <c r="H39" i="1"/>
  <c r="D55" i="1"/>
  <c r="H85" i="1"/>
  <c r="H110" i="1"/>
  <c r="H111" i="1" s="1"/>
  <c r="B143" i="1"/>
  <c r="B178" i="1" s="1"/>
  <c r="F143" i="1"/>
  <c r="F171" i="1"/>
  <c r="H65" i="1"/>
  <c r="G40" i="1"/>
  <c r="G56" i="1" s="1"/>
  <c r="E55" i="1"/>
  <c r="E56" i="1" s="1"/>
  <c r="B111" i="1"/>
  <c r="C143" i="1"/>
  <c r="C178" i="1" s="1"/>
  <c r="D178" i="1"/>
  <c r="F56" i="1"/>
  <c r="H40" i="1"/>
  <c r="C112" i="1"/>
  <c r="C56" i="1"/>
  <c r="C117" i="1" s="1"/>
  <c r="D56" i="1" l="1"/>
  <c r="D117" i="1" s="1"/>
  <c r="H143" i="1"/>
  <c r="H178" i="1" s="1"/>
  <c r="F178" i="1"/>
  <c r="F112" i="1"/>
  <c r="F117" i="1"/>
  <c r="B56" i="1"/>
  <c r="H112" i="1"/>
  <c r="H56" i="1"/>
  <c r="B112" i="1"/>
  <c r="H86" i="1"/>
  <c r="G112" i="1"/>
  <c r="E117" i="1"/>
  <c r="G117" i="1"/>
  <c r="B117" i="1" l="1"/>
  <c r="H117" i="1"/>
</calcChain>
</file>

<file path=xl/sharedStrings.xml><?xml version="1.0" encoding="utf-8"?>
<sst xmlns="http://schemas.openxmlformats.org/spreadsheetml/2006/main" count="186" uniqueCount="179">
  <si>
    <t>PROMATIS software GmbH</t>
  </si>
  <si>
    <t>Firma (Consolidated)</t>
  </si>
  <si>
    <t>PG Balance Sheet Consolidated</t>
  </si>
  <si>
    <t>End of Adjust 2020</t>
  </si>
  <si>
    <t>Financial Row</t>
  </si>
  <si>
    <t>Horus software GmbH</t>
  </si>
  <si>
    <t>PROMATIS AG</t>
  </si>
  <si>
    <t>PROMATIS Corp.</t>
  </si>
  <si>
    <t>PROMATIS GmbH</t>
  </si>
  <si>
    <t>SEGRA GmbH</t>
  </si>
  <si>
    <t>Total</t>
  </si>
  <si>
    <t> </t>
  </si>
  <si>
    <t>Amount (Book 1)</t>
  </si>
  <si>
    <t>ASSETS</t>
  </si>
  <si>
    <t>A. Fixed assets</t>
  </si>
  <si>
    <t>I. Intangible assets</t>
  </si>
  <si>
    <t>2. Purchased concessions rights, assets and licences</t>
  </si>
  <si>
    <t>013510 - Accumulated depreciation of data processing software</t>
  </si>
  <si>
    <t>013500 - Computer software</t>
  </si>
  <si>
    <t>Total Purchased concessions rights, assets and licences</t>
  </si>
  <si>
    <t>3. Goodwill</t>
  </si>
  <si>
    <t>015010 - Accumulated depreciation goodwill</t>
  </si>
  <si>
    <t>015000 - Goodwill</t>
  </si>
  <si>
    <t>Total Goodwill</t>
  </si>
  <si>
    <t>Total Intangible assets</t>
  </si>
  <si>
    <t>II. Tangible assets</t>
  </si>
  <si>
    <t>2. Technical equipment and machinery</t>
  </si>
  <si>
    <t>044010 - Accumulated depreciation- personal computers and machinery</t>
  </si>
  <si>
    <t>042010 - Accumulated depreciation-Technical equipment</t>
  </si>
  <si>
    <t>044000 - Machinery</t>
  </si>
  <si>
    <t>042000 - Technical equipment</t>
  </si>
  <si>
    <t>Total Technical equipment and machinery</t>
  </si>
  <si>
    <t>3. Other equipment, operating and office equipment</t>
  </si>
  <si>
    <t>067020 - Accumulated depr. low value assets - software</t>
  </si>
  <si>
    <t>067060 - Accumulated depreciation - low value assets - hardware</t>
  </si>
  <si>
    <t>052010 - Accumulated depreciation - passenger cars</t>
  </si>
  <si>
    <t>067040 - Accumulated depreciation- low value economic goods</t>
  </si>
  <si>
    <t>067080 - Accumulated depreciation-Low-value assets</t>
  </si>
  <si>
    <t>063010 - Accumulated depreciation-operating equipment</t>
  </si>
  <si>
    <t>067010 - Low value assets - software</t>
  </si>
  <si>
    <t>067070 - Low-value assets</t>
  </si>
  <si>
    <t>063500 - Office equipment</t>
  </si>
  <si>
    <t>063000 - Operating equipment</t>
  </si>
  <si>
    <t>052000 - Passenger cars</t>
  </si>
  <si>
    <t>067050 - low value assets - hardware</t>
  </si>
  <si>
    <t>067030 - low value economic goods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</si>
  <si>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</si>
  <si>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</si>
  <si>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</si>
  <si>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</si>
  <si>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</si>
  <si>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</si>
  <si>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5. Long-term securities</t>
  </si>
  <si>
    <t>090100 - Long-term securities,Union Investment</t>
  </si>
  <si>
    <t>090200 - Long-term-securities, Merck Finck</t>
  </si>
  <si>
    <t>Total Long-term securities</t>
  </si>
  <si>
    <t>6. Other loans</t>
  </si>
  <si>
    <t>096100 - Loans to GmbH shareholders</t>
  </si>
  <si>
    <t>Total Other loans</t>
  </si>
  <si>
    <t>7. Cooperative shares</t>
  </si>
  <si>
    <t>098000 - Long-term shares in cooperatives</t>
  </si>
  <si>
    <t>Total Cooperative shares</t>
  </si>
  <si>
    <t>New Formula Row</t>
  </si>
  <si>
    <t>Total Fixed assets</t>
  </si>
  <si>
    <t>B. Current assets</t>
  </si>
  <si>
    <t>II. Trade receivables and other receivables</t>
  </si>
  <si>
    <t>1. Trade receivables</t>
  </si>
  <si>
    <t>120201 - Creditors with debit balances - Assets</t>
  </si>
  <si>
    <t>124800 - Global valuation allowance on receivables due within 1 year</t>
  </si>
  <si>
    <t>124600 - Specific valuation allowances on receivab. due within 1 year</t>
  </si>
  <si>
    <t>120100 - Trade receivables</t>
  </si>
  <si>
    <t>Total Trade receivables</t>
  </si>
  <si>
    <t>340108 - Liabilities ag. PROMATIS GmbH (AT)</t>
  </si>
  <si>
    <t>340101 - Liabilities ag. PROMATIS software GmbH</t>
  </si>
  <si>
    <t>340500 - Liabilities to affiliated companies - due betw 1 and 5 years</t>
  </si>
  <si>
    <t>127108 - Receivables from PROMATIS GmbH (AT)</t>
  </si>
  <si>
    <t>127101 - Receivables from PROMATIS software GmbH</t>
  </si>
  <si>
    <t>126000 - Receivables from affiliated companies</t>
  </si>
  <si>
    <t>6. Other receivables and other assets</t>
  </si>
  <si>
    <t>138300 - Assets for offset. with obligatoins under s. 246(2) HGB</t>
  </si>
  <si>
    <t>138200 - Assets to settle obligations comp. to post-employ. benefits</t>
  </si>
  <si>
    <t>137000 - Items in transit</t>
  </si>
  <si>
    <t>130000 - Other assets</t>
  </si>
  <si>
    <t>134000 - Receivables from employees (payroll)</t>
  </si>
  <si>
    <t>134100 - Receivables from employees (payroll) - due within 1 year</t>
  </si>
  <si>
    <t>143500 - Receivables from trade tax overpayments</t>
  </si>
  <si>
    <t>145000 - Reclaimed corporate income tax</t>
  </si>
  <si>
    <t>135000 - Security deposits</t>
  </si>
  <si>
    <t>142000 - VAT receivables</t>
  </si>
  <si>
    <t>Total Other receivables and other assets</t>
  </si>
  <si>
    <t>Total Trade receivables and other receivables</t>
  </si>
  <si>
    <t>IV. Cash-in-hand, central / bank balances and cheques</t>
  </si>
  <si>
    <t>1. Cash-in-hand</t>
  </si>
  <si>
    <t>160001 - Petty cash PROMATIS Ettlingen</t>
  </si>
  <si>
    <t>Total Cash-in-hand</t>
  </si>
  <si>
    <t>3. Bank</t>
  </si>
  <si>
    <t>180081 - AMG Bank - PROMATIS US</t>
  </si>
  <si>
    <t>180014 - BMW Bank Tagesgeld -5005023817- PROMATIS D</t>
  </si>
  <si>
    <t>180067 - BMW Bank Tagesgeld -5006221310- SEGRA</t>
  </si>
  <si>
    <t>189007 - Cash invest, short-term CM PROMATIS (US)</t>
  </si>
  <si>
    <t>180042 - Clearing Volksbank Girokonto -60538409</t>
  </si>
  <si>
    <t>180027 - Commerzbank Ettlingen Girokonto -4688818- PROMATIS D</t>
  </si>
  <si>
    <t>180074 - Merck Finck Girokonto Verm.-verw. -1050667123- PROMATIS D</t>
  </si>
  <si>
    <t>180017 - Südwestbank Girokonto -573872007- PROMATIS D</t>
  </si>
  <si>
    <t>180021 - Südwestbank Tagesgeld -573872031- PROMATIS D</t>
  </si>
  <si>
    <t>180090 - VoBa Steiermark Girokonto -AT394477012579000000- PROMATIS AT</t>
  </si>
  <si>
    <t>180041 - Volksbank Girokonto -60538409- SEGRA</t>
  </si>
  <si>
    <t>180011 - Volksbank KA Währungskonto USD -465106271- PROMATIS D</t>
  </si>
  <si>
    <t>180034 - Volksbank Karlsruhe Girokonto -10138965- Horus</t>
  </si>
  <si>
    <t>180001 - Volksbank Karlsruhe Girokonto -54916302- PROMATIS D</t>
  </si>
  <si>
    <t>180005 - Volksbank Karlsruhe Profitkonto -30063082- PROMATIS D</t>
  </si>
  <si>
    <t>180037 - Volksbank Karlsruhe Tagesgeld- Horus</t>
  </si>
  <si>
    <t>180094 - WF Checking - PROMATIS US</t>
  </si>
  <si>
    <t>180091 - ZKB 1100-6026.364 - PROMATIS CH</t>
  </si>
  <si>
    <t>Total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</si>
  <si>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</si>
  <si>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</si>
  <si>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</si>
  <si>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</si>
  <si>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</si>
  <si>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</si>
  <si>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</si>
  <si>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Equity</t>
  </si>
  <si>
    <t>290000 - Subscribed capital</t>
  </si>
  <si>
    <t>Total - Equity</t>
  </si>
  <si>
    <t>Retained Earnings</t>
  </si>
  <si>
    <t>Net Income</t>
  </si>
  <si>
    <t>Cumulative Translation Adjustment</t>
  </si>
  <si>
    <t>Total Equity</t>
  </si>
  <si>
    <t>B. Provisions</t>
  </si>
  <si>
    <t>2. Provision for taxes</t>
  </si>
  <si>
    <t>304000 - Provision for corporate income tax</t>
  </si>
  <si>
    <t>303000 - Provision for trade tax</t>
  </si>
  <si>
    <t>303500 - Provision for trade tax, section 4(5b) EStG</t>
  </si>
  <si>
    <t>Total Provision for taxes</t>
  </si>
  <si>
    <t>3. Other provisions</t>
  </si>
  <si>
    <t>307000 - Other provisions</t>
  </si>
  <si>
    <t>309500 - Provisions for period-end closing and audit costs</t>
  </si>
  <si>
    <t>307400 - Provisions for personnel expenses</t>
  </si>
  <si>
    <t>309600 - Provisions for record retention obligations</t>
  </si>
  <si>
    <t>308600 - Provisions for services</t>
  </si>
  <si>
    <t>307900 - Provisions for vacation pay</t>
  </si>
  <si>
    <t>Total Other provisions</t>
  </si>
  <si>
    <t>Total Provisions</t>
  </si>
  <si>
    <t>C. Liabilities</t>
  </si>
  <si>
    <t>2. Liabilities to banks</t>
  </si>
  <si>
    <t>315100 - Liabilities to banks - due within 1 year</t>
  </si>
  <si>
    <t>Total Liabilities to banks</t>
  </si>
  <si>
    <t>4. Trade payables</t>
  </si>
  <si>
    <t>330201 - Creditors with debit balances - Liabilities</t>
  </si>
  <si>
    <t>330000 - Trade payables</t>
  </si>
  <si>
    <t>330100 - Trade payables starting with 2016</t>
  </si>
  <si>
    <t>Total Trade payables</t>
  </si>
  <si>
    <t>8. Other liabilities</t>
  </si>
  <si>
    <t>372510 - BAV - Die Stuttgarter</t>
  </si>
  <si>
    <t>383200 - Back taxes, VAT return line 65</t>
  </si>
  <si>
    <t>146000 - Cash in Transit</t>
  </si>
  <si>
    <t>361000 - Credit card settlements</t>
  </si>
  <si>
    <t>374022 - KK_mhplus BKK</t>
  </si>
  <si>
    <t>372500 - Liabilities for amounts withheld from employees</t>
  </si>
  <si>
    <t>370000 - Liabilities from taxes and levies</t>
  </si>
  <si>
    <t>370100 - Liabilities from taxes and levies - due within 1 year</t>
  </si>
  <si>
    <t>352100 - Loans by typical silent partners - due within 1 year</t>
  </si>
  <si>
    <t>350000 - Other liabilities</t>
  </si>
  <si>
    <t>379000 - Payroll allocation</t>
  </si>
  <si>
    <t>372000 - Payroll liabilities</t>
  </si>
  <si>
    <t>374000 - Social security liabilities</t>
  </si>
  <si>
    <t>382000 - VAT prepayments</t>
  </si>
  <si>
    <t>386000 - Vat liabilities</t>
  </si>
  <si>
    <t>373000 - Wage and church tax payables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</si>
  <si>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</si>
  <si>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</si>
  <si>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</si>
  <si>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</si>
  <si>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</si>
  <si>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</si>
  <si>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</si>
  <si>
    <t>2. Receivables and Liabilities from affiliated companies</t>
  </si>
  <si>
    <t>Total Receivables and Liabilities from affiliated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</si>
</sst>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  <border>
      <left/>
      <right/>
      <top style="dotted">
        <color rgb="FFC0C0C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indent="1"/>
    </xf>
    <xf numFmtId="0" fontId="21" fillId="0" borderId="0" xfId="0" applyFont="1" applyAlignment="1">
      <alignment horizontal="left" indent="2"/>
    </xf>
    <xf numFmtId="0" fontId="21" fillId="0" borderId="0" xfId="0" applyFont="1" applyAlignment="1">
      <alignment horizontal="left" indent="3"/>
    </xf>
    <xf numFmtId="0" fontId="22" fillId="0" borderId="0" xfId="0" applyFont="1" applyAlignment="1">
      <alignment horizontal="left" indent="4"/>
    </xf>
    <xf numFmtId="164" fontId="22" fillId="0" borderId="0" xfId="0" applyNumberFormat="1" applyFont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164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indent="1"/>
    </xf>
    <xf numFmtId="0" fontId="22" fillId="0" borderId="0" xfId="0" applyFont="1" applyAlignment="1">
      <alignment horizontal="left" indent="2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indent="1"/>
    </xf>
    <xf numFmtId="164" fontId="21" fillId="0" borderId="11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indent="3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"/>
  <sheetViews>
    <sheetView tabSelected="1" zoomScale="115" zoomScaleNormal="115" workbookViewId="0">
      <pane ySplit="5" topLeftCell="A45" activePane="bottomLeft" state="frozen"/>
      <selection pane="bottomLeft" activeCell="A73" sqref="A73"/>
    </sheetView>
  </sheetViews>
  <sheetFormatPr baseColWidth="10" defaultRowHeight="11.25" x14ac:dyDescent="0.2"/>
  <cols>
    <col min="1" max="1" width="72.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8" width="15.83203125" bestFit="1" customWidth="1"/>
  </cols>
  <sheetData>
    <row r="1" spans="1:8" ht="15.75" x14ac:dyDescent="0.25">
      <c r="A1" s="19" t="s">
        <v>1</v>
      </c>
      <c r="B1" s="19"/>
      <c r="C1" s="19"/>
      <c r="D1" s="19"/>
      <c r="E1" s="19"/>
      <c r="F1" s="19"/>
      <c r="G1" s="19"/>
      <c r="H1" s="19"/>
    </row>
    <row r="2" spans="1:8" ht="18" x14ac:dyDescent="0.25">
      <c r="A2" s="20" t="s">
        <v>2</v>
      </c>
      <c r="B2" s="20"/>
      <c r="C2" s="20"/>
      <c r="D2" s="20"/>
      <c r="E2" s="20"/>
      <c r="F2" s="20"/>
      <c r="G2" s="20"/>
      <c r="H2" s="20"/>
    </row>
    <row r="3" spans="1:8" ht="18" x14ac:dyDescent="0.25">
      <c r="A3" s="20" t="s">
        <v>3</v>
      </c>
      <c r="B3" s="20"/>
      <c r="C3" s="20"/>
      <c r="D3" s="20"/>
      <c r="E3" s="20"/>
      <c r="F3" s="20"/>
      <c r="G3" s="20"/>
      <c r="H3" s="20"/>
    </row>
    <row r="4" spans="1:8" x14ac:dyDescent="0.2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0</v>
      </c>
      <c r="G4" s="2" t="s">
        <v>9</v>
      </c>
      <c r="H4" s="2" t="s">
        <v>10</v>
      </c>
    </row>
    <row r="5" spans="1:8" x14ac:dyDescent="0.2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</row>
    <row r="6" spans="1:8" x14ac:dyDescent="0.2">
      <c r="A6" s="3" t="s">
        <v>13</v>
      </c>
      <c r="B6" s="4"/>
      <c r="C6" s="4"/>
      <c r="D6" s="4"/>
      <c r="E6" s="4"/>
      <c r="F6" s="4"/>
      <c r="G6" s="4"/>
      <c r="H6" s="4"/>
    </row>
    <row r="7" spans="1:8" x14ac:dyDescent="0.2">
      <c r="A7" s="5" t="s">
        <v>14</v>
      </c>
      <c r="B7" s="4"/>
      <c r="C7" s="4"/>
      <c r="D7" s="4"/>
      <c r="E7" s="4"/>
      <c r="F7" s="4"/>
      <c r="G7" s="4"/>
      <c r="H7" s="4"/>
    </row>
    <row r="8" spans="1:8" x14ac:dyDescent="0.2">
      <c r="A8" s="6" t="s">
        <v>15</v>
      </c>
      <c r="B8" s="4"/>
      <c r="C8" s="4"/>
      <c r="D8" s="4"/>
      <c r="E8" s="4"/>
      <c r="F8" s="4"/>
      <c r="G8" s="4"/>
      <c r="H8" s="4"/>
    </row>
    <row r="9" spans="1:8" x14ac:dyDescent="0.2">
      <c r="A9" s="7" t="s">
        <v>16</v>
      </c>
      <c r="B9" s="4"/>
      <c r="C9" s="4"/>
      <c r="D9" s="4"/>
      <c r="E9" s="4"/>
      <c r="F9" s="4"/>
      <c r="G9" s="4"/>
      <c r="H9" s="4"/>
    </row>
    <row r="10" spans="1:8" x14ac:dyDescent="0.2">
      <c r="A10" s="8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-57757.24</v>
      </c>
      <c r="G10" s="9">
        <v>-5205</v>
      </c>
      <c r="H10" s="9">
        <f>SUM(B10:G10)</f>
        <v>-62962.239999999998</v>
      </c>
    </row>
    <row r="11" spans="1:8" x14ac:dyDescent="0.2">
      <c r="A11" s="8" t="s">
        <v>18</v>
      </c>
      <c r="B11" s="9">
        <v>0</v>
      </c>
      <c r="C11" s="9">
        <v>0</v>
      </c>
      <c r="D11" s="9">
        <v>0</v>
      </c>
      <c r="E11" s="9">
        <v>0</v>
      </c>
      <c r="F11" s="9">
        <v>57757.24</v>
      </c>
      <c r="G11" s="9">
        <v>5205</v>
      </c>
      <c r="H11" s="9">
        <f>SUM(B11:G11)</f>
        <v>62962.239999999998</v>
      </c>
    </row>
    <row r="12" spans="1:8" x14ac:dyDescent="0.2">
      <c r="A12" s="10" t="s">
        <v>19</v>
      </c>
      <c r="B12" s="11">
        <f t="shared" ref="B12:H12" si="0">SUM(B10:B11)</f>
        <v>0</v>
      </c>
      <c r="C12" s="11">
        <f t="shared" si="0"/>
        <v>0</v>
      </c>
      <c r="D12" s="11">
        <f t="shared" si="0"/>
        <v>0</v>
      </c>
      <c r="E12" s="11">
        <f t="shared" si="0"/>
        <v>0</v>
      </c>
      <c r="F12" s="11">
        <f t="shared" si="0"/>
        <v>0</v>
      </c>
      <c r="G12" s="11">
        <f t="shared" si="0"/>
        <v>0</v>
      </c>
      <c r="H12" s="11">
        <f t="shared" si="0"/>
        <v>0</v>
      </c>
    </row>
    <row r="13" spans="1:8" x14ac:dyDescent="0.2">
      <c r="A13" s="7" t="s">
        <v>20</v>
      </c>
      <c r="B13" s="4"/>
      <c r="C13" s="4"/>
      <c r="D13" s="4"/>
      <c r="E13" s="4"/>
      <c r="F13" s="4"/>
      <c r="G13" s="4"/>
      <c r="H13" s="4"/>
    </row>
    <row r="14" spans="1:8" x14ac:dyDescent="0.2">
      <c r="A14" s="8" t="s">
        <v>21</v>
      </c>
      <c r="B14" s="9">
        <v>0</v>
      </c>
      <c r="C14" s="9">
        <v>0</v>
      </c>
      <c r="D14" s="9">
        <v>0</v>
      </c>
      <c r="E14" s="9">
        <v>0</v>
      </c>
      <c r="F14" s="9">
        <v>-2000</v>
      </c>
      <c r="G14" s="9">
        <v>0</v>
      </c>
      <c r="H14" s="9">
        <f>SUM(B14:G14)</f>
        <v>-2000</v>
      </c>
    </row>
    <row r="15" spans="1:8" x14ac:dyDescent="0.2">
      <c r="A15" s="8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2000</v>
      </c>
      <c r="G15" s="9">
        <v>0</v>
      </c>
      <c r="H15" s="9">
        <f>SUM(B15:G15)</f>
        <v>2000</v>
      </c>
    </row>
    <row r="16" spans="1:8" x14ac:dyDescent="0.2">
      <c r="A16" s="10" t="s">
        <v>23</v>
      </c>
      <c r="B16" s="11">
        <f t="shared" ref="B16:H16" si="1">SUM(B14:B15)</f>
        <v>0</v>
      </c>
      <c r="C16" s="11">
        <f t="shared" si="1"/>
        <v>0</v>
      </c>
      <c r="D16" s="11">
        <f t="shared" si="1"/>
        <v>0</v>
      </c>
      <c r="E16" s="11">
        <f t="shared" si="1"/>
        <v>0</v>
      </c>
      <c r="F16" s="11">
        <f t="shared" si="1"/>
        <v>0</v>
      </c>
      <c r="G16" s="11">
        <f t="shared" si="1"/>
        <v>0</v>
      </c>
      <c r="H16" s="11">
        <f t="shared" si="1"/>
        <v>0</v>
      </c>
    </row>
    <row r="17" spans="1:8" x14ac:dyDescent="0.2">
      <c r="A17" s="12" t="s">
        <v>24</v>
      </c>
      <c r="B17" s="11">
        <f t="shared" ref="B17:H17" si="2">0+B12+B16+0</f>
        <v>0</v>
      </c>
      <c r="C17" s="11">
        <f t="shared" si="2"/>
        <v>0</v>
      </c>
      <c r="D17" s="11">
        <f t="shared" si="2"/>
        <v>0</v>
      </c>
      <c r="E17" s="11">
        <f t="shared" si="2"/>
        <v>0</v>
      </c>
      <c r="F17" s="11">
        <f t="shared" si="2"/>
        <v>0</v>
      </c>
      <c r="G17" s="11">
        <f t="shared" si="2"/>
        <v>0</v>
      </c>
      <c r="H17" s="11">
        <f t="shared" si="2"/>
        <v>0</v>
      </c>
    </row>
    <row r="18" spans="1:8" x14ac:dyDescent="0.2">
      <c r="A18" s="6" t="s">
        <v>25</v>
      </c>
      <c r="B18" s="4"/>
      <c r="C18" s="4"/>
      <c r="D18" s="4"/>
      <c r="E18" s="4"/>
      <c r="F18" s="4"/>
      <c r="G18" s="4"/>
      <c r="H18" s="4"/>
    </row>
    <row r="19" spans="1:8" x14ac:dyDescent="0.2">
      <c r="A19" s="7" t="s">
        <v>26</v>
      </c>
      <c r="B19" s="4"/>
      <c r="C19" s="4"/>
      <c r="D19" s="4"/>
      <c r="E19" s="4"/>
      <c r="F19" s="4"/>
      <c r="G19" s="4"/>
      <c r="H19" s="4"/>
    </row>
    <row r="20" spans="1:8" x14ac:dyDescent="0.2">
      <c r="A20" s="8" t="s">
        <v>27</v>
      </c>
      <c r="B20" s="9">
        <v>0</v>
      </c>
      <c r="C20" s="9">
        <v>0</v>
      </c>
      <c r="D20" s="9">
        <v>0</v>
      </c>
      <c r="E20" s="9">
        <v>0</v>
      </c>
      <c r="F20" s="9">
        <v>-576.46</v>
      </c>
      <c r="G20" s="9">
        <v>-178040.88</v>
      </c>
      <c r="H20" s="9">
        <f>SUM(B20:G20)</f>
        <v>-178617.34</v>
      </c>
    </row>
    <row r="21" spans="1:8" x14ac:dyDescent="0.2">
      <c r="A21" s="8" t="s">
        <v>28</v>
      </c>
      <c r="B21" s="9">
        <v>0</v>
      </c>
      <c r="C21" s="9">
        <v>0</v>
      </c>
      <c r="D21" s="9">
        <v>0</v>
      </c>
      <c r="E21" s="9">
        <v>0</v>
      </c>
      <c r="F21" s="9">
        <v>-5200.09</v>
      </c>
      <c r="G21" s="9">
        <v>0</v>
      </c>
      <c r="H21" s="9">
        <f>SUM(B21:G21)</f>
        <v>-5200.09</v>
      </c>
    </row>
    <row r="22" spans="1:8" x14ac:dyDescent="0.2">
      <c r="A22" s="8" t="s">
        <v>29</v>
      </c>
      <c r="B22" s="9">
        <v>0</v>
      </c>
      <c r="C22" s="9">
        <v>0</v>
      </c>
      <c r="D22" s="9">
        <v>0</v>
      </c>
      <c r="E22" s="9">
        <v>0</v>
      </c>
      <c r="F22" s="9">
        <v>576.46</v>
      </c>
      <c r="G22" s="9">
        <v>207872.96</v>
      </c>
      <c r="H22" s="9">
        <f>SUM(B22:G22)</f>
        <v>208449.41999999998</v>
      </c>
    </row>
    <row r="23" spans="1:8" x14ac:dyDescent="0.2">
      <c r="A23" s="8" t="s">
        <v>30</v>
      </c>
      <c r="B23" s="9">
        <v>0</v>
      </c>
      <c r="C23" s="9">
        <v>0</v>
      </c>
      <c r="D23" s="9">
        <v>0</v>
      </c>
      <c r="E23" s="9">
        <v>0</v>
      </c>
      <c r="F23" s="9">
        <v>8000.09</v>
      </c>
      <c r="G23" s="9">
        <v>0</v>
      </c>
      <c r="H23" s="9">
        <f>SUM(B23:G23)</f>
        <v>8000.09</v>
      </c>
    </row>
    <row r="24" spans="1:8" x14ac:dyDescent="0.2">
      <c r="A24" s="10" t="s">
        <v>31</v>
      </c>
      <c r="B24" s="11">
        <f t="shared" ref="B24:H24" si="3">SUM(B20:B23)</f>
        <v>0</v>
      </c>
      <c r="C24" s="11">
        <f t="shared" si="3"/>
        <v>0</v>
      </c>
      <c r="D24" s="11">
        <f t="shared" si="3"/>
        <v>0</v>
      </c>
      <c r="E24" s="11">
        <f t="shared" si="3"/>
        <v>0</v>
      </c>
      <c r="F24" s="11">
        <f t="shared" si="3"/>
        <v>2800</v>
      </c>
      <c r="G24" s="11">
        <f t="shared" si="3"/>
        <v>29832.079999999987</v>
      </c>
      <c r="H24" s="11">
        <f t="shared" si="3"/>
        <v>32632.079999999991</v>
      </c>
    </row>
    <row r="25" spans="1:8" x14ac:dyDescent="0.2">
      <c r="A25" s="7" t="s">
        <v>32</v>
      </c>
      <c r="B25" s="4"/>
      <c r="C25" s="4"/>
      <c r="D25" s="4"/>
      <c r="E25" s="4"/>
      <c r="F25" s="4"/>
      <c r="G25" s="4"/>
      <c r="H25" s="4"/>
    </row>
    <row r="26" spans="1:8" x14ac:dyDescent="0.2">
      <c r="A26" s="8" t="s">
        <v>33</v>
      </c>
      <c r="B26" s="9">
        <v>0</v>
      </c>
      <c r="C26" s="9">
        <v>0</v>
      </c>
      <c r="D26" s="9">
        <v>0</v>
      </c>
      <c r="E26" s="9">
        <v>0</v>
      </c>
      <c r="F26" s="9">
        <v>-52449.14</v>
      </c>
      <c r="G26" s="9">
        <v>-10271.59</v>
      </c>
      <c r="H26" s="9">
        <f t="shared" ref="H26:H38" si="4">SUM(B26:G26)</f>
        <v>-62720.729999999996</v>
      </c>
    </row>
    <row r="27" spans="1:8" x14ac:dyDescent="0.2">
      <c r="A27" s="8" t="s">
        <v>34</v>
      </c>
      <c r="B27" s="9">
        <v>0</v>
      </c>
      <c r="C27" s="9">
        <v>0</v>
      </c>
      <c r="D27" s="9">
        <v>0</v>
      </c>
      <c r="E27" s="9">
        <v>0</v>
      </c>
      <c r="F27" s="9">
        <v>-34295.56</v>
      </c>
      <c r="G27" s="9">
        <v>-66367.960000000006</v>
      </c>
      <c r="H27" s="9">
        <f t="shared" si="4"/>
        <v>-100663.52</v>
      </c>
    </row>
    <row r="28" spans="1:8" x14ac:dyDescent="0.2">
      <c r="A28" s="8" t="s">
        <v>35</v>
      </c>
      <c r="B28" s="9">
        <v>0</v>
      </c>
      <c r="C28" s="9">
        <v>0</v>
      </c>
      <c r="D28" s="9">
        <v>0</v>
      </c>
      <c r="E28" s="9">
        <v>0</v>
      </c>
      <c r="F28" s="9">
        <v>-16280.26</v>
      </c>
      <c r="G28" s="9">
        <v>0</v>
      </c>
      <c r="H28" s="9">
        <f t="shared" si="4"/>
        <v>-16280.26</v>
      </c>
    </row>
    <row r="29" spans="1:8" x14ac:dyDescent="0.2">
      <c r="A29" s="8" t="s">
        <v>36</v>
      </c>
      <c r="B29" s="9">
        <v>0</v>
      </c>
      <c r="C29" s="9">
        <v>0</v>
      </c>
      <c r="D29" s="9">
        <v>0</v>
      </c>
      <c r="E29" s="9">
        <v>0</v>
      </c>
      <c r="F29" s="9">
        <v>-1423.88</v>
      </c>
      <c r="G29" s="9">
        <v>-646.22</v>
      </c>
      <c r="H29" s="9">
        <f t="shared" si="4"/>
        <v>-2070.1000000000004</v>
      </c>
    </row>
    <row r="30" spans="1:8" x14ac:dyDescent="0.2">
      <c r="A30" s="8" t="s">
        <v>37</v>
      </c>
      <c r="B30" s="9">
        <v>0</v>
      </c>
      <c r="C30" s="9">
        <v>0</v>
      </c>
      <c r="D30" s="9">
        <v>0</v>
      </c>
      <c r="E30" s="9">
        <v>0</v>
      </c>
      <c r="F30" s="9">
        <v>-1534.27</v>
      </c>
      <c r="G30" s="9">
        <v>-88951.7</v>
      </c>
      <c r="H30" s="9">
        <f t="shared" si="4"/>
        <v>-90485.97</v>
      </c>
    </row>
    <row r="31" spans="1:8" x14ac:dyDescent="0.2">
      <c r="A31" s="8" t="s">
        <v>38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-1359.04</v>
      </c>
      <c r="H31" s="9">
        <f t="shared" si="4"/>
        <v>-1359.04</v>
      </c>
    </row>
    <row r="32" spans="1:8" x14ac:dyDescent="0.2">
      <c r="A32" s="8" t="s">
        <v>39</v>
      </c>
      <c r="B32" s="9">
        <v>0</v>
      </c>
      <c r="C32" s="9">
        <v>0</v>
      </c>
      <c r="D32" s="9">
        <v>0</v>
      </c>
      <c r="E32" s="9">
        <v>0</v>
      </c>
      <c r="F32" s="9">
        <v>52449.14</v>
      </c>
      <c r="G32" s="9">
        <v>10271.59</v>
      </c>
      <c r="H32" s="9">
        <f t="shared" si="4"/>
        <v>62720.729999999996</v>
      </c>
    </row>
    <row r="33" spans="1:8" x14ac:dyDescent="0.2">
      <c r="A33" s="8" t="s">
        <v>40</v>
      </c>
      <c r="B33" s="9">
        <v>0</v>
      </c>
      <c r="C33" s="9">
        <v>0</v>
      </c>
      <c r="D33" s="9">
        <v>0</v>
      </c>
      <c r="E33" s="9">
        <v>0</v>
      </c>
      <c r="F33" s="9">
        <v>1534.27</v>
      </c>
      <c r="G33" s="9">
        <v>88951.7</v>
      </c>
      <c r="H33" s="9">
        <f t="shared" si="4"/>
        <v>90485.97</v>
      </c>
    </row>
    <row r="34" spans="1:8" x14ac:dyDescent="0.2">
      <c r="A34" s="8" t="s">
        <v>41</v>
      </c>
      <c r="B34" s="9">
        <v>0</v>
      </c>
      <c r="C34" s="9">
        <v>1589.624</v>
      </c>
      <c r="D34" s="9">
        <v>0</v>
      </c>
      <c r="E34" s="9">
        <v>0</v>
      </c>
      <c r="F34" s="9">
        <v>0</v>
      </c>
      <c r="G34" s="9">
        <v>0</v>
      </c>
      <c r="H34" s="9">
        <f t="shared" si="4"/>
        <v>1589.624</v>
      </c>
    </row>
    <row r="35" spans="1:8" x14ac:dyDescent="0.2">
      <c r="A35" s="8" t="s">
        <v>42</v>
      </c>
      <c r="B35" s="9">
        <v>0</v>
      </c>
      <c r="C35" s="9">
        <v>0</v>
      </c>
      <c r="D35" s="9">
        <v>0</v>
      </c>
      <c r="E35" s="9">
        <v>451.16</v>
      </c>
      <c r="F35" s="9">
        <v>0</v>
      </c>
      <c r="G35" s="9">
        <v>1452.04</v>
      </c>
      <c r="H35" s="9">
        <f t="shared" si="4"/>
        <v>1903.2</v>
      </c>
    </row>
    <row r="36" spans="1:8" x14ac:dyDescent="0.2">
      <c r="A36" s="8" t="s">
        <v>43</v>
      </c>
      <c r="B36" s="9">
        <v>0</v>
      </c>
      <c r="C36" s="9">
        <v>0</v>
      </c>
      <c r="D36" s="9">
        <v>0</v>
      </c>
      <c r="E36" s="9">
        <v>0</v>
      </c>
      <c r="F36" s="9">
        <v>53277.26</v>
      </c>
      <c r="G36" s="9">
        <v>0</v>
      </c>
      <c r="H36" s="9">
        <f t="shared" si="4"/>
        <v>53277.26</v>
      </c>
    </row>
    <row r="37" spans="1:8" x14ac:dyDescent="0.2">
      <c r="A37" s="8" t="s">
        <v>44</v>
      </c>
      <c r="B37" s="9">
        <v>0</v>
      </c>
      <c r="C37" s="9">
        <v>0</v>
      </c>
      <c r="D37" s="9">
        <v>0</v>
      </c>
      <c r="E37" s="9">
        <v>0</v>
      </c>
      <c r="F37" s="9">
        <v>34295.56</v>
      </c>
      <c r="G37" s="9">
        <v>66367.960000000006</v>
      </c>
      <c r="H37" s="9">
        <f t="shared" si="4"/>
        <v>100663.52</v>
      </c>
    </row>
    <row r="38" spans="1:8" x14ac:dyDescent="0.2">
      <c r="A38" s="8" t="s">
        <v>45</v>
      </c>
      <c r="B38" s="9">
        <v>0</v>
      </c>
      <c r="C38" s="9">
        <v>0</v>
      </c>
      <c r="D38" s="9">
        <v>0</v>
      </c>
      <c r="E38" s="9">
        <v>0</v>
      </c>
      <c r="F38" s="9">
        <v>1423.88</v>
      </c>
      <c r="G38" s="9">
        <v>646.22</v>
      </c>
      <c r="H38" s="9">
        <f t="shared" si="4"/>
        <v>2070.1000000000004</v>
      </c>
    </row>
    <row r="39" spans="1:8" x14ac:dyDescent="0.2">
      <c r="A39" s="10" t="s">
        <v>46</v>
      </c>
      <c r="B39" s="11">
        <f t="shared" ref="B39:H39" si="5">SUM(B26:B38)</f>
        <v>0</v>
      </c>
      <c r="C39" s="11">
        <f t="shared" si="5"/>
        <v>1589.624</v>
      </c>
      <c r="D39" s="11">
        <f t="shared" si="5"/>
        <v>0</v>
      </c>
      <c r="E39" s="11">
        <f t="shared" si="5"/>
        <v>451.16</v>
      </c>
      <c r="F39" s="11">
        <f t="shared" si="5"/>
        <v>36996.999999999993</v>
      </c>
      <c r="G39" s="11">
        <f t="shared" si="5"/>
        <v>92.999999999984311</v>
      </c>
      <c r="H39" s="11">
        <f t="shared" si="5"/>
        <v>39130.783999999985</v>
      </c>
    </row>
    <row r="40" spans="1:8" x14ac:dyDescent="0.2">
      <c r="A40" s="12" t="s">
        <v>47</v>
      </c>
      <c r="B40" s="11">
        <f t="shared" ref="B40:H40" si="6">0+B24+B39+0</f>
        <v>0</v>
      </c>
      <c r="C40" s="11">
        <f t="shared" si="6"/>
        <v>1589.624</v>
      </c>
      <c r="D40" s="11">
        <f t="shared" si="6"/>
        <v>0</v>
      </c>
      <c r="E40" s="11">
        <f t="shared" si="6"/>
        <v>451.16</v>
      </c>
      <c r="F40" s="11">
        <f t="shared" si="6"/>
        <v>39796.999999999993</v>
      </c>
      <c r="G40" s="11">
        <f t="shared" si="6"/>
        <v>29925.079999999973</v>
      </c>
      <c r="H40" s="11">
        <f t="shared" si="6"/>
        <v>71762.863999999972</v>
      </c>
    </row>
    <row r="41" spans="1:8" x14ac:dyDescent="0.2">
      <c r="A41" s="6" t="s">
        <v>48</v>
      </c>
      <c r="B41" s="4"/>
      <c r="C41" s="4"/>
      <c r="D41" s="4"/>
      <c r="E41" s="4"/>
      <c r="F41" s="4"/>
      <c r="G41" s="4"/>
      <c r="H41" s="4"/>
    </row>
    <row r="42" spans="1:8" x14ac:dyDescent="0.2">
      <c r="A42" s="7" t="s">
        <v>49</v>
      </c>
      <c r="B42" s="4"/>
      <c r="C42" s="4"/>
      <c r="D42" s="4"/>
      <c r="E42" s="4"/>
      <c r="F42" s="4"/>
      <c r="G42" s="4"/>
      <c r="H42" s="4"/>
    </row>
    <row r="43" spans="1:8" x14ac:dyDescent="0.2">
      <c r="A43" s="8" t="s">
        <v>50</v>
      </c>
      <c r="B43" s="9">
        <v>0</v>
      </c>
      <c r="C43" s="9">
        <v>0</v>
      </c>
      <c r="D43" s="9">
        <v>0</v>
      </c>
      <c r="E43" s="9">
        <v>0</v>
      </c>
      <c r="F43" s="9">
        <v>279407.65999999997</v>
      </c>
      <c r="G43" s="9">
        <v>166580</v>
      </c>
      <c r="H43" s="9">
        <f>SUM(B43:G43)</f>
        <v>445987.66</v>
      </c>
    </row>
    <row r="44" spans="1:8" x14ac:dyDescent="0.2">
      <c r="A44" s="10" t="s">
        <v>51</v>
      </c>
      <c r="B44" s="11">
        <f t="shared" ref="B44:H44" si="7">SUM(B43)</f>
        <v>0</v>
      </c>
      <c r="C44" s="11">
        <f t="shared" si="7"/>
        <v>0</v>
      </c>
      <c r="D44" s="11">
        <f t="shared" si="7"/>
        <v>0</v>
      </c>
      <c r="E44" s="11">
        <f t="shared" si="7"/>
        <v>0</v>
      </c>
      <c r="F44" s="11">
        <f t="shared" si="7"/>
        <v>279407.65999999997</v>
      </c>
      <c r="G44" s="11">
        <f t="shared" si="7"/>
        <v>166580</v>
      </c>
      <c r="H44" s="11">
        <f t="shared" si="7"/>
        <v>445987.66</v>
      </c>
    </row>
    <row r="45" spans="1:8" x14ac:dyDescent="0.2">
      <c r="A45" s="7" t="s">
        <v>52</v>
      </c>
      <c r="B45" s="4"/>
      <c r="C45" s="4"/>
      <c r="D45" s="4"/>
      <c r="E45" s="4"/>
      <c r="F45" s="4"/>
      <c r="G45" s="4"/>
      <c r="H45" s="4"/>
    </row>
    <row r="46" spans="1:8" x14ac:dyDescent="0.2">
      <c r="A46" s="8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221307.11</v>
      </c>
      <c r="G46" s="9">
        <v>0</v>
      </c>
      <c r="H46" s="9">
        <f>SUM(B46:G46)</f>
        <v>221307.11</v>
      </c>
    </row>
    <row r="47" spans="1:8" x14ac:dyDescent="0.2">
      <c r="A47" s="8" t="s">
        <v>54</v>
      </c>
      <c r="B47" s="9">
        <v>0</v>
      </c>
      <c r="C47" s="9">
        <v>0</v>
      </c>
      <c r="D47" s="9">
        <v>0</v>
      </c>
      <c r="E47" s="9">
        <v>0</v>
      </c>
      <c r="F47" s="9">
        <v>703716.61</v>
      </c>
      <c r="G47" s="9">
        <v>0</v>
      </c>
      <c r="H47" s="9">
        <f>SUM(B47:G47)</f>
        <v>703716.61</v>
      </c>
    </row>
    <row r="48" spans="1:8" x14ac:dyDescent="0.2">
      <c r="A48" s="10" t="s">
        <v>55</v>
      </c>
      <c r="B48" s="11">
        <f t="shared" ref="B48:H48" si="8">SUM(B46:B47)</f>
        <v>0</v>
      </c>
      <c r="C48" s="11">
        <f t="shared" si="8"/>
        <v>0</v>
      </c>
      <c r="D48" s="11">
        <f t="shared" si="8"/>
        <v>0</v>
      </c>
      <c r="E48" s="11">
        <f t="shared" si="8"/>
        <v>0</v>
      </c>
      <c r="F48" s="11">
        <f t="shared" si="8"/>
        <v>925023.72</v>
      </c>
      <c r="G48" s="11">
        <f t="shared" si="8"/>
        <v>0</v>
      </c>
      <c r="H48" s="11">
        <f t="shared" si="8"/>
        <v>925023.72</v>
      </c>
    </row>
    <row r="49" spans="1:8" x14ac:dyDescent="0.2">
      <c r="A49" s="7" t="s">
        <v>56</v>
      </c>
      <c r="B49" s="4"/>
      <c r="C49" s="4"/>
      <c r="D49" s="4"/>
      <c r="E49" s="4"/>
      <c r="F49" s="4"/>
      <c r="G49" s="4"/>
      <c r="H49" s="4"/>
    </row>
    <row r="50" spans="1:8" x14ac:dyDescent="0.2">
      <c r="A50" s="8" t="s">
        <v>57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83192.990000000005</v>
      </c>
      <c r="H50" s="9">
        <f>SUM(B50:G50)</f>
        <v>83192.990000000005</v>
      </c>
    </row>
    <row r="51" spans="1:8" x14ac:dyDescent="0.2">
      <c r="A51" s="10" t="s">
        <v>58</v>
      </c>
      <c r="B51" s="11">
        <f t="shared" ref="B51:H51" si="9">SUM(B50)</f>
        <v>0</v>
      </c>
      <c r="C51" s="11">
        <f t="shared" si="9"/>
        <v>0</v>
      </c>
      <c r="D51" s="11">
        <f t="shared" si="9"/>
        <v>0</v>
      </c>
      <c r="E51" s="11">
        <f t="shared" si="9"/>
        <v>0</v>
      </c>
      <c r="F51" s="11">
        <f t="shared" si="9"/>
        <v>0</v>
      </c>
      <c r="G51" s="11">
        <f t="shared" si="9"/>
        <v>83192.990000000005</v>
      </c>
      <c r="H51" s="11">
        <f t="shared" si="9"/>
        <v>83192.990000000005</v>
      </c>
    </row>
    <row r="52" spans="1:8" x14ac:dyDescent="0.2">
      <c r="A52" s="7" t="s">
        <v>59</v>
      </c>
      <c r="B52" s="4"/>
      <c r="C52" s="4"/>
      <c r="D52" s="4"/>
      <c r="E52" s="4"/>
      <c r="F52" s="4"/>
      <c r="G52" s="4"/>
      <c r="H52" s="4"/>
    </row>
    <row r="53" spans="1:8" x14ac:dyDescent="0.2">
      <c r="A53" s="8" t="s">
        <v>60</v>
      </c>
      <c r="B53" s="9">
        <v>0</v>
      </c>
      <c r="C53" s="9">
        <v>0</v>
      </c>
      <c r="D53" s="9">
        <v>0</v>
      </c>
      <c r="E53" s="9">
        <v>0</v>
      </c>
      <c r="F53" s="9">
        <v>100</v>
      </c>
      <c r="G53" s="9">
        <v>0</v>
      </c>
      <c r="H53" s="9">
        <f>SUM(B53:G53)</f>
        <v>100</v>
      </c>
    </row>
    <row r="54" spans="1:8" x14ac:dyDescent="0.2">
      <c r="A54" s="10" t="s">
        <v>61</v>
      </c>
      <c r="B54" s="11">
        <f t="shared" ref="B54:H54" si="10">SUM(B53)</f>
        <v>0</v>
      </c>
      <c r="C54" s="11">
        <f t="shared" si="10"/>
        <v>0</v>
      </c>
      <c r="D54" s="11">
        <f t="shared" si="10"/>
        <v>0</v>
      </c>
      <c r="E54" s="11">
        <f t="shared" si="10"/>
        <v>0</v>
      </c>
      <c r="F54" s="11">
        <f t="shared" si="10"/>
        <v>100</v>
      </c>
      <c r="G54" s="11">
        <f t="shared" si="10"/>
        <v>0</v>
      </c>
      <c r="H54" s="11">
        <f t="shared" si="10"/>
        <v>100</v>
      </c>
    </row>
    <row r="55" spans="1:8" x14ac:dyDescent="0.2">
      <c r="A55" s="12" t="s">
        <v>62</v>
      </c>
      <c r="B55" s="11">
        <f t="shared" ref="B55:H55" si="11">B44+0+0+0+B48+B51+B54+0</f>
        <v>0</v>
      </c>
      <c r="C55" s="11">
        <f t="shared" si="11"/>
        <v>0</v>
      </c>
      <c r="D55" s="11">
        <f t="shared" si="11"/>
        <v>0</v>
      </c>
      <c r="E55" s="11">
        <f t="shared" si="11"/>
        <v>0</v>
      </c>
      <c r="F55" s="11">
        <f t="shared" si="11"/>
        <v>1204531.3799999999</v>
      </c>
      <c r="G55" s="11">
        <f t="shared" si="11"/>
        <v>249772.99</v>
      </c>
      <c r="H55" s="11">
        <f t="shared" si="11"/>
        <v>1454304.3699999999</v>
      </c>
    </row>
    <row r="56" spans="1:8" x14ac:dyDescent="0.2">
      <c r="A56" s="13" t="s">
        <v>63</v>
      </c>
      <c r="B56" s="11">
        <f t="shared" ref="B56:H56" si="12">B17+B40+B55</f>
        <v>0</v>
      </c>
      <c r="C56" s="11">
        <f t="shared" si="12"/>
        <v>1589.624</v>
      </c>
      <c r="D56" s="11">
        <f t="shared" si="12"/>
        <v>0</v>
      </c>
      <c r="E56" s="11">
        <f t="shared" si="12"/>
        <v>451.16</v>
      </c>
      <c r="F56" s="11">
        <f t="shared" si="12"/>
        <v>1244328.3799999999</v>
      </c>
      <c r="G56" s="11">
        <f t="shared" si="12"/>
        <v>279698.06999999995</v>
      </c>
      <c r="H56" s="11">
        <f t="shared" si="12"/>
        <v>1526067.2339999999</v>
      </c>
    </row>
    <row r="57" spans="1:8" x14ac:dyDescent="0.2">
      <c r="A57" s="5"/>
      <c r="B57" s="4"/>
      <c r="C57" s="4"/>
      <c r="D57" s="4"/>
      <c r="E57" s="4"/>
      <c r="F57" s="4"/>
      <c r="G57" s="4"/>
      <c r="H57" s="4"/>
    </row>
    <row r="58" spans="1:8" x14ac:dyDescent="0.2">
      <c r="A58" s="5" t="s">
        <v>64</v>
      </c>
      <c r="B58" s="4"/>
      <c r="C58" s="4"/>
      <c r="D58" s="4"/>
      <c r="E58" s="4"/>
      <c r="F58" s="4"/>
      <c r="G58" s="4"/>
      <c r="H58" s="4"/>
    </row>
    <row r="59" spans="1:8" x14ac:dyDescent="0.2">
      <c r="A59" s="6" t="s">
        <v>65</v>
      </c>
      <c r="B59" s="4"/>
      <c r="C59" s="4"/>
      <c r="D59" s="4"/>
      <c r="E59" s="4"/>
      <c r="F59" s="4"/>
      <c r="G59" s="4"/>
      <c r="H59" s="4"/>
    </row>
    <row r="60" spans="1:8" x14ac:dyDescent="0.2">
      <c r="A60" s="7" t="s">
        <v>66</v>
      </c>
      <c r="B60" s="4"/>
      <c r="C60" s="4"/>
      <c r="D60" s="4"/>
      <c r="E60" s="4"/>
      <c r="F60" s="4"/>
      <c r="G60" s="4"/>
      <c r="H60" s="4"/>
    </row>
    <row r="61" spans="1:8" x14ac:dyDescent="0.2">
      <c r="A61" s="8" t="s">
        <v>67</v>
      </c>
      <c r="B61" s="9">
        <v>0</v>
      </c>
      <c r="C61" s="9">
        <v>0</v>
      </c>
      <c r="D61" s="9">
        <v>0</v>
      </c>
      <c r="E61" s="9">
        <v>0</v>
      </c>
      <c r="F61" s="9">
        <v>1787.23</v>
      </c>
      <c r="G61" s="9">
        <v>0</v>
      </c>
      <c r="H61" s="9">
        <f>SUM(B61:G61)</f>
        <v>1787.23</v>
      </c>
    </row>
    <row r="62" spans="1:8" x14ac:dyDescent="0.2">
      <c r="A62" s="8" t="s">
        <v>68</v>
      </c>
      <c r="B62" s="9">
        <v>0</v>
      </c>
      <c r="C62" s="9">
        <v>0</v>
      </c>
      <c r="D62" s="9">
        <v>0</v>
      </c>
      <c r="E62" s="9">
        <v>0</v>
      </c>
      <c r="F62" s="9">
        <v>-11134</v>
      </c>
      <c r="G62" s="9">
        <v>0</v>
      </c>
      <c r="H62" s="9">
        <f>SUM(B62:G62)</f>
        <v>-11134</v>
      </c>
    </row>
    <row r="63" spans="1:8" x14ac:dyDescent="0.2">
      <c r="A63" s="8" t="s">
        <v>69</v>
      </c>
      <c r="B63" s="9">
        <v>0</v>
      </c>
      <c r="C63" s="9">
        <v>0</v>
      </c>
      <c r="D63" s="9">
        <v>0</v>
      </c>
      <c r="E63" s="9">
        <v>0</v>
      </c>
      <c r="F63" s="9">
        <v>-22416</v>
      </c>
      <c r="G63" s="9">
        <v>0</v>
      </c>
      <c r="H63" s="9">
        <f>SUM(B63:G63)</f>
        <v>-22416</v>
      </c>
    </row>
    <row r="64" spans="1:8" x14ac:dyDescent="0.2">
      <c r="A64" s="8" t="s">
        <v>70</v>
      </c>
      <c r="B64" s="9">
        <v>0</v>
      </c>
      <c r="C64" s="9">
        <v>13978.663629999999</v>
      </c>
      <c r="D64" s="9">
        <v>12249.152125000001</v>
      </c>
      <c r="E64" s="9">
        <v>78858</v>
      </c>
      <c r="F64" s="9">
        <v>1313673.18</v>
      </c>
      <c r="G64" s="9">
        <v>0</v>
      </c>
      <c r="H64" s="9">
        <f>SUM(B64:G64)</f>
        <v>1418758.995755</v>
      </c>
    </row>
    <row r="65" spans="1:8" x14ac:dyDescent="0.2">
      <c r="A65" s="10" t="s">
        <v>71</v>
      </c>
      <c r="B65" s="11">
        <f t="shared" ref="B65:H65" si="13">SUM(B61:B64)</f>
        <v>0</v>
      </c>
      <c r="C65" s="11">
        <f t="shared" si="13"/>
        <v>13978.663629999999</v>
      </c>
      <c r="D65" s="11">
        <f t="shared" si="13"/>
        <v>12249.152125000001</v>
      </c>
      <c r="E65" s="11">
        <f t="shared" si="13"/>
        <v>78858</v>
      </c>
      <c r="F65" s="11">
        <f t="shared" si="13"/>
        <v>1281910.4099999999</v>
      </c>
      <c r="G65" s="11">
        <f t="shared" si="13"/>
        <v>0</v>
      </c>
      <c r="H65" s="11">
        <f t="shared" si="13"/>
        <v>1386996.225755</v>
      </c>
    </row>
    <row r="66" spans="1:8" x14ac:dyDescent="0.2">
      <c r="A66" s="7" t="s">
        <v>177</v>
      </c>
      <c r="B66" s="4"/>
      <c r="C66" s="4"/>
      <c r="D66" s="4"/>
      <c r="E66" s="4"/>
      <c r="F66" s="4"/>
      <c r="G66" s="4"/>
      <c r="H66" s="4"/>
    </row>
    <row r="67" spans="1:8" x14ac:dyDescent="0.2">
      <c r="A67" s="8" t="s">
        <v>72</v>
      </c>
      <c r="B67" s="9">
        <v>0</v>
      </c>
      <c r="C67" s="9">
        <v>0</v>
      </c>
      <c r="D67" s="9">
        <v>0</v>
      </c>
      <c r="E67" s="9">
        <v>0</v>
      </c>
      <c r="F67" s="9">
        <v>-19251</v>
      </c>
      <c r="G67" s="9">
        <v>0</v>
      </c>
      <c r="H67" s="9">
        <f t="shared" ref="H67:H72" si="14">SUM(B67:G67)</f>
        <v>-19251</v>
      </c>
    </row>
    <row r="68" spans="1:8" x14ac:dyDescent="0.2">
      <c r="A68" s="8" t="s">
        <v>73</v>
      </c>
      <c r="B68" s="9">
        <v>0</v>
      </c>
      <c r="C68" s="9">
        <v>0</v>
      </c>
      <c r="D68" s="9">
        <v>0</v>
      </c>
      <c r="E68" s="9">
        <v>-159527</v>
      </c>
      <c r="F68" s="9">
        <v>0</v>
      </c>
      <c r="G68" s="9">
        <v>0</v>
      </c>
      <c r="H68" s="9">
        <f t="shared" si="14"/>
        <v>-159527</v>
      </c>
    </row>
    <row r="69" spans="1:8" x14ac:dyDescent="0.2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-200000</v>
      </c>
      <c r="H69" s="9">
        <f t="shared" si="14"/>
        <v>-200000</v>
      </c>
    </row>
    <row r="70" spans="1:8" x14ac:dyDescent="0.2">
      <c r="A70" s="8" t="s">
        <v>75</v>
      </c>
      <c r="B70" s="9">
        <v>0</v>
      </c>
      <c r="C70" s="9">
        <v>0</v>
      </c>
      <c r="D70" s="9">
        <v>0</v>
      </c>
      <c r="E70" s="9">
        <v>0</v>
      </c>
      <c r="F70" s="9">
        <v>159527</v>
      </c>
      <c r="G70" s="9">
        <v>0</v>
      </c>
      <c r="H70" s="9">
        <f t="shared" si="14"/>
        <v>159527</v>
      </c>
    </row>
    <row r="71" spans="1:8" x14ac:dyDescent="0.2">
      <c r="A71" s="8" t="s">
        <v>76</v>
      </c>
      <c r="B71" s="9">
        <v>0</v>
      </c>
      <c r="C71" s="9">
        <v>0</v>
      </c>
      <c r="D71" s="9">
        <v>0</v>
      </c>
      <c r="E71" s="9">
        <v>19251</v>
      </c>
      <c r="F71" s="9">
        <v>0</v>
      </c>
      <c r="G71" s="9">
        <v>0</v>
      </c>
      <c r="H71" s="9">
        <f t="shared" si="14"/>
        <v>19251</v>
      </c>
    </row>
    <row r="72" spans="1:8" x14ac:dyDescent="0.2">
      <c r="A72" s="8" t="s">
        <v>77</v>
      </c>
      <c r="B72" s="9">
        <v>200000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f t="shared" si="14"/>
        <v>200000</v>
      </c>
    </row>
    <row r="73" spans="1:8" x14ac:dyDescent="0.2">
      <c r="A73" s="10" t="s">
        <v>178</v>
      </c>
      <c r="B73" s="11">
        <f t="shared" ref="B73:H73" si="15">SUM(B67:B72)</f>
        <v>200000</v>
      </c>
      <c r="C73" s="11">
        <f t="shared" si="15"/>
        <v>0</v>
      </c>
      <c r="D73" s="11">
        <f t="shared" si="15"/>
        <v>0</v>
      </c>
      <c r="E73" s="11">
        <f t="shared" si="15"/>
        <v>-140276</v>
      </c>
      <c r="F73" s="11">
        <f t="shared" si="15"/>
        <v>140276</v>
      </c>
      <c r="G73" s="11">
        <f t="shared" si="15"/>
        <v>-200000</v>
      </c>
      <c r="H73" s="11">
        <f t="shared" si="15"/>
        <v>0</v>
      </c>
    </row>
    <row r="74" spans="1:8" x14ac:dyDescent="0.2">
      <c r="A74" s="7" t="s">
        <v>78</v>
      </c>
      <c r="B74" s="4"/>
      <c r="C74" s="4"/>
      <c r="D74" s="4"/>
      <c r="E74" s="4"/>
      <c r="F74" s="4"/>
      <c r="G74" s="4"/>
      <c r="H74" s="4"/>
    </row>
    <row r="75" spans="1:8" x14ac:dyDescent="0.2">
      <c r="A75" s="8" t="s">
        <v>79</v>
      </c>
      <c r="B75" s="9">
        <v>0</v>
      </c>
      <c r="C75" s="9">
        <v>626.09929</v>
      </c>
      <c r="D75" s="9">
        <v>0</v>
      </c>
      <c r="E75" s="9">
        <v>0</v>
      </c>
      <c r="F75" s="9">
        <v>0</v>
      </c>
      <c r="G75" s="9">
        <v>0</v>
      </c>
      <c r="H75" s="9">
        <f t="shared" ref="H75:H84" si="16">SUM(B75:G75)</f>
        <v>626.09929</v>
      </c>
    </row>
    <row r="76" spans="1:8" x14ac:dyDescent="0.2">
      <c r="A76" s="8" t="s">
        <v>80</v>
      </c>
      <c r="B76" s="9">
        <v>0</v>
      </c>
      <c r="C76" s="9">
        <v>856.50234999999998</v>
      </c>
      <c r="D76" s="9">
        <v>0</v>
      </c>
      <c r="E76" s="9">
        <v>0</v>
      </c>
      <c r="F76" s="9">
        <v>0</v>
      </c>
      <c r="G76" s="9">
        <v>0</v>
      </c>
      <c r="H76" s="9">
        <f t="shared" si="16"/>
        <v>856.50234999999998</v>
      </c>
    </row>
    <row r="77" spans="1:8" x14ac:dyDescent="0.2">
      <c r="A77" s="8" t="s">
        <v>81</v>
      </c>
      <c r="B77" s="9">
        <v>0</v>
      </c>
      <c r="C77" s="9">
        <v>0</v>
      </c>
      <c r="D77" s="9">
        <v>0</v>
      </c>
      <c r="E77" s="9">
        <v>4.95</v>
      </c>
      <c r="F77" s="9">
        <v>0</v>
      </c>
      <c r="G77" s="9">
        <v>0</v>
      </c>
      <c r="H77" s="9">
        <f t="shared" si="16"/>
        <v>4.95</v>
      </c>
    </row>
    <row r="78" spans="1:8" x14ac:dyDescent="0.2">
      <c r="A78" s="8" t="s">
        <v>82</v>
      </c>
      <c r="B78" s="9">
        <v>0</v>
      </c>
      <c r="C78" s="9">
        <v>0</v>
      </c>
      <c r="D78" s="9">
        <v>0</v>
      </c>
      <c r="E78" s="9">
        <v>0</v>
      </c>
      <c r="F78" s="9">
        <v>787.56</v>
      </c>
      <c r="G78" s="9">
        <v>0</v>
      </c>
      <c r="H78" s="9">
        <f t="shared" si="16"/>
        <v>787.56</v>
      </c>
    </row>
    <row r="79" spans="1:8" x14ac:dyDescent="0.2">
      <c r="A79" s="8" t="s">
        <v>83</v>
      </c>
      <c r="B79" s="9">
        <v>0</v>
      </c>
      <c r="C79" s="9">
        <v>0</v>
      </c>
      <c r="D79" s="9">
        <v>0</v>
      </c>
      <c r="E79" s="9">
        <v>0</v>
      </c>
      <c r="F79" s="9">
        <v>4670.75</v>
      </c>
      <c r="G79" s="9">
        <v>0</v>
      </c>
      <c r="H79" s="9">
        <f t="shared" si="16"/>
        <v>4670.75</v>
      </c>
    </row>
    <row r="80" spans="1:8" x14ac:dyDescent="0.2">
      <c r="A80" s="8" t="s">
        <v>84</v>
      </c>
      <c r="B80" s="9">
        <v>0</v>
      </c>
      <c r="C80" s="9">
        <v>0</v>
      </c>
      <c r="D80" s="9">
        <v>0</v>
      </c>
      <c r="E80" s="9">
        <v>359.24</v>
      </c>
      <c r="F80" s="9">
        <v>0</v>
      </c>
      <c r="G80" s="9">
        <v>0</v>
      </c>
      <c r="H80" s="9">
        <f t="shared" si="16"/>
        <v>359.24</v>
      </c>
    </row>
    <row r="81" spans="1:8" x14ac:dyDescent="0.2">
      <c r="A81" s="8" t="s">
        <v>85</v>
      </c>
      <c r="B81" s="9">
        <v>319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f t="shared" si="16"/>
        <v>319</v>
      </c>
    </row>
    <row r="82" spans="1:8" x14ac:dyDescent="0.2">
      <c r="A82" s="8" t="s">
        <v>86</v>
      </c>
      <c r="B82" s="9">
        <v>858.76</v>
      </c>
      <c r="C82" s="9">
        <v>0</v>
      </c>
      <c r="D82" s="9">
        <v>0</v>
      </c>
      <c r="E82" s="9">
        <v>0</v>
      </c>
      <c r="F82" s="9">
        <v>0</v>
      </c>
      <c r="G82" s="9">
        <v>3394.97</v>
      </c>
      <c r="H82" s="9">
        <f t="shared" si="16"/>
        <v>4253.7299999999996</v>
      </c>
    </row>
    <row r="83" spans="1:8" x14ac:dyDescent="0.2">
      <c r="A83" s="8" t="s">
        <v>87</v>
      </c>
      <c r="B83" s="9">
        <v>0</v>
      </c>
      <c r="C83" s="9">
        <v>7393.6</v>
      </c>
      <c r="D83" s="9">
        <v>0</v>
      </c>
      <c r="E83" s="9">
        <v>0</v>
      </c>
      <c r="F83" s="9">
        <v>74700</v>
      </c>
      <c r="G83" s="9">
        <v>0</v>
      </c>
      <c r="H83" s="9">
        <f t="shared" si="16"/>
        <v>82093.600000000006</v>
      </c>
    </row>
    <row r="84" spans="1:8" x14ac:dyDescent="0.2">
      <c r="A84" s="8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3535.82</v>
      </c>
      <c r="G84" s="9">
        <v>0</v>
      </c>
      <c r="H84" s="9">
        <f t="shared" si="16"/>
        <v>3535.82</v>
      </c>
    </row>
    <row r="85" spans="1:8" x14ac:dyDescent="0.2">
      <c r="A85" s="10" t="s">
        <v>89</v>
      </c>
      <c r="B85" s="11">
        <f t="shared" ref="B85:H85" si="17">SUM(B75:B84)</f>
        <v>1177.76</v>
      </c>
      <c r="C85" s="11">
        <f t="shared" si="17"/>
        <v>8876.2016399999993</v>
      </c>
      <c r="D85" s="11">
        <f t="shared" si="17"/>
        <v>0</v>
      </c>
      <c r="E85" s="11">
        <f t="shared" si="17"/>
        <v>364.19</v>
      </c>
      <c r="F85" s="11">
        <f t="shared" si="17"/>
        <v>83694.13</v>
      </c>
      <c r="G85" s="11">
        <f t="shared" si="17"/>
        <v>3394.97</v>
      </c>
      <c r="H85" s="11">
        <f t="shared" si="17"/>
        <v>97507.251640000017</v>
      </c>
    </row>
    <row r="86" spans="1:8" x14ac:dyDescent="0.2">
      <c r="A86" s="12" t="s">
        <v>90</v>
      </c>
      <c r="B86" s="11">
        <f t="shared" ref="B86:H86" si="18">B65+B73+0+0+0+B85</f>
        <v>201177.76</v>
      </c>
      <c r="C86" s="11">
        <f t="shared" si="18"/>
        <v>22854.865269999998</v>
      </c>
      <c r="D86" s="11">
        <f t="shared" si="18"/>
        <v>12249.152125000001</v>
      </c>
      <c r="E86" s="11">
        <f t="shared" si="18"/>
        <v>-61053.81</v>
      </c>
      <c r="F86" s="11">
        <f t="shared" si="18"/>
        <v>1505880.54</v>
      </c>
      <c r="G86" s="11">
        <f t="shared" si="18"/>
        <v>-196605.03</v>
      </c>
      <c r="H86" s="11">
        <f t="shared" si="18"/>
        <v>1484503.4773949999</v>
      </c>
    </row>
    <row r="87" spans="1:8" x14ac:dyDescent="0.2">
      <c r="A87" s="6" t="s">
        <v>91</v>
      </c>
      <c r="B87" s="4"/>
      <c r="C87" s="4"/>
      <c r="D87" s="4"/>
      <c r="E87" s="4"/>
      <c r="F87" s="4"/>
      <c r="G87" s="4"/>
      <c r="H87" s="4"/>
    </row>
    <row r="88" spans="1:8" x14ac:dyDescent="0.2">
      <c r="A88" s="7" t="s">
        <v>92</v>
      </c>
      <c r="B88" s="4"/>
      <c r="C88" s="4"/>
      <c r="D88" s="4"/>
      <c r="E88" s="4"/>
      <c r="F88" s="4"/>
      <c r="G88" s="4"/>
      <c r="H88" s="4"/>
    </row>
    <row r="89" spans="1:8" x14ac:dyDescent="0.2">
      <c r="A89" s="8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139.44</v>
      </c>
      <c r="G89" s="9">
        <v>0</v>
      </c>
      <c r="H89" s="9">
        <f>SUM(B89:G89)</f>
        <v>139.44</v>
      </c>
    </row>
    <row r="90" spans="1:8" x14ac:dyDescent="0.2">
      <c r="A90" s="10" t="s">
        <v>94</v>
      </c>
      <c r="B90" s="11">
        <f t="shared" ref="B90:H90" si="19">SUM(B89)</f>
        <v>0</v>
      </c>
      <c r="C90" s="11">
        <f t="shared" si="19"/>
        <v>0</v>
      </c>
      <c r="D90" s="11">
        <f t="shared" si="19"/>
        <v>0</v>
      </c>
      <c r="E90" s="11">
        <f t="shared" si="19"/>
        <v>0</v>
      </c>
      <c r="F90" s="11">
        <f t="shared" si="19"/>
        <v>139.44</v>
      </c>
      <c r="G90" s="11">
        <f t="shared" si="19"/>
        <v>0</v>
      </c>
      <c r="H90" s="11">
        <f t="shared" si="19"/>
        <v>139.44</v>
      </c>
    </row>
    <row r="91" spans="1:8" x14ac:dyDescent="0.2">
      <c r="A91" s="7" t="s">
        <v>95</v>
      </c>
      <c r="B91" s="4"/>
      <c r="C91" s="4"/>
      <c r="D91" s="4"/>
      <c r="E91" s="4"/>
      <c r="F91" s="4"/>
      <c r="G91" s="4"/>
      <c r="H91" s="4"/>
    </row>
    <row r="92" spans="1:8" x14ac:dyDescent="0.2">
      <c r="A92" s="8" t="s">
        <v>96</v>
      </c>
      <c r="B92" s="9">
        <v>0</v>
      </c>
      <c r="C92" s="9">
        <v>0</v>
      </c>
      <c r="D92" s="9">
        <v>48420.657173</v>
      </c>
      <c r="E92" s="9">
        <v>0</v>
      </c>
      <c r="F92" s="9">
        <v>0</v>
      </c>
      <c r="G92" s="9">
        <v>0</v>
      </c>
      <c r="H92" s="9">
        <f t="shared" ref="H92:H109" si="20">SUM(B92:G92)</f>
        <v>48420.657173</v>
      </c>
    </row>
    <row r="93" spans="1:8" x14ac:dyDescent="0.2">
      <c r="A93" s="8" t="s">
        <v>97</v>
      </c>
      <c r="B93" s="9">
        <v>0</v>
      </c>
      <c r="C93" s="9">
        <v>0</v>
      </c>
      <c r="D93" s="9">
        <v>0</v>
      </c>
      <c r="E93" s="9">
        <v>0</v>
      </c>
      <c r="F93" s="9">
        <v>1988709.58</v>
      </c>
      <c r="G93" s="9">
        <v>0</v>
      </c>
      <c r="H93" s="9">
        <f t="shared" si="20"/>
        <v>1988709.58</v>
      </c>
    </row>
    <row r="94" spans="1:8" x14ac:dyDescent="0.2">
      <c r="A94" s="8" t="s">
        <v>98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440411.22</v>
      </c>
      <c r="H94" s="9">
        <f t="shared" si="20"/>
        <v>440411.22</v>
      </c>
    </row>
    <row r="95" spans="1:8" x14ac:dyDescent="0.2">
      <c r="A95" s="8" t="s">
        <v>99</v>
      </c>
      <c r="B95" s="9">
        <v>0</v>
      </c>
      <c r="C95" s="9">
        <v>0</v>
      </c>
      <c r="D95" s="9">
        <v>1461.3095000000001</v>
      </c>
      <c r="E95" s="9">
        <v>0</v>
      </c>
      <c r="F95" s="9">
        <v>0</v>
      </c>
      <c r="G95" s="9">
        <v>0</v>
      </c>
      <c r="H95" s="9">
        <f t="shared" si="20"/>
        <v>1461.3095000000001</v>
      </c>
    </row>
    <row r="96" spans="1:8" x14ac:dyDescent="0.2">
      <c r="A96" s="8" t="s">
        <v>100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-489.52</v>
      </c>
      <c r="H96" s="9">
        <f t="shared" si="20"/>
        <v>-489.52</v>
      </c>
    </row>
    <row r="97" spans="1:8" x14ac:dyDescent="0.2">
      <c r="A97" s="8" t="s">
        <v>101</v>
      </c>
      <c r="B97" s="9">
        <v>0</v>
      </c>
      <c r="C97" s="9">
        <v>0</v>
      </c>
      <c r="D97" s="9">
        <v>0</v>
      </c>
      <c r="E97" s="9">
        <v>0</v>
      </c>
      <c r="F97" s="9">
        <v>350961.05</v>
      </c>
      <c r="G97" s="9">
        <v>0</v>
      </c>
      <c r="H97" s="9">
        <f t="shared" si="20"/>
        <v>350961.05</v>
      </c>
    </row>
    <row r="98" spans="1:8" x14ac:dyDescent="0.2">
      <c r="A98" s="8" t="s">
        <v>102</v>
      </c>
      <c r="B98" s="9">
        <v>0</v>
      </c>
      <c r="C98" s="9">
        <v>0</v>
      </c>
      <c r="D98" s="9">
        <v>0</v>
      </c>
      <c r="E98" s="9">
        <v>0</v>
      </c>
      <c r="F98" s="9">
        <v>43816.92</v>
      </c>
      <c r="G98" s="9">
        <v>0</v>
      </c>
      <c r="H98" s="9">
        <f t="shared" si="20"/>
        <v>43816.92</v>
      </c>
    </row>
    <row r="99" spans="1:8" x14ac:dyDescent="0.2">
      <c r="A99" s="8" t="s">
        <v>103</v>
      </c>
      <c r="B99" s="9">
        <v>0</v>
      </c>
      <c r="C99" s="9">
        <v>0</v>
      </c>
      <c r="D99" s="9">
        <v>0</v>
      </c>
      <c r="E99" s="9">
        <v>0</v>
      </c>
      <c r="F99" s="9">
        <v>498513.24</v>
      </c>
      <c r="G99" s="9">
        <v>0</v>
      </c>
      <c r="H99" s="9">
        <f t="shared" si="20"/>
        <v>498513.24</v>
      </c>
    </row>
    <row r="100" spans="1:8" x14ac:dyDescent="0.2">
      <c r="A100" s="8" t="s">
        <v>104</v>
      </c>
      <c r="B100" s="9">
        <v>0</v>
      </c>
      <c r="C100" s="9">
        <v>0</v>
      </c>
      <c r="D100" s="9">
        <v>0</v>
      </c>
      <c r="E100" s="9">
        <v>0</v>
      </c>
      <c r="F100" s="9">
        <v>290111.12</v>
      </c>
      <c r="G100" s="9">
        <v>0</v>
      </c>
      <c r="H100" s="9">
        <f t="shared" si="20"/>
        <v>290111.12</v>
      </c>
    </row>
    <row r="101" spans="1:8" x14ac:dyDescent="0.2">
      <c r="A101" s="8" t="s">
        <v>105</v>
      </c>
      <c r="B101" s="9">
        <v>0</v>
      </c>
      <c r="C101" s="9">
        <v>0</v>
      </c>
      <c r="D101" s="9">
        <v>0</v>
      </c>
      <c r="E101" s="9">
        <v>406071.9</v>
      </c>
      <c r="F101" s="9">
        <v>0</v>
      </c>
      <c r="G101" s="9">
        <v>0</v>
      </c>
      <c r="H101" s="9">
        <f t="shared" si="20"/>
        <v>406071.9</v>
      </c>
    </row>
    <row r="102" spans="1:8" x14ac:dyDescent="0.2">
      <c r="A102" s="8" t="s">
        <v>106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22120.400000000001</v>
      </c>
      <c r="H102" s="9">
        <f t="shared" si="20"/>
        <v>22120.400000000001</v>
      </c>
    </row>
    <row r="103" spans="1:8" x14ac:dyDescent="0.2">
      <c r="A103" s="8" t="s">
        <v>107</v>
      </c>
      <c r="B103" s="9">
        <v>0</v>
      </c>
      <c r="C103" s="9">
        <v>0</v>
      </c>
      <c r="D103" s="9">
        <v>0</v>
      </c>
      <c r="E103" s="9">
        <v>0</v>
      </c>
      <c r="F103" s="9">
        <v>159670.60999999999</v>
      </c>
      <c r="G103" s="9">
        <v>0</v>
      </c>
      <c r="H103" s="9">
        <f t="shared" si="20"/>
        <v>159670.60999999999</v>
      </c>
    </row>
    <row r="104" spans="1:8" x14ac:dyDescent="0.2">
      <c r="A104" s="8" t="s">
        <v>108</v>
      </c>
      <c r="B104" s="9">
        <v>22835.94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f t="shared" si="20"/>
        <v>22835.94</v>
      </c>
    </row>
    <row r="105" spans="1:8" x14ac:dyDescent="0.2">
      <c r="A105" s="8" t="s">
        <v>109</v>
      </c>
      <c r="B105" s="9">
        <v>0</v>
      </c>
      <c r="C105" s="9">
        <v>0</v>
      </c>
      <c r="D105" s="9">
        <v>0</v>
      </c>
      <c r="E105" s="9">
        <v>0</v>
      </c>
      <c r="F105" s="9">
        <v>126102.59</v>
      </c>
      <c r="G105" s="9">
        <v>0</v>
      </c>
      <c r="H105" s="9">
        <f t="shared" si="20"/>
        <v>126102.59</v>
      </c>
    </row>
    <row r="106" spans="1:8" x14ac:dyDescent="0.2">
      <c r="A106" s="8" t="s">
        <v>110</v>
      </c>
      <c r="B106" s="9">
        <v>0</v>
      </c>
      <c r="C106" s="9">
        <v>0</v>
      </c>
      <c r="D106" s="9">
        <v>0</v>
      </c>
      <c r="E106" s="9">
        <v>0</v>
      </c>
      <c r="F106" s="9">
        <v>5000</v>
      </c>
      <c r="G106" s="9">
        <v>0</v>
      </c>
      <c r="H106" s="9">
        <f t="shared" si="20"/>
        <v>5000</v>
      </c>
    </row>
    <row r="107" spans="1:8" x14ac:dyDescent="0.2">
      <c r="A107" s="8" t="s">
        <v>111</v>
      </c>
      <c r="B107" s="9">
        <v>44708.02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f t="shared" si="20"/>
        <v>44708.02</v>
      </c>
    </row>
    <row r="108" spans="1:8" x14ac:dyDescent="0.2">
      <c r="A108" s="8" t="s">
        <v>112</v>
      </c>
      <c r="B108" s="9">
        <v>0</v>
      </c>
      <c r="C108" s="9">
        <v>0</v>
      </c>
      <c r="D108" s="9">
        <v>56923.101290999999</v>
      </c>
      <c r="E108" s="9">
        <v>0</v>
      </c>
      <c r="F108" s="9">
        <v>0</v>
      </c>
      <c r="G108" s="9">
        <v>0</v>
      </c>
      <c r="H108" s="9">
        <f t="shared" si="20"/>
        <v>56923.101290999999</v>
      </c>
    </row>
    <row r="109" spans="1:8" x14ac:dyDescent="0.2">
      <c r="A109" s="8" t="s">
        <v>113</v>
      </c>
      <c r="B109" s="9">
        <v>0</v>
      </c>
      <c r="C109" s="9">
        <v>87464.347179999997</v>
      </c>
      <c r="D109" s="9">
        <v>0</v>
      </c>
      <c r="E109" s="9">
        <v>0</v>
      </c>
      <c r="F109" s="9">
        <v>0</v>
      </c>
      <c r="G109" s="9">
        <v>0</v>
      </c>
      <c r="H109" s="9">
        <f t="shared" si="20"/>
        <v>87464.347179999997</v>
      </c>
    </row>
    <row r="110" spans="1:8" x14ac:dyDescent="0.2">
      <c r="A110" s="10" t="s">
        <v>114</v>
      </c>
      <c r="B110" s="11">
        <f t="shared" ref="B110:H110" si="21">SUM(B92:B109)</f>
        <v>67543.959999999992</v>
      </c>
      <c r="C110" s="11">
        <f t="shared" si="21"/>
        <v>87464.347179999997</v>
      </c>
      <c r="D110" s="11">
        <f t="shared" si="21"/>
        <v>106805.067964</v>
      </c>
      <c r="E110" s="11">
        <f t="shared" si="21"/>
        <v>406071.9</v>
      </c>
      <c r="F110" s="11">
        <f t="shared" si="21"/>
        <v>3462885.11</v>
      </c>
      <c r="G110" s="11">
        <f t="shared" si="21"/>
        <v>462042.1</v>
      </c>
      <c r="H110" s="11">
        <f t="shared" si="21"/>
        <v>4592812.4851439996</v>
      </c>
    </row>
    <row r="111" spans="1:8" x14ac:dyDescent="0.2">
      <c r="A111" s="12" t="s">
        <v>115</v>
      </c>
      <c r="B111" s="11">
        <f t="shared" ref="B111:H111" si="22">B90+0+B110</f>
        <v>67543.959999999992</v>
      </c>
      <c r="C111" s="11">
        <f t="shared" si="22"/>
        <v>87464.347179999997</v>
      </c>
      <c r="D111" s="11">
        <f t="shared" si="22"/>
        <v>106805.067964</v>
      </c>
      <c r="E111" s="11">
        <f t="shared" si="22"/>
        <v>406071.9</v>
      </c>
      <c r="F111" s="11">
        <f t="shared" si="22"/>
        <v>3463024.55</v>
      </c>
      <c r="G111" s="11">
        <f t="shared" si="22"/>
        <v>462042.1</v>
      </c>
      <c r="H111" s="11">
        <f t="shared" si="22"/>
        <v>4592951.925144</v>
      </c>
    </row>
    <row r="112" spans="1:8" x14ac:dyDescent="0.2">
      <c r="A112" s="13" t="s">
        <v>116</v>
      </c>
      <c r="B112" s="11">
        <f t="shared" ref="B112:H112" si="23">0+B86+0+B111</f>
        <v>268721.71999999997</v>
      </c>
      <c r="C112" s="11">
        <f t="shared" si="23"/>
        <v>110319.21244999999</v>
      </c>
      <c r="D112" s="11">
        <f t="shared" si="23"/>
        <v>119054.22008900001</v>
      </c>
      <c r="E112" s="11">
        <f t="shared" si="23"/>
        <v>345018.09</v>
      </c>
      <c r="F112" s="11">
        <f t="shared" si="23"/>
        <v>4968905.09</v>
      </c>
      <c r="G112" s="11">
        <f t="shared" si="23"/>
        <v>265437.06999999995</v>
      </c>
      <c r="H112" s="11">
        <f t="shared" si="23"/>
        <v>6077455.4025389999</v>
      </c>
    </row>
    <row r="113" spans="1:8" x14ac:dyDescent="0.2">
      <c r="A113" s="5"/>
      <c r="B113" s="4"/>
      <c r="C113" s="4"/>
      <c r="D113" s="4"/>
      <c r="E113" s="4"/>
      <c r="F113" s="4"/>
      <c r="G113" s="4"/>
      <c r="H113" s="4"/>
    </row>
    <row r="114" spans="1:8" x14ac:dyDescent="0.2">
      <c r="A114" s="5" t="s">
        <v>117</v>
      </c>
      <c r="B114" s="4"/>
      <c r="C114" s="4"/>
      <c r="D114" s="4"/>
      <c r="E114" s="4"/>
      <c r="F114" s="4"/>
      <c r="G114" s="4"/>
      <c r="H114" s="4"/>
    </row>
    <row r="115" spans="1:8" x14ac:dyDescent="0.2">
      <c r="A115" s="14" t="s">
        <v>118</v>
      </c>
      <c r="B115" s="9">
        <v>0</v>
      </c>
      <c r="C115" s="9">
        <v>339.51411200000001</v>
      </c>
      <c r="D115" s="9">
        <v>0</v>
      </c>
      <c r="E115" s="9">
        <v>331.82</v>
      </c>
      <c r="F115" s="9">
        <v>23226.1</v>
      </c>
      <c r="G115" s="9">
        <v>0</v>
      </c>
      <c r="H115" s="9">
        <f>SUM(B115:G115)</f>
        <v>23897.434111999999</v>
      </c>
    </row>
    <row r="116" spans="1:8" x14ac:dyDescent="0.2">
      <c r="A116" s="13" t="s">
        <v>119</v>
      </c>
      <c r="B116" s="11">
        <f t="shared" ref="B116:H116" si="24">SUM(B115)</f>
        <v>0</v>
      </c>
      <c r="C116" s="11">
        <f t="shared" si="24"/>
        <v>339.51411200000001</v>
      </c>
      <c r="D116" s="11">
        <f t="shared" si="24"/>
        <v>0</v>
      </c>
      <c r="E116" s="11">
        <f t="shared" si="24"/>
        <v>331.82</v>
      </c>
      <c r="F116" s="11">
        <f t="shared" si="24"/>
        <v>23226.1</v>
      </c>
      <c r="G116" s="11">
        <f t="shared" si="24"/>
        <v>0</v>
      </c>
      <c r="H116" s="11">
        <f t="shared" si="24"/>
        <v>23897.434111999999</v>
      </c>
    </row>
    <row r="117" spans="1:8" x14ac:dyDescent="0.2">
      <c r="A117" s="15" t="s">
        <v>120</v>
      </c>
      <c r="B117" s="11">
        <f t="shared" ref="B117:H117" si="25">B56+B57+B112+B113+B116+0</f>
        <v>268721.71999999997</v>
      </c>
      <c r="C117" s="11">
        <f t="shared" si="25"/>
        <v>112248.35056199999</v>
      </c>
      <c r="D117" s="11">
        <f t="shared" si="25"/>
        <v>119054.22008900001</v>
      </c>
      <c r="E117" s="11">
        <f t="shared" si="25"/>
        <v>345801.07</v>
      </c>
      <c r="F117" s="11">
        <f t="shared" si="25"/>
        <v>6236459.5699999994</v>
      </c>
      <c r="G117" s="11">
        <f t="shared" si="25"/>
        <v>545135.1399999999</v>
      </c>
      <c r="H117" s="11">
        <f t="shared" si="25"/>
        <v>7627420.0706510004</v>
      </c>
    </row>
    <row r="118" spans="1:8" x14ac:dyDescent="0.2">
      <c r="A118" s="3"/>
      <c r="B118" s="4"/>
      <c r="C118" s="4"/>
      <c r="D118" s="4"/>
      <c r="E118" s="4"/>
      <c r="F118" s="4"/>
      <c r="G118" s="4"/>
      <c r="H118" s="4"/>
    </row>
    <row r="119" spans="1:8" x14ac:dyDescent="0.2">
      <c r="A119" s="3" t="s">
        <v>121</v>
      </c>
      <c r="B119" s="4"/>
      <c r="C119" s="4"/>
      <c r="D119" s="4"/>
      <c r="E119" s="4"/>
      <c r="F119" s="4"/>
      <c r="G119" s="4"/>
      <c r="H119" s="4"/>
    </row>
    <row r="120" spans="1:8" x14ac:dyDescent="0.2">
      <c r="A120" s="5" t="s">
        <v>122</v>
      </c>
      <c r="B120" s="4"/>
      <c r="C120" s="4"/>
      <c r="D120" s="4"/>
      <c r="E120" s="4"/>
      <c r="F120" s="4"/>
      <c r="G120" s="4"/>
      <c r="H120" s="4"/>
    </row>
    <row r="121" spans="1:8" hidden="1" x14ac:dyDescent="0.2">
      <c r="A121" s="5" t="s">
        <v>122</v>
      </c>
      <c r="B121" s="4"/>
      <c r="C121" s="4"/>
      <c r="D121" s="4"/>
      <c r="E121" s="4"/>
      <c r="F121" s="4"/>
      <c r="G121" s="4"/>
      <c r="H121" s="4"/>
    </row>
    <row r="122" spans="1:8" x14ac:dyDescent="0.2">
      <c r="A122" s="14" t="s">
        <v>123</v>
      </c>
      <c r="B122" s="9">
        <v>25000</v>
      </c>
      <c r="C122" s="9">
        <v>88000</v>
      </c>
      <c r="D122" s="9">
        <v>330300</v>
      </c>
      <c r="E122" s="9">
        <v>35000</v>
      </c>
      <c r="F122" s="9">
        <v>52000</v>
      </c>
      <c r="G122" s="9">
        <v>25000</v>
      </c>
      <c r="H122" s="9">
        <f>SUM(B122:G122)</f>
        <v>555300</v>
      </c>
    </row>
    <row r="123" spans="1:8" hidden="1" x14ac:dyDescent="0.2">
      <c r="A123" s="16" t="s">
        <v>124</v>
      </c>
      <c r="B123" s="17">
        <f t="shared" ref="B123:H123" si="26">SUM(B122)</f>
        <v>25000</v>
      </c>
      <c r="C123" s="17">
        <f t="shared" si="26"/>
        <v>88000</v>
      </c>
      <c r="D123" s="17">
        <f t="shared" si="26"/>
        <v>330300</v>
      </c>
      <c r="E123" s="17">
        <f t="shared" si="26"/>
        <v>35000</v>
      </c>
      <c r="F123" s="17">
        <f t="shared" si="26"/>
        <v>52000</v>
      </c>
      <c r="G123" s="17">
        <f t="shared" si="26"/>
        <v>25000</v>
      </c>
      <c r="H123" s="17">
        <f t="shared" si="26"/>
        <v>555300</v>
      </c>
    </row>
    <row r="124" spans="1:8" x14ac:dyDescent="0.2">
      <c r="A124" s="14" t="s">
        <v>125</v>
      </c>
      <c r="B124" s="9">
        <v>223571.05999999997</v>
      </c>
      <c r="C124" s="9">
        <v>-15845.096804000137</v>
      </c>
      <c r="D124" s="9">
        <v>-61326.912630999926</v>
      </c>
      <c r="E124" s="9">
        <v>159637.0800000001</v>
      </c>
      <c r="F124" s="9">
        <v>4753656.8199999975</v>
      </c>
      <c r="G124" s="9">
        <v>504862.60999999987</v>
      </c>
      <c r="H124" s="9">
        <f>SUM(B124:G124)</f>
        <v>5564555.5605649967</v>
      </c>
    </row>
    <row r="125" spans="1:8" x14ac:dyDescent="0.2">
      <c r="A125" s="14" t="s">
        <v>126</v>
      </c>
      <c r="B125" s="9">
        <v>6223.9899999999961</v>
      </c>
      <c r="C125" s="9">
        <v>21058.328099999966</v>
      </c>
      <c r="D125" s="9">
        <v>-174986.04466399996</v>
      </c>
      <c r="E125" s="9">
        <v>30248.709999999901</v>
      </c>
      <c r="F125" s="9">
        <v>450996.1100000033</v>
      </c>
      <c r="G125" s="9">
        <v>9494.7199999999903</v>
      </c>
      <c r="H125" s="9">
        <f>SUM(B125:G125)</f>
        <v>343035.81343600317</v>
      </c>
    </row>
    <row r="126" spans="1:8" x14ac:dyDescent="0.2">
      <c r="A126" s="14" t="s">
        <v>127</v>
      </c>
      <c r="B126" s="9">
        <v>0</v>
      </c>
      <c r="C126" s="9">
        <v>3977.9974139999999</v>
      </c>
      <c r="D126" s="9">
        <v>-46903.105168000002</v>
      </c>
      <c r="E126" s="9">
        <v>0</v>
      </c>
      <c r="F126" s="9">
        <v>0</v>
      </c>
      <c r="G126" s="9">
        <v>0</v>
      </c>
      <c r="H126" s="9">
        <f>SUM(B126:G126)</f>
        <v>-42925.107754000004</v>
      </c>
    </row>
    <row r="127" spans="1:8" x14ac:dyDescent="0.2">
      <c r="A127" s="13" t="s">
        <v>128</v>
      </c>
      <c r="B127" s="11">
        <f t="shared" ref="B127:H127" si="27">B123+B124+B125+B126</f>
        <v>254795.04999999996</v>
      </c>
      <c r="C127" s="11">
        <f t="shared" si="27"/>
        <v>97191.228709999836</v>
      </c>
      <c r="D127" s="11">
        <f t="shared" si="27"/>
        <v>47083.937537000114</v>
      </c>
      <c r="E127" s="11">
        <f t="shared" si="27"/>
        <v>224885.79</v>
      </c>
      <c r="F127" s="11">
        <f t="shared" si="27"/>
        <v>5256652.9300000006</v>
      </c>
      <c r="G127" s="11">
        <f t="shared" si="27"/>
        <v>539357.32999999984</v>
      </c>
      <c r="H127" s="11">
        <f t="shared" si="27"/>
        <v>6419966.2662469996</v>
      </c>
    </row>
    <row r="128" spans="1:8" x14ac:dyDescent="0.2">
      <c r="A128" s="5"/>
      <c r="B128" s="4"/>
      <c r="C128" s="4"/>
      <c r="D128" s="4"/>
      <c r="E128" s="4"/>
      <c r="F128" s="4"/>
      <c r="G128" s="4"/>
      <c r="H128" s="4"/>
    </row>
    <row r="129" spans="1:8" x14ac:dyDescent="0.2">
      <c r="A129" s="5" t="s">
        <v>129</v>
      </c>
      <c r="B129" s="4"/>
      <c r="C129" s="4"/>
      <c r="D129" s="4"/>
      <c r="E129" s="4"/>
      <c r="F129" s="4"/>
      <c r="G129" s="4"/>
      <c r="H129" s="4"/>
    </row>
    <row r="130" spans="1:8" x14ac:dyDescent="0.2">
      <c r="A130" s="6" t="s">
        <v>130</v>
      </c>
      <c r="B130" s="4"/>
      <c r="C130" s="4"/>
      <c r="D130" s="4"/>
      <c r="E130" s="4"/>
      <c r="F130" s="4"/>
      <c r="G130" s="4"/>
      <c r="H130" s="4"/>
    </row>
    <row r="131" spans="1:8" x14ac:dyDescent="0.2">
      <c r="A131" s="18" t="s">
        <v>131</v>
      </c>
      <c r="B131" s="9">
        <v>0</v>
      </c>
      <c r="C131" s="9">
        <v>1155.25</v>
      </c>
      <c r="D131" s="9">
        <v>0</v>
      </c>
      <c r="E131" s="9">
        <v>0</v>
      </c>
      <c r="F131" s="9">
        <v>2716.85</v>
      </c>
      <c r="G131" s="9">
        <v>0</v>
      </c>
      <c r="H131" s="9">
        <f>SUM(B131:G131)</f>
        <v>3872.1</v>
      </c>
    </row>
    <row r="132" spans="1:8" x14ac:dyDescent="0.2">
      <c r="A132" s="18" t="s">
        <v>132</v>
      </c>
      <c r="B132" s="9">
        <v>0</v>
      </c>
      <c r="C132" s="9">
        <v>0</v>
      </c>
      <c r="D132" s="9">
        <v>0</v>
      </c>
      <c r="E132" s="9">
        <v>0</v>
      </c>
      <c r="F132" s="9">
        <v>7278</v>
      </c>
      <c r="G132" s="9">
        <v>0</v>
      </c>
      <c r="H132" s="9">
        <f>SUM(B132:G132)</f>
        <v>7278</v>
      </c>
    </row>
    <row r="133" spans="1:8" x14ac:dyDescent="0.2">
      <c r="A133" s="18" t="s">
        <v>133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1354</v>
      </c>
      <c r="H133" s="9">
        <f>SUM(B133:G133)</f>
        <v>1354</v>
      </c>
    </row>
    <row r="134" spans="1:8" x14ac:dyDescent="0.2">
      <c r="A134" s="12" t="s">
        <v>134</v>
      </c>
      <c r="B134" s="11">
        <f t="shared" ref="B134:H134" si="28">SUM(B131:B133)</f>
        <v>0</v>
      </c>
      <c r="C134" s="11">
        <f t="shared" si="28"/>
        <v>1155.25</v>
      </c>
      <c r="D134" s="11">
        <f t="shared" si="28"/>
        <v>0</v>
      </c>
      <c r="E134" s="11">
        <f t="shared" si="28"/>
        <v>0</v>
      </c>
      <c r="F134" s="11">
        <f t="shared" si="28"/>
        <v>9994.85</v>
      </c>
      <c r="G134" s="11">
        <f t="shared" si="28"/>
        <v>1354</v>
      </c>
      <c r="H134" s="11">
        <f t="shared" si="28"/>
        <v>12504.1</v>
      </c>
    </row>
    <row r="135" spans="1:8" x14ac:dyDescent="0.2">
      <c r="A135" s="6" t="s">
        <v>135</v>
      </c>
      <c r="B135" s="4"/>
      <c r="C135" s="4"/>
      <c r="D135" s="4"/>
      <c r="E135" s="4"/>
      <c r="F135" s="4"/>
      <c r="G135" s="4"/>
      <c r="H135" s="4"/>
    </row>
    <row r="136" spans="1:8" x14ac:dyDescent="0.2">
      <c r="A136" s="18" t="s">
        <v>136</v>
      </c>
      <c r="B136" s="9">
        <v>0</v>
      </c>
      <c r="C136" s="9">
        <v>0</v>
      </c>
      <c r="D136" s="9">
        <v>0</v>
      </c>
      <c r="E136" s="9">
        <v>28400</v>
      </c>
      <c r="F136" s="9">
        <v>1712</v>
      </c>
      <c r="G136" s="9">
        <v>0</v>
      </c>
      <c r="H136" s="9">
        <f t="shared" ref="H136:H141" si="29">SUM(B136:G136)</f>
        <v>30112</v>
      </c>
    </row>
    <row r="137" spans="1:8" x14ac:dyDescent="0.2">
      <c r="A137" s="18" t="s">
        <v>137</v>
      </c>
      <c r="B137" s="9">
        <v>710</v>
      </c>
      <c r="C137" s="9">
        <v>0</v>
      </c>
      <c r="D137" s="9">
        <v>0</v>
      </c>
      <c r="E137" s="9">
        <v>4200</v>
      </c>
      <c r="F137" s="9">
        <v>12800</v>
      </c>
      <c r="G137" s="9">
        <v>910</v>
      </c>
      <c r="H137" s="9">
        <f t="shared" si="29"/>
        <v>18620</v>
      </c>
    </row>
    <row r="138" spans="1:8" x14ac:dyDescent="0.2">
      <c r="A138" s="18" t="s">
        <v>138</v>
      </c>
      <c r="B138" s="9">
        <v>48</v>
      </c>
      <c r="C138" s="9">
        <v>0</v>
      </c>
      <c r="D138" s="9">
        <v>0</v>
      </c>
      <c r="E138" s="9">
        <v>0</v>
      </c>
      <c r="F138" s="9">
        <v>498107.93</v>
      </c>
      <c r="G138" s="9">
        <v>0</v>
      </c>
      <c r="H138" s="9">
        <f t="shared" si="29"/>
        <v>498155.93</v>
      </c>
    </row>
    <row r="139" spans="1:8" x14ac:dyDescent="0.2">
      <c r="A139" s="18" t="s">
        <v>139</v>
      </c>
      <c r="B139" s="9">
        <v>100</v>
      </c>
      <c r="C139" s="9">
        <v>0</v>
      </c>
      <c r="D139" s="9">
        <v>0</v>
      </c>
      <c r="E139" s="9">
        <v>0</v>
      </c>
      <c r="F139" s="9">
        <v>6850</v>
      </c>
      <c r="G139" s="9">
        <v>100</v>
      </c>
      <c r="H139" s="9">
        <f t="shared" si="29"/>
        <v>7050</v>
      </c>
    </row>
    <row r="140" spans="1:8" x14ac:dyDescent="0.2">
      <c r="A140" s="18" t="s">
        <v>140</v>
      </c>
      <c r="B140" s="9">
        <v>0</v>
      </c>
      <c r="C140" s="9">
        <v>0</v>
      </c>
      <c r="D140" s="9">
        <v>0</v>
      </c>
      <c r="E140" s="9">
        <v>0</v>
      </c>
      <c r="F140" s="9">
        <v>50482</v>
      </c>
      <c r="G140" s="9">
        <v>0</v>
      </c>
      <c r="H140" s="9">
        <f t="shared" si="29"/>
        <v>50482</v>
      </c>
    </row>
    <row r="141" spans="1:8" x14ac:dyDescent="0.2">
      <c r="A141" s="18" t="s">
        <v>141</v>
      </c>
      <c r="B141" s="9">
        <v>914</v>
      </c>
      <c r="C141" s="9">
        <v>0</v>
      </c>
      <c r="D141" s="9">
        <v>0</v>
      </c>
      <c r="E141" s="9">
        <v>0</v>
      </c>
      <c r="F141" s="9">
        <v>117552.88</v>
      </c>
      <c r="G141" s="9">
        <v>0</v>
      </c>
      <c r="H141" s="9">
        <f t="shared" si="29"/>
        <v>118466.88</v>
      </c>
    </row>
    <row r="142" spans="1:8" x14ac:dyDescent="0.2">
      <c r="A142" s="12" t="s">
        <v>142</v>
      </c>
      <c r="B142" s="11">
        <f t="shared" ref="B142:H142" si="30">SUM(B136:B141)</f>
        <v>1772</v>
      </c>
      <c r="C142" s="11">
        <f t="shared" si="30"/>
        <v>0</v>
      </c>
      <c r="D142" s="11">
        <f t="shared" si="30"/>
        <v>0</v>
      </c>
      <c r="E142" s="11">
        <f t="shared" si="30"/>
        <v>32600</v>
      </c>
      <c r="F142" s="11">
        <f t="shared" si="30"/>
        <v>687504.80999999994</v>
      </c>
      <c r="G142" s="11">
        <f t="shared" si="30"/>
        <v>1010</v>
      </c>
      <c r="H142" s="11">
        <f t="shared" si="30"/>
        <v>722886.80999999994</v>
      </c>
    </row>
    <row r="143" spans="1:8" x14ac:dyDescent="0.2">
      <c r="A143" s="13" t="s">
        <v>143</v>
      </c>
      <c r="B143" s="11">
        <f t="shared" ref="B143:H143" si="31">0+B134+B142</f>
        <v>1772</v>
      </c>
      <c r="C143" s="11">
        <f t="shared" si="31"/>
        <v>1155.25</v>
      </c>
      <c r="D143" s="11">
        <f t="shared" si="31"/>
        <v>0</v>
      </c>
      <c r="E143" s="11">
        <f t="shared" si="31"/>
        <v>32600</v>
      </c>
      <c r="F143" s="11">
        <f t="shared" si="31"/>
        <v>697499.65999999992</v>
      </c>
      <c r="G143" s="11">
        <f t="shared" si="31"/>
        <v>2364</v>
      </c>
      <c r="H143" s="11">
        <f t="shared" si="31"/>
        <v>735390.90999999992</v>
      </c>
    </row>
    <row r="144" spans="1:8" x14ac:dyDescent="0.2">
      <c r="A144" s="5" t="s">
        <v>144</v>
      </c>
      <c r="B144" s="4"/>
      <c r="C144" s="4"/>
      <c r="D144" s="4"/>
      <c r="E144" s="4"/>
      <c r="F144" s="4"/>
      <c r="G144" s="4"/>
      <c r="H144" s="4"/>
    </row>
    <row r="145" spans="1:8" x14ac:dyDescent="0.2">
      <c r="A145" s="6" t="s">
        <v>145</v>
      </c>
      <c r="B145" s="4"/>
      <c r="C145" s="4"/>
      <c r="D145" s="4"/>
      <c r="E145" s="4"/>
      <c r="F145" s="4"/>
      <c r="G145" s="4"/>
      <c r="H145" s="4"/>
    </row>
    <row r="146" spans="1:8" x14ac:dyDescent="0.2">
      <c r="A146" s="18" t="s">
        <v>146</v>
      </c>
      <c r="B146" s="9">
        <v>0</v>
      </c>
      <c r="C146" s="9">
        <v>0</v>
      </c>
      <c r="D146" s="9">
        <v>71970.282552000004</v>
      </c>
      <c r="E146" s="9">
        <v>0</v>
      </c>
      <c r="F146" s="9">
        <v>0</v>
      </c>
      <c r="G146" s="9">
        <v>0</v>
      </c>
      <c r="H146" s="9">
        <f>SUM(B146:G146)</f>
        <v>71970.282552000004</v>
      </c>
    </row>
    <row r="147" spans="1:8" x14ac:dyDescent="0.2">
      <c r="A147" s="12" t="s">
        <v>147</v>
      </c>
      <c r="B147" s="11">
        <f t="shared" ref="B147:H147" si="32">SUM(B146)</f>
        <v>0</v>
      </c>
      <c r="C147" s="11">
        <f t="shared" si="32"/>
        <v>0</v>
      </c>
      <c r="D147" s="11">
        <f t="shared" si="32"/>
        <v>71970.282552000004</v>
      </c>
      <c r="E147" s="11">
        <f t="shared" si="32"/>
        <v>0</v>
      </c>
      <c r="F147" s="11">
        <f t="shared" si="32"/>
        <v>0</v>
      </c>
      <c r="G147" s="11">
        <f t="shared" si="32"/>
        <v>0</v>
      </c>
      <c r="H147" s="11">
        <f t="shared" si="32"/>
        <v>71970.282552000004</v>
      </c>
    </row>
    <row r="148" spans="1:8" x14ac:dyDescent="0.2">
      <c r="A148" s="6" t="s">
        <v>148</v>
      </c>
      <c r="B148" s="4"/>
      <c r="C148" s="4"/>
      <c r="D148" s="4"/>
      <c r="E148" s="4"/>
      <c r="F148" s="4"/>
      <c r="G148" s="4"/>
      <c r="H148" s="4"/>
    </row>
    <row r="149" spans="1:8" x14ac:dyDescent="0.2">
      <c r="A149" s="18" t="s">
        <v>149</v>
      </c>
      <c r="B149" s="9">
        <v>0</v>
      </c>
      <c r="C149" s="9">
        <v>0</v>
      </c>
      <c r="D149" s="9">
        <v>0</v>
      </c>
      <c r="E149" s="9">
        <v>0</v>
      </c>
      <c r="F149" s="9">
        <v>1787.23</v>
      </c>
      <c r="G149" s="9">
        <v>0</v>
      </c>
      <c r="H149" s="9">
        <f>SUM(B149:G149)</f>
        <v>1787.23</v>
      </c>
    </row>
    <row r="150" spans="1:8" x14ac:dyDescent="0.2">
      <c r="A150" s="18" t="s">
        <v>150</v>
      </c>
      <c r="B150" s="9">
        <v>0</v>
      </c>
      <c r="C150" s="9">
        <v>3403.4127100000001</v>
      </c>
      <c r="D150" s="9">
        <v>0</v>
      </c>
      <c r="E150" s="9">
        <v>3086.76</v>
      </c>
      <c r="F150" s="9">
        <v>0</v>
      </c>
      <c r="G150" s="9">
        <v>0</v>
      </c>
      <c r="H150" s="9">
        <f>SUM(B150:G150)</f>
        <v>6490.1727100000007</v>
      </c>
    </row>
    <row r="151" spans="1:8" x14ac:dyDescent="0.2">
      <c r="A151" s="18" t="s">
        <v>151</v>
      </c>
      <c r="B151" s="9">
        <v>2740</v>
      </c>
      <c r="C151" s="9">
        <v>0</v>
      </c>
      <c r="D151" s="9">
        <v>0</v>
      </c>
      <c r="E151" s="9">
        <v>0</v>
      </c>
      <c r="F151" s="9">
        <v>7454.9</v>
      </c>
      <c r="G151" s="9">
        <v>781.84</v>
      </c>
      <c r="H151" s="9">
        <f>SUM(B151:G151)</f>
        <v>10976.74</v>
      </c>
    </row>
    <row r="152" spans="1:8" x14ac:dyDescent="0.2">
      <c r="A152" s="12" t="s">
        <v>152</v>
      </c>
      <c r="B152" s="11">
        <f t="shared" ref="B152:H152" si="33">SUM(B149:B151)</f>
        <v>2740</v>
      </c>
      <c r="C152" s="11">
        <f t="shared" si="33"/>
        <v>3403.4127100000001</v>
      </c>
      <c r="D152" s="11">
        <f t="shared" si="33"/>
        <v>0</v>
      </c>
      <c r="E152" s="11">
        <f t="shared" si="33"/>
        <v>3086.76</v>
      </c>
      <c r="F152" s="11">
        <f t="shared" si="33"/>
        <v>9242.1299999999992</v>
      </c>
      <c r="G152" s="11">
        <f t="shared" si="33"/>
        <v>781.84</v>
      </c>
      <c r="H152" s="11">
        <f t="shared" si="33"/>
        <v>19254.14271</v>
      </c>
    </row>
    <row r="153" spans="1:8" x14ac:dyDescent="0.2">
      <c r="A153" s="6" t="s">
        <v>153</v>
      </c>
      <c r="B153" s="4"/>
      <c r="C153" s="4"/>
      <c r="D153" s="4"/>
      <c r="E153" s="4"/>
      <c r="F153" s="4"/>
      <c r="G153" s="4"/>
      <c r="H153" s="4"/>
    </row>
    <row r="154" spans="1:8" x14ac:dyDescent="0.2">
      <c r="A154" s="18" t="s">
        <v>154</v>
      </c>
      <c r="B154" s="9">
        <v>0</v>
      </c>
      <c r="C154" s="9">
        <v>0</v>
      </c>
      <c r="D154" s="9">
        <v>0</v>
      </c>
      <c r="E154" s="9">
        <v>0</v>
      </c>
      <c r="F154" s="9">
        <v>341.29</v>
      </c>
      <c r="G154" s="9">
        <v>0</v>
      </c>
      <c r="H154" s="9">
        <f t="shared" ref="H154:H169" si="34">SUM(B154:G154)</f>
        <v>341.29</v>
      </c>
    </row>
    <row r="155" spans="1:8" x14ac:dyDescent="0.2">
      <c r="A155" s="18" t="s">
        <v>155</v>
      </c>
      <c r="B155" s="9">
        <v>0</v>
      </c>
      <c r="C155" s="9">
        <v>5559.5250999999998</v>
      </c>
      <c r="D155" s="9">
        <v>0</v>
      </c>
      <c r="E155" s="9">
        <v>0</v>
      </c>
      <c r="F155" s="9">
        <v>0</v>
      </c>
      <c r="G155" s="9">
        <v>0</v>
      </c>
      <c r="H155" s="9">
        <f t="shared" si="34"/>
        <v>5559.5250999999998</v>
      </c>
    </row>
    <row r="156" spans="1:8" x14ac:dyDescent="0.2">
      <c r="A156" s="18" t="s">
        <v>156</v>
      </c>
      <c r="B156" s="9">
        <v>0</v>
      </c>
      <c r="C156" s="9">
        <v>0</v>
      </c>
      <c r="D156" s="9">
        <v>0</v>
      </c>
      <c r="E156" s="9">
        <v>800</v>
      </c>
      <c r="F156" s="9">
        <v>2276.52</v>
      </c>
      <c r="G156" s="9">
        <v>1050</v>
      </c>
      <c r="H156" s="9">
        <f t="shared" si="34"/>
        <v>4126.5200000000004</v>
      </c>
    </row>
    <row r="157" spans="1:8" x14ac:dyDescent="0.2">
      <c r="A157" s="18" t="s">
        <v>157</v>
      </c>
      <c r="B157" s="9">
        <v>0</v>
      </c>
      <c r="C157" s="9">
        <v>335.11491999999998</v>
      </c>
      <c r="D157" s="9">
        <v>0</v>
      </c>
      <c r="E157" s="9">
        <v>0</v>
      </c>
      <c r="F157" s="9">
        <v>0</v>
      </c>
      <c r="G157" s="9">
        <v>0</v>
      </c>
      <c r="H157" s="9">
        <f t="shared" si="34"/>
        <v>335.11491999999998</v>
      </c>
    </row>
    <row r="158" spans="1:8" x14ac:dyDescent="0.2">
      <c r="A158" s="18" t="s">
        <v>158</v>
      </c>
      <c r="B158" s="9">
        <v>0</v>
      </c>
      <c r="C158" s="9">
        <v>0</v>
      </c>
      <c r="D158" s="9">
        <v>0</v>
      </c>
      <c r="E158" s="9">
        <v>0</v>
      </c>
      <c r="F158" s="9">
        <v>-161.6</v>
      </c>
      <c r="G158" s="9">
        <v>0</v>
      </c>
      <c r="H158" s="9">
        <f t="shared" si="34"/>
        <v>-161.6</v>
      </c>
    </row>
    <row r="159" spans="1:8" x14ac:dyDescent="0.2">
      <c r="A159" s="18" t="s">
        <v>159</v>
      </c>
      <c r="B159" s="9">
        <v>0</v>
      </c>
      <c r="C159" s="9">
        <v>0</v>
      </c>
      <c r="D159" s="9">
        <v>0</v>
      </c>
      <c r="E159" s="9">
        <v>0</v>
      </c>
      <c r="F159" s="9">
        <v>-1949.75</v>
      </c>
      <c r="G159" s="9">
        <v>0</v>
      </c>
      <c r="H159" s="9">
        <f t="shared" si="34"/>
        <v>-1949.75</v>
      </c>
    </row>
    <row r="160" spans="1:8" x14ac:dyDescent="0.2">
      <c r="A160" s="18" t="s">
        <v>160</v>
      </c>
      <c r="B160" s="9">
        <v>0</v>
      </c>
      <c r="C160" s="9">
        <v>70.608879999999999</v>
      </c>
      <c r="D160" s="9">
        <v>0</v>
      </c>
      <c r="E160" s="9">
        <v>0</v>
      </c>
      <c r="F160" s="9">
        <v>-868.43</v>
      </c>
      <c r="G160" s="9">
        <v>0</v>
      </c>
      <c r="H160" s="9">
        <f t="shared" si="34"/>
        <v>-797.82111999999995</v>
      </c>
    </row>
    <row r="161" spans="1:8" x14ac:dyDescent="0.2">
      <c r="A161" s="18" t="s">
        <v>161</v>
      </c>
      <c r="B161" s="9">
        <v>0</v>
      </c>
      <c r="C161" s="9">
        <v>714.17555000000004</v>
      </c>
      <c r="D161" s="9">
        <v>0</v>
      </c>
      <c r="E161" s="9">
        <v>0</v>
      </c>
      <c r="F161" s="9">
        <v>0</v>
      </c>
      <c r="G161" s="9">
        <v>0</v>
      </c>
      <c r="H161" s="9">
        <f t="shared" si="34"/>
        <v>714.17555000000004</v>
      </c>
    </row>
    <row r="162" spans="1:8" x14ac:dyDescent="0.2">
      <c r="A162" s="18" t="s">
        <v>162</v>
      </c>
      <c r="B162" s="9">
        <v>0</v>
      </c>
      <c r="C162" s="9">
        <v>0</v>
      </c>
      <c r="D162" s="9">
        <v>0</v>
      </c>
      <c r="E162" s="9">
        <v>829.16</v>
      </c>
      <c r="F162" s="9">
        <v>0</v>
      </c>
      <c r="G162" s="9">
        <v>0</v>
      </c>
      <c r="H162" s="9">
        <f t="shared" si="34"/>
        <v>829.16</v>
      </c>
    </row>
    <row r="163" spans="1:8" x14ac:dyDescent="0.2">
      <c r="A163" s="18" t="s">
        <v>163</v>
      </c>
      <c r="B163" s="9">
        <v>0</v>
      </c>
      <c r="C163" s="9">
        <v>0</v>
      </c>
      <c r="D163" s="9">
        <v>0</v>
      </c>
      <c r="E163" s="9">
        <v>806.52</v>
      </c>
      <c r="F163" s="9">
        <v>0</v>
      </c>
      <c r="G163" s="9">
        <v>0</v>
      </c>
      <c r="H163" s="9">
        <f t="shared" si="34"/>
        <v>806.52</v>
      </c>
    </row>
    <row r="164" spans="1:8" x14ac:dyDescent="0.2">
      <c r="A164" s="18" t="s">
        <v>164</v>
      </c>
      <c r="B164" s="9">
        <v>0</v>
      </c>
      <c r="C164" s="9">
        <v>0</v>
      </c>
      <c r="D164" s="9">
        <v>0</v>
      </c>
      <c r="E164" s="9">
        <v>0</v>
      </c>
      <c r="F164" s="9">
        <v>1655.45</v>
      </c>
      <c r="G164" s="9">
        <v>0</v>
      </c>
      <c r="H164" s="9">
        <f t="shared" si="34"/>
        <v>1655.45</v>
      </c>
    </row>
    <row r="165" spans="1:8" x14ac:dyDescent="0.2">
      <c r="A165" s="18" t="s">
        <v>165</v>
      </c>
      <c r="B165" s="9">
        <v>0</v>
      </c>
      <c r="C165" s="9">
        <v>0</v>
      </c>
      <c r="D165" s="9">
        <v>0</v>
      </c>
      <c r="E165" s="9">
        <v>0</v>
      </c>
      <c r="F165" s="9">
        <v>59.39</v>
      </c>
      <c r="G165" s="9">
        <v>0</v>
      </c>
      <c r="H165" s="9">
        <f t="shared" si="34"/>
        <v>59.39</v>
      </c>
    </row>
    <row r="166" spans="1:8" x14ac:dyDescent="0.2">
      <c r="A166" s="18" t="s">
        <v>166</v>
      </c>
      <c r="B166" s="9">
        <v>0</v>
      </c>
      <c r="C166" s="9">
        <v>0</v>
      </c>
      <c r="D166" s="9">
        <v>0</v>
      </c>
      <c r="E166" s="9">
        <v>6599.89</v>
      </c>
      <c r="F166" s="9">
        <v>4254.2299999999996</v>
      </c>
      <c r="G166" s="9">
        <v>0</v>
      </c>
      <c r="H166" s="9">
        <f t="shared" si="34"/>
        <v>10854.119999999999</v>
      </c>
    </row>
    <row r="167" spans="1:8" x14ac:dyDescent="0.2">
      <c r="A167" s="18" t="s">
        <v>167</v>
      </c>
      <c r="B167" s="9">
        <v>0.1</v>
      </c>
      <c r="C167" s="9">
        <v>3819.0346920000002</v>
      </c>
      <c r="D167" s="9">
        <v>0</v>
      </c>
      <c r="E167" s="9">
        <v>71905.740000000005</v>
      </c>
      <c r="F167" s="9">
        <v>0</v>
      </c>
      <c r="G167" s="9">
        <v>0.12</v>
      </c>
      <c r="H167" s="9">
        <f t="shared" si="34"/>
        <v>75724.994692000007</v>
      </c>
    </row>
    <row r="168" spans="1:8" x14ac:dyDescent="0.2">
      <c r="A168" s="18" t="s">
        <v>168</v>
      </c>
      <c r="B168" s="9">
        <v>904.04</v>
      </c>
      <c r="C168" s="9">
        <v>0</v>
      </c>
      <c r="D168" s="9">
        <v>0</v>
      </c>
      <c r="E168" s="9">
        <v>0</v>
      </c>
      <c r="F168" s="9">
        <v>109060.54</v>
      </c>
      <c r="G168" s="9">
        <v>1581.85</v>
      </c>
      <c r="H168" s="9">
        <f t="shared" si="34"/>
        <v>111546.43</v>
      </c>
    </row>
    <row r="169" spans="1:8" x14ac:dyDescent="0.2">
      <c r="A169" s="18" t="s">
        <v>169</v>
      </c>
      <c r="B169" s="9">
        <v>673.86</v>
      </c>
      <c r="C169" s="9">
        <v>0</v>
      </c>
      <c r="D169" s="9">
        <v>0</v>
      </c>
      <c r="E169" s="9">
        <v>4287.21</v>
      </c>
      <c r="F169" s="9">
        <v>107599.96</v>
      </c>
      <c r="G169" s="9">
        <v>0</v>
      </c>
      <c r="H169" s="9">
        <f t="shared" si="34"/>
        <v>112561.03</v>
      </c>
    </row>
    <row r="170" spans="1:8" x14ac:dyDescent="0.2">
      <c r="A170" s="12" t="s">
        <v>170</v>
      </c>
      <c r="B170" s="11">
        <f t="shared" ref="B170:H170" si="35">SUM(B154:B169)</f>
        <v>1578</v>
      </c>
      <c r="C170" s="11">
        <f t="shared" si="35"/>
        <v>10498.459142</v>
      </c>
      <c r="D170" s="11">
        <f t="shared" si="35"/>
        <v>0</v>
      </c>
      <c r="E170" s="11">
        <f t="shared" si="35"/>
        <v>85228.52</v>
      </c>
      <c r="F170" s="11">
        <f t="shared" si="35"/>
        <v>222267.6</v>
      </c>
      <c r="G170" s="11">
        <f t="shared" si="35"/>
        <v>2631.97</v>
      </c>
      <c r="H170" s="11">
        <f t="shared" si="35"/>
        <v>322204.54914200003</v>
      </c>
    </row>
    <row r="171" spans="1:8" x14ac:dyDescent="0.2">
      <c r="A171" s="13" t="s">
        <v>171</v>
      </c>
      <c r="B171" s="11">
        <f t="shared" ref="B171:H171" si="36">0+B147+0+B152+0+0+0+B170</f>
        <v>4318</v>
      </c>
      <c r="C171" s="11">
        <f t="shared" si="36"/>
        <v>13901.871852</v>
      </c>
      <c r="D171" s="11">
        <f t="shared" si="36"/>
        <v>71970.282552000004</v>
      </c>
      <c r="E171" s="11">
        <f t="shared" si="36"/>
        <v>88315.28</v>
      </c>
      <c r="F171" s="11">
        <f t="shared" si="36"/>
        <v>231509.73</v>
      </c>
      <c r="G171" s="11">
        <f t="shared" si="36"/>
        <v>3413.81</v>
      </c>
      <c r="H171" s="11">
        <f t="shared" si="36"/>
        <v>413428.97440400004</v>
      </c>
    </row>
    <row r="172" spans="1:8" x14ac:dyDescent="0.2">
      <c r="A172" s="5"/>
      <c r="B172" s="4"/>
      <c r="C172" s="4"/>
      <c r="D172" s="4"/>
      <c r="E172" s="4"/>
      <c r="F172" s="4"/>
      <c r="G172" s="4"/>
      <c r="H172" s="4"/>
    </row>
    <row r="173" spans="1:8" x14ac:dyDescent="0.2">
      <c r="A173" s="5" t="s">
        <v>172</v>
      </c>
      <c r="B173" s="4"/>
      <c r="C173" s="4"/>
      <c r="D173" s="4"/>
      <c r="E173" s="4"/>
      <c r="F173" s="4"/>
      <c r="G173" s="4"/>
      <c r="H173" s="4"/>
    </row>
    <row r="174" spans="1:8" x14ac:dyDescent="0.2">
      <c r="A174" s="14" t="s">
        <v>173</v>
      </c>
      <c r="B174" s="9">
        <v>2190</v>
      </c>
      <c r="C174" s="9">
        <v>0</v>
      </c>
      <c r="D174" s="9">
        <v>0</v>
      </c>
      <c r="E174" s="9">
        <v>0</v>
      </c>
      <c r="F174" s="9">
        <v>43555</v>
      </c>
      <c r="G174" s="9">
        <v>0</v>
      </c>
      <c r="H174" s="9">
        <f>SUM(B174:G174)</f>
        <v>45745</v>
      </c>
    </row>
    <row r="175" spans="1:8" x14ac:dyDescent="0.2">
      <c r="A175" s="14" t="s">
        <v>174</v>
      </c>
      <c r="B175" s="9">
        <v>5646.67</v>
      </c>
      <c r="C175" s="9">
        <v>0</v>
      </c>
      <c r="D175" s="9">
        <v>0</v>
      </c>
      <c r="E175" s="9">
        <v>0</v>
      </c>
      <c r="F175" s="9">
        <v>7242.25</v>
      </c>
      <c r="G175" s="9">
        <v>0</v>
      </c>
      <c r="H175" s="9">
        <f>SUM(B175:G175)</f>
        <v>12888.92</v>
      </c>
    </row>
    <row r="176" spans="1:8" x14ac:dyDescent="0.2">
      <c r="A176" s="13" t="s">
        <v>175</v>
      </c>
      <c r="B176" s="11">
        <f t="shared" ref="B176:H176" si="37">SUM(B174:B175)</f>
        <v>7836.67</v>
      </c>
      <c r="C176" s="11">
        <f t="shared" si="37"/>
        <v>0</v>
      </c>
      <c r="D176" s="11">
        <f t="shared" si="37"/>
        <v>0</v>
      </c>
      <c r="E176" s="11">
        <f t="shared" si="37"/>
        <v>0</v>
      </c>
      <c r="F176" s="11">
        <f t="shared" si="37"/>
        <v>50797.25</v>
      </c>
      <c r="G176" s="11">
        <f t="shared" si="37"/>
        <v>0</v>
      </c>
      <c r="H176" s="11">
        <f t="shared" si="37"/>
        <v>58633.919999999998</v>
      </c>
    </row>
    <row r="177" spans="1:8" x14ac:dyDescent="0.2">
      <c r="A177" s="5"/>
      <c r="B177" s="4"/>
      <c r="C177" s="4"/>
      <c r="D177" s="4"/>
      <c r="E177" s="4"/>
      <c r="F177" s="4"/>
      <c r="G177" s="4"/>
      <c r="H177" s="4"/>
    </row>
    <row r="178" spans="1:8" x14ac:dyDescent="0.2">
      <c r="A178" s="15" t="s">
        <v>176</v>
      </c>
      <c r="B178" s="11">
        <f t="shared" ref="B178:H178" si="38">B127+B128+B143+B171+B172+B176+B177</f>
        <v>268721.71999999997</v>
      </c>
      <c r="C178" s="11">
        <f t="shared" si="38"/>
        <v>112248.35056199983</v>
      </c>
      <c r="D178" s="11">
        <f t="shared" si="38"/>
        <v>119054.22008900013</v>
      </c>
      <c r="E178" s="11">
        <f t="shared" si="38"/>
        <v>345801.07</v>
      </c>
      <c r="F178" s="11">
        <f t="shared" si="38"/>
        <v>6236459.5700000012</v>
      </c>
      <c r="G178" s="11">
        <f t="shared" si="38"/>
        <v>545135.1399999999</v>
      </c>
      <c r="H178" s="11">
        <f t="shared" si="38"/>
        <v>7627420.0706509994</v>
      </c>
    </row>
  </sheetData>
  <mergeCells count="3">
    <mergeCell ref="A1:H1"/>
    <mergeCell ref="A2:H2"/>
    <mergeCell ref="A3: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PGBalanceSheetConsolidate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2023-08-08T20:51:51Z</dcterms:created>
  <dcterms:modified xsi:type="dcterms:W3CDTF">2023-08-08T21:01:03Z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