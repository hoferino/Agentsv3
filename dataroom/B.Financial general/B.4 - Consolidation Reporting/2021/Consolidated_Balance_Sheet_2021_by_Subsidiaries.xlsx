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1\"/>
    </mc:Choice>
  </mc:AlternateContent>
  <xr:revisionPtr revIDLastSave="0" documentId="13_ncr:1_{DC2ECEB7-7661-4D40-9858-D67FE82CEB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GBalanceSheetConsol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0" i="1" l="1"/>
  <c r="F170" i="1"/>
  <c r="E170" i="1"/>
  <c r="D170" i="1"/>
  <c r="C170" i="1"/>
  <c r="B170" i="1"/>
  <c r="H169" i="1"/>
  <c r="H168" i="1"/>
  <c r="H170" i="1" s="1"/>
  <c r="G164" i="1"/>
  <c r="F164" i="1"/>
  <c r="E164" i="1"/>
  <c r="D164" i="1"/>
  <c r="C164" i="1"/>
  <c r="B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G149" i="1"/>
  <c r="F149" i="1"/>
  <c r="E149" i="1"/>
  <c r="D149" i="1"/>
  <c r="C149" i="1"/>
  <c r="B149" i="1"/>
  <c r="H148" i="1"/>
  <c r="H147" i="1"/>
  <c r="G145" i="1"/>
  <c r="G165" i="1" s="1"/>
  <c r="F145" i="1"/>
  <c r="E145" i="1"/>
  <c r="D145" i="1"/>
  <c r="D165" i="1" s="1"/>
  <c r="C145" i="1"/>
  <c r="B145" i="1"/>
  <c r="H144" i="1"/>
  <c r="H145" i="1" s="1"/>
  <c r="G140" i="1"/>
  <c r="F140" i="1"/>
  <c r="E140" i="1"/>
  <c r="D140" i="1"/>
  <c r="C140" i="1"/>
  <c r="B140" i="1"/>
  <c r="H139" i="1"/>
  <c r="H138" i="1"/>
  <c r="H137" i="1"/>
  <c r="H136" i="1"/>
  <c r="H135" i="1"/>
  <c r="H134" i="1"/>
  <c r="H133" i="1"/>
  <c r="G131" i="1"/>
  <c r="F131" i="1"/>
  <c r="E131" i="1"/>
  <c r="D131" i="1"/>
  <c r="C131" i="1"/>
  <c r="C141" i="1" s="1"/>
  <c r="B131" i="1"/>
  <c r="H130" i="1"/>
  <c r="H129" i="1"/>
  <c r="H124" i="1"/>
  <c r="H123" i="1"/>
  <c r="H122" i="1"/>
  <c r="G121" i="1"/>
  <c r="G125" i="1" s="1"/>
  <c r="F121" i="1"/>
  <c r="F125" i="1" s="1"/>
  <c r="E121" i="1"/>
  <c r="E125" i="1" s="1"/>
  <c r="D121" i="1"/>
  <c r="D125" i="1" s="1"/>
  <c r="C121" i="1"/>
  <c r="C125" i="1" s="1"/>
  <c r="B121" i="1"/>
  <c r="B125" i="1" s="1"/>
  <c r="H120" i="1"/>
  <c r="H119" i="1"/>
  <c r="H121" i="1" s="1"/>
  <c r="G113" i="1"/>
  <c r="F113" i="1"/>
  <c r="E113" i="1"/>
  <c r="D113" i="1"/>
  <c r="C113" i="1"/>
  <c r="B113" i="1"/>
  <c r="H112" i="1"/>
  <c r="H113" i="1" s="1"/>
  <c r="G107" i="1"/>
  <c r="F107" i="1"/>
  <c r="E107" i="1"/>
  <c r="D107" i="1"/>
  <c r="C107" i="1"/>
  <c r="B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G88" i="1"/>
  <c r="G108" i="1" s="1"/>
  <c r="F88" i="1"/>
  <c r="E88" i="1"/>
  <c r="D88" i="1"/>
  <c r="D108" i="1" s="1"/>
  <c r="C88" i="1"/>
  <c r="B88" i="1"/>
  <c r="B108" i="1" s="1"/>
  <c r="H87" i="1"/>
  <c r="H88" i="1" s="1"/>
  <c r="G83" i="1"/>
  <c r="F83" i="1"/>
  <c r="E83" i="1"/>
  <c r="D83" i="1"/>
  <c r="C83" i="1"/>
  <c r="B83" i="1"/>
  <c r="H82" i="1"/>
  <c r="H81" i="1"/>
  <c r="H80" i="1"/>
  <c r="H79" i="1"/>
  <c r="H78" i="1"/>
  <c r="H77" i="1"/>
  <c r="H76" i="1"/>
  <c r="G74" i="1"/>
  <c r="F74" i="1"/>
  <c r="E74" i="1"/>
  <c r="D74" i="1"/>
  <c r="C74" i="1"/>
  <c r="B74" i="1"/>
  <c r="H73" i="1"/>
  <c r="H72" i="1"/>
  <c r="H71" i="1"/>
  <c r="H70" i="1"/>
  <c r="H69" i="1"/>
  <c r="H68" i="1"/>
  <c r="H67" i="1"/>
  <c r="H66" i="1"/>
  <c r="G64" i="1"/>
  <c r="F64" i="1"/>
  <c r="E64" i="1"/>
  <c r="D64" i="1"/>
  <c r="C64" i="1"/>
  <c r="B64" i="1"/>
  <c r="B84" i="1" s="1"/>
  <c r="H63" i="1"/>
  <c r="H62" i="1"/>
  <c r="H61" i="1"/>
  <c r="H60" i="1"/>
  <c r="H64" i="1" s="1"/>
  <c r="G53" i="1"/>
  <c r="F53" i="1"/>
  <c r="E53" i="1"/>
  <c r="D53" i="1"/>
  <c r="C53" i="1"/>
  <c r="B53" i="1"/>
  <c r="H52" i="1"/>
  <c r="H53" i="1" s="1"/>
  <c r="G50" i="1"/>
  <c r="F50" i="1"/>
  <c r="E50" i="1"/>
  <c r="D50" i="1"/>
  <c r="C50" i="1"/>
  <c r="B50" i="1"/>
  <c r="H49" i="1"/>
  <c r="H50" i="1" s="1"/>
  <c r="G47" i="1"/>
  <c r="F47" i="1"/>
  <c r="E47" i="1"/>
  <c r="D47" i="1"/>
  <c r="C47" i="1"/>
  <c r="B47" i="1"/>
  <c r="H46" i="1"/>
  <c r="H45" i="1"/>
  <c r="H47" i="1" s="1"/>
  <c r="G43" i="1"/>
  <c r="F43" i="1"/>
  <c r="E43" i="1"/>
  <c r="D43" i="1"/>
  <c r="C43" i="1"/>
  <c r="B43" i="1"/>
  <c r="H42" i="1"/>
  <c r="H43" i="1" s="1"/>
  <c r="G38" i="1"/>
  <c r="F38" i="1"/>
  <c r="E38" i="1"/>
  <c r="D38" i="1"/>
  <c r="C38" i="1"/>
  <c r="B38" i="1"/>
  <c r="H37" i="1"/>
  <c r="H36" i="1"/>
  <c r="H35" i="1"/>
  <c r="H34" i="1"/>
  <c r="H33" i="1"/>
  <c r="H32" i="1"/>
  <c r="H31" i="1"/>
  <c r="H30" i="1"/>
  <c r="H29" i="1"/>
  <c r="H28" i="1"/>
  <c r="H27" i="1"/>
  <c r="H26" i="1"/>
  <c r="G24" i="1"/>
  <c r="G39" i="1" s="1"/>
  <c r="F24" i="1"/>
  <c r="E24" i="1"/>
  <c r="D24" i="1"/>
  <c r="D39" i="1" s="1"/>
  <c r="C24" i="1"/>
  <c r="B24" i="1"/>
  <c r="H23" i="1"/>
  <c r="H22" i="1"/>
  <c r="H21" i="1"/>
  <c r="H20" i="1"/>
  <c r="G16" i="1"/>
  <c r="F16" i="1"/>
  <c r="E16" i="1"/>
  <c r="D16" i="1"/>
  <c r="C16" i="1"/>
  <c r="B16" i="1"/>
  <c r="H15" i="1"/>
  <c r="H14" i="1"/>
  <c r="G12" i="1"/>
  <c r="G17" i="1" s="1"/>
  <c r="F12" i="1"/>
  <c r="F17" i="1" s="1"/>
  <c r="E12" i="1"/>
  <c r="E17" i="1" s="1"/>
  <c r="D12" i="1"/>
  <c r="D17" i="1" s="1"/>
  <c r="C12" i="1"/>
  <c r="C17" i="1" s="1"/>
  <c r="B12" i="1"/>
  <c r="B17" i="1" s="1"/>
  <c r="H11" i="1"/>
  <c r="H10" i="1"/>
  <c r="B54" i="1" l="1"/>
  <c r="C54" i="1"/>
  <c r="H38" i="1"/>
  <c r="F84" i="1"/>
  <c r="F39" i="1"/>
  <c r="F55" i="1" s="1"/>
  <c r="C108" i="1"/>
  <c r="H131" i="1"/>
  <c r="F108" i="1"/>
  <c r="F109" i="1" s="1"/>
  <c r="G54" i="1"/>
  <c r="B39" i="1"/>
  <c r="D141" i="1"/>
  <c r="D172" i="1" s="1"/>
  <c r="H164" i="1"/>
  <c r="E108" i="1"/>
  <c r="B141" i="1"/>
  <c r="C39" i="1"/>
  <c r="C55" i="1" s="1"/>
  <c r="B109" i="1"/>
  <c r="H83" i="1"/>
  <c r="H125" i="1"/>
  <c r="E141" i="1"/>
  <c r="C84" i="1"/>
  <c r="D54" i="1"/>
  <c r="F54" i="1"/>
  <c r="D84" i="1"/>
  <c r="D109" i="1" s="1"/>
  <c r="H24" i="1"/>
  <c r="H107" i="1"/>
  <c r="H108" i="1" s="1"/>
  <c r="E84" i="1"/>
  <c r="F141" i="1"/>
  <c r="F172" i="1" s="1"/>
  <c r="H149" i="1"/>
  <c r="E54" i="1"/>
  <c r="H74" i="1"/>
  <c r="H84" i="1" s="1"/>
  <c r="G141" i="1"/>
  <c r="G172" i="1" s="1"/>
  <c r="F165" i="1"/>
  <c r="H54" i="1"/>
  <c r="G84" i="1"/>
  <c r="G109" i="1" s="1"/>
  <c r="H140" i="1"/>
  <c r="H141" i="1" s="1"/>
  <c r="B165" i="1"/>
  <c r="G55" i="1"/>
  <c r="G114" i="1" s="1"/>
  <c r="E39" i="1"/>
  <c r="E172" i="1"/>
  <c r="C165" i="1"/>
  <c r="C172" i="1" s="1"/>
  <c r="E165" i="1"/>
  <c r="H12" i="1"/>
  <c r="H17" i="1" s="1"/>
  <c r="H16" i="1"/>
  <c r="B55" i="1"/>
  <c r="H39" i="1"/>
  <c r="D55" i="1"/>
  <c r="B172" i="1"/>
  <c r="E55" i="1" l="1"/>
  <c r="C109" i="1"/>
  <c r="C114" i="1" s="1"/>
  <c r="H165" i="1"/>
  <c r="H172" i="1" s="1"/>
  <c r="F114" i="1"/>
  <c r="E109" i="1"/>
  <c r="E114" i="1" s="1"/>
  <c r="B114" i="1"/>
  <c r="D114" i="1"/>
  <c r="H55" i="1"/>
  <c r="H109" i="1"/>
  <c r="H114" i="1" l="1"/>
</calcChain>
</file>

<file path=xl/sharedStrings.xml><?xml version="1.0" encoding="utf-8"?>
<sst xmlns="http://schemas.openxmlformats.org/spreadsheetml/2006/main" count="180" uniqueCount="173">
  <si>
    <t>PROMATIS software GmbH</t>
  </si>
  <si>
    <t>Firma (Consolidated)</t>
  </si>
  <si>
    <t>PG Balance Sheet Consolidated</t>
  </si>
  <si>
    <t>End of Adjust 2021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</si>
  <si>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</si>
  <si>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</si>
  <si>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</si>
  <si>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</si>
  <si>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</si>
  <si>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</si>
  <si>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</si>
  <si>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</si>
  <si>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</si>
  <si>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ASSETS</t>
  </si>
  <si>
    <t>A. Fixed assets</t>
  </si>
  <si>
    <t>I. Intangible assets</t>
  </si>
  <si>
    <t>2. Purchased concessions rights, assets and licences</t>
  </si>
  <si>
    <t>013510 - Accumulated depreciation of data processing software</t>
  </si>
  <si>
    <t>013500 - Computer software</t>
  </si>
  <si>
    <t>Total Purchased concessions rights, assets and licences</t>
  </si>
  <si>
    <t>3. Goodwill</t>
  </si>
  <si>
    <t>015010 - Accumulated depreciation goodwill</t>
  </si>
  <si>
    <t>015000 - Goodwill</t>
  </si>
  <si>
    <t>Total Goodwill</t>
  </si>
  <si>
    <t>Total Intangible assets</t>
  </si>
  <si>
    <t>II. Tangible assets</t>
  </si>
  <si>
    <t>2. Technical equipment and machinery</t>
  </si>
  <si>
    <t>044010 - Accumulated depreciation- personal computers and machinery</t>
  </si>
  <si>
    <t>042010 - Accumulated depreciation-Technical equipment</t>
  </si>
  <si>
    <t>044000 - Machinery</t>
  </si>
  <si>
    <t>042000 - Technical equipment</t>
  </si>
  <si>
    <t>Total Technical equipment and machinery</t>
  </si>
  <si>
    <t>3. Other equipment, operating and office equipment</t>
  </si>
  <si>
    <t>067020 - Accumulated depr. low value assets - software</t>
  </si>
  <si>
    <t>067060 - Accumulated depreciation - low value assets - hardware</t>
  </si>
  <si>
    <t>052010 - Accumulated depreciation - passenger cars</t>
  </si>
  <si>
    <t>067040 - Accumulated depreciation- low value economic goods</t>
  </si>
  <si>
    <t>067080 - Accumulated depreciation-Low-value assets</t>
  </si>
  <si>
    <t>063010 - Accumulated depreciation-operating equipment</t>
  </si>
  <si>
    <t>067010 - Low value assets - software</t>
  </si>
  <si>
    <t>067070 - Low-value assets</t>
  </si>
  <si>
    <t>063000 - Operating equipment</t>
  </si>
  <si>
    <t>052000 - Passenger cars</t>
  </si>
  <si>
    <t>067050 - low value assets - hardware</t>
  </si>
  <si>
    <t>067030 - low value economic goods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</si>
  <si>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</si>
  <si>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</si>
  <si>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</si>
  <si>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</si>
  <si>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</si>
  <si>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</si>
  <si>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</si>
  <si>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090100 - Long-term securities,Union Investment</t>
  </si>
  <si>
    <t>090200 - Long-term-securities, Merck Finck</t>
  </si>
  <si>
    <t>Total Long-term securities</t>
  </si>
  <si>
    <t>6. Other loans</t>
  </si>
  <si>
    <t>096100 - Loans to GmbH shareholders</t>
  </si>
  <si>
    <t>Total Other loans</t>
  </si>
  <si>
    <t>7. Cooperative shares</t>
  </si>
  <si>
    <t>098000 - Long-term shares in cooperatives</t>
  </si>
  <si>
    <t>Total Cooperative shares</t>
  </si>
  <si>
    <t>New Formula Row</t>
  </si>
  <si>
    <t>Total Fixed assets</t>
  </si>
  <si>
    <t>B. Current assets</t>
  </si>
  <si>
    <t>II. Trade receivables and other receivables</t>
  </si>
  <si>
    <t>1. Trade receivables</t>
  </si>
  <si>
    <t>123000 - Bills receivable</t>
  </si>
  <si>
    <t>124800 - Global valuation allowance on receivables due within 1 year</t>
  </si>
  <si>
    <t>124600 - Specific valuation allowances on receivab. due within 1 year</t>
  </si>
  <si>
    <t>120100 - Trade receivables</t>
  </si>
  <si>
    <t>Total Trade receivables</t>
  </si>
  <si>
    <t>340108 - Liabilities ag. PROMATIS GmbH (AT)</t>
  </si>
  <si>
    <t>340101 - Liabilities ag. PROMATIS software GmbH</t>
  </si>
  <si>
    <t>340500 - Liabilities to affiliated companies - due betw 1 and 5 years</t>
  </si>
  <si>
    <t>127107 - Receivables from PROMATIS AG (CH)</t>
  </si>
  <si>
    <t>127106 - Receivables from PROMATIS Corp (US)</t>
  </si>
  <si>
    <t>127108 - Receivables from PROMATIS GmbH (AT)</t>
  </si>
  <si>
    <t>127101 - Receivables from PROMATIS software GmbH</t>
  </si>
  <si>
    <t>126000 - Receivables from affiliated companies</t>
  </si>
  <si>
    <t>6. Other receivables and other assets</t>
  </si>
  <si>
    <t>130000 - Other assets</t>
  </si>
  <si>
    <t>134000 - Receivables from employees (payroll)</t>
  </si>
  <si>
    <t>134100 - Receivables from employees (payroll) - due within 1 year</t>
  </si>
  <si>
    <t>143500 - Receivables from trade tax overpayments</t>
  </si>
  <si>
    <t>145000 - Reclaimed corporate income tax</t>
  </si>
  <si>
    <t>135000 - Security deposits</t>
  </si>
  <si>
    <t>142000 - VAT receivables</t>
  </si>
  <si>
    <t>Total Other receivables and other assets</t>
  </si>
  <si>
    <t>Total Trade receivables and other receivables</t>
  </si>
  <si>
    <t>IV. Cash-in-hand, central / bank balances and cheques</t>
  </si>
  <si>
    <t>1. Cash-in-hand</t>
  </si>
  <si>
    <t>160001 - Petty cash PROMATIS Ettlingen</t>
  </si>
  <si>
    <t>Total Cash-in-hand</t>
  </si>
  <si>
    <t>3. Bank</t>
  </si>
  <si>
    <t>180081 - AMG Bank - PROMATIS US</t>
  </si>
  <si>
    <t>180014 - BMW Bank Tagesgeld -5005023817- PROMATIS D</t>
  </si>
  <si>
    <t>180067 - BMW Bank Tagesgeld -5006221310- SEGRA</t>
  </si>
  <si>
    <t>189007 - Cash invest, short-term CM PROMATIS (US)</t>
  </si>
  <si>
    <t>180027 - Commerzbank Ettlingen Girokonto -4688818- PROMATIS D</t>
  </si>
  <si>
    <t>180074 - Merck Finck Girokonto Verm.-verw. -1050667123- PROMATIS D</t>
  </si>
  <si>
    <t>180017 - Südwestbank Girokonto -573872007- PROMATIS D</t>
  </si>
  <si>
    <t>180090 - VoBa Steiermark Girokonto -AT394477012579000000- PROMATIS AT</t>
  </si>
  <si>
    <t>180092 - VoBa Steiermark Tagesgeld -AT094477012579001122- PROMATIS AT</t>
  </si>
  <si>
    <t>180041 - Volksbank Girokonto -60538409- SEGRA</t>
  </si>
  <si>
    <t>180011 - Volksbank KA Währungskonto USD -465106271- PROMATIS D</t>
  </si>
  <si>
    <t>180034 - Volksbank Karlsruhe Girokonto -10138965- Horus</t>
  </si>
  <si>
    <t>180001 - Volksbank Karlsruhe Girokonto -54916302- PROMATIS D</t>
  </si>
  <si>
    <t>180005 - Volksbank Karlsruhe Profitkonto -30063082- PROMATIS D</t>
  </si>
  <si>
    <t>180037 - Volksbank Karlsruhe Tagesgeld- Horus</t>
  </si>
  <si>
    <t>180094 - WF Checking - PROMATIS US</t>
  </si>
  <si>
    <t>180091 - ZKB 1100-6026.364 - PROMATIS CH</t>
  </si>
  <si>
    <t>Total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</si>
  <si>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</si>
  <si>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</si>
  <si>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</si>
  <si>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</si>
  <si>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</si>
  <si>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</si>
  <si>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</si>
  <si>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Equity</t>
  </si>
  <si>
    <t>290000 - Subscribed capital</t>
  </si>
  <si>
    <t>297900 - Balance carried forward (balance sheet)</t>
  </si>
  <si>
    <t>Total - Equity</t>
  </si>
  <si>
    <t>Retained Earnings</t>
  </si>
  <si>
    <t>Net Income</t>
  </si>
  <si>
    <t>Cumulative Translation Adjustment</t>
  </si>
  <si>
    <t>Total Equity</t>
  </si>
  <si>
    <t>B. Provisions</t>
  </si>
  <si>
    <t>2. Provision for taxes</t>
  </si>
  <si>
    <t>304000 - Provision for corporate income tax</t>
  </si>
  <si>
    <t>303500 - Provision for trade tax, section 4(5b) EStG</t>
  </si>
  <si>
    <t>Total Provision for taxes</t>
  </si>
  <si>
    <t>3. Other provisions</t>
  </si>
  <si>
    <t>307010 - Accrual goods purchases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</si>
  <si>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</si>
  <si>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</si>
  <si>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</si>
  <si>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</si>
  <si>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308600 - Provisions for services</t>
  </si>
  <si>
    <t>307900 - Provisions for vacation pay</t>
  </si>
  <si>
    <t>Total Other provisions</t>
  </si>
  <si>
    <t>Total Provisions</t>
  </si>
  <si>
    <t>C. Liabilities</t>
  </si>
  <si>
    <t>3. Payments received on account of purchase orders</t>
  </si>
  <si>
    <t>328020 - Non-assigned Customer Payments</t>
  </si>
  <si>
    <t>Total Payments received on account of purchase orders</t>
  </si>
  <si>
    <t>4. Trade payables</t>
  </si>
  <si>
    <t>330000 - Trade payables</t>
  </si>
  <si>
    <t>330100 - Trade payables starting with 2016</t>
  </si>
  <si>
    <t>Total Trade payables</t>
  </si>
  <si>
    <t>8. Other liabilities</t>
  </si>
  <si>
    <t>372510 - BAV - Die Stuttgarter</t>
  </si>
  <si>
    <t>383200 - Back taxes, VAT return line 65</t>
  </si>
  <si>
    <t>146000 - Cash in Transit</t>
  </si>
  <si>
    <t>374022 - KK_mhplus BKK</t>
  </si>
  <si>
    <t>372500 - Liabilities for amounts withheld from employees</t>
  </si>
  <si>
    <t>370000 - Liabilities from taxes and levies</t>
  </si>
  <si>
    <t>370100 - Liabilities from taxes and levies - due within 1 year</t>
  </si>
  <si>
    <t>352100 - Loans by typical silent partners - due within 1 year</t>
  </si>
  <si>
    <t>350000 - Other liabilities</t>
  </si>
  <si>
    <t>374000 - Social security liabilities</t>
  </si>
  <si>
    <t>382000 - VAT prepayments</t>
  </si>
  <si>
    <t>386000 - Vat liabilities</t>
  </si>
  <si>
    <t>373000 - Wage and church tax payables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</si>
  <si>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</si>
  <si>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</si>
  <si>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</si>
  <si>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</si>
  <si>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</si>
  <si>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</si>
  <si>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</si>
  <si>
    <t>2. Receivables and Liabilities from affiliated companies</t>
  </si>
  <si>
    <t>Total Receivables and Liabilities from affiliated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</si>
</sst>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indent="3"/>
    </xf>
    <xf numFmtId="0" fontId="22" fillId="0" borderId="0" xfId="0" applyFont="1" applyAlignment="1">
      <alignment horizontal="left" indent="4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4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indent="1"/>
    </xf>
    <xf numFmtId="164" fontId="21" fillId="0" borderId="1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indent="3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tabSelected="1" workbookViewId="0">
      <pane ySplit="5" topLeftCell="A51" activePane="bottomLeft" state="frozen"/>
      <selection pane="bottomLeft" activeCell="A74" sqref="A74"/>
    </sheetView>
  </sheetViews>
  <sheetFormatPr baseColWidth="10" defaultRowHeight="11.25" x14ac:dyDescent="0.2"/>
  <cols>
    <col min="1" max="1" width="73.3320312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9" t="s">
        <v>1</v>
      </c>
      <c r="B1" s="19"/>
      <c r="C1" s="19"/>
      <c r="D1" s="19"/>
      <c r="E1" s="19"/>
      <c r="F1" s="19"/>
      <c r="G1" s="19"/>
      <c r="H1" s="19"/>
    </row>
    <row r="2" spans="1:8" ht="18" x14ac:dyDescent="0.25">
      <c r="A2" s="20" t="s">
        <v>2</v>
      </c>
      <c r="B2" s="20"/>
      <c r="C2" s="20"/>
      <c r="D2" s="20"/>
      <c r="E2" s="20"/>
      <c r="F2" s="20"/>
      <c r="G2" s="20"/>
      <c r="H2" s="20"/>
    </row>
    <row r="3" spans="1:8" ht="18" x14ac:dyDescent="0.25">
      <c r="A3" s="20" t="s">
        <v>3</v>
      </c>
      <c r="B3" s="20"/>
      <c r="C3" s="20"/>
      <c r="D3" s="20"/>
      <c r="E3" s="20"/>
      <c r="F3" s="20"/>
      <c r="G3" s="20"/>
      <c r="H3" s="20"/>
    </row>
    <row r="4" spans="1:8" x14ac:dyDescent="0.2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0</v>
      </c>
      <c r="G4" s="2" t="s">
        <v>9</v>
      </c>
      <c r="H4" s="2" t="s">
        <v>10</v>
      </c>
    </row>
    <row r="5" spans="1:8" x14ac:dyDescent="0.2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x14ac:dyDescent="0.2">
      <c r="A6" s="3" t="s">
        <v>13</v>
      </c>
      <c r="B6" s="4"/>
      <c r="C6" s="4"/>
      <c r="D6" s="4"/>
      <c r="E6" s="4"/>
      <c r="F6" s="4"/>
      <c r="G6" s="4"/>
      <c r="H6" s="4"/>
    </row>
    <row r="7" spans="1:8" x14ac:dyDescent="0.2">
      <c r="A7" s="5" t="s">
        <v>14</v>
      </c>
      <c r="B7" s="4"/>
      <c r="C7" s="4"/>
      <c r="D7" s="4"/>
      <c r="E7" s="4"/>
      <c r="F7" s="4"/>
      <c r="G7" s="4"/>
      <c r="H7" s="4"/>
    </row>
    <row r="8" spans="1:8" x14ac:dyDescent="0.2">
      <c r="A8" s="6" t="s">
        <v>15</v>
      </c>
      <c r="B8" s="4"/>
      <c r="C8" s="4"/>
      <c r="D8" s="4"/>
      <c r="E8" s="4"/>
      <c r="F8" s="4"/>
      <c r="G8" s="4"/>
      <c r="H8" s="4"/>
    </row>
    <row r="9" spans="1:8" x14ac:dyDescent="0.2">
      <c r="A9" s="7" t="s">
        <v>16</v>
      </c>
      <c r="B9" s="4"/>
      <c r="C9" s="4"/>
      <c r="D9" s="4"/>
      <c r="E9" s="4"/>
      <c r="F9" s="4"/>
      <c r="G9" s="4"/>
      <c r="H9" s="4"/>
    </row>
    <row r="10" spans="1:8" x14ac:dyDescent="0.2">
      <c r="A10" s="8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-58029.47</v>
      </c>
      <c r="G10" s="9">
        <v>-5205</v>
      </c>
      <c r="H10" s="9">
        <f>SUM(B10:G10)</f>
        <v>-63234.47</v>
      </c>
    </row>
    <row r="11" spans="1:8" x14ac:dyDescent="0.2">
      <c r="A11" s="8" t="s">
        <v>18</v>
      </c>
      <c r="B11" s="9">
        <v>0</v>
      </c>
      <c r="C11" s="9">
        <v>0</v>
      </c>
      <c r="D11" s="9">
        <v>0</v>
      </c>
      <c r="E11" s="9">
        <v>0</v>
      </c>
      <c r="F11" s="9">
        <v>59157.24</v>
      </c>
      <c r="G11" s="9">
        <v>5205</v>
      </c>
      <c r="H11" s="9">
        <f>SUM(B11:G11)</f>
        <v>64362.239999999998</v>
      </c>
    </row>
    <row r="12" spans="1:8" x14ac:dyDescent="0.2">
      <c r="A12" s="10" t="s">
        <v>19</v>
      </c>
      <c r="B12" s="11">
        <f t="shared" ref="B12:H12" si="0">SUM(B10:B11)</f>
        <v>0</v>
      </c>
      <c r="C12" s="11">
        <f t="shared" si="0"/>
        <v>0</v>
      </c>
      <c r="D12" s="11">
        <f t="shared" si="0"/>
        <v>0</v>
      </c>
      <c r="E12" s="11">
        <f t="shared" si="0"/>
        <v>0</v>
      </c>
      <c r="F12" s="11">
        <f t="shared" si="0"/>
        <v>1127.7699999999968</v>
      </c>
      <c r="G12" s="11">
        <f t="shared" si="0"/>
        <v>0</v>
      </c>
      <c r="H12" s="11">
        <f t="shared" si="0"/>
        <v>1127.7699999999968</v>
      </c>
    </row>
    <row r="13" spans="1:8" x14ac:dyDescent="0.2">
      <c r="A13" s="7" t="s">
        <v>20</v>
      </c>
      <c r="B13" s="4"/>
      <c r="C13" s="4"/>
      <c r="D13" s="4"/>
      <c r="E13" s="4"/>
      <c r="F13" s="4"/>
      <c r="G13" s="4"/>
      <c r="H13" s="4"/>
    </row>
    <row r="14" spans="1:8" x14ac:dyDescent="0.2">
      <c r="A14" s="8" t="s">
        <v>21</v>
      </c>
      <c r="B14" s="9">
        <v>0</v>
      </c>
      <c r="C14" s="9">
        <v>0</v>
      </c>
      <c r="D14" s="9">
        <v>0</v>
      </c>
      <c r="E14" s="9">
        <v>0</v>
      </c>
      <c r="F14" s="9">
        <v>-2000</v>
      </c>
      <c r="G14" s="9">
        <v>0</v>
      </c>
      <c r="H14" s="9">
        <f>SUM(B14:G14)</f>
        <v>-2000</v>
      </c>
    </row>
    <row r="15" spans="1:8" x14ac:dyDescent="0.2">
      <c r="A15" s="8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2000</v>
      </c>
      <c r="G15" s="9">
        <v>0</v>
      </c>
      <c r="H15" s="9">
        <f>SUM(B15:G15)</f>
        <v>2000</v>
      </c>
    </row>
    <row r="16" spans="1:8" x14ac:dyDescent="0.2">
      <c r="A16" s="10" t="s">
        <v>23</v>
      </c>
      <c r="B16" s="11">
        <f t="shared" ref="B16:H16" si="1">SUM(B14:B15)</f>
        <v>0</v>
      </c>
      <c r="C16" s="11">
        <f t="shared" si="1"/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</row>
    <row r="17" spans="1:8" x14ac:dyDescent="0.2">
      <c r="A17" s="12" t="s">
        <v>24</v>
      </c>
      <c r="B17" s="11">
        <f t="shared" ref="B17:H17" si="2">0+B12+B16+0</f>
        <v>0</v>
      </c>
      <c r="C17" s="11">
        <f t="shared" si="2"/>
        <v>0</v>
      </c>
      <c r="D17" s="11">
        <f t="shared" si="2"/>
        <v>0</v>
      </c>
      <c r="E17" s="11">
        <f t="shared" si="2"/>
        <v>0</v>
      </c>
      <c r="F17" s="11">
        <f t="shared" si="2"/>
        <v>1127.7699999999968</v>
      </c>
      <c r="G17" s="11">
        <f t="shared" si="2"/>
        <v>0</v>
      </c>
      <c r="H17" s="11">
        <f t="shared" si="2"/>
        <v>1127.7699999999968</v>
      </c>
    </row>
    <row r="18" spans="1:8" x14ac:dyDescent="0.2">
      <c r="A18" s="6" t="s">
        <v>25</v>
      </c>
      <c r="B18" s="4"/>
      <c r="C18" s="4"/>
      <c r="D18" s="4"/>
      <c r="E18" s="4"/>
      <c r="F18" s="4"/>
      <c r="G18" s="4"/>
      <c r="H18" s="4"/>
    </row>
    <row r="19" spans="1:8" x14ac:dyDescent="0.2">
      <c r="A19" s="7" t="s">
        <v>26</v>
      </c>
      <c r="B19" s="4"/>
      <c r="C19" s="4"/>
      <c r="D19" s="4"/>
      <c r="E19" s="4"/>
      <c r="F19" s="4"/>
      <c r="G19" s="4"/>
      <c r="H19" s="4"/>
    </row>
    <row r="20" spans="1:8" x14ac:dyDescent="0.2">
      <c r="A20" s="8" t="s">
        <v>27</v>
      </c>
      <c r="B20" s="9">
        <v>0</v>
      </c>
      <c r="C20" s="9">
        <v>0</v>
      </c>
      <c r="D20" s="9">
        <v>0</v>
      </c>
      <c r="E20" s="9">
        <v>0</v>
      </c>
      <c r="F20" s="9">
        <v>-576.46</v>
      </c>
      <c r="G20" s="9">
        <v>-191779</v>
      </c>
      <c r="H20" s="9">
        <f>SUM(B20:G20)</f>
        <v>-192355.46</v>
      </c>
    </row>
    <row r="21" spans="1:8" x14ac:dyDescent="0.2">
      <c r="A21" s="8" t="s">
        <v>28</v>
      </c>
      <c r="B21" s="9">
        <v>0</v>
      </c>
      <c r="C21" s="9">
        <v>0</v>
      </c>
      <c r="D21" s="9">
        <v>0</v>
      </c>
      <c r="E21" s="9">
        <v>0</v>
      </c>
      <c r="F21" s="9">
        <v>-6000.13</v>
      </c>
      <c r="G21" s="9">
        <v>0</v>
      </c>
      <c r="H21" s="9">
        <f>SUM(B21:G21)</f>
        <v>-6000.13</v>
      </c>
    </row>
    <row r="22" spans="1:8" x14ac:dyDescent="0.2">
      <c r="A22" s="8" t="s">
        <v>29</v>
      </c>
      <c r="B22" s="9">
        <v>0</v>
      </c>
      <c r="C22" s="9">
        <v>0</v>
      </c>
      <c r="D22" s="9">
        <v>0</v>
      </c>
      <c r="E22" s="9">
        <v>0</v>
      </c>
      <c r="F22" s="9">
        <v>576.46</v>
      </c>
      <c r="G22" s="9">
        <v>227989.37</v>
      </c>
      <c r="H22" s="9">
        <f>SUM(B22:G22)</f>
        <v>228565.83</v>
      </c>
    </row>
    <row r="23" spans="1:8" x14ac:dyDescent="0.2">
      <c r="A23" s="8" t="s">
        <v>30</v>
      </c>
      <c r="B23" s="9">
        <v>0</v>
      </c>
      <c r="C23" s="9">
        <v>0</v>
      </c>
      <c r="D23" s="9">
        <v>0</v>
      </c>
      <c r="E23" s="9">
        <v>0</v>
      </c>
      <c r="F23" s="9">
        <v>8000.09</v>
      </c>
      <c r="G23" s="9">
        <v>0</v>
      </c>
      <c r="H23" s="9">
        <f>SUM(B23:G23)</f>
        <v>8000.09</v>
      </c>
    </row>
    <row r="24" spans="1:8" x14ac:dyDescent="0.2">
      <c r="A24" s="10" t="s">
        <v>31</v>
      </c>
      <c r="B24" s="11">
        <f t="shared" ref="B24:H24" si="3">SUM(B20:B23)</f>
        <v>0</v>
      </c>
      <c r="C24" s="11">
        <f t="shared" si="3"/>
        <v>0</v>
      </c>
      <c r="D24" s="11">
        <f t="shared" si="3"/>
        <v>0</v>
      </c>
      <c r="E24" s="11">
        <f t="shared" si="3"/>
        <v>0</v>
      </c>
      <c r="F24" s="11">
        <f t="shared" si="3"/>
        <v>1999.96</v>
      </c>
      <c r="G24" s="11">
        <f t="shared" si="3"/>
        <v>36210.369999999995</v>
      </c>
      <c r="H24" s="11">
        <f t="shared" si="3"/>
        <v>38210.329999999987</v>
      </c>
    </row>
    <row r="25" spans="1:8" x14ac:dyDescent="0.2">
      <c r="A25" s="7" t="s">
        <v>32</v>
      </c>
      <c r="B25" s="4"/>
      <c r="C25" s="4"/>
      <c r="D25" s="4"/>
      <c r="E25" s="4"/>
      <c r="F25" s="4"/>
      <c r="G25" s="4"/>
      <c r="H25" s="4"/>
    </row>
    <row r="26" spans="1:8" x14ac:dyDescent="0.2">
      <c r="A26" s="8" t="s">
        <v>33</v>
      </c>
      <c r="B26" s="9">
        <v>0</v>
      </c>
      <c r="C26" s="9">
        <v>0</v>
      </c>
      <c r="D26" s="9">
        <v>0</v>
      </c>
      <c r="E26" s="9">
        <v>0</v>
      </c>
      <c r="F26" s="9">
        <v>-52449.14</v>
      </c>
      <c r="G26" s="9">
        <v>-13134.14</v>
      </c>
      <c r="H26" s="9">
        <f t="shared" ref="H26:H37" si="4">SUM(B26:G26)</f>
        <v>-65583.28</v>
      </c>
    </row>
    <row r="27" spans="1:8" x14ac:dyDescent="0.2">
      <c r="A27" s="8" t="s">
        <v>34</v>
      </c>
      <c r="B27" s="9">
        <v>0</v>
      </c>
      <c r="C27" s="9">
        <v>0</v>
      </c>
      <c r="D27" s="9">
        <v>0</v>
      </c>
      <c r="E27" s="9">
        <v>0</v>
      </c>
      <c r="F27" s="9">
        <v>-27675.81</v>
      </c>
      <c r="G27" s="9">
        <v>-70698.350000000006</v>
      </c>
      <c r="H27" s="9">
        <f t="shared" si="4"/>
        <v>-98374.16</v>
      </c>
    </row>
    <row r="28" spans="1:8" x14ac:dyDescent="0.2">
      <c r="A28" s="8" t="s">
        <v>35</v>
      </c>
      <c r="B28" s="9">
        <v>0</v>
      </c>
      <c r="C28" s="9">
        <v>0</v>
      </c>
      <c r="D28" s="9">
        <v>0</v>
      </c>
      <c r="E28" s="9">
        <v>0</v>
      </c>
      <c r="F28" s="9">
        <v>-25159.54</v>
      </c>
      <c r="G28" s="9">
        <v>0</v>
      </c>
      <c r="H28" s="9">
        <f t="shared" si="4"/>
        <v>-25159.54</v>
      </c>
    </row>
    <row r="29" spans="1:8" x14ac:dyDescent="0.2">
      <c r="A29" s="8" t="s">
        <v>36</v>
      </c>
      <c r="B29" s="9">
        <v>0</v>
      </c>
      <c r="C29" s="9">
        <v>0</v>
      </c>
      <c r="D29" s="9">
        <v>0</v>
      </c>
      <c r="E29" s="9">
        <v>0</v>
      </c>
      <c r="F29" s="9">
        <v>-1423.88</v>
      </c>
      <c r="G29" s="9">
        <v>-646.22</v>
      </c>
      <c r="H29" s="9">
        <f t="shared" si="4"/>
        <v>-2070.1000000000004</v>
      </c>
    </row>
    <row r="30" spans="1:8" x14ac:dyDescent="0.2">
      <c r="A30" s="8" t="s">
        <v>37</v>
      </c>
      <c r="B30" s="9">
        <v>0</v>
      </c>
      <c r="C30" s="9">
        <v>0</v>
      </c>
      <c r="D30" s="9">
        <v>0</v>
      </c>
      <c r="E30" s="9">
        <v>0</v>
      </c>
      <c r="F30" s="9">
        <v>-1534.27</v>
      </c>
      <c r="G30" s="9">
        <v>-88951.7</v>
      </c>
      <c r="H30" s="9">
        <f t="shared" si="4"/>
        <v>-90485.97</v>
      </c>
    </row>
    <row r="31" spans="1:8" x14ac:dyDescent="0.2">
      <c r="A31" s="8" t="s">
        <v>38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-1452.04</v>
      </c>
      <c r="H31" s="9">
        <f t="shared" si="4"/>
        <v>-1452.04</v>
      </c>
    </row>
    <row r="32" spans="1:8" x14ac:dyDescent="0.2">
      <c r="A32" s="8" t="s">
        <v>39</v>
      </c>
      <c r="B32" s="9">
        <v>0</v>
      </c>
      <c r="C32" s="9">
        <v>0</v>
      </c>
      <c r="D32" s="9">
        <v>0</v>
      </c>
      <c r="E32" s="9">
        <v>0</v>
      </c>
      <c r="F32" s="9">
        <v>52449.14</v>
      </c>
      <c r="G32" s="9">
        <v>13134.14</v>
      </c>
      <c r="H32" s="9">
        <f t="shared" si="4"/>
        <v>65583.28</v>
      </c>
    </row>
    <row r="33" spans="1:8" x14ac:dyDescent="0.2">
      <c r="A33" s="8" t="s">
        <v>40</v>
      </c>
      <c r="B33" s="9">
        <v>0</v>
      </c>
      <c r="C33" s="9">
        <v>0</v>
      </c>
      <c r="D33" s="9">
        <v>0</v>
      </c>
      <c r="E33" s="9">
        <v>0</v>
      </c>
      <c r="F33" s="9">
        <v>1534.27</v>
      </c>
      <c r="G33" s="9">
        <v>88951.7</v>
      </c>
      <c r="H33" s="9">
        <f t="shared" si="4"/>
        <v>90485.97</v>
      </c>
    </row>
    <row r="34" spans="1:8" x14ac:dyDescent="0.2">
      <c r="A34" s="8" t="s">
        <v>41</v>
      </c>
      <c r="B34" s="9">
        <v>0</v>
      </c>
      <c r="C34" s="9">
        <v>0</v>
      </c>
      <c r="D34" s="9">
        <v>0</v>
      </c>
      <c r="E34" s="9">
        <v>132.28</v>
      </c>
      <c r="F34" s="9">
        <v>0</v>
      </c>
      <c r="G34" s="9">
        <v>1452.04</v>
      </c>
      <c r="H34" s="9">
        <f t="shared" si="4"/>
        <v>1584.32</v>
      </c>
    </row>
    <row r="35" spans="1:8" x14ac:dyDescent="0.2">
      <c r="A35" s="8" t="s">
        <v>42</v>
      </c>
      <c r="B35" s="9">
        <v>0</v>
      </c>
      <c r="C35" s="9">
        <v>0</v>
      </c>
      <c r="D35" s="9">
        <v>0</v>
      </c>
      <c r="E35" s="9">
        <v>0</v>
      </c>
      <c r="F35" s="9">
        <v>53277.26</v>
      </c>
      <c r="G35" s="9">
        <v>0</v>
      </c>
      <c r="H35" s="9">
        <f t="shared" si="4"/>
        <v>53277.26</v>
      </c>
    </row>
    <row r="36" spans="1:8" x14ac:dyDescent="0.2">
      <c r="A36" s="8" t="s">
        <v>43</v>
      </c>
      <c r="B36" s="9">
        <v>0</v>
      </c>
      <c r="C36" s="9">
        <v>0</v>
      </c>
      <c r="D36" s="9">
        <v>0</v>
      </c>
      <c r="E36" s="9">
        <v>0</v>
      </c>
      <c r="F36" s="9">
        <v>27675.81</v>
      </c>
      <c r="G36" s="9">
        <v>70698.350000000006</v>
      </c>
      <c r="H36" s="9">
        <f t="shared" si="4"/>
        <v>98374.16</v>
      </c>
    </row>
    <row r="37" spans="1:8" x14ac:dyDescent="0.2">
      <c r="A37" s="8" t="s">
        <v>44</v>
      </c>
      <c r="B37" s="9">
        <v>0</v>
      </c>
      <c r="C37" s="9">
        <v>0</v>
      </c>
      <c r="D37" s="9">
        <v>0</v>
      </c>
      <c r="E37" s="9">
        <v>0</v>
      </c>
      <c r="F37" s="9">
        <v>1423.88</v>
      </c>
      <c r="G37" s="9">
        <v>646.22</v>
      </c>
      <c r="H37" s="9">
        <f t="shared" si="4"/>
        <v>2070.1000000000004</v>
      </c>
    </row>
    <row r="38" spans="1:8" x14ac:dyDescent="0.2">
      <c r="A38" s="10" t="s">
        <v>45</v>
      </c>
      <c r="B38" s="11">
        <f t="shared" ref="B38:H38" si="5">SUM(B26:B37)</f>
        <v>0</v>
      </c>
      <c r="C38" s="11">
        <f t="shared" si="5"/>
        <v>0</v>
      </c>
      <c r="D38" s="11">
        <f t="shared" si="5"/>
        <v>0</v>
      </c>
      <c r="E38" s="11">
        <f t="shared" si="5"/>
        <v>132.28</v>
      </c>
      <c r="F38" s="11">
        <f t="shared" si="5"/>
        <v>28117.72</v>
      </c>
      <c r="G38" s="11">
        <f t="shared" si="5"/>
        <v>-1.1368683772161603E-12</v>
      </c>
      <c r="H38" s="11">
        <f t="shared" si="5"/>
        <v>28249.999999999993</v>
      </c>
    </row>
    <row r="39" spans="1:8" x14ac:dyDescent="0.2">
      <c r="A39" s="12" t="s">
        <v>46</v>
      </c>
      <c r="B39" s="11">
        <f t="shared" ref="B39:H39" si="6">0+B24+B38+0</f>
        <v>0</v>
      </c>
      <c r="C39" s="11">
        <f t="shared" si="6"/>
        <v>0</v>
      </c>
      <c r="D39" s="11">
        <f t="shared" si="6"/>
        <v>0</v>
      </c>
      <c r="E39" s="11">
        <f t="shared" si="6"/>
        <v>132.28</v>
      </c>
      <c r="F39" s="11">
        <f t="shared" si="6"/>
        <v>30117.68</v>
      </c>
      <c r="G39" s="11">
        <f t="shared" si="6"/>
        <v>36210.369999999995</v>
      </c>
      <c r="H39" s="11">
        <f t="shared" si="6"/>
        <v>66460.329999999987</v>
      </c>
    </row>
    <row r="40" spans="1:8" x14ac:dyDescent="0.2">
      <c r="A40" s="6" t="s">
        <v>47</v>
      </c>
      <c r="B40" s="4"/>
      <c r="C40" s="4"/>
      <c r="D40" s="4"/>
      <c r="E40" s="4"/>
      <c r="F40" s="4"/>
      <c r="G40" s="4"/>
      <c r="H40" s="4"/>
    </row>
    <row r="41" spans="1:8" x14ac:dyDescent="0.2">
      <c r="A41" s="7" t="s">
        <v>48</v>
      </c>
      <c r="B41" s="4"/>
      <c r="C41" s="4"/>
      <c r="D41" s="4"/>
      <c r="E41" s="4"/>
      <c r="F41" s="4"/>
      <c r="G41" s="4"/>
      <c r="H41" s="4"/>
    </row>
    <row r="42" spans="1:8" x14ac:dyDescent="0.2">
      <c r="A42" s="8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279407.65999999997</v>
      </c>
      <c r="G42" s="9">
        <v>166580</v>
      </c>
      <c r="H42" s="9">
        <f>SUM(B42:G42)</f>
        <v>445987.66</v>
      </c>
    </row>
    <row r="43" spans="1:8" x14ac:dyDescent="0.2">
      <c r="A43" s="10" t="s">
        <v>50</v>
      </c>
      <c r="B43" s="11">
        <f t="shared" ref="B43:H43" si="7">SUM(B42)</f>
        <v>0</v>
      </c>
      <c r="C43" s="11">
        <f t="shared" si="7"/>
        <v>0</v>
      </c>
      <c r="D43" s="11">
        <f t="shared" si="7"/>
        <v>0</v>
      </c>
      <c r="E43" s="11">
        <f t="shared" si="7"/>
        <v>0</v>
      </c>
      <c r="F43" s="11">
        <f t="shared" si="7"/>
        <v>279407.65999999997</v>
      </c>
      <c r="G43" s="11">
        <f t="shared" si="7"/>
        <v>166580</v>
      </c>
      <c r="H43" s="11">
        <f t="shared" si="7"/>
        <v>445987.66</v>
      </c>
    </row>
    <row r="44" spans="1:8" x14ac:dyDescent="0.2">
      <c r="A44" s="7" t="s">
        <v>51</v>
      </c>
      <c r="B44" s="4"/>
      <c r="C44" s="4"/>
      <c r="D44" s="4"/>
      <c r="E44" s="4"/>
      <c r="F44" s="4"/>
      <c r="G44" s="4"/>
      <c r="H44" s="4"/>
    </row>
    <row r="45" spans="1:8" x14ac:dyDescent="0.2">
      <c r="A45" s="8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221802.47</v>
      </c>
      <c r="G45" s="9">
        <v>0</v>
      </c>
      <c r="H45" s="9">
        <f>SUM(B45:G45)</f>
        <v>221802.47</v>
      </c>
    </row>
    <row r="46" spans="1:8" x14ac:dyDescent="0.2">
      <c r="A46" s="8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1222864.01</v>
      </c>
      <c r="G46" s="9">
        <v>0</v>
      </c>
      <c r="H46" s="9">
        <f>SUM(B46:G46)</f>
        <v>1222864.01</v>
      </c>
    </row>
    <row r="47" spans="1:8" x14ac:dyDescent="0.2">
      <c r="A47" s="10" t="s">
        <v>54</v>
      </c>
      <c r="B47" s="11">
        <f t="shared" ref="B47:H47" si="8">SUM(B45:B46)</f>
        <v>0</v>
      </c>
      <c r="C47" s="11">
        <f t="shared" si="8"/>
        <v>0</v>
      </c>
      <c r="D47" s="11">
        <f t="shared" si="8"/>
        <v>0</v>
      </c>
      <c r="E47" s="11">
        <f t="shared" si="8"/>
        <v>0</v>
      </c>
      <c r="F47" s="11">
        <f t="shared" si="8"/>
        <v>1444666.48</v>
      </c>
      <c r="G47" s="11">
        <f t="shared" si="8"/>
        <v>0</v>
      </c>
      <c r="H47" s="11">
        <f t="shared" si="8"/>
        <v>1444666.48</v>
      </c>
    </row>
    <row r="48" spans="1:8" x14ac:dyDescent="0.2">
      <c r="A48" s="7" t="s">
        <v>55</v>
      </c>
      <c r="B48" s="4"/>
      <c r="C48" s="4"/>
      <c r="D48" s="4"/>
      <c r="E48" s="4"/>
      <c r="F48" s="4"/>
      <c r="G48" s="4"/>
      <c r="H48" s="4"/>
    </row>
    <row r="49" spans="1:8" x14ac:dyDescent="0.2">
      <c r="A49" s="8" t="s">
        <v>56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78734.97</v>
      </c>
      <c r="H49" s="9">
        <f>SUM(B49:G49)</f>
        <v>78734.97</v>
      </c>
    </row>
    <row r="50" spans="1:8" x14ac:dyDescent="0.2">
      <c r="A50" s="10" t="s">
        <v>57</v>
      </c>
      <c r="B50" s="11">
        <f t="shared" ref="B50:H50" si="9">SUM(B49)</f>
        <v>0</v>
      </c>
      <c r="C50" s="11">
        <f t="shared" si="9"/>
        <v>0</v>
      </c>
      <c r="D50" s="11">
        <f t="shared" si="9"/>
        <v>0</v>
      </c>
      <c r="E50" s="11">
        <f t="shared" si="9"/>
        <v>0</v>
      </c>
      <c r="F50" s="11">
        <f t="shared" si="9"/>
        <v>0</v>
      </c>
      <c r="G50" s="11">
        <f t="shared" si="9"/>
        <v>78734.97</v>
      </c>
      <c r="H50" s="11">
        <f t="shared" si="9"/>
        <v>78734.97</v>
      </c>
    </row>
    <row r="51" spans="1:8" x14ac:dyDescent="0.2">
      <c r="A51" s="7" t="s">
        <v>58</v>
      </c>
      <c r="B51" s="4"/>
      <c r="C51" s="4"/>
      <c r="D51" s="4"/>
      <c r="E51" s="4"/>
      <c r="F51" s="4"/>
      <c r="G51" s="4"/>
      <c r="H51" s="4"/>
    </row>
    <row r="52" spans="1:8" x14ac:dyDescent="0.2">
      <c r="A52" s="8" t="s">
        <v>59</v>
      </c>
      <c r="B52" s="9">
        <v>0</v>
      </c>
      <c r="C52" s="9">
        <v>0</v>
      </c>
      <c r="D52" s="9">
        <v>0</v>
      </c>
      <c r="E52" s="9">
        <v>0</v>
      </c>
      <c r="F52" s="9">
        <v>100</v>
      </c>
      <c r="G52" s="9">
        <v>0</v>
      </c>
      <c r="H52" s="9">
        <f>SUM(B52:G52)</f>
        <v>100</v>
      </c>
    </row>
    <row r="53" spans="1:8" x14ac:dyDescent="0.2">
      <c r="A53" s="10" t="s">
        <v>60</v>
      </c>
      <c r="B53" s="11">
        <f t="shared" ref="B53:H53" si="10">SUM(B52)</f>
        <v>0</v>
      </c>
      <c r="C53" s="11">
        <f t="shared" si="10"/>
        <v>0</v>
      </c>
      <c r="D53" s="11">
        <f t="shared" si="10"/>
        <v>0</v>
      </c>
      <c r="E53" s="11">
        <f t="shared" si="10"/>
        <v>0</v>
      </c>
      <c r="F53" s="11">
        <f t="shared" si="10"/>
        <v>100</v>
      </c>
      <c r="G53" s="11">
        <f t="shared" si="10"/>
        <v>0</v>
      </c>
      <c r="H53" s="11">
        <f t="shared" si="10"/>
        <v>100</v>
      </c>
    </row>
    <row r="54" spans="1:8" x14ac:dyDescent="0.2">
      <c r="A54" s="12" t="s">
        <v>61</v>
      </c>
      <c r="B54" s="11">
        <f t="shared" ref="B54:H54" si="11">B43+0+0+0+B47+B50+B53+0</f>
        <v>0</v>
      </c>
      <c r="C54" s="11">
        <f t="shared" si="11"/>
        <v>0</v>
      </c>
      <c r="D54" s="11">
        <f t="shared" si="11"/>
        <v>0</v>
      </c>
      <c r="E54" s="11">
        <f t="shared" si="11"/>
        <v>0</v>
      </c>
      <c r="F54" s="11">
        <f t="shared" si="11"/>
        <v>1724174.14</v>
      </c>
      <c r="G54" s="11">
        <f t="shared" si="11"/>
        <v>245314.97</v>
      </c>
      <c r="H54" s="11">
        <f t="shared" si="11"/>
        <v>1969489.1099999999</v>
      </c>
    </row>
    <row r="55" spans="1:8" x14ac:dyDescent="0.2">
      <c r="A55" s="13" t="s">
        <v>62</v>
      </c>
      <c r="B55" s="11">
        <f t="shared" ref="B55:H55" si="12">B17+B39+B54</f>
        <v>0</v>
      </c>
      <c r="C55" s="11">
        <f t="shared" si="12"/>
        <v>0</v>
      </c>
      <c r="D55" s="11">
        <f t="shared" si="12"/>
        <v>0</v>
      </c>
      <c r="E55" s="11">
        <f t="shared" si="12"/>
        <v>132.28</v>
      </c>
      <c r="F55" s="11">
        <f t="shared" si="12"/>
        <v>1755419.5899999999</v>
      </c>
      <c r="G55" s="11">
        <f t="shared" si="12"/>
        <v>281525.33999999997</v>
      </c>
      <c r="H55" s="11">
        <f t="shared" si="12"/>
        <v>2037077.21</v>
      </c>
    </row>
    <row r="56" spans="1:8" x14ac:dyDescent="0.2">
      <c r="A56" s="5"/>
      <c r="B56" s="4"/>
      <c r="C56" s="4"/>
      <c r="D56" s="4"/>
      <c r="E56" s="4"/>
      <c r="F56" s="4"/>
      <c r="G56" s="4"/>
      <c r="H56" s="4"/>
    </row>
    <row r="57" spans="1:8" x14ac:dyDescent="0.2">
      <c r="A57" s="5" t="s">
        <v>63</v>
      </c>
      <c r="B57" s="4"/>
      <c r="C57" s="4"/>
      <c r="D57" s="4"/>
      <c r="E57" s="4"/>
      <c r="F57" s="4"/>
      <c r="G57" s="4"/>
      <c r="H57" s="4"/>
    </row>
    <row r="58" spans="1:8" x14ac:dyDescent="0.2">
      <c r="A58" s="6" t="s">
        <v>64</v>
      </c>
      <c r="B58" s="4"/>
      <c r="C58" s="4"/>
      <c r="D58" s="4"/>
      <c r="E58" s="4"/>
      <c r="F58" s="4"/>
      <c r="G58" s="4"/>
      <c r="H58" s="4"/>
    </row>
    <row r="59" spans="1:8" x14ac:dyDescent="0.2">
      <c r="A59" s="7" t="s">
        <v>65</v>
      </c>
      <c r="B59" s="4"/>
      <c r="C59" s="4"/>
      <c r="D59" s="4"/>
      <c r="E59" s="4"/>
      <c r="F59" s="4"/>
      <c r="G59" s="4"/>
      <c r="H59" s="4"/>
    </row>
    <row r="60" spans="1:8" x14ac:dyDescent="0.2">
      <c r="A60" s="8" t="s">
        <v>66</v>
      </c>
      <c r="B60" s="9">
        <v>0</v>
      </c>
      <c r="C60" s="9">
        <v>0</v>
      </c>
      <c r="D60" s="9">
        <v>6180.4697500000002</v>
      </c>
      <c r="E60" s="9">
        <v>0</v>
      </c>
      <c r="F60" s="9">
        <v>0</v>
      </c>
      <c r="G60" s="9">
        <v>0</v>
      </c>
      <c r="H60" s="9">
        <f>SUM(B60:G60)</f>
        <v>6180.4697500000002</v>
      </c>
    </row>
    <row r="61" spans="1:8" x14ac:dyDescent="0.2">
      <c r="A61" s="8" t="s">
        <v>67</v>
      </c>
      <c r="B61" s="9">
        <v>0</v>
      </c>
      <c r="C61" s="9">
        <v>0</v>
      </c>
      <c r="D61" s="9">
        <v>0</v>
      </c>
      <c r="E61" s="9">
        <v>0</v>
      </c>
      <c r="F61" s="9">
        <v>-12832</v>
      </c>
      <c r="G61" s="9">
        <v>0</v>
      </c>
      <c r="H61" s="9">
        <f>SUM(B61:G61)</f>
        <v>-12832</v>
      </c>
    </row>
    <row r="62" spans="1:8" x14ac:dyDescent="0.2">
      <c r="A62" s="8" t="s">
        <v>68</v>
      </c>
      <c r="B62" s="9">
        <v>0</v>
      </c>
      <c r="C62" s="9">
        <v>0</v>
      </c>
      <c r="D62" s="9">
        <v>0</v>
      </c>
      <c r="E62" s="9">
        <v>0</v>
      </c>
      <c r="F62" s="9">
        <v>-56688</v>
      </c>
      <c r="G62" s="9">
        <v>0</v>
      </c>
      <c r="H62" s="9">
        <f>SUM(B62:G62)</f>
        <v>-56688</v>
      </c>
    </row>
    <row r="63" spans="1:8" x14ac:dyDescent="0.2">
      <c r="A63" s="8" t="s">
        <v>69</v>
      </c>
      <c r="B63" s="9">
        <v>0</v>
      </c>
      <c r="C63" s="9">
        <v>115745.1186978</v>
      </c>
      <c r="D63" s="9">
        <v>399781.86695479503</v>
      </c>
      <c r="E63" s="9">
        <v>259659.5</v>
      </c>
      <c r="F63" s="9">
        <v>1578296.94</v>
      </c>
      <c r="G63" s="9">
        <v>0</v>
      </c>
      <c r="H63" s="9">
        <f>SUM(B63:G63)</f>
        <v>2353483.4256525952</v>
      </c>
    </row>
    <row r="64" spans="1:8" x14ac:dyDescent="0.2">
      <c r="A64" s="10" t="s">
        <v>70</v>
      </c>
      <c r="B64" s="11">
        <f t="shared" ref="B64:H64" si="13">SUM(B60:B63)</f>
        <v>0</v>
      </c>
      <c r="C64" s="11">
        <f t="shared" si="13"/>
        <v>115745.1186978</v>
      </c>
      <c r="D64" s="11">
        <f t="shared" si="13"/>
        <v>405962.33670479502</v>
      </c>
      <c r="E64" s="11">
        <f t="shared" si="13"/>
        <v>259659.5</v>
      </c>
      <c r="F64" s="11">
        <f t="shared" si="13"/>
        <v>1508776.94</v>
      </c>
      <c r="G64" s="11">
        <f t="shared" si="13"/>
        <v>0</v>
      </c>
      <c r="H64" s="11">
        <f t="shared" si="13"/>
        <v>2290143.8954025954</v>
      </c>
    </row>
    <row r="65" spans="1:8" x14ac:dyDescent="0.2">
      <c r="A65" s="7" t="s">
        <v>171</v>
      </c>
      <c r="B65" s="4"/>
      <c r="C65" s="4"/>
      <c r="D65" s="4"/>
      <c r="E65" s="4"/>
      <c r="F65" s="4"/>
      <c r="G65" s="4"/>
      <c r="H65" s="4"/>
    </row>
    <row r="66" spans="1:8" x14ac:dyDescent="0.2">
      <c r="A66" s="8" t="s">
        <v>71</v>
      </c>
      <c r="B66" s="9">
        <v>0</v>
      </c>
      <c r="C66" s="9">
        <v>0</v>
      </c>
      <c r="D66" s="9">
        <v>0</v>
      </c>
      <c r="E66" s="9">
        <v>0</v>
      </c>
      <c r="F66" s="9">
        <v>-12281.5</v>
      </c>
      <c r="G66" s="9">
        <v>0</v>
      </c>
      <c r="H66" s="9">
        <f t="shared" ref="H66:H73" si="14">SUM(B66:G66)</f>
        <v>-12281.5</v>
      </c>
    </row>
    <row r="67" spans="1:8" x14ac:dyDescent="0.2">
      <c r="A67" s="8" t="s">
        <v>72</v>
      </c>
      <c r="B67" s="9">
        <v>0</v>
      </c>
      <c r="C67" s="9">
        <v>-66189.585600000006</v>
      </c>
      <c r="D67" s="9">
        <v>-183632.52794835001</v>
      </c>
      <c r="E67" s="9">
        <v>-70104</v>
      </c>
      <c r="F67" s="9">
        <v>0</v>
      </c>
      <c r="G67" s="9">
        <v>0</v>
      </c>
      <c r="H67" s="9">
        <f t="shared" si="14"/>
        <v>-319926.11354835</v>
      </c>
    </row>
    <row r="68" spans="1:8" x14ac:dyDescent="0.2">
      <c r="A68" s="8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-200000</v>
      </c>
      <c r="H68" s="9">
        <f t="shared" si="14"/>
        <v>-200000</v>
      </c>
    </row>
    <row r="69" spans="1:8" x14ac:dyDescent="0.2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66189.59</v>
      </c>
      <c r="G69" s="9">
        <v>0</v>
      </c>
      <c r="H69" s="9">
        <f t="shared" si="14"/>
        <v>66189.59</v>
      </c>
    </row>
    <row r="70" spans="1:8" x14ac:dyDescent="0.2">
      <c r="A70" s="8" t="s">
        <v>75</v>
      </c>
      <c r="B70" s="9">
        <v>0</v>
      </c>
      <c r="C70" s="9">
        <v>0</v>
      </c>
      <c r="D70" s="9">
        <v>0</v>
      </c>
      <c r="E70" s="9">
        <v>0</v>
      </c>
      <c r="F70" s="9">
        <v>183632.53</v>
      </c>
      <c r="G70" s="9">
        <v>0</v>
      </c>
      <c r="H70" s="9">
        <f t="shared" si="14"/>
        <v>183632.53</v>
      </c>
    </row>
    <row r="71" spans="1:8" x14ac:dyDescent="0.2">
      <c r="A71" s="8" t="s">
        <v>76</v>
      </c>
      <c r="B71" s="9">
        <v>0</v>
      </c>
      <c r="C71" s="9">
        <v>0</v>
      </c>
      <c r="D71" s="9">
        <v>0</v>
      </c>
      <c r="E71" s="9">
        <v>0</v>
      </c>
      <c r="F71" s="9">
        <v>70104</v>
      </c>
      <c r="G71" s="9">
        <v>0</v>
      </c>
      <c r="H71" s="9">
        <f t="shared" si="14"/>
        <v>70104</v>
      </c>
    </row>
    <row r="72" spans="1:8" x14ac:dyDescent="0.2">
      <c r="A72" s="8" t="s">
        <v>77</v>
      </c>
      <c r="B72" s="9">
        <v>0</v>
      </c>
      <c r="C72" s="9">
        <v>0</v>
      </c>
      <c r="D72" s="9">
        <v>0</v>
      </c>
      <c r="E72" s="9">
        <v>12281.5</v>
      </c>
      <c r="F72" s="9">
        <v>0</v>
      </c>
      <c r="G72" s="9">
        <v>0</v>
      </c>
      <c r="H72" s="9">
        <f t="shared" si="14"/>
        <v>12281.5</v>
      </c>
    </row>
    <row r="73" spans="1:8" x14ac:dyDescent="0.2">
      <c r="A73" s="8" t="s">
        <v>78</v>
      </c>
      <c r="B73" s="9">
        <v>200000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f t="shared" si="14"/>
        <v>200000</v>
      </c>
    </row>
    <row r="74" spans="1:8" x14ac:dyDescent="0.2">
      <c r="A74" s="10" t="s">
        <v>172</v>
      </c>
      <c r="B74" s="11">
        <f t="shared" ref="B74:H74" si="15">SUM(B66:B73)</f>
        <v>200000</v>
      </c>
      <c r="C74" s="11">
        <f t="shared" si="15"/>
        <v>-66189.585600000006</v>
      </c>
      <c r="D74" s="11">
        <f t="shared" si="15"/>
        <v>-183632.52794835001</v>
      </c>
      <c r="E74" s="11">
        <f t="shared" si="15"/>
        <v>-57822.5</v>
      </c>
      <c r="F74" s="11">
        <f t="shared" si="15"/>
        <v>307644.62</v>
      </c>
      <c r="G74" s="11">
        <f t="shared" si="15"/>
        <v>-200000</v>
      </c>
      <c r="H74" s="11">
        <f t="shared" si="15"/>
        <v>6.451649940572679E-3</v>
      </c>
    </row>
    <row r="75" spans="1:8" x14ac:dyDescent="0.2">
      <c r="A75" s="7" t="s">
        <v>79</v>
      </c>
      <c r="B75" s="4"/>
      <c r="C75" s="4"/>
      <c r="D75" s="4"/>
      <c r="E75" s="4"/>
      <c r="F75" s="4"/>
      <c r="G75" s="4"/>
      <c r="H75" s="4"/>
    </row>
    <row r="76" spans="1:8" x14ac:dyDescent="0.2">
      <c r="A76" s="8" t="s">
        <v>80</v>
      </c>
      <c r="B76" s="9">
        <v>0</v>
      </c>
      <c r="C76" s="9">
        <v>0</v>
      </c>
      <c r="D76" s="9">
        <v>0</v>
      </c>
      <c r="E76" s="9">
        <v>0</v>
      </c>
      <c r="F76" s="9">
        <v>2352.1</v>
      </c>
      <c r="G76" s="9">
        <v>500</v>
      </c>
      <c r="H76" s="9">
        <f t="shared" ref="H76:H82" si="16">SUM(B76:G76)</f>
        <v>2852.1</v>
      </c>
    </row>
    <row r="77" spans="1:8" x14ac:dyDescent="0.2">
      <c r="A77" s="8" t="s">
        <v>81</v>
      </c>
      <c r="B77" s="9">
        <v>0</v>
      </c>
      <c r="C77" s="9">
        <v>0</v>
      </c>
      <c r="D77" s="9">
        <v>0</v>
      </c>
      <c r="E77" s="9">
        <v>0</v>
      </c>
      <c r="F77" s="9">
        <v>418.38</v>
      </c>
      <c r="G77" s="9">
        <v>0</v>
      </c>
      <c r="H77" s="9">
        <f t="shared" si="16"/>
        <v>418.38</v>
      </c>
    </row>
    <row r="78" spans="1:8" x14ac:dyDescent="0.2">
      <c r="A78" s="8" t="s">
        <v>82</v>
      </c>
      <c r="B78" s="9">
        <v>0</v>
      </c>
      <c r="C78" s="9">
        <v>0</v>
      </c>
      <c r="D78" s="9">
        <v>0</v>
      </c>
      <c r="E78" s="9">
        <v>551.94000000000005</v>
      </c>
      <c r="F78" s="9">
        <v>0</v>
      </c>
      <c r="G78" s="9">
        <v>0</v>
      </c>
      <c r="H78" s="9">
        <f t="shared" si="16"/>
        <v>551.94000000000005</v>
      </c>
    </row>
    <row r="79" spans="1:8" x14ac:dyDescent="0.2">
      <c r="A79" s="8" t="s">
        <v>83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973</v>
      </c>
      <c r="H79" s="9">
        <f t="shared" si="16"/>
        <v>973</v>
      </c>
    </row>
    <row r="80" spans="1:8" x14ac:dyDescent="0.2">
      <c r="A80" s="8" t="s">
        <v>84</v>
      </c>
      <c r="B80" s="9">
        <v>0</v>
      </c>
      <c r="C80" s="9">
        <v>0</v>
      </c>
      <c r="D80" s="9">
        <v>0</v>
      </c>
      <c r="E80" s="9">
        <v>330</v>
      </c>
      <c r="F80" s="9">
        <v>0</v>
      </c>
      <c r="G80" s="9">
        <v>1150.96</v>
      </c>
      <c r="H80" s="9">
        <f t="shared" si="16"/>
        <v>1480.96</v>
      </c>
    </row>
    <row r="81" spans="1:8" x14ac:dyDescent="0.2">
      <c r="A81" s="8" t="s">
        <v>85</v>
      </c>
      <c r="B81" s="9">
        <v>0</v>
      </c>
      <c r="C81" s="9">
        <v>0</v>
      </c>
      <c r="D81" s="9">
        <v>0</v>
      </c>
      <c r="E81" s="9">
        <v>7158.91</v>
      </c>
      <c r="F81" s="9">
        <v>74700</v>
      </c>
      <c r="G81" s="9">
        <v>0</v>
      </c>
      <c r="H81" s="9">
        <f t="shared" si="16"/>
        <v>81858.91</v>
      </c>
    </row>
    <row r="82" spans="1:8" x14ac:dyDescent="0.2">
      <c r="A82" s="8" t="s">
        <v>86</v>
      </c>
      <c r="B82" s="9">
        <v>0</v>
      </c>
      <c r="C82" s="9">
        <v>0</v>
      </c>
      <c r="D82" s="9">
        <v>0</v>
      </c>
      <c r="E82" s="9">
        <v>0</v>
      </c>
      <c r="F82" s="9">
        <v>5893.76</v>
      </c>
      <c r="G82" s="9">
        <v>2803.24</v>
      </c>
      <c r="H82" s="9">
        <f t="shared" si="16"/>
        <v>8697</v>
      </c>
    </row>
    <row r="83" spans="1:8" x14ac:dyDescent="0.2">
      <c r="A83" s="10" t="s">
        <v>87</v>
      </c>
      <c r="B83" s="11">
        <f t="shared" ref="B83:H83" si="17">SUM(B76:B82)</f>
        <v>0</v>
      </c>
      <c r="C83" s="11">
        <f t="shared" si="17"/>
        <v>0</v>
      </c>
      <c r="D83" s="11">
        <f t="shared" si="17"/>
        <v>0</v>
      </c>
      <c r="E83" s="11">
        <f t="shared" si="17"/>
        <v>8040.85</v>
      </c>
      <c r="F83" s="11">
        <f t="shared" si="17"/>
        <v>83364.239999999991</v>
      </c>
      <c r="G83" s="11">
        <f t="shared" si="17"/>
        <v>5427.2</v>
      </c>
      <c r="H83" s="11">
        <f t="shared" si="17"/>
        <v>96832.290000000008</v>
      </c>
    </row>
    <row r="84" spans="1:8" x14ac:dyDescent="0.2">
      <c r="A84" s="12" t="s">
        <v>88</v>
      </c>
      <c r="B84" s="11">
        <f t="shared" ref="B84:H84" si="18">B64+B74+0+0+0+B83</f>
        <v>200000</v>
      </c>
      <c r="C84" s="11">
        <f t="shared" si="18"/>
        <v>49555.533097799998</v>
      </c>
      <c r="D84" s="11">
        <f t="shared" si="18"/>
        <v>222329.80875644501</v>
      </c>
      <c r="E84" s="11">
        <f t="shared" si="18"/>
        <v>209877.85</v>
      </c>
      <c r="F84" s="11">
        <f t="shared" si="18"/>
        <v>1899785.8</v>
      </c>
      <c r="G84" s="11">
        <f t="shared" si="18"/>
        <v>-194572.79999999999</v>
      </c>
      <c r="H84" s="11">
        <f t="shared" si="18"/>
        <v>2386976.1918542455</v>
      </c>
    </row>
    <row r="85" spans="1:8" x14ac:dyDescent="0.2">
      <c r="A85" s="6" t="s">
        <v>89</v>
      </c>
      <c r="B85" s="4"/>
      <c r="C85" s="4"/>
      <c r="D85" s="4"/>
      <c r="E85" s="4"/>
      <c r="F85" s="4"/>
      <c r="G85" s="4"/>
      <c r="H85" s="4"/>
    </row>
    <row r="86" spans="1:8" x14ac:dyDescent="0.2">
      <c r="A86" s="7" t="s">
        <v>90</v>
      </c>
      <c r="B86" s="4"/>
      <c r="C86" s="4"/>
      <c r="D86" s="4"/>
      <c r="E86" s="4"/>
      <c r="F86" s="4"/>
      <c r="G86" s="4"/>
      <c r="H86" s="4"/>
    </row>
    <row r="87" spans="1:8" x14ac:dyDescent="0.2">
      <c r="A87" s="8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14.34</v>
      </c>
      <c r="G87" s="9">
        <v>0</v>
      </c>
      <c r="H87" s="9">
        <f>SUM(B87:G87)</f>
        <v>14.34</v>
      </c>
    </row>
    <row r="88" spans="1:8" x14ac:dyDescent="0.2">
      <c r="A88" s="10" t="s">
        <v>92</v>
      </c>
      <c r="B88" s="11">
        <f t="shared" ref="B88:H88" si="19">SUM(B87)</f>
        <v>0</v>
      </c>
      <c r="C88" s="11">
        <f t="shared" si="19"/>
        <v>0</v>
      </c>
      <c r="D88" s="11">
        <f t="shared" si="19"/>
        <v>0</v>
      </c>
      <c r="E88" s="11">
        <f t="shared" si="19"/>
        <v>0</v>
      </c>
      <c r="F88" s="11">
        <f t="shared" si="19"/>
        <v>14.34</v>
      </c>
      <c r="G88" s="11">
        <f t="shared" si="19"/>
        <v>0</v>
      </c>
      <c r="H88" s="11">
        <f t="shared" si="19"/>
        <v>14.34</v>
      </c>
    </row>
    <row r="89" spans="1:8" x14ac:dyDescent="0.2">
      <c r="A89" s="7" t="s">
        <v>93</v>
      </c>
      <c r="B89" s="4"/>
      <c r="C89" s="4"/>
      <c r="D89" s="4"/>
      <c r="E89" s="4"/>
      <c r="F89" s="4"/>
      <c r="G89" s="4"/>
      <c r="H89" s="4"/>
    </row>
    <row r="90" spans="1:8" x14ac:dyDescent="0.2">
      <c r="A90" s="8" t="s">
        <v>94</v>
      </c>
      <c r="B90" s="9">
        <v>0</v>
      </c>
      <c r="C90" s="9">
        <v>0</v>
      </c>
      <c r="D90" s="9">
        <v>42790.570606549998</v>
      </c>
      <c r="E90" s="9">
        <v>0</v>
      </c>
      <c r="F90" s="9">
        <v>0</v>
      </c>
      <c r="G90" s="9">
        <v>0</v>
      </c>
      <c r="H90" s="9">
        <f t="shared" ref="H90:H106" si="20">SUM(B90:G90)</f>
        <v>42790.570606549998</v>
      </c>
    </row>
    <row r="91" spans="1:8" x14ac:dyDescent="0.2">
      <c r="A91" s="8" t="s">
        <v>95</v>
      </c>
      <c r="B91" s="9">
        <v>0</v>
      </c>
      <c r="C91" s="9">
        <v>0</v>
      </c>
      <c r="D91" s="9">
        <v>0</v>
      </c>
      <c r="E91" s="9">
        <v>0</v>
      </c>
      <c r="F91" s="9">
        <v>2400250.9900000002</v>
      </c>
      <c r="G91" s="9">
        <v>0</v>
      </c>
      <c r="H91" s="9">
        <f t="shared" si="20"/>
        <v>2400250.9900000002</v>
      </c>
    </row>
    <row r="92" spans="1:8" x14ac:dyDescent="0.2">
      <c r="A92" s="8" t="s">
        <v>96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440054.42</v>
      </c>
      <c r="H92" s="9">
        <f t="shared" si="20"/>
        <v>440054.42</v>
      </c>
    </row>
    <row r="93" spans="1:8" x14ac:dyDescent="0.2">
      <c r="A93" s="8" t="s">
        <v>97</v>
      </c>
      <c r="B93" s="9">
        <v>0</v>
      </c>
      <c r="C93" s="9">
        <v>0</v>
      </c>
      <c r="D93" s="9">
        <v>3162.6346635</v>
      </c>
      <c r="E93" s="9">
        <v>0</v>
      </c>
      <c r="F93" s="9">
        <v>0</v>
      </c>
      <c r="G93" s="9">
        <v>0</v>
      </c>
      <c r="H93" s="9">
        <f t="shared" si="20"/>
        <v>3162.6346635</v>
      </c>
    </row>
    <row r="94" spans="1:8" x14ac:dyDescent="0.2">
      <c r="A94" s="8" t="s">
        <v>98</v>
      </c>
      <c r="B94" s="9">
        <v>0</v>
      </c>
      <c r="C94" s="9">
        <v>0</v>
      </c>
      <c r="D94" s="9">
        <v>0</v>
      </c>
      <c r="E94" s="9">
        <v>0</v>
      </c>
      <c r="F94" s="9">
        <v>210416.49</v>
      </c>
      <c r="G94" s="9">
        <v>0</v>
      </c>
      <c r="H94" s="9">
        <f t="shared" si="20"/>
        <v>210416.49</v>
      </c>
    </row>
    <row r="95" spans="1:8" x14ac:dyDescent="0.2">
      <c r="A95" s="8" t="s">
        <v>99</v>
      </c>
      <c r="B95" s="9">
        <v>0</v>
      </c>
      <c r="C95" s="9">
        <v>0</v>
      </c>
      <c r="D95" s="9">
        <v>0</v>
      </c>
      <c r="E95" s="9">
        <v>0</v>
      </c>
      <c r="F95" s="9">
        <v>20664.97</v>
      </c>
      <c r="G95" s="9">
        <v>0</v>
      </c>
      <c r="H95" s="9">
        <f t="shared" si="20"/>
        <v>20664.97</v>
      </c>
    </row>
    <row r="96" spans="1:8" x14ac:dyDescent="0.2">
      <c r="A96" s="8" t="s">
        <v>100</v>
      </c>
      <c r="B96" s="9">
        <v>0</v>
      </c>
      <c r="C96" s="9">
        <v>0</v>
      </c>
      <c r="D96" s="9">
        <v>0</v>
      </c>
      <c r="E96" s="9">
        <v>0</v>
      </c>
      <c r="F96" s="9">
        <v>47544.01</v>
      </c>
      <c r="G96" s="9">
        <v>0</v>
      </c>
      <c r="H96" s="9">
        <f t="shared" si="20"/>
        <v>47544.01</v>
      </c>
    </row>
    <row r="97" spans="1:8" x14ac:dyDescent="0.2">
      <c r="A97" s="8" t="s">
        <v>101</v>
      </c>
      <c r="B97" s="9">
        <v>0</v>
      </c>
      <c r="C97" s="9">
        <v>0</v>
      </c>
      <c r="D97" s="9">
        <v>0</v>
      </c>
      <c r="E97" s="9">
        <v>17376.7</v>
      </c>
      <c r="F97" s="9">
        <v>0</v>
      </c>
      <c r="G97" s="9">
        <v>0</v>
      </c>
      <c r="H97" s="9">
        <f t="shared" si="20"/>
        <v>17376.7</v>
      </c>
    </row>
    <row r="98" spans="1:8" x14ac:dyDescent="0.2">
      <c r="A98" s="8" t="s">
        <v>102</v>
      </c>
      <c r="B98" s="9">
        <v>0</v>
      </c>
      <c r="C98" s="9">
        <v>0</v>
      </c>
      <c r="D98" s="9">
        <v>0</v>
      </c>
      <c r="E98" s="9">
        <v>100003.8</v>
      </c>
      <c r="F98" s="9">
        <v>0</v>
      </c>
      <c r="G98" s="9">
        <v>0</v>
      </c>
      <c r="H98" s="9">
        <f t="shared" si="20"/>
        <v>100003.8</v>
      </c>
    </row>
    <row r="99" spans="1:8" x14ac:dyDescent="0.2">
      <c r="A99" s="8" t="s">
        <v>103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17500.580000000002</v>
      </c>
      <c r="H99" s="9">
        <f t="shared" si="20"/>
        <v>17500.580000000002</v>
      </c>
    </row>
    <row r="100" spans="1:8" x14ac:dyDescent="0.2">
      <c r="A100" s="8" t="s">
        <v>104</v>
      </c>
      <c r="B100" s="9">
        <v>0</v>
      </c>
      <c r="C100" s="9">
        <v>0</v>
      </c>
      <c r="D100" s="9">
        <v>0</v>
      </c>
      <c r="E100" s="9">
        <v>0</v>
      </c>
      <c r="F100" s="9">
        <v>316788.64</v>
      </c>
      <c r="G100" s="9">
        <v>0</v>
      </c>
      <c r="H100" s="9">
        <f t="shared" si="20"/>
        <v>316788.64</v>
      </c>
    </row>
    <row r="101" spans="1:8" x14ac:dyDescent="0.2">
      <c r="A101" s="8" t="s">
        <v>105</v>
      </c>
      <c r="B101" s="9">
        <v>34783.85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f t="shared" si="20"/>
        <v>34783.85</v>
      </c>
    </row>
    <row r="102" spans="1:8" x14ac:dyDescent="0.2">
      <c r="A102" s="8" t="s">
        <v>106</v>
      </c>
      <c r="B102" s="9">
        <v>0</v>
      </c>
      <c r="C102" s="9">
        <v>0</v>
      </c>
      <c r="D102" s="9">
        <v>0</v>
      </c>
      <c r="E102" s="9">
        <v>0</v>
      </c>
      <c r="F102" s="9">
        <v>218362.97</v>
      </c>
      <c r="G102" s="9">
        <v>0</v>
      </c>
      <c r="H102" s="9">
        <f t="shared" si="20"/>
        <v>218362.97</v>
      </c>
    </row>
    <row r="103" spans="1:8" x14ac:dyDescent="0.2">
      <c r="A103" s="8" t="s">
        <v>107</v>
      </c>
      <c r="B103" s="9">
        <v>0</v>
      </c>
      <c r="C103" s="9">
        <v>0</v>
      </c>
      <c r="D103" s="9">
        <v>0</v>
      </c>
      <c r="E103" s="9">
        <v>0</v>
      </c>
      <c r="F103" s="9">
        <v>34900</v>
      </c>
      <c r="G103" s="9">
        <v>0</v>
      </c>
      <c r="H103" s="9">
        <f t="shared" si="20"/>
        <v>34900</v>
      </c>
    </row>
    <row r="104" spans="1:8" x14ac:dyDescent="0.2">
      <c r="A104" s="8" t="s">
        <v>108</v>
      </c>
      <c r="B104" s="9">
        <v>49908.02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f t="shared" si="20"/>
        <v>49908.02</v>
      </c>
    </row>
    <row r="105" spans="1:8" x14ac:dyDescent="0.2">
      <c r="A105" s="8" t="s">
        <v>109</v>
      </c>
      <c r="B105" s="9">
        <v>0</v>
      </c>
      <c r="C105" s="9">
        <v>0</v>
      </c>
      <c r="D105" s="9">
        <v>63497.890163467498</v>
      </c>
      <c r="E105" s="9">
        <v>0</v>
      </c>
      <c r="F105" s="9">
        <v>0</v>
      </c>
      <c r="G105" s="9">
        <v>0</v>
      </c>
      <c r="H105" s="9">
        <f t="shared" si="20"/>
        <v>63497.890163467498</v>
      </c>
    </row>
    <row r="106" spans="1:8" x14ac:dyDescent="0.2">
      <c r="A106" s="8" t="s">
        <v>110</v>
      </c>
      <c r="B106" s="9">
        <v>0</v>
      </c>
      <c r="C106" s="9">
        <v>77303.068620079997</v>
      </c>
      <c r="D106" s="9">
        <v>0</v>
      </c>
      <c r="E106" s="9">
        <v>0</v>
      </c>
      <c r="F106" s="9">
        <v>0</v>
      </c>
      <c r="G106" s="9">
        <v>0</v>
      </c>
      <c r="H106" s="9">
        <f t="shared" si="20"/>
        <v>77303.068620079997</v>
      </c>
    </row>
    <row r="107" spans="1:8" x14ac:dyDescent="0.2">
      <c r="A107" s="10" t="s">
        <v>111</v>
      </c>
      <c r="B107" s="11">
        <f t="shared" ref="B107:H107" si="21">SUM(B90:B106)</f>
        <v>84691.87</v>
      </c>
      <c r="C107" s="11">
        <f t="shared" si="21"/>
        <v>77303.068620079997</v>
      </c>
      <c r="D107" s="11">
        <f t="shared" si="21"/>
        <v>109451.0954335175</v>
      </c>
      <c r="E107" s="11">
        <f t="shared" si="21"/>
        <v>117380.5</v>
      </c>
      <c r="F107" s="11">
        <f t="shared" si="21"/>
        <v>3248928.0700000008</v>
      </c>
      <c r="G107" s="11">
        <f t="shared" si="21"/>
        <v>457555</v>
      </c>
      <c r="H107" s="11">
        <f t="shared" si="21"/>
        <v>4095309.6040535988</v>
      </c>
    </row>
    <row r="108" spans="1:8" x14ac:dyDescent="0.2">
      <c r="A108" s="12" t="s">
        <v>112</v>
      </c>
      <c r="B108" s="11">
        <f t="shared" ref="B108:H108" si="22">B88+0+B107</f>
        <v>84691.87</v>
      </c>
      <c r="C108" s="11">
        <f t="shared" si="22"/>
        <v>77303.068620079997</v>
      </c>
      <c r="D108" s="11">
        <f t="shared" si="22"/>
        <v>109451.0954335175</v>
      </c>
      <c r="E108" s="11">
        <f t="shared" si="22"/>
        <v>117380.5</v>
      </c>
      <c r="F108" s="11">
        <f t="shared" si="22"/>
        <v>3248942.4100000006</v>
      </c>
      <c r="G108" s="11">
        <f t="shared" si="22"/>
        <v>457555</v>
      </c>
      <c r="H108" s="11">
        <f t="shared" si="22"/>
        <v>4095323.9440535987</v>
      </c>
    </row>
    <row r="109" spans="1:8" x14ac:dyDescent="0.2">
      <c r="A109" s="13" t="s">
        <v>113</v>
      </c>
      <c r="B109" s="11">
        <f t="shared" ref="B109:H109" si="23">0+B84+0+B108</f>
        <v>284691.87</v>
      </c>
      <c r="C109" s="11">
        <f t="shared" si="23"/>
        <v>126858.60171788</v>
      </c>
      <c r="D109" s="11">
        <f t="shared" si="23"/>
        <v>331780.90418996254</v>
      </c>
      <c r="E109" s="11">
        <f t="shared" si="23"/>
        <v>327258.34999999998</v>
      </c>
      <c r="F109" s="11">
        <f t="shared" si="23"/>
        <v>5148728.2100000009</v>
      </c>
      <c r="G109" s="11">
        <f t="shared" si="23"/>
        <v>262982.2</v>
      </c>
      <c r="H109" s="11">
        <f t="shared" si="23"/>
        <v>6482300.1359078437</v>
      </c>
    </row>
    <row r="110" spans="1:8" x14ac:dyDescent="0.2">
      <c r="A110" s="5"/>
      <c r="B110" s="4"/>
      <c r="C110" s="4"/>
      <c r="D110" s="4"/>
      <c r="E110" s="4"/>
      <c r="F110" s="4"/>
      <c r="G110" s="4"/>
      <c r="H110" s="4"/>
    </row>
    <row r="111" spans="1:8" x14ac:dyDescent="0.2">
      <c r="A111" s="5" t="s">
        <v>114</v>
      </c>
      <c r="B111" s="4"/>
      <c r="C111" s="4"/>
      <c r="D111" s="4"/>
      <c r="E111" s="4"/>
      <c r="F111" s="4"/>
      <c r="G111" s="4"/>
      <c r="H111" s="4"/>
    </row>
    <row r="112" spans="1:8" x14ac:dyDescent="0.2">
      <c r="A112" s="14" t="s">
        <v>115</v>
      </c>
      <c r="B112" s="9">
        <v>345.13</v>
      </c>
      <c r="C112" s="9">
        <v>667.70195999999999</v>
      </c>
      <c r="D112" s="9">
        <v>0</v>
      </c>
      <c r="E112" s="9">
        <v>0</v>
      </c>
      <c r="F112" s="9">
        <v>46808.7</v>
      </c>
      <c r="G112" s="9">
        <v>869.32</v>
      </c>
      <c r="H112" s="9">
        <f>SUM(B112:G112)</f>
        <v>48690.85196</v>
      </c>
    </row>
    <row r="113" spans="1:8" x14ac:dyDescent="0.2">
      <c r="A113" s="13" t="s">
        <v>116</v>
      </c>
      <c r="B113" s="11">
        <f t="shared" ref="B113:H113" si="24">SUM(B112)</f>
        <v>345.13</v>
      </c>
      <c r="C113" s="11">
        <f t="shared" si="24"/>
        <v>667.70195999999999</v>
      </c>
      <c r="D113" s="11">
        <f t="shared" si="24"/>
        <v>0</v>
      </c>
      <c r="E113" s="11">
        <f t="shared" si="24"/>
        <v>0</v>
      </c>
      <c r="F113" s="11">
        <f t="shared" si="24"/>
        <v>46808.7</v>
      </c>
      <c r="G113" s="11">
        <f t="shared" si="24"/>
        <v>869.32</v>
      </c>
      <c r="H113" s="11">
        <f t="shared" si="24"/>
        <v>48690.85196</v>
      </c>
    </row>
    <row r="114" spans="1:8" x14ac:dyDescent="0.2">
      <c r="A114" s="15" t="s">
        <v>117</v>
      </c>
      <c r="B114" s="11">
        <f t="shared" ref="B114:H114" si="25">B55+B56+B109+B110+B113+0</f>
        <v>285037</v>
      </c>
      <c r="C114" s="11">
        <f t="shared" si="25"/>
        <v>127526.30367788</v>
      </c>
      <c r="D114" s="11">
        <f t="shared" si="25"/>
        <v>331780.90418996254</v>
      </c>
      <c r="E114" s="11">
        <f t="shared" si="25"/>
        <v>327390.63</v>
      </c>
      <c r="F114" s="11">
        <f t="shared" si="25"/>
        <v>6950956.5000000009</v>
      </c>
      <c r="G114" s="11">
        <f t="shared" si="25"/>
        <v>545376.86</v>
      </c>
      <c r="H114" s="11">
        <f t="shared" si="25"/>
        <v>8568068.1978678443</v>
      </c>
    </row>
    <row r="115" spans="1:8" x14ac:dyDescent="0.2">
      <c r="A115" s="3"/>
      <c r="B115" s="4"/>
      <c r="C115" s="4"/>
      <c r="D115" s="4"/>
      <c r="E115" s="4"/>
      <c r="F115" s="4"/>
      <c r="G115" s="4"/>
      <c r="H115" s="4"/>
    </row>
    <row r="116" spans="1:8" x14ac:dyDescent="0.2">
      <c r="A116" s="3" t="s">
        <v>118</v>
      </c>
      <c r="B116" s="4"/>
      <c r="C116" s="4"/>
      <c r="D116" s="4"/>
      <c r="E116" s="4"/>
      <c r="F116" s="4"/>
      <c r="G116" s="4"/>
      <c r="H116" s="4"/>
    </row>
    <row r="117" spans="1:8" x14ac:dyDescent="0.2">
      <c r="A117" s="5" t="s">
        <v>119</v>
      </c>
      <c r="B117" s="4"/>
      <c r="C117" s="4"/>
      <c r="D117" s="4"/>
      <c r="E117" s="4"/>
      <c r="F117" s="4"/>
      <c r="G117" s="4"/>
      <c r="H117" s="4"/>
    </row>
    <row r="118" spans="1:8" hidden="1" x14ac:dyDescent="0.2">
      <c r="A118" s="5" t="s">
        <v>119</v>
      </c>
      <c r="B118" s="4"/>
      <c r="C118" s="4"/>
      <c r="D118" s="4"/>
      <c r="E118" s="4"/>
      <c r="F118" s="4"/>
      <c r="G118" s="4"/>
      <c r="H118" s="4"/>
    </row>
    <row r="119" spans="1:8" x14ac:dyDescent="0.2">
      <c r="A119" s="14" t="s">
        <v>120</v>
      </c>
      <c r="B119" s="9">
        <v>25000</v>
      </c>
      <c r="C119" s="9">
        <v>88000</v>
      </c>
      <c r="D119" s="9">
        <v>330300</v>
      </c>
      <c r="E119" s="9">
        <v>35000</v>
      </c>
      <c r="F119" s="9">
        <v>52000</v>
      </c>
      <c r="G119" s="9">
        <v>25000</v>
      </c>
      <c r="H119" s="9">
        <f>SUM(B119:G119)</f>
        <v>555300</v>
      </c>
    </row>
    <row r="120" spans="1:8" x14ac:dyDescent="0.2">
      <c r="A120" s="14" t="s">
        <v>121</v>
      </c>
      <c r="B120" s="9">
        <v>229795.05</v>
      </c>
      <c r="C120" s="9">
        <v>0</v>
      </c>
      <c r="D120" s="9">
        <v>0</v>
      </c>
      <c r="E120" s="9">
        <v>0</v>
      </c>
      <c r="F120" s="9">
        <v>4604652.93</v>
      </c>
      <c r="G120" s="9">
        <v>514357.33</v>
      </c>
      <c r="H120" s="9">
        <f>SUM(B120:G120)</f>
        <v>5348805.3099999996</v>
      </c>
    </row>
    <row r="121" spans="1:8" hidden="1" x14ac:dyDescent="0.2">
      <c r="A121" s="16" t="s">
        <v>122</v>
      </c>
      <c r="B121" s="17">
        <f t="shared" ref="B121:H121" si="26">SUM(B119:B120)</f>
        <v>254795.05</v>
      </c>
      <c r="C121" s="17">
        <f t="shared" si="26"/>
        <v>88000</v>
      </c>
      <c r="D121" s="17">
        <f t="shared" si="26"/>
        <v>330300</v>
      </c>
      <c r="E121" s="17">
        <f t="shared" si="26"/>
        <v>35000</v>
      </c>
      <c r="F121" s="17">
        <f t="shared" si="26"/>
        <v>4656652.93</v>
      </c>
      <c r="G121" s="17">
        <f t="shared" si="26"/>
        <v>539357.33000000007</v>
      </c>
      <c r="H121" s="17">
        <f t="shared" si="26"/>
        <v>5904105.3099999996</v>
      </c>
    </row>
    <row r="122" spans="1:8" x14ac:dyDescent="0.2">
      <c r="A122" s="14" t="s">
        <v>123</v>
      </c>
      <c r="B122" s="9">
        <v>-8.7311491370201111E-11</v>
      </c>
      <c r="C122" s="9">
        <v>5213.2312959998108</v>
      </c>
      <c r="D122" s="9">
        <v>-241530.97958946056</v>
      </c>
      <c r="E122" s="9">
        <v>189885.78999999794</v>
      </c>
      <c r="F122" s="9">
        <v>3.166496753692627E-8</v>
      </c>
      <c r="G122" s="9">
        <v>5.8207660913467407E-11</v>
      </c>
      <c r="H122" s="9">
        <f>SUM(B122:G122)</f>
        <v>-46431.958293431177</v>
      </c>
    </row>
    <row r="123" spans="1:8" x14ac:dyDescent="0.2">
      <c r="A123" s="14" t="s">
        <v>124</v>
      </c>
      <c r="B123" s="9">
        <v>15077.470000000008</v>
      </c>
      <c r="C123" s="9">
        <v>-5903.9738319900544</v>
      </c>
      <c r="D123" s="9">
        <v>267655.12742478511</v>
      </c>
      <c r="E123" s="9">
        <v>19354.82999999994</v>
      </c>
      <c r="F123" s="9">
        <v>553988.22000000381</v>
      </c>
      <c r="G123" s="9">
        <v>4212.730000000005</v>
      </c>
      <c r="H123" s="9">
        <f>SUM(B123:G123)</f>
        <v>854384.40359279886</v>
      </c>
    </row>
    <row r="124" spans="1:8" x14ac:dyDescent="0.2">
      <c r="A124" s="14" t="s">
        <v>125</v>
      </c>
      <c r="B124" s="9">
        <v>0</v>
      </c>
      <c r="C124" s="9">
        <v>10618.011864</v>
      </c>
      <c r="D124" s="9">
        <v>-24819.413520999999</v>
      </c>
      <c r="E124" s="9">
        <v>0</v>
      </c>
      <c r="F124" s="9">
        <v>0</v>
      </c>
      <c r="G124" s="9">
        <v>0</v>
      </c>
      <c r="H124" s="9">
        <f>SUM(B124:G124)</f>
        <v>-14201.401656999999</v>
      </c>
    </row>
    <row r="125" spans="1:8" x14ac:dyDescent="0.2">
      <c r="A125" s="13" t="s">
        <v>126</v>
      </c>
      <c r="B125" s="11">
        <f t="shared" ref="B125:H125" si="27">B121+B122+B123+B124</f>
        <v>269872.5199999999</v>
      </c>
      <c r="C125" s="11">
        <f t="shared" si="27"/>
        <v>97927.269328009759</v>
      </c>
      <c r="D125" s="11">
        <f t="shared" si="27"/>
        <v>331604.73431432451</v>
      </c>
      <c r="E125" s="11">
        <f t="shared" si="27"/>
        <v>244240.61999999787</v>
      </c>
      <c r="F125" s="11">
        <f t="shared" si="27"/>
        <v>5210641.1500000348</v>
      </c>
      <c r="G125" s="11">
        <f t="shared" si="27"/>
        <v>543570.06000000006</v>
      </c>
      <c r="H125" s="11">
        <f t="shared" si="27"/>
        <v>6697856.3536423668</v>
      </c>
    </row>
    <row r="126" spans="1:8" x14ac:dyDescent="0.2">
      <c r="A126" s="5"/>
      <c r="B126" s="4"/>
      <c r="C126" s="4"/>
      <c r="D126" s="4"/>
      <c r="E126" s="4"/>
      <c r="F126" s="4"/>
      <c r="G126" s="4"/>
      <c r="H126" s="4"/>
    </row>
    <row r="127" spans="1:8" x14ac:dyDescent="0.2">
      <c r="A127" s="5" t="s">
        <v>127</v>
      </c>
      <c r="B127" s="4"/>
      <c r="C127" s="4"/>
      <c r="D127" s="4"/>
      <c r="E127" s="4"/>
      <c r="F127" s="4"/>
      <c r="G127" s="4"/>
      <c r="H127" s="4"/>
    </row>
    <row r="128" spans="1:8" x14ac:dyDescent="0.2">
      <c r="A128" s="6" t="s">
        <v>128</v>
      </c>
      <c r="B128" s="4"/>
      <c r="C128" s="4"/>
      <c r="D128" s="4"/>
      <c r="E128" s="4"/>
      <c r="F128" s="4"/>
      <c r="G128" s="4"/>
      <c r="H128" s="4"/>
    </row>
    <row r="129" spans="1:8" x14ac:dyDescent="0.2">
      <c r="A129" s="18" t="s">
        <v>129</v>
      </c>
      <c r="B129" s="9">
        <v>1988.67</v>
      </c>
      <c r="C129" s="9">
        <v>0</v>
      </c>
      <c r="D129" s="9">
        <v>0</v>
      </c>
      <c r="E129" s="9">
        <v>0</v>
      </c>
      <c r="F129" s="9">
        <v>27366.880000000001</v>
      </c>
      <c r="G129" s="9">
        <v>0</v>
      </c>
      <c r="H129" s="9">
        <f>SUM(B129:G129)</f>
        <v>29355.550000000003</v>
      </c>
    </row>
    <row r="130" spans="1:8" x14ac:dyDescent="0.2">
      <c r="A130" s="18" t="s">
        <v>130</v>
      </c>
      <c r="B130" s="9">
        <v>1676</v>
      </c>
      <c r="C130" s="9">
        <v>0</v>
      </c>
      <c r="D130" s="9">
        <v>0</v>
      </c>
      <c r="E130" s="9">
        <v>0</v>
      </c>
      <c r="F130" s="9">
        <v>30497</v>
      </c>
      <c r="G130" s="9">
        <v>0</v>
      </c>
      <c r="H130" s="9">
        <f>SUM(B130:G130)</f>
        <v>32173</v>
      </c>
    </row>
    <row r="131" spans="1:8" x14ac:dyDescent="0.2">
      <c r="A131" s="12" t="s">
        <v>131</v>
      </c>
      <c r="B131" s="11">
        <f t="shared" ref="B131:H131" si="28">SUM(B129:B130)</f>
        <v>3664.67</v>
      </c>
      <c r="C131" s="11">
        <f t="shared" si="28"/>
        <v>0</v>
      </c>
      <c r="D131" s="11">
        <f t="shared" si="28"/>
        <v>0</v>
      </c>
      <c r="E131" s="11">
        <f t="shared" si="28"/>
        <v>0</v>
      </c>
      <c r="F131" s="11">
        <f t="shared" si="28"/>
        <v>57863.880000000005</v>
      </c>
      <c r="G131" s="11">
        <f t="shared" si="28"/>
        <v>0</v>
      </c>
      <c r="H131" s="11">
        <f t="shared" si="28"/>
        <v>61528.55</v>
      </c>
    </row>
    <row r="132" spans="1:8" x14ac:dyDescent="0.2">
      <c r="A132" s="6" t="s">
        <v>132</v>
      </c>
      <c r="B132" s="4"/>
      <c r="C132" s="4"/>
      <c r="D132" s="4"/>
      <c r="E132" s="4"/>
      <c r="F132" s="4"/>
      <c r="G132" s="4"/>
      <c r="H132" s="4"/>
    </row>
    <row r="133" spans="1:8" x14ac:dyDescent="0.2">
      <c r="A133" s="18" t="s">
        <v>133</v>
      </c>
      <c r="B133" s="9">
        <v>0</v>
      </c>
      <c r="C133" s="9">
        <v>0</v>
      </c>
      <c r="D133" s="9">
        <v>0</v>
      </c>
      <c r="E133" s="9">
        <v>0</v>
      </c>
      <c r="F133" s="9">
        <v>121402</v>
      </c>
      <c r="G133" s="9">
        <v>0</v>
      </c>
      <c r="H133" s="9">
        <f t="shared" ref="H133:H139" si="29">SUM(B133:G133)</f>
        <v>121402</v>
      </c>
    </row>
    <row r="134" spans="1:8" x14ac:dyDescent="0.2">
      <c r="A134" s="18" t="s">
        <v>134</v>
      </c>
      <c r="B134" s="9">
        <v>0</v>
      </c>
      <c r="C134" s="9">
        <v>0</v>
      </c>
      <c r="D134" s="9">
        <v>0</v>
      </c>
      <c r="E134" s="9">
        <v>23600</v>
      </c>
      <c r="F134" s="9">
        <v>155078.19</v>
      </c>
      <c r="G134" s="9">
        <v>0</v>
      </c>
      <c r="H134" s="9">
        <f t="shared" si="29"/>
        <v>178678.19</v>
      </c>
    </row>
    <row r="135" spans="1:8" x14ac:dyDescent="0.2">
      <c r="A135" s="18" t="s">
        <v>135</v>
      </c>
      <c r="B135" s="9">
        <v>720</v>
      </c>
      <c r="C135" s="9">
        <v>0</v>
      </c>
      <c r="D135" s="9">
        <v>0</v>
      </c>
      <c r="E135" s="9">
        <v>4500</v>
      </c>
      <c r="F135" s="9">
        <v>13900</v>
      </c>
      <c r="G135" s="9">
        <v>880</v>
      </c>
      <c r="H135" s="9">
        <f t="shared" si="29"/>
        <v>20000</v>
      </c>
    </row>
    <row r="136" spans="1:8" x14ac:dyDescent="0.2">
      <c r="A136" s="18" t="s">
        <v>136</v>
      </c>
      <c r="B136" s="9">
        <v>48</v>
      </c>
      <c r="C136" s="9">
        <v>0</v>
      </c>
      <c r="D136" s="9">
        <v>0</v>
      </c>
      <c r="E136" s="9">
        <v>0</v>
      </c>
      <c r="F136" s="9">
        <v>651803.68999999994</v>
      </c>
      <c r="G136" s="9">
        <v>0</v>
      </c>
      <c r="H136" s="9">
        <f t="shared" si="29"/>
        <v>651851.68999999994</v>
      </c>
    </row>
    <row r="137" spans="1:8" x14ac:dyDescent="0.2">
      <c r="A137" s="18" t="s">
        <v>137</v>
      </c>
      <c r="B137" s="9">
        <v>100</v>
      </c>
      <c r="C137" s="9">
        <v>0</v>
      </c>
      <c r="D137" s="9">
        <v>0</v>
      </c>
      <c r="E137" s="9">
        <v>0</v>
      </c>
      <c r="F137" s="9">
        <v>6850</v>
      </c>
      <c r="G137" s="9">
        <v>100</v>
      </c>
      <c r="H137" s="9">
        <f t="shared" si="29"/>
        <v>7050</v>
      </c>
    </row>
    <row r="138" spans="1:8" x14ac:dyDescent="0.2">
      <c r="A138" s="18" t="s">
        <v>138</v>
      </c>
      <c r="B138" s="9">
        <v>0</v>
      </c>
      <c r="C138" s="9">
        <v>0</v>
      </c>
      <c r="D138" s="9">
        <v>0</v>
      </c>
      <c r="E138" s="9">
        <v>0</v>
      </c>
      <c r="F138" s="9">
        <v>49668</v>
      </c>
      <c r="G138" s="9">
        <v>0</v>
      </c>
      <c r="H138" s="9">
        <f t="shared" si="29"/>
        <v>49668</v>
      </c>
    </row>
    <row r="139" spans="1:8" x14ac:dyDescent="0.2">
      <c r="A139" s="18" t="s">
        <v>139</v>
      </c>
      <c r="B139" s="9">
        <v>0</v>
      </c>
      <c r="C139" s="9">
        <v>0</v>
      </c>
      <c r="D139" s="9">
        <v>0</v>
      </c>
      <c r="E139" s="9">
        <v>0</v>
      </c>
      <c r="F139" s="9">
        <v>114600.56</v>
      </c>
      <c r="G139" s="9">
        <v>0</v>
      </c>
      <c r="H139" s="9">
        <f t="shared" si="29"/>
        <v>114600.56</v>
      </c>
    </row>
    <row r="140" spans="1:8" x14ac:dyDescent="0.2">
      <c r="A140" s="12" t="s">
        <v>140</v>
      </c>
      <c r="B140" s="11">
        <f t="shared" ref="B140:H140" si="30">SUM(B133:B139)</f>
        <v>868</v>
      </c>
      <c r="C140" s="11">
        <f t="shared" si="30"/>
        <v>0</v>
      </c>
      <c r="D140" s="11">
        <f t="shared" si="30"/>
        <v>0</v>
      </c>
      <c r="E140" s="11">
        <f t="shared" si="30"/>
        <v>28100</v>
      </c>
      <c r="F140" s="11">
        <f t="shared" si="30"/>
        <v>1113302.44</v>
      </c>
      <c r="G140" s="11">
        <f t="shared" si="30"/>
        <v>980</v>
      </c>
      <c r="H140" s="11">
        <f t="shared" si="30"/>
        <v>1143250.44</v>
      </c>
    </row>
    <row r="141" spans="1:8" x14ac:dyDescent="0.2">
      <c r="A141" s="13" t="s">
        <v>141</v>
      </c>
      <c r="B141" s="11">
        <f t="shared" ref="B141:H141" si="31">0+B131+B140</f>
        <v>4532.67</v>
      </c>
      <c r="C141" s="11">
        <f t="shared" si="31"/>
        <v>0</v>
      </c>
      <c r="D141" s="11">
        <f t="shared" si="31"/>
        <v>0</v>
      </c>
      <c r="E141" s="11">
        <f t="shared" si="31"/>
        <v>28100</v>
      </c>
      <c r="F141" s="11">
        <f t="shared" si="31"/>
        <v>1171166.3199999998</v>
      </c>
      <c r="G141" s="11">
        <f t="shared" si="31"/>
        <v>980</v>
      </c>
      <c r="H141" s="11">
        <f t="shared" si="31"/>
        <v>1204778.99</v>
      </c>
    </row>
    <row r="142" spans="1:8" x14ac:dyDescent="0.2">
      <c r="A142" s="5" t="s">
        <v>142</v>
      </c>
      <c r="B142" s="4"/>
      <c r="C142" s="4"/>
      <c r="D142" s="4"/>
      <c r="E142" s="4"/>
      <c r="F142" s="4"/>
      <c r="G142" s="4"/>
      <c r="H142" s="4"/>
    </row>
    <row r="143" spans="1:8" x14ac:dyDescent="0.2">
      <c r="A143" s="6" t="s">
        <v>143</v>
      </c>
      <c r="B143" s="4"/>
      <c r="C143" s="4"/>
      <c r="D143" s="4"/>
      <c r="E143" s="4"/>
      <c r="F143" s="4"/>
      <c r="G143" s="4"/>
      <c r="H143" s="4"/>
    </row>
    <row r="144" spans="1:8" x14ac:dyDescent="0.2">
      <c r="A144" s="18" t="s">
        <v>144</v>
      </c>
      <c r="B144" s="9">
        <v>0</v>
      </c>
      <c r="C144" s="9">
        <v>0</v>
      </c>
      <c r="D144" s="9">
        <v>0</v>
      </c>
      <c r="E144" s="9">
        <v>0</v>
      </c>
      <c r="F144" s="9">
        <v>54258.37</v>
      </c>
      <c r="G144" s="9">
        <v>0</v>
      </c>
      <c r="H144" s="9">
        <f>SUM(B144:G144)</f>
        <v>54258.37</v>
      </c>
    </row>
    <row r="145" spans="1:8" x14ac:dyDescent="0.2">
      <c r="A145" s="12" t="s">
        <v>145</v>
      </c>
      <c r="B145" s="11">
        <f t="shared" ref="B145:H145" si="32">SUM(B144)</f>
        <v>0</v>
      </c>
      <c r="C145" s="11">
        <f t="shared" si="32"/>
        <v>0</v>
      </c>
      <c r="D145" s="11">
        <f t="shared" si="32"/>
        <v>0</v>
      </c>
      <c r="E145" s="11">
        <f t="shared" si="32"/>
        <v>0</v>
      </c>
      <c r="F145" s="11">
        <f t="shared" si="32"/>
        <v>54258.37</v>
      </c>
      <c r="G145" s="11">
        <f t="shared" si="32"/>
        <v>0</v>
      </c>
      <c r="H145" s="11">
        <f t="shared" si="32"/>
        <v>54258.37</v>
      </c>
    </row>
    <row r="146" spans="1:8" x14ac:dyDescent="0.2">
      <c r="A146" s="6" t="s">
        <v>146</v>
      </c>
      <c r="B146" s="4"/>
      <c r="C146" s="4"/>
      <c r="D146" s="4"/>
      <c r="E146" s="4"/>
      <c r="F146" s="4"/>
      <c r="G146" s="4"/>
      <c r="H146" s="4"/>
    </row>
    <row r="147" spans="1:8" x14ac:dyDescent="0.2">
      <c r="A147" s="18" t="s">
        <v>147</v>
      </c>
      <c r="B147" s="9">
        <v>0</v>
      </c>
      <c r="C147" s="9">
        <v>1712.7522958</v>
      </c>
      <c r="D147" s="9">
        <v>176.16987560250001</v>
      </c>
      <c r="E147" s="9">
        <v>3186.92</v>
      </c>
      <c r="F147" s="9">
        <v>0</v>
      </c>
      <c r="G147" s="9">
        <v>0</v>
      </c>
      <c r="H147" s="9">
        <f>SUM(B147:G147)</f>
        <v>5075.8421714024998</v>
      </c>
    </row>
    <row r="148" spans="1:8" x14ac:dyDescent="0.2">
      <c r="A148" s="18" t="s">
        <v>148</v>
      </c>
      <c r="B148" s="9">
        <v>2740</v>
      </c>
      <c r="C148" s="9">
        <v>0</v>
      </c>
      <c r="D148" s="9">
        <v>0</v>
      </c>
      <c r="E148" s="9">
        <v>0</v>
      </c>
      <c r="F148" s="9">
        <v>105573.07</v>
      </c>
      <c r="G148" s="9">
        <v>826.8</v>
      </c>
      <c r="H148" s="9">
        <f>SUM(B148:G148)</f>
        <v>109139.87000000001</v>
      </c>
    </row>
    <row r="149" spans="1:8" x14ac:dyDescent="0.2">
      <c r="A149" s="12" t="s">
        <v>149</v>
      </c>
      <c r="B149" s="11">
        <f t="shared" ref="B149:H149" si="33">SUM(B147:B148)</f>
        <v>2740</v>
      </c>
      <c r="C149" s="11">
        <f t="shared" si="33"/>
        <v>1712.7522958</v>
      </c>
      <c r="D149" s="11">
        <f t="shared" si="33"/>
        <v>176.16987560250001</v>
      </c>
      <c r="E149" s="11">
        <f t="shared" si="33"/>
        <v>3186.92</v>
      </c>
      <c r="F149" s="11">
        <f t="shared" si="33"/>
        <v>105573.07</v>
      </c>
      <c r="G149" s="11">
        <f t="shared" si="33"/>
        <v>826.8</v>
      </c>
      <c r="H149" s="11">
        <f t="shared" si="33"/>
        <v>114215.71217140251</v>
      </c>
    </row>
    <row r="150" spans="1:8" x14ac:dyDescent="0.2">
      <c r="A150" s="6" t="s">
        <v>150</v>
      </c>
      <c r="B150" s="4"/>
      <c r="C150" s="4"/>
      <c r="D150" s="4"/>
      <c r="E150" s="4"/>
      <c r="F150" s="4"/>
      <c r="G150" s="4"/>
      <c r="H150" s="4"/>
    </row>
    <row r="151" spans="1:8" x14ac:dyDescent="0.2">
      <c r="A151" s="18" t="s">
        <v>151</v>
      </c>
      <c r="B151" s="9">
        <v>0</v>
      </c>
      <c r="C151" s="9">
        <v>0</v>
      </c>
      <c r="D151" s="9">
        <v>0</v>
      </c>
      <c r="E151" s="9">
        <v>0</v>
      </c>
      <c r="F151" s="9">
        <v>55.83</v>
      </c>
      <c r="G151" s="9">
        <v>0</v>
      </c>
      <c r="H151" s="9">
        <f t="shared" ref="H151:H163" si="34">SUM(B151:G151)</f>
        <v>55.83</v>
      </c>
    </row>
    <row r="152" spans="1:8" x14ac:dyDescent="0.2">
      <c r="A152" s="18" t="s">
        <v>152</v>
      </c>
      <c r="B152" s="9">
        <v>0</v>
      </c>
      <c r="C152" s="9">
        <v>12580.62743984</v>
      </c>
      <c r="D152" s="9">
        <v>0</v>
      </c>
      <c r="E152" s="9">
        <v>0</v>
      </c>
      <c r="F152" s="9">
        <v>0</v>
      </c>
      <c r="G152" s="9">
        <v>0</v>
      </c>
      <c r="H152" s="9">
        <f t="shared" si="34"/>
        <v>12580.62743984</v>
      </c>
    </row>
    <row r="153" spans="1:8" x14ac:dyDescent="0.2">
      <c r="A153" s="18" t="s">
        <v>153</v>
      </c>
      <c r="B153" s="9">
        <v>0</v>
      </c>
      <c r="C153" s="9">
        <v>0</v>
      </c>
      <c r="D153" s="9">
        <v>0</v>
      </c>
      <c r="E153" s="9">
        <v>348.57</v>
      </c>
      <c r="F153" s="9">
        <v>3854.63</v>
      </c>
      <c r="G153" s="9">
        <v>0</v>
      </c>
      <c r="H153" s="9">
        <f t="shared" si="34"/>
        <v>4203.2</v>
      </c>
    </row>
    <row r="154" spans="1:8" x14ac:dyDescent="0.2">
      <c r="A154" s="18" t="s">
        <v>154</v>
      </c>
      <c r="B154" s="9">
        <v>0</v>
      </c>
      <c r="C154" s="9">
        <v>0</v>
      </c>
      <c r="D154" s="9">
        <v>0</v>
      </c>
      <c r="E154" s="9">
        <v>0</v>
      </c>
      <c r="F154" s="9">
        <v>-217.85</v>
      </c>
      <c r="G154" s="9">
        <v>0</v>
      </c>
      <c r="H154" s="9">
        <f t="shared" si="34"/>
        <v>-217.85</v>
      </c>
    </row>
    <row r="155" spans="1:8" x14ac:dyDescent="0.2">
      <c r="A155" s="18" t="s">
        <v>155</v>
      </c>
      <c r="B155" s="9">
        <v>0</v>
      </c>
      <c r="C155" s="9">
        <v>0</v>
      </c>
      <c r="D155" s="9">
        <v>0</v>
      </c>
      <c r="E155" s="9">
        <v>0</v>
      </c>
      <c r="F155" s="9">
        <v>92.77</v>
      </c>
      <c r="G155" s="9">
        <v>0</v>
      </c>
      <c r="H155" s="9">
        <f t="shared" si="34"/>
        <v>92.77</v>
      </c>
    </row>
    <row r="156" spans="1:8" x14ac:dyDescent="0.2">
      <c r="A156" s="18" t="s">
        <v>156</v>
      </c>
      <c r="B156" s="9">
        <v>0</v>
      </c>
      <c r="C156" s="9">
        <v>-937.10518560000003</v>
      </c>
      <c r="D156" s="9">
        <v>0</v>
      </c>
      <c r="E156" s="9">
        <v>0</v>
      </c>
      <c r="F156" s="9">
        <v>0</v>
      </c>
      <c r="G156" s="9">
        <v>0</v>
      </c>
      <c r="H156" s="9">
        <f t="shared" si="34"/>
        <v>-937.10518560000003</v>
      </c>
    </row>
    <row r="157" spans="1:8" x14ac:dyDescent="0.2">
      <c r="A157" s="18" t="s">
        <v>157</v>
      </c>
      <c r="B157" s="9">
        <v>0</v>
      </c>
      <c r="C157" s="9">
        <v>-719.56982240000002</v>
      </c>
      <c r="D157" s="9">
        <v>0</v>
      </c>
      <c r="E157" s="9">
        <v>0</v>
      </c>
      <c r="F157" s="9">
        <v>0</v>
      </c>
      <c r="G157" s="9">
        <v>0</v>
      </c>
      <c r="H157" s="9">
        <f t="shared" si="34"/>
        <v>-719.56982240000002</v>
      </c>
    </row>
    <row r="158" spans="1:8" x14ac:dyDescent="0.2">
      <c r="A158" s="18" t="s">
        <v>158</v>
      </c>
      <c r="B158" s="9">
        <v>0</v>
      </c>
      <c r="C158" s="9">
        <v>0</v>
      </c>
      <c r="D158" s="9">
        <v>0</v>
      </c>
      <c r="E158" s="9">
        <v>1201.6600000000001</v>
      </c>
      <c r="F158" s="9">
        <v>0</v>
      </c>
      <c r="G158" s="9">
        <v>0</v>
      </c>
      <c r="H158" s="9">
        <f t="shared" si="34"/>
        <v>1201.6600000000001</v>
      </c>
    </row>
    <row r="159" spans="1:8" x14ac:dyDescent="0.2">
      <c r="A159" s="18" t="s">
        <v>159</v>
      </c>
      <c r="B159" s="9">
        <v>0</v>
      </c>
      <c r="C159" s="9">
        <v>0</v>
      </c>
      <c r="D159" s="9">
        <v>0</v>
      </c>
      <c r="E159" s="9">
        <v>1008.24</v>
      </c>
      <c r="F159" s="9">
        <v>0</v>
      </c>
      <c r="G159" s="9">
        <v>0</v>
      </c>
      <c r="H159" s="9">
        <f t="shared" si="34"/>
        <v>1008.24</v>
      </c>
    </row>
    <row r="160" spans="1:8" x14ac:dyDescent="0.2">
      <c r="A160" s="18" t="s">
        <v>160</v>
      </c>
      <c r="B160" s="9">
        <v>0</v>
      </c>
      <c r="C160" s="9">
        <v>0</v>
      </c>
      <c r="D160" s="9">
        <v>0</v>
      </c>
      <c r="E160" s="9">
        <v>10011.459999999999</v>
      </c>
      <c r="F160" s="9">
        <v>4490.17</v>
      </c>
      <c r="G160" s="9">
        <v>0</v>
      </c>
      <c r="H160" s="9">
        <f t="shared" si="34"/>
        <v>14501.63</v>
      </c>
    </row>
    <row r="161" spans="1:8" x14ac:dyDescent="0.2">
      <c r="A161" s="18" t="s">
        <v>161</v>
      </c>
      <c r="B161" s="9">
        <v>0</v>
      </c>
      <c r="C161" s="9">
        <v>0</v>
      </c>
      <c r="D161" s="9">
        <v>0</v>
      </c>
      <c r="E161" s="9">
        <v>33191.85</v>
      </c>
      <c r="F161" s="9">
        <v>0</v>
      </c>
      <c r="G161" s="9">
        <v>0</v>
      </c>
      <c r="H161" s="9">
        <f t="shared" si="34"/>
        <v>33191.85</v>
      </c>
    </row>
    <row r="162" spans="1:8" x14ac:dyDescent="0.2">
      <c r="A162" s="18" t="s">
        <v>162</v>
      </c>
      <c r="B162" s="9">
        <v>530.29999999999995</v>
      </c>
      <c r="C162" s="9">
        <v>0</v>
      </c>
      <c r="D162" s="9">
        <v>0</v>
      </c>
      <c r="E162" s="9">
        <v>0</v>
      </c>
      <c r="F162" s="9">
        <v>129060.68</v>
      </c>
      <c r="G162" s="9">
        <v>0</v>
      </c>
      <c r="H162" s="9">
        <f t="shared" si="34"/>
        <v>129590.98</v>
      </c>
    </row>
    <row r="163" spans="1:8" x14ac:dyDescent="0.2">
      <c r="A163" s="18" t="s">
        <v>163</v>
      </c>
      <c r="B163" s="9">
        <v>632.34</v>
      </c>
      <c r="C163" s="9">
        <v>0</v>
      </c>
      <c r="D163" s="9">
        <v>0</v>
      </c>
      <c r="E163" s="9">
        <v>6101.31</v>
      </c>
      <c r="F163" s="9">
        <v>221852.33</v>
      </c>
      <c r="G163" s="9">
        <v>0</v>
      </c>
      <c r="H163" s="9">
        <f t="shared" si="34"/>
        <v>228585.97999999998</v>
      </c>
    </row>
    <row r="164" spans="1:8" x14ac:dyDescent="0.2">
      <c r="A164" s="12" t="s">
        <v>164</v>
      </c>
      <c r="B164" s="11">
        <f t="shared" ref="B164:H164" si="35">SUM(B151:B163)</f>
        <v>1162.6399999999999</v>
      </c>
      <c r="C164" s="11">
        <f t="shared" si="35"/>
        <v>10923.95243184</v>
      </c>
      <c r="D164" s="11">
        <f t="shared" si="35"/>
        <v>0</v>
      </c>
      <c r="E164" s="11">
        <f t="shared" si="35"/>
        <v>51863.09</v>
      </c>
      <c r="F164" s="11">
        <f t="shared" si="35"/>
        <v>359188.55999999994</v>
      </c>
      <c r="G164" s="11">
        <f t="shared" si="35"/>
        <v>0</v>
      </c>
      <c r="H164" s="11">
        <f t="shared" si="35"/>
        <v>423138.24243183999</v>
      </c>
    </row>
    <row r="165" spans="1:8" x14ac:dyDescent="0.2">
      <c r="A165" s="13" t="s">
        <v>165</v>
      </c>
      <c r="B165" s="11">
        <f t="shared" ref="B165:H165" si="36">0+0+B145+B149+0+0+0+B164</f>
        <v>3902.64</v>
      </c>
      <c r="C165" s="11">
        <f t="shared" si="36"/>
        <v>12636.704727640001</v>
      </c>
      <c r="D165" s="11">
        <f t="shared" si="36"/>
        <v>176.16987560250001</v>
      </c>
      <c r="E165" s="11">
        <f t="shared" si="36"/>
        <v>55050.009999999995</v>
      </c>
      <c r="F165" s="11">
        <f t="shared" si="36"/>
        <v>519019.99999999994</v>
      </c>
      <c r="G165" s="11">
        <f t="shared" si="36"/>
        <v>826.8</v>
      </c>
      <c r="H165" s="11">
        <f t="shared" si="36"/>
        <v>591612.32460324257</v>
      </c>
    </row>
    <row r="166" spans="1:8" x14ac:dyDescent="0.2">
      <c r="A166" s="5"/>
      <c r="B166" s="4"/>
      <c r="C166" s="4"/>
      <c r="D166" s="4"/>
      <c r="E166" s="4"/>
      <c r="F166" s="4"/>
      <c r="G166" s="4"/>
      <c r="H166" s="4"/>
    </row>
    <row r="167" spans="1:8" x14ac:dyDescent="0.2">
      <c r="A167" s="5" t="s">
        <v>166</v>
      </c>
      <c r="B167" s="4"/>
      <c r="C167" s="4"/>
      <c r="D167" s="4"/>
      <c r="E167" s="4"/>
      <c r="F167" s="4"/>
      <c r="G167" s="4"/>
      <c r="H167" s="4"/>
    </row>
    <row r="168" spans="1:8" x14ac:dyDescent="0.2">
      <c r="A168" s="14" t="s">
        <v>167</v>
      </c>
      <c r="B168" s="9">
        <v>0</v>
      </c>
      <c r="C168" s="9">
        <v>16962.329622360001</v>
      </c>
      <c r="D168" s="9">
        <v>0</v>
      </c>
      <c r="E168" s="9">
        <v>0</v>
      </c>
      <c r="F168" s="9">
        <v>0</v>
      </c>
      <c r="G168" s="9">
        <v>0</v>
      </c>
      <c r="H168" s="9">
        <f>SUM(B168:G168)</f>
        <v>16962.329622360001</v>
      </c>
    </row>
    <row r="169" spans="1:8" x14ac:dyDescent="0.2">
      <c r="A169" s="14" t="s">
        <v>168</v>
      </c>
      <c r="B169" s="9">
        <v>6729.17</v>
      </c>
      <c r="C169" s="9">
        <v>0</v>
      </c>
      <c r="D169" s="9">
        <v>0</v>
      </c>
      <c r="E169" s="9">
        <v>0</v>
      </c>
      <c r="F169" s="9">
        <v>50129.03</v>
      </c>
      <c r="G169" s="9">
        <v>0</v>
      </c>
      <c r="H169" s="9">
        <f>SUM(B169:G169)</f>
        <v>56858.2</v>
      </c>
    </row>
    <row r="170" spans="1:8" x14ac:dyDescent="0.2">
      <c r="A170" s="13" t="s">
        <v>169</v>
      </c>
      <c r="B170" s="11">
        <f t="shared" ref="B170:H170" si="37">SUM(B168:B169)</f>
        <v>6729.17</v>
      </c>
      <c r="C170" s="11">
        <f t="shared" si="37"/>
        <v>16962.329622360001</v>
      </c>
      <c r="D170" s="11">
        <f t="shared" si="37"/>
        <v>0</v>
      </c>
      <c r="E170" s="11">
        <f t="shared" si="37"/>
        <v>0</v>
      </c>
      <c r="F170" s="11">
        <f t="shared" si="37"/>
        <v>50129.03</v>
      </c>
      <c r="G170" s="11">
        <f t="shared" si="37"/>
        <v>0</v>
      </c>
      <c r="H170" s="11">
        <f t="shared" si="37"/>
        <v>73820.529622360002</v>
      </c>
    </row>
    <row r="171" spans="1:8" x14ac:dyDescent="0.2">
      <c r="A171" s="5"/>
      <c r="B171" s="4"/>
      <c r="C171" s="4"/>
      <c r="D171" s="4"/>
      <c r="E171" s="4"/>
      <c r="F171" s="4"/>
      <c r="G171" s="4"/>
      <c r="H171" s="4"/>
    </row>
    <row r="172" spans="1:8" x14ac:dyDescent="0.2">
      <c r="A172" s="15" t="s">
        <v>170</v>
      </c>
      <c r="B172" s="11">
        <f t="shared" ref="B172:H172" si="38">B125+B126+B141+B165+B166+B170+B171</f>
        <v>285036.99999999988</v>
      </c>
      <c r="C172" s="11">
        <f t="shared" si="38"/>
        <v>127526.30367800976</v>
      </c>
      <c r="D172" s="11">
        <f t="shared" si="38"/>
        <v>331780.90418992704</v>
      </c>
      <c r="E172" s="11">
        <f t="shared" si="38"/>
        <v>327390.62999999791</v>
      </c>
      <c r="F172" s="11">
        <f t="shared" si="38"/>
        <v>6950956.5000000345</v>
      </c>
      <c r="G172" s="11">
        <f t="shared" si="38"/>
        <v>545376.8600000001</v>
      </c>
      <c r="H172" s="11">
        <f t="shared" si="38"/>
        <v>8568068.1978679691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PGBalanceSheetConsolidate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2023-08-08T20:54:16Z</dcterms:created>
  <dcterms:modified xsi:type="dcterms:W3CDTF">2023-08-08T21:01:35Z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