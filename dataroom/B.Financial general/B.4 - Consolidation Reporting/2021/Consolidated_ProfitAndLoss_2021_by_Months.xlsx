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1\"/>
    </mc:Choice>
  </mc:AlternateContent>
  <xr:revisionPtr revIDLastSave="0" documentId="13_ncr:40009_{C72E0BE3-9DE5-45CB-9DC2-1ACDDBD5A9E0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3" i="1" l="1"/>
  <c r="M193" i="1"/>
  <c r="L193" i="1"/>
  <c r="K193" i="1"/>
  <c r="J193" i="1"/>
  <c r="I193" i="1"/>
  <c r="H193" i="1"/>
  <c r="G193" i="1"/>
  <c r="F193" i="1"/>
  <c r="E193" i="1"/>
  <c r="D193" i="1"/>
  <c r="C193" i="1"/>
  <c r="B193" i="1"/>
  <c r="O192" i="1"/>
  <c r="O191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O188" i="1"/>
  <c r="O187" i="1"/>
  <c r="O186" i="1"/>
  <c r="O185" i="1"/>
  <c r="O184" i="1"/>
  <c r="O183" i="1"/>
  <c r="O182" i="1"/>
  <c r="O181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O177" i="1"/>
  <c r="O176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O173" i="1"/>
  <c r="O172" i="1"/>
  <c r="O174" i="1" s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O169" i="1"/>
  <c r="O168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O165" i="1"/>
  <c r="O166" i="1" s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N86" i="1"/>
  <c r="N87" i="1" s="1"/>
  <c r="M86" i="1"/>
  <c r="M87" i="1" s="1"/>
  <c r="L86" i="1"/>
  <c r="L87" i="1" s="1"/>
  <c r="K86" i="1"/>
  <c r="K87" i="1" s="1"/>
  <c r="J86" i="1"/>
  <c r="J87" i="1" s="1"/>
  <c r="I86" i="1"/>
  <c r="I87" i="1" s="1"/>
  <c r="H86" i="1"/>
  <c r="H87" i="1" s="1"/>
  <c r="G86" i="1"/>
  <c r="G87" i="1" s="1"/>
  <c r="F86" i="1"/>
  <c r="F87" i="1" s="1"/>
  <c r="E86" i="1"/>
  <c r="E87" i="1" s="1"/>
  <c r="D86" i="1"/>
  <c r="D87" i="1" s="1"/>
  <c r="C86" i="1"/>
  <c r="C87" i="1" s="1"/>
  <c r="B86" i="1"/>
  <c r="B87" i="1" s="1"/>
  <c r="O85" i="1"/>
  <c r="O84" i="1"/>
  <c r="O83" i="1"/>
  <c r="O82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O77" i="1"/>
  <c r="O76" i="1"/>
  <c r="O75" i="1"/>
  <c r="O74" i="1"/>
  <c r="O73" i="1"/>
  <c r="O72" i="1"/>
  <c r="O71" i="1"/>
  <c r="O70" i="1"/>
  <c r="O69" i="1"/>
  <c r="O68" i="1"/>
  <c r="O67" i="1"/>
  <c r="N65" i="1"/>
  <c r="N79" i="1" s="1"/>
  <c r="M65" i="1"/>
  <c r="M79" i="1" s="1"/>
  <c r="L65" i="1"/>
  <c r="L79" i="1" s="1"/>
  <c r="K65" i="1"/>
  <c r="J65" i="1"/>
  <c r="J79" i="1" s="1"/>
  <c r="I65" i="1"/>
  <c r="I79" i="1" s="1"/>
  <c r="H65" i="1"/>
  <c r="H79" i="1" s="1"/>
  <c r="G65" i="1"/>
  <c r="G79" i="1" s="1"/>
  <c r="F65" i="1"/>
  <c r="F79" i="1" s="1"/>
  <c r="E65" i="1"/>
  <c r="E79" i="1" s="1"/>
  <c r="D65" i="1"/>
  <c r="D79" i="1" s="1"/>
  <c r="C65" i="1"/>
  <c r="C79" i="1" s="1"/>
  <c r="C161" i="1" s="1"/>
  <c r="B65" i="1"/>
  <c r="B79" i="1" s="1"/>
  <c r="O64" i="1"/>
  <c r="O63" i="1"/>
  <c r="O62" i="1"/>
  <c r="O61" i="1"/>
  <c r="O60" i="1"/>
  <c r="O59" i="1"/>
  <c r="O58" i="1"/>
  <c r="O57" i="1"/>
  <c r="N51" i="1"/>
  <c r="M51" i="1"/>
  <c r="L51" i="1"/>
  <c r="K51" i="1"/>
  <c r="J51" i="1"/>
  <c r="I51" i="1"/>
  <c r="H51" i="1"/>
  <c r="G51" i="1"/>
  <c r="G52" i="1" s="1"/>
  <c r="F51" i="1"/>
  <c r="E51" i="1"/>
  <c r="D51" i="1"/>
  <c r="C51" i="1"/>
  <c r="B51" i="1"/>
  <c r="O50" i="1"/>
  <c r="O49" i="1"/>
  <c r="O48" i="1"/>
  <c r="O47" i="1"/>
  <c r="O46" i="1"/>
  <c r="N44" i="1"/>
  <c r="M44" i="1"/>
  <c r="M52" i="1" s="1"/>
  <c r="L44" i="1"/>
  <c r="K44" i="1"/>
  <c r="J44" i="1"/>
  <c r="I44" i="1"/>
  <c r="H44" i="1"/>
  <c r="G44" i="1"/>
  <c r="F44" i="1"/>
  <c r="E44" i="1"/>
  <c r="E52" i="1" s="1"/>
  <c r="D44" i="1"/>
  <c r="C44" i="1"/>
  <c r="B44" i="1"/>
  <c r="O43" i="1"/>
  <c r="O42" i="1"/>
  <c r="O41" i="1"/>
  <c r="O40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O35" i="1"/>
  <c r="O34" i="1"/>
  <c r="O33" i="1"/>
  <c r="O32" i="1"/>
  <c r="O31" i="1"/>
  <c r="O30" i="1"/>
  <c r="O29" i="1"/>
  <c r="O28" i="1"/>
  <c r="O27" i="1"/>
  <c r="O26" i="1"/>
  <c r="O25" i="1"/>
  <c r="O24" i="1"/>
  <c r="N22" i="1"/>
  <c r="M22" i="1"/>
  <c r="M37" i="1" s="1"/>
  <c r="L22" i="1"/>
  <c r="K22" i="1"/>
  <c r="K37" i="1" s="1"/>
  <c r="J22" i="1"/>
  <c r="J37" i="1" s="1"/>
  <c r="I22" i="1"/>
  <c r="H22" i="1"/>
  <c r="H37" i="1" s="1"/>
  <c r="G22" i="1"/>
  <c r="F22" i="1"/>
  <c r="E22" i="1"/>
  <c r="E37" i="1" s="1"/>
  <c r="D22" i="1"/>
  <c r="C22" i="1"/>
  <c r="C37" i="1" s="1"/>
  <c r="B22" i="1"/>
  <c r="B37" i="1" s="1"/>
  <c r="O21" i="1"/>
  <c r="O20" i="1"/>
  <c r="O19" i="1"/>
  <c r="O18" i="1"/>
  <c r="O17" i="1"/>
  <c r="O16" i="1"/>
  <c r="O15" i="1"/>
  <c r="O14" i="1"/>
  <c r="O13" i="1"/>
  <c r="O12" i="1"/>
  <c r="O11" i="1"/>
  <c r="K79" i="1" l="1"/>
  <c r="K161" i="1" s="1"/>
  <c r="E53" i="1"/>
  <c r="M53" i="1"/>
  <c r="C52" i="1"/>
  <c r="K52" i="1"/>
  <c r="K53" i="1" s="1"/>
  <c r="K162" i="1" s="1"/>
  <c r="K194" i="1" s="1"/>
  <c r="C179" i="1"/>
  <c r="K179" i="1"/>
  <c r="O44" i="1"/>
  <c r="O52" i="1" s="1"/>
  <c r="F52" i="1"/>
  <c r="N52" i="1"/>
  <c r="I37" i="1"/>
  <c r="B179" i="1"/>
  <c r="O193" i="1"/>
  <c r="I161" i="1"/>
  <c r="B161" i="1"/>
  <c r="J161" i="1"/>
  <c r="E179" i="1"/>
  <c r="M179" i="1"/>
  <c r="F179" i="1"/>
  <c r="N179" i="1"/>
  <c r="F37" i="1"/>
  <c r="F53" i="1" s="1"/>
  <c r="N37" i="1"/>
  <c r="N53" i="1" s="1"/>
  <c r="D52" i="1"/>
  <c r="L52" i="1"/>
  <c r="D161" i="1"/>
  <c r="O170" i="1"/>
  <c r="J179" i="1"/>
  <c r="G37" i="1"/>
  <c r="G53" i="1" s="1"/>
  <c r="L161" i="1"/>
  <c r="O36" i="1"/>
  <c r="O160" i="1"/>
  <c r="O51" i="1"/>
  <c r="O189" i="1"/>
  <c r="O22" i="1"/>
  <c r="O86" i="1"/>
  <c r="O87" i="1" s="1"/>
  <c r="H179" i="1"/>
  <c r="B53" i="1"/>
  <c r="B162" i="1" s="1"/>
  <c r="B194" i="1" s="1"/>
  <c r="H52" i="1"/>
  <c r="H53" i="1" s="1"/>
  <c r="H162" i="1" s="1"/>
  <c r="H194" i="1" s="1"/>
  <c r="O65" i="1"/>
  <c r="C53" i="1"/>
  <c r="C162" i="1" s="1"/>
  <c r="C194" i="1" s="1"/>
  <c r="I52" i="1"/>
  <c r="I53" i="1" s="1"/>
  <c r="O78" i="1"/>
  <c r="D179" i="1"/>
  <c r="L179" i="1"/>
  <c r="G179" i="1"/>
  <c r="I179" i="1"/>
  <c r="D37" i="1"/>
  <c r="L37" i="1"/>
  <c r="B52" i="1"/>
  <c r="J52" i="1"/>
  <c r="J53" i="1" s="1"/>
  <c r="H161" i="1"/>
  <c r="O178" i="1"/>
  <c r="O179" i="1" s="1"/>
  <c r="E161" i="1"/>
  <c r="E162" i="1" s="1"/>
  <c r="E194" i="1" s="1"/>
  <c r="M161" i="1"/>
  <c r="M162" i="1" s="1"/>
  <c r="M194" i="1" s="1"/>
  <c r="F161" i="1"/>
  <c r="N161" i="1"/>
  <c r="G161" i="1"/>
  <c r="G162" i="1" s="1"/>
  <c r="J162" i="1" l="1"/>
  <c r="J194" i="1" s="1"/>
  <c r="N162" i="1"/>
  <c r="N194" i="1" s="1"/>
  <c r="F162" i="1"/>
  <c r="F194" i="1" s="1"/>
  <c r="L53" i="1"/>
  <c r="L162" i="1"/>
  <c r="L194" i="1" s="1"/>
  <c r="I162" i="1"/>
  <c r="I194" i="1" s="1"/>
  <c r="D53" i="1"/>
  <c r="D162" i="1" s="1"/>
  <c r="D194" i="1" s="1"/>
  <c r="O37" i="1"/>
  <c r="O53" i="1" s="1"/>
  <c r="G194" i="1"/>
  <c r="O79" i="1"/>
  <c r="O161" i="1" s="1"/>
  <c r="O162" i="1" s="1"/>
  <c r="O194" i="1" s="1"/>
</calcChain>
</file>

<file path=xl/sharedStrings.xml><?xml version="1.0" encoding="utf-8"?>
<sst xmlns="http://schemas.openxmlformats.org/spreadsheetml/2006/main" count="222" uniqueCount="209">
  <si>
    <t>Firma (Consolidated)</t>
  </si>
  <si>
    <t>PG P+L Consolidated</t>
  </si>
  <si>
    <t>From Jan 2021 to Adjust 2021</t>
  </si>
  <si>
    <t>Financial Row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</si>
  <si>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</si>
  <si>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</si>
  <si>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</si>
  <si>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</si>
  <si>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</si>
  <si>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</si>
  <si>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</si>
  <si>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</si>
  <si>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</si>
  <si>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</si>
  <si>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</si>
  <si>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</si>
  <si>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 xml:space="preserve">Adjust 2021 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</si>
  <si>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</si>
  <si>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</si>
  <si>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</si>
  <si>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</si>
  <si>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</si>
  <si>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</si>
  <si>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</si>
  <si>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</si>
  <si>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477200 - Discounts granted §13b - Third country</t>
  </si>
  <si>
    <t>477000 - Rebates granted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</si>
  <si>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</si>
  <si>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</si>
  <si>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</si>
  <si>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</si>
  <si>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</si>
  <si>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</si>
  <si>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</si>
  <si>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400000 - Sales (free text)</t>
  </si>
  <si>
    <t>474000 - Volume discounts granted</t>
  </si>
  <si>
    <t>Total Revenue</t>
  </si>
  <si>
    <t>4. Other operating income</t>
  </si>
  <si>
    <t>494700 - Alloc. other non-cash benefits from provi. of car, Std VAT</t>
  </si>
  <si>
    <t>494800 - Allocated other non-cash benefits, Standard VAT</t>
  </si>
  <si>
    <t>494900 - Allocated other non-cash benefits, no VAT</t>
  </si>
  <si>
    <t>490000 - Income from disposal of fixed assets</t>
  </si>
  <si>
    <t>493000 - Income from reversal of provisions</t>
  </si>
  <si>
    <t>497000 - Insurance recoveries and compensation payments</t>
  </si>
  <si>
    <t>494500 - Non-cash benefits, Standard VAT (goods)</t>
  </si>
  <si>
    <t>483000 - Other operating income</t>
  </si>
  <si>
    <t>484000 - Realized Foreign Exchange Gain</t>
  </si>
  <si>
    <t>484500 - Revenue from sales of tangible fixed assets, Standard VAT</t>
  </si>
  <si>
    <t>454000 - Revenue infrastructure standard VAT</t>
  </si>
  <si>
    <t>484700 - Rounding Gain/Loss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</si>
  <si>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</si>
  <si>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</si>
  <si>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</si>
  <si>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</si>
  <si>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</si>
  <si>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540000 - Cost of merchandise, Standard input tax</t>
  </si>
  <si>
    <t>580010 - Invoice PO price variance standard rate</t>
  </si>
  <si>
    <t>580020 - Invoice PO qty variance standard rate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</si>
  <si>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</si>
  <si>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</si>
  <si>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</si>
  <si>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</si>
  <si>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</si>
  <si>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590900 - Purchased services, no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</si>
  <si>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</si>
  <si>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</si>
  <si>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</si>
  <si>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</si>
  <si>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</si>
  <si>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</si>
  <si>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</si>
  <si>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</si>
  <si>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</si>
  <si>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</si>
  <si>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</si>
  <si>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</si>
  <si>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</si>
  <si>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</si>
  <si>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</si>
  <si>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</si>
  <si>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</si>
  <si>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606900 - Flat-rate tax on other benefits (e.g. travel allowances)</t>
  </si>
  <si>
    <t>603900 - Flat-rate taxes for employees</t>
  </si>
  <si>
    <t>603600 - Flat-rate taxes for marginal parttime workers</t>
  </si>
  <si>
    <t>607200 - Non-cash benefits and services provided to employees</t>
  </si>
  <si>
    <t>602300 - Profit-sharing salary management</t>
  </si>
  <si>
    <t>497200 - Refunds Act on Reimbursement of Employers' Expenses (AAG)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</si>
  <si>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</si>
  <si>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</si>
  <si>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</si>
  <si>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</si>
  <si>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</si>
  <si>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</si>
  <si>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</si>
  <si>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</si>
  <si>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</si>
  <si>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</si>
  <si>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</si>
  <si>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</si>
  <si>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</si>
  <si>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</si>
  <si>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</si>
  <si>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</si>
  <si>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</si>
  <si>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668000 - B.o. travel expenses, accom. costs and incident. travel exp.</t>
  </si>
  <si>
    <t>656300 - Bike leasing</t>
  </si>
  <si>
    <t>683000 - Bookkeeping costs</t>
  </si>
  <si>
    <t>633000 - Cleaning</t>
  </si>
  <si>
    <t>660500 - Conception</t>
  </si>
  <si>
    <t>699500 - Contra account 6990-6998</t>
  </si>
  <si>
    <t>642000 - Contributions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</si>
  <si>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</si>
  <si>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</si>
  <si>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</si>
  <si>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</si>
  <si>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</si>
  <si>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</si>
  <si>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</si>
  <si>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</si>
  <si>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</si>
  <si>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</si>
  <si>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</si>
  <si>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</si>
  <si>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</si>
  <si>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</si>
  <si>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</si>
  <si>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632500 - Gas, electricity, water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</si>
  <si>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</si>
  <si>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</si>
  <si>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</si>
  <si>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</si>
  <si>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</si>
  <si>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</si>
  <si>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</si>
  <si>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</si>
  <si>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682000 - Newspapers, books</t>
  </si>
  <si>
    <t>639100 - Non-cash benefits, donations for scient. and cult. purposes</t>
  </si>
  <si>
    <t>664400 - Non-deductible entertainment expenses</t>
  </si>
  <si>
    <t>681500 - Office supplies</t>
  </si>
  <si>
    <t>656000 - Operating leases (motor vehicles)</t>
  </si>
  <si>
    <t>684000 - Operating leases (mov. assets)</t>
  </si>
  <si>
    <t>696900 - Other infrequent expenses</t>
  </si>
  <si>
    <t>685000 - Other operating supplies</t>
  </si>
  <si>
    <t>649000 - Other repairs and maintenance</t>
  </si>
  <si>
    <t>682700 - Period-end closing and audit costs</t>
  </si>
  <si>
    <t>680000 - Postage</t>
  </si>
  <si>
    <t>631000 - Rent (immovable property)</t>
  </si>
  <si>
    <t>683500 - Rent of fixtures and fittings (movable assets)</t>
  </si>
  <si>
    <t>646000 - Repairs and maintenance of technical equipment and machinery</t>
  </si>
  <si>
    <t>699400 - Selling expenses</t>
  </si>
  <si>
    <t>664300 - Small gifts</t>
  </si>
  <si>
    <t>660600 - Sponsoring</t>
  </si>
  <si>
    <t>680500 - Telephone</t>
  </si>
  <si>
    <t>678000 - Third-party services (distribution)</t>
  </si>
  <si>
    <t>682100 - Training costs</t>
  </si>
  <si>
    <t>692300 - Transfer to specific valuation allowance on receivables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</si>
  <si>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</si>
  <si>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</si>
  <si>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</si>
  <si>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</si>
  <si>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650018 - Vehicle expenses KA-B 9883 Skoda Octavia</t>
  </si>
  <si>
    <t>650036 - Vehicle expenses KA-B 9884 Skodia Fabia</t>
  </si>
  <si>
    <t>650021 - Vehicle expenses KA-EW 1155 Skoda KODIAQ Drive 2.0 TDI</t>
  </si>
  <si>
    <t>650017 - Vehicle expenses KA-JM 1075 Skoda Superb</t>
  </si>
  <si>
    <t>650026 - Vehicle expenses KA-JR 1012 Audi Q5 2.0 Quattro TDI</t>
  </si>
  <si>
    <t>650037 - Vehicle expenses KA-JR 1240 Audi Q3 Sportsback 45 TFSI</t>
  </si>
  <si>
    <t>650014 - Vehicle expenses KA-KS 1186 Mercedes GLA</t>
  </si>
  <si>
    <t>650012 - Vehicle expenses KA-M 3390 Tesla</t>
  </si>
  <si>
    <t>650019 - Vehicle expenses KA-MA 9080 Skoda Superb Combi 1.8 TSI</t>
  </si>
  <si>
    <t>650025 - Vehicle expenses KA-MP 1018 KIA Sportage</t>
  </si>
  <si>
    <t>650034 - Vehicle expenses KA-MP 1019 KIA Xceed 1.4 T-GDI</t>
  </si>
  <si>
    <t>650016 - Vehicle expenses KA-MW 8800 Toyota Verso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</si>
  <si>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</si>
  <si>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</si>
  <si>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</si>
  <si>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</si>
  <si>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</si>
  <si>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</si>
  <si>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</si>
  <si>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</si>
  <si>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</si>
  <si>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</si>
  <si>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</si>
  <si>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</si>
  <si>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</si>
  <si>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</si>
  <si>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</si>
  <si>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</si>
  <si>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</si>
  <si>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</si>
  <si>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</si>
  <si>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</si>
  <si>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</si>
  <si>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</si>
  <si>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</si>
  <si>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</si>
  <si>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</si>
  <si>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764000 - Backpayments of trade tax for prior years</t>
  </si>
  <si>
    <t>760000 - Corporate income tax</t>
  </si>
  <si>
    <t>760300 - Corporate income tax for prior years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</si>
  <si>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</si>
  <si>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</si>
  <si>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</si>
  <si>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</si>
  <si>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</si>
  <si>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769000 - Backpayments of other taxes for prior years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</si>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</sst>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15" width="15.83203125" bestFit="1" customWidth="1"/>
  </cols>
  <sheetData>
    <row r="1" spans="1:15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x14ac:dyDescent="0.2">
      <c r="A5" s="3" t="s">
        <v>18</v>
      </c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</row>
    <row r="6" spans="1:15" x14ac:dyDescent="0.2">
      <c r="A6" s="5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">
      <c r="A7" s="7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">
      <c r="A8" s="8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9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A11" s="11" t="s">
        <v>25</v>
      </c>
      <c r="B11" s="12">
        <v>0</v>
      </c>
      <c r="C11" s="12">
        <v>0</v>
      </c>
      <c r="D11" s="12">
        <v>0</v>
      </c>
      <c r="E11" s="12">
        <v>0</v>
      </c>
      <c r="F11" s="12">
        <v>-18989.2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f t="shared" ref="O11:O21" si="0">SUM(B11:N11)</f>
        <v>-18989.2</v>
      </c>
    </row>
    <row r="12" spans="1:15" x14ac:dyDescent="0.2">
      <c r="A12" s="11" t="s">
        <v>26</v>
      </c>
      <c r="B12" s="12">
        <v>-1976.13</v>
      </c>
      <c r="C12" s="12">
        <v>-1976.13</v>
      </c>
      <c r="D12" s="12">
        <v>3952.26</v>
      </c>
      <c r="E12" s="12">
        <v>0</v>
      </c>
      <c r="F12" s="12">
        <v>9494.6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f t="shared" si="0"/>
        <v>9494.6</v>
      </c>
    </row>
    <row r="13" spans="1:15" x14ac:dyDescent="0.2">
      <c r="A13" s="11" t="s">
        <v>27</v>
      </c>
      <c r="B13" s="12">
        <v>0</v>
      </c>
      <c r="C13" s="12">
        <v>0</v>
      </c>
      <c r="D13" s="12">
        <v>0</v>
      </c>
      <c r="E13" s="12">
        <v>-2342.4</v>
      </c>
      <c r="F13" s="12">
        <v>-38.4</v>
      </c>
      <c r="G13" s="12">
        <v>-38.4</v>
      </c>
      <c r="H13" s="12">
        <v>-38.4</v>
      </c>
      <c r="I13" s="12">
        <v>-38.4</v>
      </c>
      <c r="J13" s="12">
        <v>-38.4</v>
      </c>
      <c r="K13" s="12">
        <v>-38.4</v>
      </c>
      <c r="L13" s="12">
        <v>-38.4</v>
      </c>
      <c r="M13" s="12">
        <v>-38.4</v>
      </c>
      <c r="N13" s="12">
        <v>0</v>
      </c>
      <c r="O13" s="12">
        <f t="shared" si="0"/>
        <v>-2649.6000000000008</v>
      </c>
    </row>
    <row r="14" spans="1:15" x14ac:dyDescent="0.2">
      <c r="A14" s="11" t="s">
        <v>28</v>
      </c>
      <c r="B14" s="12">
        <v>0</v>
      </c>
      <c r="C14" s="12">
        <v>0</v>
      </c>
      <c r="D14" s="12">
        <v>-7270.04</v>
      </c>
      <c r="E14" s="12">
        <v>-3317.78</v>
      </c>
      <c r="F14" s="12">
        <v>-3317.78</v>
      </c>
      <c r="G14" s="12">
        <v>-3317.78</v>
      </c>
      <c r="H14" s="12">
        <v>-3317.78</v>
      </c>
      <c r="I14" s="12">
        <v>-3317.78</v>
      </c>
      <c r="J14" s="12">
        <v>-3317.78</v>
      </c>
      <c r="K14" s="12">
        <v>-3317.78</v>
      </c>
      <c r="L14" s="12">
        <v>-3317.82</v>
      </c>
      <c r="M14" s="12">
        <v>-3139.35</v>
      </c>
      <c r="N14" s="12">
        <v>0</v>
      </c>
      <c r="O14" s="12">
        <f t="shared" si="0"/>
        <v>-36951.67</v>
      </c>
    </row>
    <row r="15" spans="1:15" x14ac:dyDescent="0.2">
      <c r="A15" s="11" t="s">
        <v>29</v>
      </c>
      <c r="B15" s="12">
        <v>95465.84</v>
      </c>
      <c r="C15" s="12">
        <v>56835</v>
      </c>
      <c r="D15" s="12">
        <v>376203.38</v>
      </c>
      <c r="E15" s="12">
        <v>298428.17176</v>
      </c>
      <c r="F15" s="12">
        <v>86737.755000000005</v>
      </c>
      <c r="G15" s="12">
        <v>71218.892000000007</v>
      </c>
      <c r="H15" s="12">
        <v>75905.123000000007</v>
      </c>
      <c r="I15" s="12">
        <v>30905.63</v>
      </c>
      <c r="J15" s="12">
        <v>81236.209000000003</v>
      </c>
      <c r="K15" s="12">
        <v>60097.197440000004</v>
      </c>
      <c r="L15" s="12">
        <v>19740.122889999999</v>
      </c>
      <c r="M15" s="12">
        <v>400479.88513920002</v>
      </c>
      <c r="N15" s="12">
        <v>0</v>
      </c>
      <c r="O15" s="12">
        <f t="shared" si="0"/>
        <v>1653253.2062292001</v>
      </c>
    </row>
    <row r="16" spans="1:15" x14ac:dyDescent="0.2">
      <c r="A16" s="11" t="s">
        <v>30</v>
      </c>
      <c r="B16" s="12">
        <v>86630.514431999996</v>
      </c>
      <c r="C16" s="12">
        <v>120603.90492</v>
      </c>
      <c r="D16" s="12">
        <v>116867.18326400001</v>
      </c>
      <c r="E16" s="12">
        <v>83260.577946000005</v>
      </c>
      <c r="F16" s="12">
        <v>73886.033205</v>
      </c>
      <c r="G16" s="12">
        <v>149994.46932</v>
      </c>
      <c r="H16" s="12">
        <v>151577.68844699999</v>
      </c>
      <c r="I16" s="12">
        <v>105239.92612</v>
      </c>
      <c r="J16" s="12">
        <v>150383.164624</v>
      </c>
      <c r="K16" s="12">
        <v>120349.7904697</v>
      </c>
      <c r="L16" s="12">
        <v>133782.65212752001</v>
      </c>
      <c r="M16" s="12">
        <v>101072.55044617251</v>
      </c>
      <c r="N16" s="12">
        <v>0</v>
      </c>
      <c r="O16" s="12">
        <f t="shared" si="0"/>
        <v>1393648.4553213925</v>
      </c>
    </row>
    <row r="17" spans="1:15" x14ac:dyDescent="0.2">
      <c r="A17" s="11" t="s">
        <v>31</v>
      </c>
      <c r="B17" s="12">
        <v>748109.24620000005</v>
      </c>
      <c r="C17" s="12">
        <v>810470.96880000003</v>
      </c>
      <c r="D17" s="12">
        <v>1069387.7903799999</v>
      </c>
      <c r="E17" s="12">
        <v>1086923.6878</v>
      </c>
      <c r="F17" s="12">
        <v>1162079.1902000001</v>
      </c>
      <c r="G17" s="12">
        <v>1096626.4771199999</v>
      </c>
      <c r="H17" s="12">
        <v>1012455.513602</v>
      </c>
      <c r="I17" s="12">
        <v>1056630.717621</v>
      </c>
      <c r="J17" s="12">
        <v>1028292.305835</v>
      </c>
      <c r="K17" s="12">
        <v>1063007.4071404</v>
      </c>
      <c r="L17" s="12">
        <v>1101073.8432737</v>
      </c>
      <c r="M17" s="12">
        <v>1146108.34248724</v>
      </c>
      <c r="N17" s="12">
        <v>0</v>
      </c>
      <c r="O17" s="12">
        <f t="shared" si="0"/>
        <v>12381165.490459338</v>
      </c>
    </row>
    <row r="18" spans="1:15" x14ac:dyDescent="0.2">
      <c r="A18" s="11" t="s">
        <v>32</v>
      </c>
      <c r="B18" s="12">
        <v>5421</v>
      </c>
      <c r="C18" s="12">
        <v>2239</v>
      </c>
      <c r="D18" s="12">
        <v>17002</v>
      </c>
      <c r="E18" s="12">
        <v>57691</v>
      </c>
      <c r="F18" s="12">
        <v>10958</v>
      </c>
      <c r="G18" s="12">
        <v>36588</v>
      </c>
      <c r="H18" s="12">
        <v>5312.5</v>
      </c>
      <c r="I18" s="12">
        <v>36534</v>
      </c>
      <c r="J18" s="12">
        <v>19047.5</v>
      </c>
      <c r="K18" s="12">
        <v>20170</v>
      </c>
      <c r="L18" s="12">
        <v>6909.25</v>
      </c>
      <c r="M18" s="12">
        <v>12409</v>
      </c>
      <c r="N18" s="12">
        <v>0</v>
      </c>
      <c r="O18" s="12">
        <f t="shared" si="0"/>
        <v>230281.25</v>
      </c>
    </row>
    <row r="19" spans="1:15" x14ac:dyDescent="0.2">
      <c r="A19" s="11" t="s">
        <v>33</v>
      </c>
      <c r="B19" s="12">
        <v>35144</v>
      </c>
      <c r="C19" s="12">
        <v>31768</v>
      </c>
      <c r="D19" s="12">
        <v>81410</v>
      </c>
      <c r="E19" s="12">
        <v>170036.42</v>
      </c>
      <c r="F19" s="12">
        <v>63655.21</v>
      </c>
      <c r="G19" s="12">
        <v>147265.37</v>
      </c>
      <c r="H19" s="12">
        <v>95525.88</v>
      </c>
      <c r="I19" s="12">
        <v>56625.66</v>
      </c>
      <c r="J19" s="12">
        <v>84773.96</v>
      </c>
      <c r="K19" s="12">
        <v>143780.18</v>
      </c>
      <c r="L19" s="12">
        <v>124046.92</v>
      </c>
      <c r="M19" s="12">
        <v>121134.25</v>
      </c>
      <c r="N19" s="12">
        <v>0</v>
      </c>
      <c r="O19" s="12">
        <f t="shared" si="0"/>
        <v>1155165.8500000001</v>
      </c>
    </row>
    <row r="20" spans="1:15" x14ac:dyDescent="0.2">
      <c r="A20" s="11" t="s">
        <v>34</v>
      </c>
      <c r="B20" s="12">
        <v>43555</v>
      </c>
      <c r="C20" s="12">
        <v>0</v>
      </c>
      <c r="D20" s="12">
        <v>2190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f t="shared" si="0"/>
        <v>45745</v>
      </c>
    </row>
    <row r="21" spans="1:15" x14ac:dyDescent="0.2">
      <c r="A21" s="11" t="s">
        <v>35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-52500</v>
      </c>
      <c r="H21" s="12">
        <v>0</v>
      </c>
      <c r="I21" s="12">
        <v>0</v>
      </c>
      <c r="J21" s="12">
        <v>-20000</v>
      </c>
      <c r="K21" s="12">
        <v>49700</v>
      </c>
      <c r="L21" s="12">
        <v>-10000</v>
      </c>
      <c r="M21" s="12">
        <v>-113591.93</v>
      </c>
      <c r="N21" s="12">
        <v>0</v>
      </c>
      <c r="O21" s="12">
        <f t="shared" si="0"/>
        <v>-146391.93</v>
      </c>
    </row>
    <row r="22" spans="1:15" x14ac:dyDescent="0.2">
      <c r="A22" s="13" t="s">
        <v>36</v>
      </c>
      <c r="B22" s="14">
        <f t="shared" ref="B22:O22" si="1">SUM(B11:B21)</f>
        <v>1012349.470632</v>
      </c>
      <c r="C22" s="14">
        <f t="shared" si="1"/>
        <v>1019940.74372</v>
      </c>
      <c r="D22" s="14">
        <f t="shared" si="1"/>
        <v>1659742.5736439999</v>
      </c>
      <c r="E22" s="14">
        <f t="shared" si="1"/>
        <v>1690679.6775059998</v>
      </c>
      <c r="F22" s="14">
        <f t="shared" si="1"/>
        <v>1384465.4084050001</v>
      </c>
      <c r="G22" s="14">
        <f t="shared" si="1"/>
        <v>1445837.02844</v>
      </c>
      <c r="H22" s="14">
        <f t="shared" si="1"/>
        <v>1337420.525049</v>
      </c>
      <c r="I22" s="14">
        <f t="shared" si="1"/>
        <v>1282579.7537409998</v>
      </c>
      <c r="J22" s="14">
        <f t="shared" si="1"/>
        <v>1340376.959459</v>
      </c>
      <c r="K22" s="14">
        <f t="shared" si="1"/>
        <v>1453748.3950501001</v>
      </c>
      <c r="L22" s="14">
        <f t="shared" si="1"/>
        <v>1372196.5682912199</v>
      </c>
      <c r="M22" s="14">
        <f t="shared" si="1"/>
        <v>1664434.3480726124</v>
      </c>
      <c r="N22" s="14">
        <f t="shared" si="1"/>
        <v>0</v>
      </c>
      <c r="O22" s="14">
        <f t="shared" si="1"/>
        <v>16663771.452009931</v>
      </c>
    </row>
    <row r="23" spans="1:15" x14ac:dyDescent="0.2">
      <c r="A23" s="10" t="s">
        <v>37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">
      <c r="A24" s="11" t="s">
        <v>38</v>
      </c>
      <c r="B24" s="12">
        <v>3550.51</v>
      </c>
      <c r="C24" s="12">
        <v>3550.51</v>
      </c>
      <c r="D24" s="12">
        <v>1981.87</v>
      </c>
      <c r="E24" s="12">
        <v>3027.63</v>
      </c>
      <c r="F24" s="12">
        <v>3027.63</v>
      </c>
      <c r="G24" s="12">
        <v>5891.1</v>
      </c>
      <c r="H24" s="12">
        <v>5891.1</v>
      </c>
      <c r="I24" s="12">
        <v>5891.1</v>
      </c>
      <c r="J24" s="12">
        <v>5891.1</v>
      </c>
      <c r="K24" s="12">
        <v>5891.1</v>
      </c>
      <c r="L24" s="12">
        <v>5891.1</v>
      </c>
      <c r="M24" s="12">
        <v>24825.77</v>
      </c>
      <c r="N24" s="12">
        <v>0</v>
      </c>
      <c r="O24" s="12">
        <f t="shared" ref="O24:O35" si="2">SUM(B24:N24)</f>
        <v>75310.51999999999</v>
      </c>
    </row>
    <row r="25" spans="1:15" x14ac:dyDescent="0.2">
      <c r="A25" s="11" t="s">
        <v>39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14.29</v>
      </c>
      <c r="L25" s="12">
        <v>21.85</v>
      </c>
      <c r="M25" s="12">
        <v>42.86</v>
      </c>
      <c r="N25" s="12">
        <v>0</v>
      </c>
      <c r="O25" s="12">
        <f t="shared" si="2"/>
        <v>79</v>
      </c>
    </row>
    <row r="26" spans="1:15" x14ac:dyDescent="0.2">
      <c r="A26" s="11" t="s">
        <v>40</v>
      </c>
      <c r="B26" s="12">
        <v>0</v>
      </c>
      <c r="C26" s="12">
        <v>0</v>
      </c>
      <c r="D26" s="12">
        <v>0</v>
      </c>
      <c r="E26" s="12">
        <v>0</v>
      </c>
      <c r="F26" s="12">
        <v>398.13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873.77</v>
      </c>
      <c r="N26" s="12">
        <v>0</v>
      </c>
      <c r="O26" s="12">
        <f t="shared" si="2"/>
        <v>1271.9000000000001</v>
      </c>
    </row>
    <row r="27" spans="1:15" x14ac:dyDescent="0.2">
      <c r="A27" s="11" t="s">
        <v>41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2154.7199999999998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f t="shared" si="2"/>
        <v>2154.7199999999998</v>
      </c>
    </row>
    <row r="28" spans="1:15" x14ac:dyDescent="0.2">
      <c r="A28" s="11" t="s">
        <v>42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28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f t="shared" si="2"/>
        <v>28</v>
      </c>
    </row>
    <row r="29" spans="1:15" x14ac:dyDescent="0.2">
      <c r="A29" s="11" t="s">
        <v>43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200.81</v>
      </c>
      <c r="L29" s="12">
        <v>0</v>
      </c>
      <c r="M29" s="12">
        <v>0</v>
      </c>
      <c r="N29" s="12">
        <v>0</v>
      </c>
      <c r="O29" s="12">
        <f t="shared" si="2"/>
        <v>200.81</v>
      </c>
    </row>
    <row r="30" spans="1:15" x14ac:dyDescent="0.2">
      <c r="A30" s="11" t="s">
        <v>44</v>
      </c>
      <c r="B30" s="12">
        <v>3610.03</v>
      </c>
      <c r="C30" s="12">
        <v>3610.03</v>
      </c>
      <c r="D30" s="12">
        <v>3610.03</v>
      </c>
      <c r="E30" s="12">
        <v>3610.03</v>
      </c>
      <c r="F30" s="12">
        <v>3610.03</v>
      </c>
      <c r="G30" s="12">
        <v>202.5</v>
      </c>
      <c r="H30" s="12">
        <v>202.5</v>
      </c>
      <c r="I30" s="12">
        <v>202.5</v>
      </c>
      <c r="J30" s="12">
        <v>202.5</v>
      </c>
      <c r="K30" s="12">
        <v>202.5</v>
      </c>
      <c r="L30" s="12">
        <v>202.5</v>
      </c>
      <c r="M30" s="12">
        <v>-16835.150000000001</v>
      </c>
      <c r="N30" s="12">
        <v>0</v>
      </c>
      <c r="O30" s="12">
        <f t="shared" si="2"/>
        <v>2430</v>
      </c>
    </row>
    <row r="31" spans="1:15" x14ac:dyDescent="0.2">
      <c r="A31" s="11" t="s">
        <v>45</v>
      </c>
      <c r="B31" s="12">
        <v>1674.9</v>
      </c>
      <c r="C31" s="12">
        <v>84.240440000000007</v>
      </c>
      <c r="D31" s="12">
        <v>4925.55</v>
      </c>
      <c r="E31" s="12">
        <v>0</v>
      </c>
      <c r="F31" s="12">
        <v>34288.140549999996</v>
      </c>
      <c r="G31" s="12">
        <v>11456.18</v>
      </c>
      <c r="H31" s="12">
        <v>5951.45</v>
      </c>
      <c r="I31" s="12">
        <v>25.09</v>
      </c>
      <c r="J31" s="12">
        <v>1228.56</v>
      </c>
      <c r="K31" s="12">
        <v>0</v>
      </c>
      <c r="L31" s="12">
        <v>8398.6299999999992</v>
      </c>
      <c r="M31" s="12">
        <v>82605.531102459994</v>
      </c>
      <c r="N31" s="12">
        <v>0</v>
      </c>
      <c r="O31" s="12">
        <f t="shared" si="2"/>
        <v>150638.27209245999</v>
      </c>
    </row>
    <row r="32" spans="1:15" x14ac:dyDescent="0.2">
      <c r="A32" s="11" t="s">
        <v>46</v>
      </c>
      <c r="B32" s="12">
        <v>0</v>
      </c>
      <c r="C32" s="12">
        <v>0</v>
      </c>
      <c r="D32" s="12">
        <v>0</v>
      </c>
      <c r="E32" s="12">
        <v>-1987.48</v>
      </c>
      <c r="F32" s="12">
        <v>-110.77</v>
      </c>
      <c r="G32" s="12">
        <v>0</v>
      </c>
      <c r="H32" s="12">
        <v>87.3</v>
      </c>
      <c r="I32" s="12">
        <v>591.16999999999996</v>
      </c>
      <c r="J32" s="12">
        <v>0</v>
      </c>
      <c r="K32" s="12">
        <v>0</v>
      </c>
      <c r="L32" s="12">
        <v>37462.86</v>
      </c>
      <c r="M32" s="12">
        <v>3607.08</v>
      </c>
      <c r="N32" s="12">
        <v>0</v>
      </c>
      <c r="O32" s="12">
        <f t="shared" si="2"/>
        <v>39650.160000000003</v>
      </c>
    </row>
    <row r="33" spans="1:15" x14ac:dyDescent="0.2">
      <c r="A33" s="11" t="s">
        <v>47</v>
      </c>
      <c r="B33" s="12">
        <v>0</v>
      </c>
      <c r="C33" s="12">
        <v>0</v>
      </c>
      <c r="D33" s="12">
        <v>0</v>
      </c>
      <c r="E33" s="12">
        <v>181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1091.5999999999999</v>
      </c>
      <c r="N33" s="12">
        <v>0</v>
      </c>
      <c r="O33" s="12">
        <f t="shared" si="2"/>
        <v>1272.5999999999999</v>
      </c>
    </row>
    <row r="34" spans="1:15" x14ac:dyDescent="0.2">
      <c r="A34" s="11" t="s">
        <v>48</v>
      </c>
      <c r="B34" s="12">
        <v>3500</v>
      </c>
      <c r="C34" s="12">
        <v>3500</v>
      </c>
      <c r="D34" s="12">
        <v>3500</v>
      </c>
      <c r="E34" s="12">
        <v>3500</v>
      </c>
      <c r="F34" s="12">
        <v>3500</v>
      </c>
      <c r="G34" s="12">
        <v>3500</v>
      </c>
      <c r="H34" s="12">
        <v>3500</v>
      </c>
      <c r="I34" s="12">
        <v>3500</v>
      </c>
      <c r="J34" s="12">
        <v>3500</v>
      </c>
      <c r="K34" s="12">
        <v>3500</v>
      </c>
      <c r="L34" s="12">
        <v>3500</v>
      </c>
      <c r="M34" s="12">
        <v>3500</v>
      </c>
      <c r="N34" s="12">
        <v>0</v>
      </c>
      <c r="O34" s="12">
        <f t="shared" si="2"/>
        <v>42000</v>
      </c>
    </row>
    <row r="35" spans="1:15" x14ac:dyDescent="0.2">
      <c r="A35" s="11" t="s">
        <v>49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-0.01</v>
      </c>
      <c r="I35" s="12">
        <v>-0.01</v>
      </c>
      <c r="J35" s="12">
        <v>0</v>
      </c>
      <c r="K35" s="12">
        <v>0</v>
      </c>
      <c r="L35" s="12">
        <v>0.02</v>
      </c>
      <c r="M35" s="12">
        <v>0</v>
      </c>
      <c r="N35" s="12">
        <v>0</v>
      </c>
      <c r="O35" s="12">
        <f t="shared" si="2"/>
        <v>0</v>
      </c>
    </row>
    <row r="36" spans="1:15" x14ac:dyDescent="0.2">
      <c r="A36" s="13" t="s">
        <v>50</v>
      </c>
      <c r="B36" s="14">
        <f t="shared" ref="B36:O36" si="3">SUM(B24:B35)</f>
        <v>12335.44</v>
      </c>
      <c r="C36" s="14">
        <f t="shared" si="3"/>
        <v>10744.78044</v>
      </c>
      <c r="D36" s="14">
        <f t="shared" si="3"/>
        <v>14017.45</v>
      </c>
      <c r="E36" s="14">
        <f t="shared" si="3"/>
        <v>8331.18</v>
      </c>
      <c r="F36" s="14">
        <f t="shared" si="3"/>
        <v>44713.160550000001</v>
      </c>
      <c r="G36" s="14">
        <f t="shared" si="3"/>
        <v>21049.78</v>
      </c>
      <c r="H36" s="14">
        <f t="shared" si="3"/>
        <v>17787.060000000001</v>
      </c>
      <c r="I36" s="14">
        <f t="shared" si="3"/>
        <v>10237.85</v>
      </c>
      <c r="J36" s="14">
        <f t="shared" si="3"/>
        <v>10822.16</v>
      </c>
      <c r="K36" s="14">
        <f t="shared" si="3"/>
        <v>9808.7000000000007</v>
      </c>
      <c r="L36" s="14">
        <f t="shared" si="3"/>
        <v>55476.959999999999</v>
      </c>
      <c r="M36" s="14">
        <f t="shared" si="3"/>
        <v>99711.461102460002</v>
      </c>
      <c r="N36" s="14">
        <f t="shared" si="3"/>
        <v>0</v>
      </c>
      <c r="O36" s="14">
        <f t="shared" si="3"/>
        <v>315035.98209245992</v>
      </c>
    </row>
    <row r="37" spans="1:15" x14ac:dyDescent="0.2">
      <c r="A37" s="15" t="s">
        <v>51</v>
      </c>
      <c r="B37" s="14">
        <f t="shared" ref="B37:O37" si="4">B22+0+0+B36</f>
        <v>1024684.910632</v>
      </c>
      <c r="C37" s="14">
        <f t="shared" si="4"/>
        <v>1030685.52416</v>
      </c>
      <c r="D37" s="14">
        <f t="shared" si="4"/>
        <v>1673760.0236439998</v>
      </c>
      <c r="E37" s="14">
        <f t="shared" si="4"/>
        <v>1699010.8575059997</v>
      </c>
      <c r="F37" s="14">
        <f t="shared" si="4"/>
        <v>1429178.568955</v>
      </c>
      <c r="G37" s="14">
        <f t="shared" si="4"/>
        <v>1466886.8084400001</v>
      </c>
      <c r="H37" s="14">
        <f t="shared" si="4"/>
        <v>1355207.5850490001</v>
      </c>
      <c r="I37" s="14">
        <f t="shared" si="4"/>
        <v>1292817.6037409999</v>
      </c>
      <c r="J37" s="14">
        <f t="shared" si="4"/>
        <v>1351199.119459</v>
      </c>
      <c r="K37" s="14">
        <f t="shared" si="4"/>
        <v>1463557.0950501</v>
      </c>
      <c r="L37" s="14">
        <f t="shared" si="4"/>
        <v>1427673.5282912198</v>
      </c>
      <c r="M37" s="14">
        <f t="shared" si="4"/>
        <v>1764145.8091750725</v>
      </c>
      <c r="N37" s="14">
        <f t="shared" si="4"/>
        <v>0</v>
      </c>
      <c r="O37" s="14">
        <f t="shared" si="4"/>
        <v>16978807.43410239</v>
      </c>
    </row>
    <row r="38" spans="1:15" x14ac:dyDescent="0.2">
      <c r="A38" s="9" t="s">
        <v>52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">
      <c r="A39" s="10" t="s">
        <v>53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11" t="s">
        <v>54</v>
      </c>
      <c r="B40" s="12">
        <v>0</v>
      </c>
      <c r="C40" s="12">
        <v>0</v>
      </c>
      <c r="D40" s="12">
        <v>0</v>
      </c>
      <c r="E40" s="12">
        <v>0</v>
      </c>
      <c r="F40" s="12">
        <v>-14276.7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f>SUM(B40:N40)</f>
        <v>-14276.7</v>
      </c>
    </row>
    <row r="41" spans="1:15" x14ac:dyDescent="0.2">
      <c r="A41" s="11" t="s">
        <v>55</v>
      </c>
      <c r="B41" s="12">
        <v>-4643.8999999999996</v>
      </c>
      <c r="C41" s="12">
        <v>-453.6</v>
      </c>
      <c r="D41" s="12">
        <v>-207349.68</v>
      </c>
      <c r="E41" s="12">
        <v>-267421.18</v>
      </c>
      <c r="F41" s="12">
        <v>-192650.08</v>
      </c>
      <c r="G41" s="12">
        <v>-45305.7</v>
      </c>
      <c r="H41" s="12">
        <v>-2630.65</v>
      </c>
      <c r="I41" s="12">
        <v>-59304</v>
      </c>
      <c r="J41" s="12">
        <v>-45111.12</v>
      </c>
      <c r="K41" s="12">
        <v>-87130.36</v>
      </c>
      <c r="L41" s="12">
        <v>39900</v>
      </c>
      <c r="M41" s="12">
        <v>-1091.5999999999999</v>
      </c>
      <c r="N41" s="12">
        <v>0</v>
      </c>
      <c r="O41" s="12">
        <f>SUM(B41:N41)</f>
        <v>-873191.86999999988</v>
      </c>
    </row>
    <row r="42" spans="1:15" x14ac:dyDescent="0.2">
      <c r="A42" s="11" t="s">
        <v>56</v>
      </c>
      <c r="B42" s="12">
        <v>-0.01</v>
      </c>
      <c r="C42" s="12">
        <v>0.03</v>
      </c>
      <c r="D42" s="12">
        <v>-0.06</v>
      </c>
      <c r="E42" s="12">
        <v>-0.01</v>
      </c>
      <c r="F42" s="12">
        <v>0.13</v>
      </c>
      <c r="G42" s="12">
        <v>-0.06</v>
      </c>
      <c r="H42" s="12">
        <v>-0.06</v>
      </c>
      <c r="I42" s="12">
        <v>-0.01</v>
      </c>
      <c r="J42" s="12">
        <v>-0.08</v>
      </c>
      <c r="K42" s="12">
        <v>-0.04</v>
      </c>
      <c r="L42" s="12">
        <v>-0.01</v>
      </c>
      <c r="M42" s="12">
        <v>-0.08</v>
      </c>
      <c r="N42" s="12">
        <v>0</v>
      </c>
      <c r="O42" s="12">
        <f>SUM(B42:N42)</f>
        <v>-0.26</v>
      </c>
    </row>
    <row r="43" spans="1:15" x14ac:dyDescent="0.2">
      <c r="A43" s="11" t="s">
        <v>57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27000</v>
      </c>
      <c r="M43" s="12">
        <v>0</v>
      </c>
      <c r="N43" s="12">
        <v>0</v>
      </c>
      <c r="O43" s="12">
        <f>SUM(B43:N43)</f>
        <v>27000</v>
      </c>
    </row>
    <row r="44" spans="1:15" x14ac:dyDescent="0.2">
      <c r="A44" s="13" t="s">
        <v>58</v>
      </c>
      <c r="B44" s="14">
        <f t="shared" ref="B44:O44" si="5">SUM(B40:B43)</f>
        <v>-4643.91</v>
      </c>
      <c r="C44" s="14">
        <f t="shared" si="5"/>
        <v>-453.57000000000005</v>
      </c>
      <c r="D44" s="14">
        <f t="shared" si="5"/>
        <v>-207349.74</v>
      </c>
      <c r="E44" s="14">
        <f t="shared" si="5"/>
        <v>-267421.19</v>
      </c>
      <c r="F44" s="14">
        <f t="shared" si="5"/>
        <v>-206926.65</v>
      </c>
      <c r="G44" s="14">
        <f t="shared" si="5"/>
        <v>-45305.759999999995</v>
      </c>
      <c r="H44" s="14">
        <f t="shared" si="5"/>
        <v>-2630.71</v>
      </c>
      <c r="I44" s="14">
        <f t="shared" si="5"/>
        <v>-59304.01</v>
      </c>
      <c r="J44" s="14">
        <f t="shared" si="5"/>
        <v>-45111.200000000004</v>
      </c>
      <c r="K44" s="14">
        <f t="shared" si="5"/>
        <v>-87130.4</v>
      </c>
      <c r="L44" s="14">
        <f t="shared" si="5"/>
        <v>66899.989999999991</v>
      </c>
      <c r="M44" s="14">
        <f t="shared" si="5"/>
        <v>-1091.6799999999998</v>
      </c>
      <c r="N44" s="14">
        <f t="shared" si="5"/>
        <v>0</v>
      </c>
      <c r="O44" s="14">
        <f t="shared" si="5"/>
        <v>-860468.82999999984</v>
      </c>
    </row>
    <row r="45" spans="1:15" x14ac:dyDescent="0.2">
      <c r="A45" s="10" t="s">
        <v>59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11" t="s">
        <v>60</v>
      </c>
      <c r="B46" s="12">
        <v>-19219.919999999998</v>
      </c>
      <c r="C46" s="12">
        <v>-9676.69</v>
      </c>
      <c r="D46" s="12">
        <v>-39548.6</v>
      </c>
      <c r="E46" s="12">
        <v>-33903.800000000003</v>
      </c>
      <c r="F46" s="12">
        <v>-41704.57</v>
      </c>
      <c r="G46" s="12">
        <v>-53017.8</v>
      </c>
      <c r="H46" s="12">
        <v>-23039.18</v>
      </c>
      <c r="I46" s="12">
        <v>-37633.18</v>
      </c>
      <c r="J46" s="12">
        <v>-13272.81</v>
      </c>
      <c r="K46" s="12">
        <v>-13022.49</v>
      </c>
      <c r="L46" s="12">
        <v>-9777.26</v>
      </c>
      <c r="M46" s="12">
        <v>-20036.560000000001</v>
      </c>
      <c r="N46" s="12">
        <v>0</v>
      </c>
      <c r="O46" s="12">
        <f>SUM(B46:N46)</f>
        <v>-313852.86</v>
      </c>
    </row>
    <row r="47" spans="1:15" x14ac:dyDescent="0.2">
      <c r="A47" s="11" t="s">
        <v>61</v>
      </c>
      <c r="B47" s="12">
        <v>-9093.25</v>
      </c>
      <c r="C47" s="12">
        <v>-3450.67344</v>
      </c>
      <c r="D47" s="12">
        <v>-143211.13039999999</v>
      </c>
      <c r="E47" s="12">
        <v>-179209.00109999999</v>
      </c>
      <c r="F47" s="12">
        <v>-61627.934249999998</v>
      </c>
      <c r="G47" s="12">
        <v>-118603.03200000001</v>
      </c>
      <c r="H47" s="12">
        <v>-104184.33534999999</v>
      </c>
      <c r="I47" s="12">
        <v>-80017.317999999999</v>
      </c>
      <c r="J47" s="12">
        <v>-126534.8664</v>
      </c>
      <c r="K47" s="12">
        <v>-113542.97087999999</v>
      </c>
      <c r="L47" s="12">
        <v>-101610.34852</v>
      </c>
      <c r="M47" s="12">
        <v>-136988.44793185001</v>
      </c>
      <c r="N47" s="12">
        <v>0</v>
      </c>
      <c r="O47" s="12">
        <f>SUM(B47:N47)</f>
        <v>-1178073.30827185</v>
      </c>
    </row>
    <row r="48" spans="1:15" x14ac:dyDescent="0.2">
      <c r="A48" s="11" t="s">
        <v>62</v>
      </c>
      <c r="B48" s="12">
        <v>-13976.46</v>
      </c>
      <c r="C48" s="12">
        <v>-12294.64</v>
      </c>
      <c r="D48" s="12">
        <v>-11294.64</v>
      </c>
      <c r="E48" s="12">
        <v>-294.64</v>
      </c>
      <c r="F48" s="12">
        <v>-71324.639999999999</v>
      </c>
      <c r="G48" s="12">
        <v>-6494.64</v>
      </c>
      <c r="H48" s="12">
        <v>-8404.64</v>
      </c>
      <c r="I48" s="12">
        <v>-6701.14</v>
      </c>
      <c r="J48" s="12">
        <v>-33087.75</v>
      </c>
      <c r="K48" s="12">
        <v>-51553.06</v>
      </c>
      <c r="L48" s="12">
        <v>-10574.79</v>
      </c>
      <c r="M48" s="12">
        <v>-120415.97</v>
      </c>
      <c r="N48" s="12">
        <v>0</v>
      </c>
      <c r="O48" s="12">
        <f>SUM(B48:N48)</f>
        <v>-346417.01</v>
      </c>
    </row>
    <row r="49" spans="1:15" x14ac:dyDescent="0.2">
      <c r="A49" s="11" t="s">
        <v>63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-382901.72073920001</v>
      </c>
      <c r="N49" s="12">
        <v>0</v>
      </c>
      <c r="O49" s="12">
        <f>SUM(B49:N49)</f>
        <v>-382901.72073920001</v>
      </c>
    </row>
    <row r="50" spans="1:15" x14ac:dyDescent="0.2">
      <c r="A50" s="11" t="s">
        <v>64</v>
      </c>
      <c r="B50" s="12">
        <v>-17572</v>
      </c>
      <c r="C50" s="12">
        <v>-39590.83</v>
      </c>
      <c r="D50" s="12">
        <v>-20705</v>
      </c>
      <c r="E50" s="12">
        <v>-73473.2</v>
      </c>
      <c r="F50" s="12">
        <v>-17394</v>
      </c>
      <c r="G50" s="12">
        <v>-137489.82999999999</v>
      </c>
      <c r="H50" s="12">
        <v>-28747</v>
      </c>
      <c r="I50" s="12">
        <v>-41188.83</v>
      </c>
      <c r="J50" s="12">
        <v>-47338</v>
      </c>
      <c r="K50" s="12">
        <v>-101218.5</v>
      </c>
      <c r="L50" s="12">
        <v>-44266</v>
      </c>
      <c r="M50" s="12">
        <v>-93810.83</v>
      </c>
      <c r="N50" s="12">
        <v>0</v>
      </c>
      <c r="O50" s="12">
        <f>SUM(B50:N50)</f>
        <v>-662794.0199999999</v>
      </c>
    </row>
    <row r="51" spans="1:15" x14ac:dyDescent="0.2">
      <c r="A51" s="13" t="s">
        <v>65</v>
      </c>
      <c r="B51" s="14">
        <f t="shared" ref="B51:O51" si="6">SUM(B46:B50)</f>
        <v>-59861.63</v>
      </c>
      <c r="C51" s="14">
        <f t="shared" si="6"/>
        <v>-65012.833440000002</v>
      </c>
      <c r="D51" s="14">
        <f t="shared" si="6"/>
        <v>-214759.37040000001</v>
      </c>
      <c r="E51" s="14">
        <f t="shared" si="6"/>
        <v>-286880.64110000001</v>
      </c>
      <c r="F51" s="14">
        <f t="shared" si="6"/>
        <v>-192051.14425000001</v>
      </c>
      <c r="G51" s="14">
        <f t="shared" si="6"/>
        <v>-315605.30200000003</v>
      </c>
      <c r="H51" s="14">
        <f t="shared" si="6"/>
        <v>-164375.15535000002</v>
      </c>
      <c r="I51" s="14">
        <f t="shared" si="6"/>
        <v>-165540.46799999999</v>
      </c>
      <c r="J51" s="14">
        <f t="shared" si="6"/>
        <v>-220233.4264</v>
      </c>
      <c r="K51" s="14">
        <f t="shared" si="6"/>
        <v>-279337.02087999997</v>
      </c>
      <c r="L51" s="14">
        <f t="shared" si="6"/>
        <v>-166228.39851999999</v>
      </c>
      <c r="M51" s="14">
        <f t="shared" si="6"/>
        <v>-754153.52867104998</v>
      </c>
      <c r="N51" s="14">
        <f t="shared" si="6"/>
        <v>0</v>
      </c>
      <c r="O51" s="14">
        <f t="shared" si="6"/>
        <v>-2884038.9190110499</v>
      </c>
    </row>
    <row r="52" spans="1:15" x14ac:dyDescent="0.2">
      <c r="A52" s="15" t="s">
        <v>66</v>
      </c>
      <c r="B52" s="14">
        <f t="shared" ref="B52:O52" si="7">B44+B51</f>
        <v>-64505.539999999994</v>
      </c>
      <c r="C52" s="14">
        <f t="shared" si="7"/>
        <v>-65466.403440000002</v>
      </c>
      <c r="D52" s="14">
        <f t="shared" si="7"/>
        <v>-422109.11040000001</v>
      </c>
      <c r="E52" s="14">
        <f t="shared" si="7"/>
        <v>-554301.83110000007</v>
      </c>
      <c r="F52" s="14">
        <f t="shared" si="7"/>
        <v>-398977.79425000004</v>
      </c>
      <c r="G52" s="14">
        <f t="shared" si="7"/>
        <v>-360911.06200000003</v>
      </c>
      <c r="H52" s="14">
        <f t="shared" si="7"/>
        <v>-167005.86535000001</v>
      </c>
      <c r="I52" s="14">
        <f t="shared" si="7"/>
        <v>-224844.478</v>
      </c>
      <c r="J52" s="14">
        <f t="shared" si="7"/>
        <v>-265344.62640000001</v>
      </c>
      <c r="K52" s="14">
        <f t="shared" si="7"/>
        <v>-366467.42087999999</v>
      </c>
      <c r="L52" s="14">
        <f t="shared" si="7"/>
        <v>-99328.408519999997</v>
      </c>
      <c r="M52" s="14">
        <f t="shared" si="7"/>
        <v>-755245.20867105003</v>
      </c>
      <c r="N52" s="14">
        <f t="shared" si="7"/>
        <v>0</v>
      </c>
      <c r="O52" s="14">
        <f t="shared" si="7"/>
        <v>-3744507.74901105</v>
      </c>
    </row>
    <row r="53" spans="1:15" x14ac:dyDescent="0.2">
      <c r="A53" s="16" t="s">
        <v>67</v>
      </c>
      <c r="B53" s="14">
        <f t="shared" ref="B53:O53" si="8">B37+B52</f>
        <v>960179.37063199992</v>
      </c>
      <c r="C53" s="14">
        <f t="shared" si="8"/>
        <v>965219.12072000001</v>
      </c>
      <c r="D53" s="14">
        <f t="shared" si="8"/>
        <v>1251650.9132439997</v>
      </c>
      <c r="E53" s="14">
        <f t="shared" si="8"/>
        <v>1144709.0264059997</v>
      </c>
      <c r="F53" s="14">
        <f t="shared" si="8"/>
        <v>1030200.774705</v>
      </c>
      <c r="G53" s="14">
        <f t="shared" si="8"/>
        <v>1105975.7464399999</v>
      </c>
      <c r="H53" s="14">
        <f t="shared" si="8"/>
        <v>1188201.719699</v>
      </c>
      <c r="I53" s="14">
        <f t="shared" si="8"/>
        <v>1067973.1257409998</v>
      </c>
      <c r="J53" s="14">
        <f t="shared" si="8"/>
        <v>1085854.493059</v>
      </c>
      <c r="K53" s="14">
        <f t="shared" si="8"/>
        <v>1097089.6741701001</v>
      </c>
      <c r="L53" s="14">
        <f t="shared" si="8"/>
        <v>1328345.1197712198</v>
      </c>
      <c r="M53" s="14">
        <f t="shared" si="8"/>
        <v>1008900.6005040224</v>
      </c>
      <c r="N53" s="14">
        <f t="shared" si="8"/>
        <v>0</v>
      </c>
      <c r="O53" s="14">
        <f t="shared" si="8"/>
        <v>13234299.685091339</v>
      </c>
    </row>
    <row r="54" spans="1:15" x14ac:dyDescent="0.2">
      <c r="A54" s="8" t="s">
        <v>68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">
      <c r="A55" s="9" t="s">
        <v>69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">
      <c r="A56" s="10" t="s">
        <v>70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">
      <c r="A57" s="11" t="s">
        <v>71</v>
      </c>
      <c r="B57" s="12">
        <v>-2524.2698949999999</v>
      </c>
      <c r="C57" s="12">
        <v>-2532.81324</v>
      </c>
      <c r="D57" s="12">
        <v>-4207.8971549999997</v>
      </c>
      <c r="E57" s="12">
        <v>-2731.9113200000002</v>
      </c>
      <c r="F57" s="12">
        <v>-2731.6</v>
      </c>
      <c r="G57" s="12">
        <v>-2952</v>
      </c>
      <c r="H57" s="12">
        <v>-2068</v>
      </c>
      <c r="I57" s="12">
        <v>-2061</v>
      </c>
      <c r="J57" s="12">
        <v>-2119</v>
      </c>
      <c r="K57" s="12">
        <v>-2139</v>
      </c>
      <c r="L57" s="12">
        <v>-2159</v>
      </c>
      <c r="M57" s="12">
        <v>-5496.9914988</v>
      </c>
      <c r="N57" s="12">
        <v>0</v>
      </c>
      <c r="O57" s="12">
        <f t="shared" ref="O57:O64" si="9">SUM(B57:N57)</f>
        <v>-33723.483108799999</v>
      </c>
    </row>
    <row r="58" spans="1:15" x14ac:dyDescent="0.2">
      <c r="A58" s="11" t="s">
        <v>72</v>
      </c>
      <c r="B58" s="12">
        <v>-1715.56</v>
      </c>
      <c r="C58" s="12">
        <v>-1537.35</v>
      </c>
      <c r="D58" s="12">
        <v>-1538.48</v>
      </c>
      <c r="E58" s="12">
        <v>-1539.43</v>
      </c>
      <c r="F58" s="12">
        <v>-1640.14</v>
      </c>
      <c r="G58" s="12">
        <v>-1573.96</v>
      </c>
      <c r="H58" s="12">
        <v>-1521.38</v>
      </c>
      <c r="I58" s="12">
        <v>-1492.38</v>
      </c>
      <c r="J58" s="12">
        <v>-1820.8</v>
      </c>
      <c r="K58" s="12">
        <v>-1208.58</v>
      </c>
      <c r="L58" s="12">
        <v>-1788.95</v>
      </c>
      <c r="M58" s="12">
        <v>-1510.35</v>
      </c>
      <c r="N58" s="12">
        <v>0</v>
      </c>
      <c r="O58" s="12">
        <f t="shared" si="9"/>
        <v>-18887.359999999997</v>
      </c>
    </row>
    <row r="59" spans="1:15" x14ac:dyDescent="0.2">
      <c r="A59" s="11" t="s">
        <v>73</v>
      </c>
      <c r="B59" s="12">
        <v>-7103.05</v>
      </c>
      <c r="C59" s="12">
        <v>-13948.36</v>
      </c>
      <c r="D59" s="12">
        <v>-757.68</v>
      </c>
      <c r="E59" s="12">
        <v>-7167.89</v>
      </c>
      <c r="F59" s="12">
        <v>-15346.48</v>
      </c>
      <c r="G59" s="12">
        <v>-680.54</v>
      </c>
      <c r="H59" s="12">
        <v>-7851.36</v>
      </c>
      <c r="I59" s="12">
        <v>-7922.4</v>
      </c>
      <c r="J59" s="12">
        <v>-15415.23</v>
      </c>
      <c r="K59" s="12">
        <v>-429.57</v>
      </c>
      <c r="L59" s="12">
        <v>-8299.4</v>
      </c>
      <c r="M59" s="12">
        <v>-7922.4</v>
      </c>
      <c r="N59" s="12">
        <v>0</v>
      </c>
      <c r="O59" s="12">
        <f t="shared" si="9"/>
        <v>-92844.36</v>
      </c>
    </row>
    <row r="60" spans="1:15" x14ac:dyDescent="0.2">
      <c r="A60" s="11" t="s">
        <v>74</v>
      </c>
      <c r="B60" s="12">
        <v>-307.06</v>
      </c>
      <c r="C60" s="12">
        <v>-307.06</v>
      </c>
      <c r="D60" s="12">
        <v>-307.56</v>
      </c>
      <c r="E60" s="12">
        <v>-307.56</v>
      </c>
      <c r="F60" s="12">
        <v>-307.56</v>
      </c>
      <c r="G60" s="12">
        <v>-307.56</v>
      </c>
      <c r="H60" s="12">
        <v>-307.56</v>
      </c>
      <c r="I60" s="12">
        <v>-307.56</v>
      </c>
      <c r="J60" s="12">
        <v>0</v>
      </c>
      <c r="K60" s="12">
        <v>-615.12</v>
      </c>
      <c r="L60" s="12">
        <v>-307.56</v>
      </c>
      <c r="M60" s="12">
        <v>-307.56</v>
      </c>
      <c r="N60" s="12">
        <v>0</v>
      </c>
      <c r="O60" s="12">
        <f t="shared" si="9"/>
        <v>-3689.72</v>
      </c>
    </row>
    <row r="61" spans="1:15" x14ac:dyDescent="0.2">
      <c r="A61" s="11" t="s">
        <v>75</v>
      </c>
      <c r="B61" s="12">
        <v>-113164.950172</v>
      </c>
      <c r="C61" s="12">
        <v>-114273.1474</v>
      </c>
      <c r="D61" s="12">
        <v>-82951.727681999997</v>
      </c>
      <c r="E61" s="12">
        <v>-117005.41929400001</v>
      </c>
      <c r="F61" s="12">
        <v>-116894.452985</v>
      </c>
      <c r="G61" s="12">
        <v>-95246.820330000002</v>
      </c>
      <c r="H61" s="12">
        <v>-115087.23490900001</v>
      </c>
      <c r="I61" s="12">
        <v>-116997.246975</v>
      </c>
      <c r="J61" s="12">
        <v>-117955.48927999999</v>
      </c>
      <c r="K61" s="12">
        <v>-119457.45484809999</v>
      </c>
      <c r="L61" s="12">
        <v>-122791.1555836</v>
      </c>
      <c r="M61" s="12">
        <v>-12766.7662222625</v>
      </c>
      <c r="N61" s="12">
        <v>0</v>
      </c>
      <c r="O61" s="12">
        <f t="shared" si="9"/>
        <v>-1244591.8656809626</v>
      </c>
    </row>
    <row r="62" spans="1:15" x14ac:dyDescent="0.2">
      <c r="A62" s="11" t="s">
        <v>76</v>
      </c>
      <c r="B62" s="12">
        <v>0</v>
      </c>
      <c r="C62" s="12">
        <v>0</v>
      </c>
      <c r="D62" s="12">
        <v>0</v>
      </c>
      <c r="E62" s="12">
        <v>-663.57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-660</v>
      </c>
      <c r="N62" s="12">
        <v>0</v>
      </c>
      <c r="O62" s="12">
        <f t="shared" si="9"/>
        <v>-1323.5700000000002</v>
      </c>
    </row>
    <row r="63" spans="1:15" x14ac:dyDescent="0.2">
      <c r="A63" s="11" t="s">
        <v>77</v>
      </c>
      <c r="B63" s="12">
        <v>-4382.0200000000004</v>
      </c>
      <c r="C63" s="12">
        <v>-2599.5500000000002</v>
      </c>
      <c r="D63" s="12">
        <v>-1417.46</v>
      </c>
      <c r="E63" s="12">
        <v>-648.69000000000005</v>
      </c>
      <c r="F63" s="12">
        <v>-677.5</v>
      </c>
      <c r="G63" s="12">
        <v>-633.63</v>
      </c>
      <c r="H63" s="12">
        <v>-691.21</v>
      </c>
      <c r="I63" s="12">
        <v>-2191.88</v>
      </c>
      <c r="J63" s="12">
        <v>-3330.36</v>
      </c>
      <c r="K63" s="12">
        <v>-871.39</v>
      </c>
      <c r="L63" s="12">
        <v>-2031.38</v>
      </c>
      <c r="M63" s="12">
        <v>-1262.92</v>
      </c>
      <c r="N63" s="12">
        <v>0</v>
      </c>
      <c r="O63" s="12">
        <f t="shared" si="9"/>
        <v>-20737.990000000005</v>
      </c>
    </row>
    <row r="64" spans="1:15" x14ac:dyDescent="0.2">
      <c r="A64" s="11" t="s">
        <v>78</v>
      </c>
      <c r="B64" s="12">
        <v>-300</v>
      </c>
      <c r="C64" s="12">
        <v>0</v>
      </c>
      <c r="D64" s="12">
        <v>0</v>
      </c>
      <c r="E64" s="12">
        <v>-1653.9</v>
      </c>
      <c r="F64" s="12">
        <v>-881.45</v>
      </c>
      <c r="G64" s="12">
        <v>-98.9</v>
      </c>
      <c r="H64" s="12">
        <v>-581.09</v>
      </c>
      <c r="I64" s="12">
        <v>-2066.65</v>
      </c>
      <c r="J64" s="12">
        <v>-509.42</v>
      </c>
      <c r="K64" s="12">
        <v>-101.09</v>
      </c>
      <c r="L64" s="12">
        <v>-109.57</v>
      </c>
      <c r="M64" s="12">
        <v>-833.14</v>
      </c>
      <c r="N64" s="12">
        <v>0</v>
      </c>
      <c r="O64" s="12">
        <f t="shared" si="9"/>
        <v>-7135.2100000000009</v>
      </c>
    </row>
    <row r="65" spans="1:15" x14ac:dyDescent="0.2">
      <c r="A65" s="13" t="s">
        <v>79</v>
      </c>
      <c r="B65" s="14">
        <f t="shared" ref="B65:O65" si="10">SUM(B57:B64)</f>
        <v>-129496.910067</v>
      </c>
      <c r="C65" s="14">
        <f t="shared" si="10"/>
        <v>-135198.28063999998</v>
      </c>
      <c r="D65" s="14">
        <f t="shared" si="10"/>
        <v>-91180.804837000003</v>
      </c>
      <c r="E65" s="14">
        <f t="shared" si="10"/>
        <v>-131718.37061400001</v>
      </c>
      <c r="F65" s="14">
        <f t="shared" si="10"/>
        <v>-138479.18298500002</v>
      </c>
      <c r="G65" s="14">
        <f t="shared" si="10"/>
        <v>-101493.41033</v>
      </c>
      <c r="H65" s="14">
        <f t="shared" si="10"/>
        <v>-128107.83490900001</v>
      </c>
      <c r="I65" s="14">
        <f t="shared" si="10"/>
        <v>-133039.11697500001</v>
      </c>
      <c r="J65" s="14">
        <f t="shared" si="10"/>
        <v>-141150.29928000001</v>
      </c>
      <c r="K65" s="14">
        <f t="shared" si="10"/>
        <v>-124822.20484809999</v>
      </c>
      <c r="L65" s="14">
        <f t="shared" si="10"/>
        <v>-137487.0155836</v>
      </c>
      <c r="M65" s="14">
        <f t="shared" si="10"/>
        <v>-30760.127721062498</v>
      </c>
      <c r="N65" s="14">
        <f t="shared" si="10"/>
        <v>0</v>
      </c>
      <c r="O65" s="14">
        <f t="shared" si="10"/>
        <v>-1422933.5587897627</v>
      </c>
    </row>
    <row r="66" spans="1:15" x14ac:dyDescent="0.2">
      <c r="A66" s="10" t="s">
        <v>80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11" t="s">
        <v>81</v>
      </c>
      <c r="B67" s="12">
        <v>-33.11</v>
      </c>
      <c r="C67" s="12">
        <v>-33.11</v>
      </c>
      <c r="D67" s="12">
        <v>-33.11</v>
      </c>
      <c r="E67" s="12">
        <v>-33.11</v>
      </c>
      <c r="F67" s="12">
        <v>-33.11</v>
      </c>
      <c r="G67" s="12">
        <v>-33.11</v>
      </c>
      <c r="H67" s="12">
        <v>-33.11</v>
      </c>
      <c r="I67" s="12">
        <v>-33.11</v>
      </c>
      <c r="J67" s="12">
        <v>-33.11</v>
      </c>
      <c r="K67" s="12">
        <v>-33.11</v>
      </c>
      <c r="L67" s="12">
        <v>-33.11</v>
      </c>
      <c r="M67" s="12">
        <v>-33.11</v>
      </c>
      <c r="N67" s="12">
        <v>0</v>
      </c>
      <c r="O67" s="12">
        <f t="shared" ref="O67:O77" si="11">SUM(B67:N67)</f>
        <v>-397.32000000000011</v>
      </c>
    </row>
    <row r="68" spans="1:15" x14ac:dyDescent="0.2">
      <c r="A68" s="11" t="s">
        <v>82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-1515.120817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f t="shared" si="11"/>
        <v>-1515.120817</v>
      </c>
    </row>
    <row r="69" spans="1:15" x14ac:dyDescent="0.2">
      <c r="A69" s="11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-13.8</v>
      </c>
      <c r="L69" s="12">
        <v>-9</v>
      </c>
      <c r="M69" s="12">
        <v>-9</v>
      </c>
      <c r="N69" s="12">
        <v>0</v>
      </c>
      <c r="O69" s="12">
        <f t="shared" si="11"/>
        <v>-31.8</v>
      </c>
    </row>
    <row r="70" spans="1:15" x14ac:dyDescent="0.2">
      <c r="A70" s="11" t="s">
        <v>84</v>
      </c>
      <c r="B70" s="12">
        <v>-3610.03</v>
      </c>
      <c r="C70" s="12">
        <v>-3610.03</v>
      </c>
      <c r="D70" s="12">
        <v>-3610.03</v>
      </c>
      <c r="E70" s="12">
        <v>-3610.03</v>
      </c>
      <c r="F70" s="12">
        <v>-3610.03</v>
      </c>
      <c r="G70" s="12">
        <v>-3610.03</v>
      </c>
      <c r="H70" s="12">
        <v>-3610.03</v>
      </c>
      <c r="I70" s="12">
        <v>-3610.03</v>
      </c>
      <c r="J70" s="12">
        <v>-3610.03</v>
      </c>
      <c r="K70" s="12">
        <v>-3627.03</v>
      </c>
      <c r="L70" s="12">
        <v>-3636.03</v>
      </c>
      <c r="M70" s="12">
        <v>-3661.03</v>
      </c>
      <c r="N70" s="12">
        <v>0</v>
      </c>
      <c r="O70" s="12">
        <f t="shared" si="11"/>
        <v>-43414.359999999993</v>
      </c>
    </row>
    <row r="71" spans="1:15" x14ac:dyDescent="0.2">
      <c r="A71" s="11" t="s">
        <v>85</v>
      </c>
      <c r="B71" s="12">
        <v>-41618</v>
      </c>
      <c r="C71" s="12">
        <v>-41818</v>
      </c>
      <c r="D71" s="12">
        <v>-43033</v>
      </c>
      <c r="E71" s="12">
        <v>-43442</v>
      </c>
      <c r="F71" s="12">
        <v>-43521</v>
      </c>
      <c r="G71" s="12">
        <v>-32314</v>
      </c>
      <c r="H71" s="12">
        <v>-42496</v>
      </c>
      <c r="I71" s="12">
        <v>-44392</v>
      </c>
      <c r="J71" s="12">
        <v>-45065</v>
      </c>
      <c r="K71" s="12">
        <v>-45056</v>
      </c>
      <c r="L71" s="12">
        <v>-40838</v>
      </c>
      <c r="M71" s="12">
        <v>123862.92</v>
      </c>
      <c r="N71" s="12">
        <v>0</v>
      </c>
      <c r="O71" s="12">
        <f t="shared" si="11"/>
        <v>-339730.08</v>
      </c>
    </row>
    <row r="72" spans="1:15" x14ac:dyDescent="0.2">
      <c r="A72" s="11" t="s">
        <v>86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4947.75</v>
      </c>
      <c r="H72" s="12">
        <v>2843.34</v>
      </c>
      <c r="I72" s="12">
        <v>2409.94</v>
      </c>
      <c r="J72" s="12">
        <v>2332.1999999999998</v>
      </c>
      <c r="K72" s="12">
        <v>1088.3599999999999</v>
      </c>
      <c r="L72" s="12">
        <v>0</v>
      </c>
      <c r="M72" s="12">
        <v>0</v>
      </c>
      <c r="N72" s="12">
        <v>0</v>
      </c>
      <c r="O72" s="12">
        <f t="shared" si="11"/>
        <v>13621.59</v>
      </c>
    </row>
    <row r="73" spans="1:15" x14ac:dyDescent="0.2">
      <c r="A73" s="11" t="s">
        <v>87</v>
      </c>
      <c r="B73" s="12">
        <v>-585824.81106900005</v>
      </c>
      <c r="C73" s="12">
        <v>-590434.35548000003</v>
      </c>
      <c r="D73" s="12">
        <v>-608107.03268099995</v>
      </c>
      <c r="E73" s="12">
        <v>-601672.64111800003</v>
      </c>
      <c r="F73" s="12">
        <v>-597200.23216999997</v>
      </c>
      <c r="G73" s="12">
        <v>-619819.93075000006</v>
      </c>
      <c r="H73" s="12">
        <v>-589148.56114799995</v>
      </c>
      <c r="I73" s="12">
        <v>-594887.47351000004</v>
      </c>
      <c r="J73" s="12">
        <v>-600203.68972799997</v>
      </c>
      <c r="K73" s="12">
        <v>-613297.57680458005</v>
      </c>
      <c r="L73" s="12">
        <v>-651173.4031156</v>
      </c>
      <c r="M73" s="12">
        <v>-651157.05547620752</v>
      </c>
      <c r="N73" s="12">
        <v>0</v>
      </c>
      <c r="O73" s="12">
        <f t="shared" si="11"/>
        <v>-7302926.7630503876</v>
      </c>
    </row>
    <row r="74" spans="1:15" x14ac:dyDescent="0.2">
      <c r="A74" s="11" t="s">
        <v>88</v>
      </c>
      <c r="B74" s="12">
        <v>-76505</v>
      </c>
      <c r="C74" s="12">
        <v>-76835</v>
      </c>
      <c r="D74" s="12">
        <v>-80684</v>
      </c>
      <c r="E74" s="12">
        <v>-80208</v>
      </c>
      <c r="F74" s="12">
        <v>-86348.71</v>
      </c>
      <c r="G74" s="12">
        <v>-79011</v>
      </c>
      <c r="H74" s="12">
        <v>-81410</v>
      </c>
      <c r="I74" s="12">
        <v>-81798</v>
      </c>
      <c r="J74" s="12">
        <v>-83318</v>
      </c>
      <c r="K74" s="12">
        <v>-85747</v>
      </c>
      <c r="L74" s="12">
        <v>-82753</v>
      </c>
      <c r="M74" s="12">
        <v>210720.18</v>
      </c>
      <c r="N74" s="12">
        <v>0</v>
      </c>
      <c r="O74" s="12">
        <f t="shared" si="11"/>
        <v>-683897.53</v>
      </c>
    </row>
    <row r="75" spans="1:15" x14ac:dyDescent="0.2">
      <c r="A75" s="11" t="s">
        <v>89</v>
      </c>
      <c r="B75" s="12">
        <v>-2396.21</v>
      </c>
      <c r="C75" s="12">
        <v>-1243.9100000000001</v>
      </c>
      <c r="D75" s="12">
        <v>-8206.2099999999991</v>
      </c>
      <c r="E75" s="12">
        <v>-12231.21</v>
      </c>
      <c r="F75" s="12">
        <v>-2291.7199999999998</v>
      </c>
      <c r="G75" s="12">
        <v>-1811.16</v>
      </c>
      <c r="H75" s="12">
        <v>-51737.47</v>
      </c>
      <c r="I75" s="12">
        <v>-456.9</v>
      </c>
      <c r="J75" s="12">
        <v>-790.15</v>
      </c>
      <c r="K75" s="12">
        <v>-2857.04</v>
      </c>
      <c r="L75" s="12">
        <v>-4270.13</v>
      </c>
      <c r="M75" s="12">
        <v>-4015.03</v>
      </c>
      <c r="N75" s="12">
        <v>0</v>
      </c>
      <c r="O75" s="12">
        <f t="shared" si="11"/>
        <v>-92307.139999999985</v>
      </c>
    </row>
    <row r="76" spans="1:15" x14ac:dyDescent="0.2">
      <c r="A76" s="11" t="s">
        <v>90</v>
      </c>
      <c r="B76" s="12">
        <v>914</v>
      </c>
      <c r="C76" s="12">
        <v>0</v>
      </c>
      <c r="D76" s="12">
        <v>49435</v>
      </c>
      <c r="E76" s="12">
        <v>0</v>
      </c>
      <c r="F76" s="12">
        <v>0</v>
      </c>
      <c r="G76" s="12">
        <v>68117.88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-114600.56</v>
      </c>
      <c r="N76" s="12">
        <v>0</v>
      </c>
      <c r="O76" s="12">
        <f t="shared" si="11"/>
        <v>3866.320000000007</v>
      </c>
    </row>
    <row r="77" spans="1:15" x14ac:dyDescent="0.2">
      <c r="A77" s="11" t="s">
        <v>91</v>
      </c>
      <c r="B77" s="12">
        <v>-1161</v>
      </c>
      <c r="C77" s="12">
        <v>-1297.44</v>
      </c>
      <c r="D77" s="12">
        <v>-1172.78</v>
      </c>
      <c r="E77" s="12">
        <v>-1161</v>
      </c>
      <c r="F77" s="12">
        <v>-1591.7</v>
      </c>
      <c r="G77" s="12">
        <v>-1220.53</v>
      </c>
      <c r="H77" s="12">
        <v>-1423.94</v>
      </c>
      <c r="I77" s="12">
        <v>-1161</v>
      </c>
      <c r="J77" s="12">
        <v>-1161</v>
      </c>
      <c r="K77" s="12">
        <v>-1161</v>
      </c>
      <c r="L77" s="12">
        <v>-1197.96</v>
      </c>
      <c r="M77" s="12">
        <v>-1341.55</v>
      </c>
      <c r="N77" s="12">
        <v>0</v>
      </c>
      <c r="O77" s="12">
        <f t="shared" si="11"/>
        <v>-15050.899999999998</v>
      </c>
    </row>
    <row r="78" spans="1:15" x14ac:dyDescent="0.2">
      <c r="A78" s="13" t="s">
        <v>92</v>
      </c>
      <c r="B78" s="14">
        <f t="shared" ref="B78:O78" si="12">SUM(B67:B77)</f>
        <v>-710234.16106900002</v>
      </c>
      <c r="C78" s="14">
        <f t="shared" si="12"/>
        <v>-715271.84548000002</v>
      </c>
      <c r="D78" s="14">
        <f t="shared" si="12"/>
        <v>-695411.16268099996</v>
      </c>
      <c r="E78" s="14">
        <f t="shared" si="12"/>
        <v>-742357.99111800001</v>
      </c>
      <c r="F78" s="14">
        <f t="shared" si="12"/>
        <v>-734596.50216999988</v>
      </c>
      <c r="G78" s="14">
        <f t="shared" si="12"/>
        <v>-664754.13075000013</v>
      </c>
      <c r="H78" s="14">
        <f t="shared" si="12"/>
        <v>-768530.89196499984</v>
      </c>
      <c r="I78" s="14">
        <f t="shared" si="12"/>
        <v>-723928.57351000002</v>
      </c>
      <c r="J78" s="14">
        <f t="shared" si="12"/>
        <v>-731848.77972799994</v>
      </c>
      <c r="K78" s="14">
        <f t="shared" si="12"/>
        <v>-750704.19680458005</v>
      </c>
      <c r="L78" s="14">
        <f t="shared" si="12"/>
        <v>-783910.63311559998</v>
      </c>
      <c r="M78" s="14">
        <f t="shared" si="12"/>
        <v>-440234.23547620751</v>
      </c>
      <c r="N78" s="14">
        <f t="shared" si="12"/>
        <v>0</v>
      </c>
      <c r="O78" s="14">
        <f t="shared" si="12"/>
        <v>-8461783.1038673874</v>
      </c>
    </row>
    <row r="79" spans="1:15" x14ac:dyDescent="0.2">
      <c r="A79" s="15" t="s">
        <v>93</v>
      </c>
      <c r="B79" s="14">
        <f t="shared" ref="B79:O79" si="13">B65+B78</f>
        <v>-839731.07113599998</v>
      </c>
      <c r="C79" s="14">
        <f t="shared" si="13"/>
        <v>-850470.12612000003</v>
      </c>
      <c r="D79" s="14">
        <f t="shared" si="13"/>
        <v>-786591.96751799993</v>
      </c>
      <c r="E79" s="14">
        <f t="shared" si="13"/>
        <v>-874076.36173200002</v>
      </c>
      <c r="F79" s="14">
        <f t="shared" si="13"/>
        <v>-873075.68515499984</v>
      </c>
      <c r="G79" s="14">
        <f t="shared" si="13"/>
        <v>-766247.54108000011</v>
      </c>
      <c r="H79" s="14">
        <f t="shared" si="13"/>
        <v>-896638.72687399981</v>
      </c>
      <c r="I79" s="14">
        <f t="shared" si="13"/>
        <v>-856967.69048500003</v>
      </c>
      <c r="J79" s="14">
        <f t="shared" si="13"/>
        <v>-872999.07900799997</v>
      </c>
      <c r="K79" s="14">
        <f t="shared" si="13"/>
        <v>-875526.40165268001</v>
      </c>
      <c r="L79" s="14">
        <f t="shared" si="13"/>
        <v>-921397.64869920001</v>
      </c>
      <c r="M79" s="14">
        <f t="shared" si="13"/>
        <v>-470994.36319727002</v>
      </c>
      <c r="N79" s="14">
        <f t="shared" si="13"/>
        <v>0</v>
      </c>
      <c r="O79" s="14">
        <f t="shared" si="13"/>
        <v>-9884716.6626571491</v>
      </c>
    </row>
    <row r="80" spans="1:15" x14ac:dyDescent="0.2">
      <c r="A80" s="9" t="s">
        <v>94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10" t="s">
        <v>95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11" t="s">
        <v>96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-38.89</v>
      </c>
      <c r="H82" s="12">
        <v>-38.89</v>
      </c>
      <c r="I82" s="12">
        <v>-38.89</v>
      </c>
      <c r="J82" s="12">
        <v>-38.89</v>
      </c>
      <c r="K82" s="12">
        <v>-38.89</v>
      </c>
      <c r="L82" s="12">
        <v>-38.89</v>
      </c>
      <c r="M82" s="12">
        <v>-38.89</v>
      </c>
      <c r="N82" s="12">
        <v>0</v>
      </c>
      <c r="O82" s="12">
        <f>SUM(B82:N82)</f>
        <v>-272.22999999999996</v>
      </c>
    </row>
    <row r="83" spans="1:15" x14ac:dyDescent="0.2">
      <c r="A83" s="11" t="s">
        <v>97</v>
      </c>
      <c r="B83" s="12">
        <v>-1604.28</v>
      </c>
      <c r="C83" s="12">
        <v>-2752.08</v>
      </c>
      <c r="D83" s="12">
        <v>-2012.13</v>
      </c>
      <c r="E83" s="12">
        <v>-1868.76</v>
      </c>
      <c r="F83" s="12">
        <v>-1845.41</v>
      </c>
      <c r="G83" s="12">
        <v>-1845.51</v>
      </c>
      <c r="H83" s="12">
        <v>-1845.41</v>
      </c>
      <c r="I83" s="12">
        <v>-1845.51</v>
      </c>
      <c r="J83" s="12">
        <v>-1845.43</v>
      </c>
      <c r="K83" s="12">
        <v>-1845.51</v>
      </c>
      <c r="L83" s="12">
        <v>-1845.43</v>
      </c>
      <c r="M83" s="12">
        <v>-2571.58</v>
      </c>
      <c r="N83" s="12">
        <v>0</v>
      </c>
      <c r="O83" s="12">
        <f>SUM(B83:N83)</f>
        <v>-23727.040000000001</v>
      </c>
    </row>
    <row r="84" spans="1:15" x14ac:dyDescent="0.2">
      <c r="A84" s="11" t="s">
        <v>98</v>
      </c>
      <c r="B84" s="12">
        <v>-739.94</v>
      </c>
      <c r="C84" s="12">
        <v>0</v>
      </c>
      <c r="D84" s="12">
        <v>-739.94</v>
      </c>
      <c r="E84" s="12">
        <v>-739.94</v>
      </c>
      <c r="F84" s="12">
        <v>-739.94</v>
      </c>
      <c r="G84" s="12">
        <v>-739.94</v>
      </c>
      <c r="H84" s="12">
        <v>-739.94</v>
      </c>
      <c r="I84" s="12">
        <v>-739.94</v>
      </c>
      <c r="J84" s="12">
        <v>-739.94</v>
      </c>
      <c r="K84" s="12">
        <v>-739.94</v>
      </c>
      <c r="L84" s="12">
        <v>-739.94</v>
      </c>
      <c r="M84" s="12">
        <v>-1479.88</v>
      </c>
      <c r="N84" s="12">
        <v>0</v>
      </c>
      <c r="O84" s="12">
        <f>SUM(B84:N84)</f>
        <v>-8879.2800000000025</v>
      </c>
    </row>
    <row r="85" spans="1:15" x14ac:dyDescent="0.2">
      <c r="A85" s="11" t="s">
        <v>99</v>
      </c>
      <c r="B85" s="12">
        <v>-32.378500000000003</v>
      </c>
      <c r="C85" s="12">
        <v>-815.33199999999999</v>
      </c>
      <c r="D85" s="12">
        <v>-5525.6350000000002</v>
      </c>
      <c r="E85" s="12">
        <v>0</v>
      </c>
      <c r="F85" s="12">
        <v>-740</v>
      </c>
      <c r="G85" s="12">
        <v>-386.48</v>
      </c>
      <c r="H85" s="12">
        <v>-2560.56</v>
      </c>
      <c r="I85" s="12">
        <v>-1659.33</v>
      </c>
      <c r="J85" s="12">
        <v>-3272.2</v>
      </c>
      <c r="K85" s="12">
        <v>-3238.2</v>
      </c>
      <c r="L85" s="12">
        <v>-386.48</v>
      </c>
      <c r="M85" s="12">
        <v>-565.79</v>
      </c>
      <c r="N85" s="12">
        <v>0</v>
      </c>
      <c r="O85" s="12">
        <f>SUM(B85:N85)</f>
        <v>-19182.3855</v>
      </c>
    </row>
    <row r="86" spans="1:15" x14ac:dyDescent="0.2">
      <c r="A86" s="13" t="s">
        <v>100</v>
      </c>
      <c r="B86" s="14">
        <f t="shared" ref="B86:O86" si="14">SUM(B82:B85)</f>
        <v>-2376.5985000000001</v>
      </c>
      <c r="C86" s="14">
        <f t="shared" si="14"/>
        <v>-3567.4119999999998</v>
      </c>
      <c r="D86" s="14">
        <f t="shared" si="14"/>
        <v>-8277.7049999999999</v>
      </c>
      <c r="E86" s="14">
        <f t="shared" si="14"/>
        <v>-2608.6999999999998</v>
      </c>
      <c r="F86" s="14">
        <f t="shared" si="14"/>
        <v>-3325.3500000000004</v>
      </c>
      <c r="G86" s="14">
        <f t="shared" si="14"/>
        <v>-3010.82</v>
      </c>
      <c r="H86" s="14">
        <f t="shared" si="14"/>
        <v>-5184.8</v>
      </c>
      <c r="I86" s="14">
        <f t="shared" si="14"/>
        <v>-4283.67</v>
      </c>
      <c r="J86" s="14">
        <f t="shared" si="14"/>
        <v>-5896.46</v>
      </c>
      <c r="K86" s="14">
        <f t="shared" si="14"/>
        <v>-5862.54</v>
      </c>
      <c r="L86" s="14">
        <f t="shared" si="14"/>
        <v>-3010.7400000000002</v>
      </c>
      <c r="M86" s="14">
        <f t="shared" si="14"/>
        <v>-4656.1399999999994</v>
      </c>
      <c r="N86" s="14">
        <f t="shared" si="14"/>
        <v>0</v>
      </c>
      <c r="O86" s="14">
        <f t="shared" si="14"/>
        <v>-52060.935500000007</v>
      </c>
    </row>
    <row r="87" spans="1:15" x14ac:dyDescent="0.2">
      <c r="A87" s="15" t="s">
        <v>101</v>
      </c>
      <c r="B87" s="14">
        <f t="shared" ref="B87:O87" si="15">B86+0</f>
        <v>-2376.5985000000001</v>
      </c>
      <c r="C87" s="14">
        <f t="shared" si="15"/>
        <v>-3567.4119999999998</v>
      </c>
      <c r="D87" s="14">
        <f t="shared" si="15"/>
        <v>-8277.7049999999999</v>
      </c>
      <c r="E87" s="14">
        <f t="shared" si="15"/>
        <v>-2608.6999999999998</v>
      </c>
      <c r="F87" s="14">
        <f t="shared" si="15"/>
        <v>-3325.3500000000004</v>
      </c>
      <c r="G87" s="14">
        <f t="shared" si="15"/>
        <v>-3010.82</v>
      </c>
      <c r="H87" s="14">
        <f t="shared" si="15"/>
        <v>-5184.8</v>
      </c>
      <c r="I87" s="14">
        <f t="shared" si="15"/>
        <v>-4283.67</v>
      </c>
      <c r="J87" s="14">
        <f t="shared" si="15"/>
        <v>-5896.46</v>
      </c>
      <c r="K87" s="14">
        <f t="shared" si="15"/>
        <v>-5862.54</v>
      </c>
      <c r="L87" s="14">
        <f t="shared" si="15"/>
        <v>-3010.7400000000002</v>
      </c>
      <c r="M87" s="14">
        <f t="shared" si="15"/>
        <v>-4656.1399999999994</v>
      </c>
      <c r="N87" s="14">
        <f t="shared" si="15"/>
        <v>0</v>
      </c>
      <c r="O87" s="14">
        <f t="shared" si="15"/>
        <v>-52060.935500000007</v>
      </c>
    </row>
    <row r="88" spans="1:15" x14ac:dyDescent="0.2">
      <c r="A88" s="9" t="s">
        <v>102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17" t="s">
        <v>103</v>
      </c>
      <c r="B89" s="12">
        <v>-396.9</v>
      </c>
      <c r="C89" s="12">
        <v>-269.99</v>
      </c>
      <c r="D89" s="12">
        <v>-3164.6</v>
      </c>
      <c r="E89" s="12">
        <v>-1169.5899999999999</v>
      </c>
      <c r="F89" s="12">
        <v>-1245.24</v>
      </c>
      <c r="G89" s="12">
        <v>-1644.9949999999999</v>
      </c>
      <c r="H89" s="12">
        <v>0</v>
      </c>
      <c r="I89" s="12">
        <v>-600</v>
      </c>
      <c r="J89" s="12">
        <v>-123.29</v>
      </c>
      <c r="K89" s="12">
        <v>-2367.4</v>
      </c>
      <c r="L89" s="12">
        <v>-5226.6499999999996</v>
      </c>
      <c r="M89" s="12">
        <v>-767.4</v>
      </c>
      <c r="N89" s="12">
        <v>0</v>
      </c>
      <c r="O89" s="12">
        <f t="shared" ref="O89:O120" si="16">SUM(B89:N89)</f>
        <v>-16976.055</v>
      </c>
    </row>
    <row r="90" spans="1:15" x14ac:dyDescent="0.2">
      <c r="A90" s="17" t="s">
        <v>104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-165</v>
      </c>
      <c r="I90" s="12">
        <v>-481.02</v>
      </c>
      <c r="J90" s="12">
        <v>-52.98</v>
      </c>
      <c r="K90" s="12">
        <v>-1736.7</v>
      </c>
      <c r="L90" s="12">
        <v>-1803.12</v>
      </c>
      <c r="M90" s="12">
        <v>4238.82</v>
      </c>
      <c r="N90" s="12">
        <v>0</v>
      </c>
      <c r="O90" s="12">
        <f t="shared" si="16"/>
        <v>0</v>
      </c>
    </row>
    <row r="91" spans="1:15" x14ac:dyDescent="0.2">
      <c r="A91" s="17" t="s">
        <v>105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-215.97</v>
      </c>
      <c r="L91" s="12">
        <v>-341.03</v>
      </c>
      <c r="M91" s="12">
        <v>-653.1</v>
      </c>
      <c r="N91" s="12">
        <v>0</v>
      </c>
      <c r="O91" s="12">
        <f t="shared" si="16"/>
        <v>-1210.0999999999999</v>
      </c>
    </row>
    <row r="92" spans="1:15" x14ac:dyDescent="0.2">
      <c r="A92" s="17" t="s">
        <v>106</v>
      </c>
      <c r="B92" s="12">
        <v>-1100</v>
      </c>
      <c r="C92" s="12">
        <v>-1100</v>
      </c>
      <c r="D92" s="12">
        <v>-1100</v>
      </c>
      <c r="E92" s="12">
        <v>-1100</v>
      </c>
      <c r="F92" s="12">
        <v>-1100</v>
      </c>
      <c r="G92" s="12">
        <v>-1100</v>
      </c>
      <c r="H92" s="12">
        <v>-1100</v>
      </c>
      <c r="I92" s="12">
        <v>-1100</v>
      </c>
      <c r="J92" s="12">
        <v>-1100</v>
      </c>
      <c r="K92" s="12">
        <v>-1100</v>
      </c>
      <c r="L92" s="12">
        <v>-1100</v>
      </c>
      <c r="M92" s="12">
        <v>-15351.83706152</v>
      </c>
      <c r="N92" s="12">
        <v>0</v>
      </c>
      <c r="O92" s="12">
        <f t="shared" si="16"/>
        <v>-27451.83706152</v>
      </c>
    </row>
    <row r="93" spans="1:15" x14ac:dyDescent="0.2">
      <c r="A93" s="17" t="s">
        <v>107</v>
      </c>
      <c r="B93" s="12">
        <v>-2735.04</v>
      </c>
      <c r="C93" s="12">
        <v>-2865.02</v>
      </c>
      <c r="D93" s="12">
        <v>-2925.07</v>
      </c>
      <c r="E93" s="12">
        <v>-3203.1</v>
      </c>
      <c r="F93" s="12">
        <v>-2886.57</v>
      </c>
      <c r="G93" s="12">
        <v>-2752.28</v>
      </c>
      <c r="H93" s="12">
        <v>-2676.39</v>
      </c>
      <c r="I93" s="12">
        <v>-2865.14</v>
      </c>
      <c r="J93" s="12">
        <v>-2824.11</v>
      </c>
      <c r="K93" s="12">
        <v>-2940.59</v>
      </c>
      <c r="L93" s="12">
        <v>-2781.38</v>
      </c>
      <c r="M93" s="12">
        <v>-2794.58</v>
      </c>
      <c r="N93" s="12">
        <v>0</v>
      </c>
      <c r="O93" s="12">
        <f t="shared" si="16"/>
        <v>-34249.269999999997</v>
      </c>
    </row>
    <row r="94" spans="1:15" x14ac:dyDescent="0.2">
      <c r="A94" s="17" t="s">
        <v>108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-2240</v>
      </c>
      <c r="N94" s="12">
        <v>0</v>
      </c>
      <c r="O94" s="12">
        <f t="shared" si="16"/>
        <v>-2240</v>
      </c>
    </row>
    <row r="95" spans="1:15" x14ac:dyDescent="0.2">
      <c r="A95" s="17" t="s">
        <v>109</v>
      </c>
      <c r="B95" s="12">
        <v>0</v>
      </c>
      <c r="C95" s="12">
        <v>0</v>
      </c>
      <c r="D95" s="12">
        <v>0</v>
      </c>
      <c r="E95" s="12">
        <v>-10108.85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f t="shared" si="16"/>
        <v>-10108.85</v>
      </c>
    </row>
    <row r="96" spans="1:15" x14ac:dyDescent="0.2">
      <c r="A96" s="17" t="s">
        <v>110</v>
      </c>
      <c r="B96" s="12">
        <v>-5403.3592399999998</v>
      </c>
      <c r="C96" s="12">
        <v>-1441.94</v>
      </c>
      <c r="D96" s="12">
        <v>-4257.3500000000004</v>
      </c>
      <c r="E96" s="12">
        <v>-2587.1799999999998</v>
      </c>
      <c r="F96" s="12">
        <v>-7611.8131700000004</v>
      </c>
      <c r="G96" s="12">
        <v>-1362.6849999999999</v>
      </c>
      <c r="H96" s="12">
        <v>-2013.02</v>
      </c>
      <c r="I96" s="12">
        <v>-1517.9059999999999</v>
      </c>
      <c r="J96" s="12">
        <v>-804.21</v>
      </c>
      <c r="K96" s="12">
        <v>-946.2</v>
      </c>
      <c r="L96" s="12">
        <v>-1381.19</v>
      </c>
      <c r="M96" s="12">
        <v>-2105.13</v>
      </c>
      <c r="N96" s="12">
        <v>0</v>
      </c>
      <c r="O96" s="12">
        <f t="shared" si="16"/>
        <v>-31431.983410000001</v>
      </c>
    </row>
    <row r="97" spans="1:15" x14ac:dyDescent="0.2">
      <c r="A97" s="17" t="s">
        <v>111</v>
      </c>
      <c r="B97" s="12">
        <v>1920.13</v>
      </c>
      <c r="C97" s="12">
        <v>803.32</v>
      </c>
      <c r="D97" s="12">
        <v>4859.1099999999997</v>
      </c>
      <c r="E97" s="12">
        <v>-7705.7</v>
      </c>
      <c r="F97" s="12">
        <v>-3179.37</v>
      </c>
      <c r="G97" s="12">
        <v>12298.12</v>
      </c>
      <c r="H97" s="12">
        <v>1775.95</v>
      </c>
      <c r="I97" s="12">
        <v>1998.34</v>
      </c>
      <c r="J97" s="12">
        <v>15679.14</v>
      </c>
      <c r="K97" s="12">
        <v>6145.11</v>
      </c>
      <c r="L97" s="12">
        <v>-11626.6</v>
      </c>
      <c r="M97" s="12">
        <v>-2244.15</v>
      </c>
      <c r="N97" s="12">
        <v>0</v>
      </c>
      <c r="O97" s="12">
        <f t="shared" si="16"/>
        <v>20723.400000000001</v>
      </c>
    </row>
    <row r="98" spans="1:15" x14ac:dyDescent="0.2">
      <c r="A98" s="17" t="s">
        <v>112</v>
      </c>
      <c r="B98" s="12">
        <v>0</v>
      </c>
      <c r="C98" s="12">
        <v>0</v>
      </c>
      <c r="D98" s="12">
        <v>0</v>
      </c>
      <c r="E98" s="12">
        <v>9.6347819999999995</v>
      </c>
      <c r="F98" s="12">
        <v>0</v>
      </c>
      <c r="G98" s="12">
        <v>0</v>
      </c>
      <c r="H98" s="12">
        <v>-0.64163099999999995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f t="shared" si="16"/>
        <v>8.9931509999999992</v>
      </c>
    </row>
    <row r="99" spans="1:15" x14ac:dyDescent="0.2">
      <c r="A99" s="17" t="s">
        <v>113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-1540</v>
      </c>
      <c r="N99" s="12">
        <v>0</v>
      </c>
      <c r="O99" s="12">
        <f t="shared" si="16"/>
        <v>-1540</v>
      </c>
    </row>
    <row r="100" spans="1:15" x14ac:dyDescent="0.2">
      <c r="A100" s="17" t="s">
        <v>114</v>
      </c>
      <c r="B100" s="12">
        <v>0</v>
      </c>
      <c r="C100" s="12">
        <v>0</v>
      </c>
      <c r="D100" s="12">
        <v>-927</v>
      </c>
      <c r="E100" s="12">
        <v>-735</v>
      </c>
      <c r="F100" s="12">
        <v>0</v>
      </c>
      <c r="G100" s="12">
        <v>-424.8</v>
      </c>
      <c r="H100" s="12">
        <v>0</v>
      </c>
      <c r="I100" s="12">
        <v>0</v>
      </c>
      <c r="J100" s="12">
        <v>-646.02</v>
      </c>
      <c r="K100" s="12">
        <v>0</v>
      </c>
      <c r="L100" s="12">
        <v>0</v>
      </c>
      <c r="M100" s="12">
        <v>-5432.22</v>
      </c>
      <c r="N100" s="12">
        <v>0</v>
      </c>
      <c r="O100" s="12">
        <f t="shared" si="16"/>
        <v>-8165.0400000000009</v>
      </c>
    </row>
    <row r="101" spans="1:15" x14ac:dyDescent="0.2">
      <c r="A101" s="17" t="s">
        <v>115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-770</v>
      </c>
      <c r="M101" s="12">
        <v>-1584</v>
      </c>
      <c r="N101" s="12">
        <v>0</v>
      </c>
      <c r="O101" s="12">
        <f t="shared" si="16"/>
        <v>-2354</v>
      </c>
    </row>
    <row r="102" spans="1:15" x14ac:dyDescent="0.2">
      <c r="A102" s="17" t="s">
        <v>116</v>
      </c>
      <c r="B102" s="12">
        <v>-1427.37</v>
      </c>
      <c r="C102" s="12">
        <v>-112.19</v>
      </c>
      <c r="D102" s="12">
        <v>-29.17</v>
      </c>
      <c r="E102" s="12">
        <v>-4261.5</v>
      </c>
      <c r="F102" s="12">
        <v>-1936.66</v>
      </c>
      <c r="G102" s="12">
        <v>-371.58</v>
      </c>
      <c r="H102" s="12">
        <v>-3237.11</v>
      </c>
      <c r="I102" s="12">
        <v>-4198.7</v>
      </c>
      <c r="J102" s="12">
        <v>-3033.61</v>
      </c>
      <c r="K102" s="12">
        <v>-2599.3200000000002</v>
      </c>
      <c r="L102" s="12">
        <v>-16825.25</v>
      </c>
      <c r="M102" s="12">
        <v>-4654.88</v>
      </c>
      <c r="N102" s="12">
        <v>0</v>
      </c>
      <c r="O102" s="12">
        <f t="shared" si="16"/>
        <v>-42687.34</v>
      </c>
    </row>
    <row r="103" spans="1:15" x14ac:dyDescent="0.2">
      <c r="A103" s="17" t="s">
        <v>117</v>
      </c>
      <c r="B103" s="12">
        <v>55.29</v>
      </c>
      <c r="C103" s="12">
        <v>0</v>
      </c>
      <c r="D103" s="12">
        <v>-23.55</v>
      </c>
      <c r="E103" s="12">
        <v>0</v>
      </c>
      <c r="F103" s="12">
        <v>-833.89</v>
      </c>
      <c r="G103" s="12">
        <v>-496.93</v>
      </c>
      <c r="H103" s="12">
        <v>-1603.36</v>
      </c>
      <c r="I103" s="12">
        <v>-2324.85</v>
      </c>
      <c r="J103" s="12">
        <v>-2462.15</v>
      </c>
      <c r="K103" s="12">
        <v>-7470.32</v>
      </c>
      <c r="L103" s="12">
        <v>-5451.09</v>
      </c>
      <c r="M103" s="12">
        <v>-1111.05</v>
      </c>
      <c r="N103" s="12">
        <v>0</v>
      </c>
      <c r="O103" s="12">
        <f t="shared" si="16"/>
        <v>-21721.899999999998</v>
      </c>
    </row>
    <row r="104" spans="1:15" x14ac:dyDescent="0.2">
      <c r="A104" s="17" t="s">
        <v>118</v>
      </c>
      <c r="B104" s="12">
        <v>0</v>
      </c>
      <c r="C104" s="12">
        <v>0</v>
      </c>
      <c r="D104" s="12">
        <v>-3864</v>
      </c>
      <c r="E104" s="12">
        <v>1172.83</v>
      </c>
      <c r="F104" s="12">
        <v>0</v>
      </c>
      <c r="G104" s="12">
        <v>-3237.44</v>
      </c>
      <c r="H104" s="12">
        <v>-4362.76</v>
      </c>
      <c r="I104" s="12">
        <v>-4140</v>
      </c>
      <c r="J104" s="12">
        <v>-2455.83</v>
      </c>
      <c r="K104" s="12">
        <v>-8629.4500000000007</v>
      </c>
      <c r="L104" s="12">
        <v>-992.35</v>
      </c>
      <c r="M104" s="12">
        <v>-11404.7</v>
      </c>
      <c r="N104" s="12">
        <v>0</v>
      </c>
      <c r="O104" s="12">
        <f t="shared" si="16"/>
        <v>-37913.699999999997</v>
      </c>
    </row>
    <row r="105" spans="1:15" x14ac:dyDescent="0.2">
      <c r="A105" s="17" t="s">
        <v>119</v>
      </c>
      <c r="B105" s="12">
        <v>-406.08</v>
      </c>
      <c r="C105" s="12">
        <v>0</v>
      </c>
      <c r="D105" s="12">
        <v>-257.94</v>
      </c>
      <c r="E105" s="12">
        <v>0</v>
      </c>
      <c r="F105" s="12">
        <v>-508.41</v>
      </c>
      <c r="G105" s="12">
        <v>0</v>
      </c>
      <c r="H105" s="12">
        <v>-177.1</v>
      </c>
      <c r="I105" s="12">
        <v>-1084.21</v>
      </c>
      <c r="J105" s="12">
        <v>-1115.28</v>
      </c>
      <c r="K105" s="12">
        <v>-9512.24</v>
      </c>
      <c r="L105" s="12">
        <v>-2739.45</v>
      </c>
      <c r="M105" s="12">
        <v>-785.04</v>
      </c>
      <c r="N105" s="12">
        <v>0</v>
      </c>
      <c r="O105" s="12">
        <f t="shared" si="16"/>
        <v>-16585.75</v>
      </c>
    </row>
    <row r="106" spans="1:15" x14ac:dyDescent="0.2">
      <c r="A106" s="17" t="s">
        <v>120</v>
      </c>
      <c r="B106" s="12">
        <v>-10.08</v>
      </c>
      <c r="C106" s="12">
        <v>0</v>
      </c>
      <c r="D106" s="12">
        <v>-5.04</v>
      </c>
      <c r="E106" s="12">
        <v>-16.809999999999999</v>
      </c>
      <c r="F106" s="12">
        <v>-3.78</v>
      </c>
      <c r="G106" s="12">
        <v>0</v>
      </c>
      <c r="H106" s="12">
        <v>-294.24790100000001</v>
      </c>
      <c r="I106" s="12">
        <v>-38.65</v>
      </c>
      <c r="J106" s="12">
        <v>-679.12617599999999</v>
      </c>
      <c r="K106" s="12">
        <v>-195.23</v>
      </c>
      <c r="L106" s="12">
        <v>-22.96</v>
      </c>
      <c r="M106" s="12">
        <v>0</v>
      </c>
      <c r="N106" s="12">
        <v>0</v>
      </c>
      <c r="O106" s="12">
        <f t="shared" si="16"/>
        <v>-1265.9240770000001</v>
      </c>
    </row>
    <row r="107" spans="1:15" x14ac:dyDescent="0.2">
      <c r="A107" s="17" t="s">
        <v>121</v>
      </c>
      <c r="B107" s="12">
        <v>0</v>
      </c>
      <c r="C107" s="12">
        <v>0</v>
      </c>
      <c r="D107" s="12">
        <v>-1953.4</v>
      </c>
      <c r="E107" s="12">
        <v>-1894.6</v>
      </c>
      <c r="F107" s="12">
        <v>0</v>
      </c>
      <c r="G107" s="12">
        <v>-416</v>
      </c>
      <c r="H107" s="12">
        <v>-1614</v>
      </c>
      <c r="I107" s="12">
        <v>-2393.4</v>
      </c>
      <c r="J107" s="12">
        <v>-2053.5680000000002</v>
      </c>
      <c r="K107" s="12">
        <v>-5104.8935076600001</v>
      </c>
      <c r="L107" s="12">
        <v>-2911.6</v>
      </c>
      <c r="M107" s="12">
        <v>-6126.8276562499996</v>
      </c>
      <c r="N107" s="12">
        <v>0</v>
      </c>
      <c r="O107" s="12">
        <f t="shared" si="16"/>
        <v>-24468.289163909998</v>
      </c>
    </row>
    <row r="108" spans="1:15" x14ac:dyDescent="0.2">
      <c r="A108" s="17" t="s">
        <v>122</v>
      </c>
      <c r="B108" s="12">
        <v>-1004.82</v>
      </c>
      <c r="C108" s="12">
        <v>-702.25</v>
      </c>
      <c r="D108" s="12">
        <v>-1004.68</v>
      </c>
      <c r="E108" s="12">
        <v>-617.4</v>
      </c>
      <c r="F108" s="12">
        <v>-1070.46</v>
      </c>
      <c r="G108" s="12">
        <v>-849.16780000000006</v>
      </c>
      <c r="H108" s="12">
        <v>-1711.053185</v>
      </c>
      <c r="I108" s="12">
        <v>-2173.3859000000002</v>
      </c>
      <c r="J108" s="12">
        <v>-4757.3851059999997</v>
      </c>
      <c r="K108" s="12">
        <v>-6509.6831036599997</v>
      </c>
      <c r="L108" s="12">
        <v>-3534.4377746099999</v>
      </c>
      <c r="M108" s="12">
        <v>-1895.0706105625</v>
      </c>
      <c r="N108" s="12">
        <v>0</v>
      </c>
      <c r="O108" s="12">
        <f t="shared" si="16"/>
        <v>-25829.7934798325</v>
      </c>
    </row>
    <row r="109" spans="1:15" x14ac:dyDescent="0.2">
      <c r="A109" s="17" t="s">
        <v>123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-228.22</v>
      </c>
      <c r="K109" s="12">
        <v>-560.9</v>
      </c>
      <c r="L109" s="12">
        <v>-267.18</v>
      </c>
      <c r="M109" s="12">
        <v>-482.08</v>
      </c>
      <c r="N109" s="12">
        <v>0</v>
      </c>
      <c r="O109" s="12">
        <f t="shared" si="16"/>
        <v>-1538.3799999999999</v>
      </c>
    </row>
    <row r="110" spans="1:15" x14ac:dyDescent="0.2">
      <c r="A110" s="17" t="s">
        <v>124</v>
      </c>
      <c r="B110" s="12">
        <v>-8646.18</v>
      </c>
      <c r="C110" s="12">
        <v>-3111.97</v>
      </c>
      <c r="D110" s="12">
        <v>-8668.52</v>
      </c>
      <c r="E110" s="12">
        <v>-3870.77</v>
      </c>
      <c r="F110" s="12">
        <v>-3757.69</v>
      </c>
      <c r="G110" s="12">
        <v>-5329.47</v>
      </c>
      <c r="H110" s="12">
        <v>-3388.68</v>
      </c>
      <c r="I110" s="12">
        <v>-3388.63</v>
      </c>
      <c r="J110" s="12">
        <v>-3315.74</v>
      </c>
      <c r="K110" s="12">
        <v>-2675.2</v>
      </c>
      <c r="L110" s="12">
        <v>-3462.47</v>
      </c>
      <c r="M110" s="12">
        <v>-5307.52</v>
      </c>
      <c r="N110" s="12">
        <v>0</v>
      </c>
      <c r="O110" s="12">
        <f t="shared" si="16"/>
        <v>-54922.84</v>
      </c>
    </row>
    <row r="111" spans="1:15" x14ac:dyDescent="0.2">
      <c r="A111" s="17" t="s">
        <v>125</v>
      </c>
      <c r="B111" s="12">
        <v>-1082.3292510000001</v>
      </c>
      <c r="C111" s="12">
        <v>-709.32668000000001</v>
      </c>
      <c r="D111" s="12">
        <v>-199.910585</v>
      </c>
      <c r="E111" s="12">
        <v>-515.11647000000005</v>
      </c>
      <c r="F111" s="12">
        <v>-154.58000000000001</v>
      </c>
      <c r="G111" s="12">
        <v>-154.58000000000001</v>
      </c>
      <c r="H111" s="12">
        <v>-1095.17</v>
      </c>
      <c r="I111" s="12">
        <v>-713.58</v>
      </c>
      <c r="J111" s="12">
        <v>-713.58</v>
      </c>
      <c r="K111" s="12">
        <v>-1049.25</v>
      </c>
      <c r="L111" s="12">
        <v>-154.58000000000001</v>
      </c>
      <c r="M111" s="12">
        <v>-730.25</v>
      </c>
      <c r="N111" s="12">
        <v>0</v>
      </c>
      <c r="O111" s="12">
        <f t="shared" si="16"/>
        <v>-7272.2529860000004</v>
      </c>
    </row>
    <row r="112" spans="1:15" x14ac:dyDescent="0.2">
      <c r="A112" s="17" t="s">
        <v>126</v>
      </c>
      <c r="B112" s="12">
        <v>-9620.02</v>
      </c>
      <c r="C112" s="12">
        <v>-9620.02</v>
      </c>
      <c r="D112" s="12">
        <v>-4952.91</v>
      </c>
      <c r="E112" s="12">
        <v>-8808.66</v>
      </c>
      <c r="F112" s="12">
        <v>-9796.75</v>
      </c>
      <c r="G112" s="12">
        <v>-8729.34</v>
      </c>
      <c r="H112" s="12">
        <v>-8806.64</v>
      </c>
      <c r="I112" s="12">
        <v>-8937.82</v>
      </c>
      <c r="J112" s="12">
        <v>-8773.9789849999997</v>
      </c>
      <c r="K112" s="12">
        <v>-8717.1200000000008</v>
      </c>
      <c r="L112" s="12">
        <v>-8717.1200000000008</v>
      </c>
      <c r="M112" s="12">
        <v>-5287.66</v>
      </c>
      <c r="N112" s="12">
        <v>0</v>
      </c>
      <c r="O112" s="12">
        <f t="shared" si="16"/>
        <v>-100768.03898499999</v>
      </c>
    </row>
    <row r="113" spans="1:15" x14ac:dyDescent="0.2">
      <c r="A113" s="17" t="s">
        <v>127</v>
      </c>
      <c r="B113" s="12">
        <v>0</v>
      </c>
      <c r="C113" s="12">
        <v>0</v>
      </c>
      <c r="D113" s="12">
        <v>0</v>
      </c>
      <c r="E113" s="12">
        <v>0</v>
      </c>
      <c r="F113" s="12">
        <v>-104.87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f t="shared" si="16"/>
        <v>-104.87</v>
      </c>
    </row>
    <row r="114" spans="1:15" x14ac:dyDescent="0.2">
      <c r="A114" s="17" t="s">
        <v>128</v>
      </c>
      <c r="B114" s="12">
        <v>-1644.57</v>
      </c>
      <c r="C114" s="12">
        <v>-3346.25</v>
      </c>
      <c r="D114" s="12">
        <v>-1644.76</v>
      </c>
      <c r="E114" s="12">
        <v>-1591.87</v>
      </c>
      <c r="F114" s="12">
        <v>-1644.55</v>
      </c>
      <c r="G114" s="12">
        <v>-1591.97</v>
      </c>
      <c r="H114" s="12">
        <v>-1644.84</v>
      </c>
      <c r="I114" s="12">
        <v>-1644.91</v>
      </c>
      <c r="J114" s="12">
        <v>-1592.09</v>
      </c>
      <c r="K114" s="12">
        <v>-1644.95</v>
      </c>
      <c r="L114" s="12">
        <v>-1592.45</v>
      </c>
      <c r="M114" s="12">
        <v>-2405.11</v>
      </c>
      <c r="N114" s="12">
        <v>0</v>
      </c>
      <c r="O114" s="12">
        <f t="shared" si="16"/>
        <v>-21988.32</v>
      </c>
    </row>
    <row r="115" spans="1:15" x14ac:dyDescent="0.2">
      <c r="A115" s="17" t="s">
        <v>129</v>
      </c>
      <c r="B115" s="12">
        <v>-261.13</v>
      </c>
      <c r="C115" s="12">
        <v>-4314.49</v>
      </c>
      <c r="D115" s="12">
        <v>-1916.909508</v>
      </c>
      <c r="E115" s="12">
        <v>-1205.5846300000001</v>
      </c>
      <c r="F115" s="12">
        <v>-398.12591500000002</v>
      </c>
      <c r="G115" s="12">
        <v>-1653.6424</v>
      </c>
      <c r="H115" s="12">
        <v>-653.88599999999997</v>
      </c>
      <c r="I115" s="12">
        <v>-4234.74</v>
      </c>
      <c r="J115" s="12">
        <v>-1818.230695</v>
      </c>
      <c r="K115" s="12">
        <v>-491.32</v>
      </c>
      <c r="L115" s="12">
        <v>-727.96659999999997</v>
      </c>
      <c r="M115" s="12">
        <v>-8506.9229972800003</v>
      </c>
      <c r="N115" s="12">
        <v>0</v>
      </c>
      <c r="O115" s="12">
        <f t="shared" si="16"/>
        <v>-26182.948745280002</v>
      </c>
    </row>
    <row r="116" spans="1:15" x14ac:dyDescent="0.2">
      <c r="A116" s="17" t="s">
        <v>130</v>
      </c>
      <c r="B116" s="12">
        <v>-1036.724025</v>
      </c>
      <c r="C116" s="12">
        <v>-983.85176000000001</v>
      </c>
      <c r="D116" s="12">
        <v>-983.79846999999995</v>
      </c>
      <c r="E116" s="12">
        <v>-1018.5</v>
      </c>
      <c r="F116" s="12">
        <v>-1019.88</v>
      </c>
      <c r="G116" s="12">
        <v>-1018.5</v>
      </c>
      <c r="H116" s="12">
        <v>-1019.88</v>
      </c>
      <c r="I116" s="12">
        <v>-1019.88</v>
      </c>
      <c r="J116" s="12">
        <v>-1018.5</v>
      </c>
      <c r="K116" s="12">
        <v>-1356.5406359999999</v>
      </c>
      <c r="L116" s="12">
        <v>-1497.9246639999999</v>
      </c>
      <c r="M116" s="12">
        <v>-1934.545312085</v>
      </c>
      <c r="N116" s="12">
        <v>0</v>
      </c>
      <c r="O116" s="12">
        <f t="shared" si="16"/>
        <v>-13908.524867085</v>
      </c>
    </row>
    <row r="117" spans="1:15" x14ac:dyDescent="0.2">
      <c r="A117" s="17" t="s">
        <v>131</v>
      </c>
      <c r="B117" s="12">
        <v>-259.404</v>
      </c>
      <c r="C117" s="12">
        <v>-209.97</v>
      </c>
      <c r="D117" s="12">
        <v>0</v>
      </c>
      <c r="E117" s="12">
        <v>-279.95999999999998</v>
      </c>
      <c r="F117" s="12">
        <v>-279.95999999999998</v>
      </c>
      <c r="G117" s="12">
        <v>-279.95999999999998</v>
      </c>
      <c r="H117" s="12">
        <v>-279.95999999999998</v>
      </c>
      <c r="I117" s="12">
        <v>-279.95999999999998</v>
      </c>
      <c r="J117" s="12">
        <v>-288.584</v>
      </c>
      <c r="K117" s="12">
        <v>-1076.6199999999999</v>
      </c>
      <c r="L117" s="12">
        <v>-679.96</v>
      </c>
      <c r="M117" s="12">
        <v>-279.95999999999998</v>
      </c>
      <c r="N117" s="12">
        <v>0</v>
      </c>
      <c r="O117" s="12">
        <f t="shared" si="16"/>
        <v>-4194.2979999999998</v>
      </c>
    </row>
    <row r="118" spans="1:15" x14ac:dyDescent="0.2">
      <c r="A118" s="17" t="s">
        <v>132</v>
      </c>
      <c r="B118" s="12">
        <v>-643.2835</v>
      </c>
      <c r="C118" s="12">
        <v>-1554.1477199999999</v>
      </c>
      <c r="D118" s="12">
        <v>-3874.0279999999998</v>
      </c>
      <c r="E118" s="12">
        <v>-946.928</v>
      </c>
      <c r="F118" s="12">
        <v>-1425.2908399999999</v>
      </c>
      <c r="G118" s="12">
        <v>-529.83000000000004</v>
      </c>
      <c r="H118" s="12">
        <v>-568.55250000000001</v>
      </c>
      <c r="I118" s="12">
        <v>-1568.8675249999999</v>
      </c>
      <c r="J118" s="12">
        <v>-465.69600000000003</v>
      </c>
      <c r="K118" s="12">
        <v>-467.36892</v>
      </c>
      <c r="L118" s="12">
        <v>-8514.8513999999996</v>
      </c>
      <c r="M118" s="12">
        <v>-1199.6318249999999</v>
      </c>
      <c r="N118" s="12">
        <v>0</v>
      </c>
      <c r="O118" s="12">
        <f t="shared" si="16"/>
        <v>-21758.47623</v>
      </c>
    </row>
    <row r="119" spans="1:15" x14ac:dyDescent="0.2">
      <c r="A119" s="17" t="s">
        <v>133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-9221</v>
      </c>
      <c r="K119" s="12">
        <v>0</v>
      </c>
      <c r="L119" s="12">
        <v>0</v>
      </c>
      <c r="M119" s="12">
        <v>0</v>
      </c>
      <c r="N119" s="12">
        <v>0</v>
      </c>
      <c r="O119" s="12">
        <f t="shared" si="16"/>
        <v>-9221</v>
      </c>
    </row>
    <row r="120" spans="1:15" x14ac:dyDescent="0.2">
      <c r="A120" s="17" t="s">
        <v>134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-7956.04</v>
      </c>
      <c r="N120" s="12">
        <v>0</v>
      </c>
      <c r="O120" s="12">
        <f t="shared" si="16"/>
        <v>-7956.04</v>
      </c>
    </row>
    <row r="121" spans="1:15" x14ac:dyDescent="0.2">
      <c r="A121" s="17" t="s">
        <v>135</v>
      </c>
      <c r="B121" s="12">
        <v>-38.049999999999997</v>
      </c>
      <c r="C121" s="12">
        <v>-140.05000000000001</v>
      </c>
      <c r="D121" s="12">
        <v>-40.65</v>
      </c>
      <c r="E121" s="12">
        <v>0</v>
      </c>
      <c r="F121" s="12">
        <v>0</v>
      </c>
      <c r="G121" s="12">
        <v>-40.65</v>
      </c>
      <c r="H121" s="12">
        <v>0</v>
      </c>
      <c r="I121" s="12">
        <v>0</v>
      </c>
      <c r="J121" s="12">
        <v>-40.65</v>
      </c>
      <c r="K121" s="12">
        <v>0</v>
      </c>
      <c r="L121" s="12">
        <v>0</v>
      </c>
      <c r="M121" s="12">
        <v>-40.65</v>
      </c>
      <c r="N121" s="12">
        <v>0</v>
      </c>
      <c r="O121" s="12">
        <f t="shared" ref="O121:O152" si="17">SUM(B121:N121)</f>
        <v>-340.7</v>
      </c>
    </row>
    <row r="122" spans="1:15" x14ac:dyDescent="0.2">
      <c r="A122" s="17" t="s">
        <v>136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-3000</v>
      </c>
      <c r="L122" s="12">
        <v>-5190</v>
      </c>
      <c r="M122" s="12">
        <v>0</v>
      </c>
      <c r="N122" s="12">
        <v>0</v>
      </c>
      <c r="O122" s="12">
        <f t="shared" si="17"/>
        <v>-8190</v>
      </c>
    </row>
    <row r="123" spans="1:15" x14ac:dyDescent="0.2">
      <c r="A123" s="17" t="s">
        <v>137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-90.48</v>
      </c>
      <c r="K123" s="12">
        <v>-240.39</v>
      </c>
      <c r="L123" s="12">
        <v>-101.09</v>
      </c>
      <c r="M123" s="12">
        <v>-260.78634134750001</v>
      </c>
      <c r="N123" s="12">
        <v>0</v>
      </c>
      <c r="O123" s="12">
        <f t="shared" si="17"/>
        <v>-692.74634134749999</v>
      </c>
    </row>
    <row r="124" spans="1:15" x14ac:dyDescent="0.2">
      <c r="A124" s="17" t="s">
        <v>138</v>
      </c>
      <c r="B124" s="12">
        <v>-1492.6731010000001</v>
      </c>
      <c r="C124" s="12">
        <v>-1034.14852</v>
      </c>
      <c r="D124" s="12">
        <v>-367.62560000000002</v>
      </c>
      <c r="E124" s="12">
        <v>-73.627775</v>
      </c>
      <c r="F124" s="12">
        <v>-139.18318500000001</v>
      </c>
      <c r="G124" s="12">
        <v>-1200.71252</v>
      </c>
      <c r="H124" s="12">
        <v>-109.686556</v>
      </c>
      <c r="I124" s="12">
        <v>-917.92025000000001</v>
      </c>
      <c r="J124" s="12">
        <v>-298.95479999999998</v>
      </c>
      <c r="K124" s="12">
        <v>-1189.0386464000001</v>
      </c>
      <c r="L124" s="12">
        <v>-836.86292600000002</v>
      </c>
      <c r="M124" s="12">
        <v>-1555.2408373574999</v>
      </c>
      <c r="N124" s="12">
        <v>0</v>
      </c>
      <c r="O124" s="12">
        <f t="shared" si="17"/>
        <v>-9215.6747167574995</v>
      </c>
    </row>
    <row r="125" spans="1:15" x14ac:dyDescent="0.2">
      <c r="A125" s="17" t="s">
        <v>139</v>
      </c>
      <c r="B125" s="12">
        <v>-1522.0670299999999</v>
      </c>
      <c r="C125" s="12">
        <v>-781.17175999999995</v>
      </c>
      <c r="D125" s="12">
        <v>-774.91346999999996</v>
      </c>
      <c r="E125" s="12">
        <v>-8377.7113399999998</v>
      </c>
      <c r="F125" s="12">
        <v>1990.7159999999999</v>
      </c>
      <c r="G125" s="12">
        <v>0</v>
      </c>
      <c r="H125" s="12">
        <v>0</v>
      </c>
      <c r="I125" s="12">
        <v>-174.55</v>
      </c>
      <c r="J125" s="12">
        <v>-62</v>
      </c>
      <c r="K125" s="12">
        <v>0</v>
      </c>
      <c r="L125" s="12">
        <v>0</v>
      </c>
      <c r="M125" s="12">
        <v>7328.4522542000004</v>
      </c>
      <c r="N125" s="12">
        <v>0</v>
      </c>
      <c r="O125" s="12">
        <f t="shared" si="17"/>
        <v>-2373.2453457999991</v>
      </c>
    </row>
    <row r="126" spans="1:15" x14ac:dyDescent="0.2">
      <c r="A126" s="17" t="s">
        <v>140</v>
      </c>
      <c r="B126" s="12">
        <v>-8900</v>
      </c>
      <c r="C126" s="12">
        <v>-8900</v>
      </c>
      <c r="D126" s="12">
        <v>-8900</v>
      </c>
      <c r="E126" s="12">
        <v>-15000</v>
      </c>
      <c r="F126" s="12">
        <v>-15000</v>
      </c>
      <c r="G126" s="12">
        <v>-10000</v>
      </c>
      <c r="H126" s="12">
        <v>-10000</v>
      </c>
      <c r="I126" s="12">
        <v>-10000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f t="shared" si="17"/>
        <v>-86700</v>
      </c>
    </row>
    <row r="127" spans="1:15" x14ac:dyDescent="0.2">
      <c r="A127" s="17" t="s">
        <v>141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50482</v>
      </c>
      <c r="M127" s="12">
        <v>-49668</v>
      </c>
      <c r="N127" s="12">
        <v>0</v>
      </c>
      <c r="O127" s="12">
        <f t="shared" si="17"/>
        <v>814</v>
      </c>
    </row>
    <row r="128" spans="1:15" x14ac:dyDescent="0.2">
      <c r="A128" s="17" t="s">
        <v>142</v>
      </c>
      <c r="B128" s="12">
        <v>0</v>
      </c>
      <c r="C128" s="12">
        <v>-1093.44</v>
      </c>
      <c r="D128" s="12">
        <v>0</v>
      </c>
      <c r="E128" s="12">
        <v>0</v>
      </c>
      <c r="F128" s="12">
        <v>0</v>
      </c>
      <c r="G128" s="12">
        <v>-3607.7688320000002</v>
      </c>
      <c r="H128" s="12">
        <v>-16.738199999999999</v>
      </c>
      <c r="I128" s="12">
        <v>0</v>
      </c>
      <c r="J128" s="12">
        <v>0</v>
      </c>
      <c r="K128" s="12">
        <v>-2494.4620799999998</v>
      </c>
      <c r="L128" s="12">
        <v>0</v>
      </c>
      <c r="M128" s="12">
        <v>7547.3158822400001</v>
      </c>
      <c r="N128" s="12">
        <v>0</v>
      </c>
      <c r="O128" s="12">
        <f t="shared" si="17"/>
        <v>334.9067702400007</v>
      </c>
    </row>
    <row r="129" spans="1:15" x14ac:dyDescent="0.2">
      <c r="A129" s="17" t="s">
        <v>143</v>
      </c>
      <c r="B129" s="12">
        <v>0</v>
      </c>
      <c r="C129" s="12">
        <v>0</v>
      </c>
      <c r="D129" s="12">
        <v>-374.2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-379.4</v>
      </c>
      <c r="K129" s="12">
        <v>0</v>
      </c>
      <c r="L129" s="12">
        <v>-392.519248</v>
      </c>
      <c r="M129" s="12">
        <v>0</v>
      </c>
      <c r="N129" s="12">
        <v>0</v>
      </c>
      <c r="O129" s="12">
        <f t="shared" si="17"/>
        <v>-1146.119248</v>
      </c>
    </row>
    <row r="130" spans="1:15" x14ac:dyDescent="0.2">
      <c r="A130" s="17" t="s">
        <v>144</v>
      </c>
      <c r="B130" s="12">
        <v>0</v>
      </c>
      <c r="C130" s="12">
        <v>-500.69</v>
      </c>
      <c r="D130" s="12">
        <v>0</v>
      </c>
      <c r="E130" s="12">
        <v>-1351.25</v>
      </c>
      <c r="F130" s="12">
        <v>0</v>
      </c>
      <c r="G130" s="12">
        <v>0</v>
      </c>
      <c r="H130" s="12">
        <v>-6245.5</v>
      </c>
      <c r="I130" s="12">
        <v>-29.75</v>
      </c>
      <c r="J130" s="12">
        <v>0</v>
      </c>
      <c r="K130" s="12">
        <v>-2442.75</v>
      </c>
      <c r="L130" s="12">
        <v>4800</v>
      </c>
      <c r="M130" s="12">
        <v>-41003.227620719998</v>
      </c>
      <c r="N130" s="12">
        <v>0</v>
      </c>
      <c r="O130" s="12">
        <f t="shared" si="17"/>
        <v>-46773.16762072</v>
      </c>
    </row>
    <row r="131" spans="1:15" x14ac:dyDescent="0.2">
      <c r="A131" s="17" t="s">
        <v>145</v>
      </c>
      <c r="B131" s="12">
        <v>-299.78403500000002</v>
      </c>
      <c r="C131" s="12">
        <v>-141.083968</v>
      </c>
      <c r="D131" s="12">
        <v>-277.58999999999997</v>
      </c>
      <c r="E131" s="12">
        <v>-188.71</v>
      </c>
      <c r="F131" s="12">
        <v>-59.47</v>
      </c>
      <c r="G131" s="12">
        <v>-44.97</v>
      </c>
      <c r="H131" s="12">
        <v>-249.63771499999999</v>
      </c>
      <c r="I131" s="12">
        <v>-9.19</v>
      </c>
      <c r="J131" s="12">
        <v>-34.46</v>
      </c>
      <c r="K131" s="12">
        <v>-30.43</v>
      </c>
      <c r="L131" s="12">
        <v>-173.69</v>
      </c>
      <c r="M131" s="12">
        <v>-152.71</v>
      </c>
      <c r="N131" s="12">
        <v>0</v>
      </c>
      <c r="O131" s="12">
        <f t="shared" si="17"/>
        <v>-1661.7257180000004</v>
      </c>
    </row>
    <row r="132" spans="1:15" x14ac:dyDescent="0.2">
      <c r="A132" s="17" t="s">
        <v>146</v>
      </c>
      <c r="B132" s="12">
        <v>-26687.453450000001</v>
      </c>
      <c r="C132" s="12">
        <v>-26654.84116</v>
      </c>
      <c r="D132" s="12">
        <v>-32385.731954999999</v>
      </c>
      <c r="E132" s="12">
        <v>-32944.75</v>
      </c>
      <c r="F132" s="12">
        <v>-32593.26</v>
      </c>
      <c r="G132" s="12">
        <v>-37089.370000000003</v>
      </c>
      <c r="H132" s="12">
        <v>-34285.65</v>
      </c>
      <c r="I132" s="12">
        <v>-34285.65</v>
      </c>
      <c r="J132" s="12">
        <v>-34285.65</v>
      </c>
      <c r="K132" s="12">
        <v>-58713.465552000001</v>
      </c>
      <c r="L132" s="12">
        <v>-33152.519999999997</v>
      </c>
      <c r="M132" s="12">
        <v>-49942.308452500001</v>
      </c>
      <c r="N132" s="12">
        <v>0</v>
      </c>
      <c r="O132" s="12">
        <f t="shared" si="17"/>
        <v>-433020.65056949994</v>
      </c>
    </row>
    <row r="133" spans="1:15" x14ac:dyDescent="0.2">
      <c r="A133" s="17" t="s">
        <v>147</v>
      </c>
      <c r="B133" s="12">
        <v>-800</v>
      </c>
      <c r="C133" s="12">
        <v>-800</v>
      </c>
      <c r="D133" s="12">
        <v>-800</v>
      </c>
      <c r="E133" s="12">
        <v>-800</v>
      </c>
      <c r="F133" s="12">
        <v>-800</v>
      </c>
      <c r="G133" s="12">
        <v>-800</v>
      </c>
      <c r="H133" s="12">
        <v>-800</v>
      </c>
      <c r="I133" s="12">
        <v>-800</v>
      </c>
      <c r="J133" s="12">
        <v>-800</v>
      </c>
      <c r="K133" s="12">
        <v>-800</v>
      </c>
      <c r="L133" s="12">
        <v>-800</v>
      </c>
      <c r="M133" s="12">
        <v>-800</v>
      </c>
      <c r="N133" s="12">
        <v>0</v>
      </c>
      <c r="O133" s="12">
        <f t="shared" si="17"/>
        <v>-9600</v>
      </c>
    </row>
    <row r="134" spans="1:15" x14ac:dyDescent="0.2">
      <c r="A134" s="17" t="s">
        <v>148</v>
      </c>
      <c r="B134" s="12">
        <v>0</v>
      </c>
      <c r="C134" s="12">
        <v>0</v>
      </c>
      <c r="D134" s="12">
        <v>0</v>
      </c>
      <c r="E134" s="12">
        <v>-2547.44</v>
      </c>
      <c r="F134" s="12">
        <v>-241.62</v>
      </c>
      <c r="G134" s="12">
        <v>0</v>
      </c>
      <c r="H134" s="12">
        <v>-167.69</v>
      </c>
      <c r="I134" s="12">
        <v>0</v>
      </c>
      <c r="J134" s="12">
        <v>-30.23</v>
      </c>
      <c r="K134" s="12">
        <v>0</v>
      </c>
      <c r="L134" s="12">
        <v>-24.55</v>
      </c>
      <c r="M134" s="12">
        <v>-131.09</v>
      </c>
      <c r="N134" s="12">
        <v>0</v>
      </c>
      <c r="O134" s="12">
        <f t="shared" si="17"/>
        <v>-3142.6200000000003</v>
      </c>
    </row>
    <row r="135" spans="1:15" x14ac:dyDescent="0.2">
      <c r="A135" s="17" t="s">
        <v>149</v>
      </c>
      <c r="B135" s="12">
        <v>-9849.58</v>
      </c>
      <c r="C135" s="12">
        <v>-9849.58</v>
      </c>
      <c r="D135" s="12">
        <v>-44849.58</v>
      </c>
      <c r="E135" s="12">
        <v>-9849.58</v>
      </c>
      <c r="F135" s="12">
        <v>-9849.58</v>
      </c>
      <c r="G135" s="12">
        <v>-36235.910000000003</v>
      </c>
      <c r="H135" s="12">
        <v>-9849.58</v>
      </c>
      <c r="I135" s="12">
        <v>-9849.58</v>
      </c>
      <c r="J135" s="12">
        <v>-19949.580000000002</v>
      </c>
      <c r="K135" s="12">
        <v>-17885.689999999999</v>
      </c>
      <c r="L135" s="12">
        <v>-10549.9</v>
      </c>
      <c r="M135" s="12">
        <v>-41181.879999999997</v>
      </c>
      <c r="N135" s="12">
        <v>0</v>
      </c>
      <c r="O135" s="12">
        <f t="shared" si="17"/>
        <v>-229750.02</v>
      </c>
    </row>
    <row r="136" spans="1:15" x14ac:dyDescent="0.2">
      <c r="A136" s="17" t="s">
        <v>150</v>
      </c>
      <c r="B136" s="12">
        <v>-308.11</v>
      </c>
      <c r="C136" s="12">
        <v>-575.53</v>
      </c>
      <c r="D136" s="12">
        <v>-1467.74</v>
      </c>
      <c r="E136" s="12">
        <v>-435.22</v>
      </c>
      <c r="F136" s="12">
        <v>-340.16</v>
      </c>
      <c r="G136" s="12">
        <v>-923.62</v>
      </c>
      <c r="H136" s="12">
        <v>-457.81</v>
      </c>
      <c r="I136" s="12">
        <v>-869.67</v>
      </c>
      <c r="J136" s="12">
        <v>-1328.85</v>
      </c>
      <c r="K136" s="12">
        <v>-450.65</v>
      </c>
      <c r="L136" s="12">
        <v>-1315.65</v>
      </c>
      <c r="M136" s="12">
        <v>-698.87</v>
      </c>
      <c r="N136" s="12">
        <v>0</v>
      </c>
      <c r="O136" s="12">
        <f t="shared" si="17"/>
        <v>-9171.880000000001</v>
      </c>
    </row>
    <row r="137" spans="1:15" x14ac:dyDescent="0.2">
      <c r="A137" s="17" t="s">
        <v>151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-400</v>
      </c>
      <c r="N137" s="12">
        <v>0</v>
      </c>
      <c r="O137" s="12">
        <f t="shared" si="17"/>
        <v>-400</v>
      </c>
    </row>
    <row r="138" spans="1:15" x14ac:dyDescent="0.2">
      <c r="A138" s="17" t="s">
        <v>152</v>
      </c>
      <c r="B138" s="12">
        <v>-2315.980611</v>
      </c>
      <c r="C138" s="12">
        <v>-2597.0890800000002</v>
      </c>
      <c r="D138" s="12">
        <v>-2519.7863900000002</v>
      </c>
      <c r="E138" s="12">
        <v>-2996.57</v>
      </c>
      <c r="F138" s="12">
        <v>-3398.7078649999999</v>
      </c>
      <c r="G138" s="12">
        <v>-2910.01</v>
      </c>
      <c r="H138" s="12">
        <v>-2351.8426399999998</v>
      </c>
      <c r="I138" s="12">
        <v>-2518.88247</v>
      </c>
      <c r="J138" s="12">
        <v>-2291.2532160000001</v>
      </c>
      <c r="K138" s="12">
        <v>-2412.9683349799998</v>
      </c>
      <c r="L138" s="12">
        <v>-3143.74125</v>
      </c>
      <c r="M138" s="12">
        <v>-2661.984046305</v>
      </c>
      <c r="N138" s="12">
        <v>0</v>
      </c>
      <c r="O138" s="12">
        <f t="shared" si="17"/>
        <v>-32118.815903285002</v>
      </c>
    </row>
    <row r="139" spans="1:15" x14ac:dyDescent="0.2">
      <c r="A139" s="17" t="s">
        <v>153</v>
      </c>
      <c r="B139" s="12">
        <v>-60900</v>
      </c>
      <c r="C139" s="12">
        <v>-60900</v>
      </c>
      <c r="D139" s="12">
        <v>-65286.38</v>
      </c>
      <c r="E139" s="12">
        <v>-61442.9</v>
      </c>
      <c r="F139" s="12">
        <v>-42000</v>
      </c>
      <c r="G139" s="12">
        <v>-30000</v>
      </c>
      <c r="H139" s="12">
        <v>-30573.15</v>
      </c>
      <c r="I139" s="12">
        <v>-30000</v>
      </c>
      <c r="J139" s="12">
        <v>-55200</v>
      </c>
      <c r="K139" s="12">
        <v>-55793.5</v>
      </c>
      <c r="L139" s="12">
        <v>-55200</v>
      </c>
      <c r="M139" s="12">
        <v>-66156.850000000006</v>
      </c>
      <c r="N139" s="12">
        <v>0</v>
      </c>
      <c r="O139" s="12">
        <f t="shared" si="17"/>
        <v>-613452.78</v>
      </c>
    </row>
    <row r="140" spans="1:15" x14ac:dyDescent="0.2">
      <c r="A140" s="17" t="s">
        <v>154</v>
      </c>
      <c r="B140" s="12">
        <v>-353.08</v>
      </c>
      <c r="C140" s="12">
        <v>-255</v>
      </c>
      <c r="D140" s="12">
        <v>-1704.58</v>
      </c>
      <c r="E140" s="12">
        <v>-1140.3699999999999</v>
      </c>
      <c r="F140" s="12">
        <v>-978.88</v>
      </c>
      <c r="G140" s="12">
        <v>-898.88</v>
      </c>
      <c r="H140" s="12">
        <v>-1238.57</v>
      </c>
      <c r="I140" s="12">
        <v>-1768.11</v>
      </c>
      <c r="J140" s="12">
        <v>-2786.6</v>
      </c>
      <c r="K140" s="12">
        <v>-3694.53</v>
      </c>
      <c r="L140" s="12">
        <v>-43703.49</v>
      </c>
      <c r="M140" s="12">
        <v>-4963.8599999999997</v>
      </c>
      <c r="N140" s="12">
        <v>0</v>
      </c>
      <c r="O140" s="12">
        <f t="shared" si="17"/>
        <v>-63485.95</v>
      </c>
    </row>
    <row r="141" spans="1:15" x14ac:dyDescent="0.2">
      <c r="A141" s="17" t="s">
        <v>155</v>
      </c>
      <c r="B141" s="12">
        <v>-2400</v>
      </c>
      <c r="C141" s="12">
        <v>-2400</v>
      </c>
      <c r="D141" s="12">
        <v>-2400</v>
      </c>
      <c r="E141" s="12">
        <v>-2400</v>
      </c>
      <c r="F141" s="12">
        <v>-2400</v>
      </c>
      <c r="G141" s="12">
        <v>-2400</v>
      </c>
      <c r="H141" s="12">
        <v>-2400</v>
      </c>
      <c r="I141" s="12">
        <v>-2400</v>
      </c>
      <c r="J141" s="12">
        <v>-2400</v>
      </c>
      <c r="K141" s="12">
        <v>-2400</v>
      </c>
      <c r="L141" s="12">
        <v>-2400</v>
      </c>
      <c r="M141" s="12">
        <v>-2400</v>
      </c>
      <c r="N141" s="12">
        <v>0</v>
      </c>
      <c r="O141" s="12">
        <f t="shared" si="17"/>
        <v>-28800</v>
      </c>
    </row>
    <row r="142" spans="1:15" x14ac:dyDescent="0.2">
      <c r="A142" s="17" t="s">
        <v>156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-1698</v>
      </c>
      <c r="N142" s="12">
        <v>0</v>
      </c>
      <c r="O142" s="12">
        <f t="shared" si="17"/>
        <v>-1698</v>
      </c>
    </row>
    <row r="143" spans="1:15" x14ac:dyDescent="0.2">
      <c r="A143" s="17" t="s">
        <v>157</v>
      </c>
      <c r="B143" s="12">
        <v>-1638.95</v>
      </c>
      <c r="C143" s="12">
        <v>-1613.62</v>
      </c>
      <c r="D143" s="12">
        <v>3252.57</v>
      </c>
      <c r="E143" s="12">
        <v>-678.65</v>
      </c>
      <c r="F143" s="12">
        <v>-1912.57</v>
      </c>
      <c r="G143" s="12">
        <v>1912.57</v>
      </c>
      <c r="H143" s="12">
        <v>-678.65</v>
      </c>
      <c r="I143" s="12">
        <v>0</v>
      </c>
      <c r="J143" s="12">
        <v>0</v>
      </c>
      <c r="K143" s="12">
        <v>-749.55</v>
      </c>
      <c r="L143" s="12">
        <v>0</v>
      </c>
      <c r="M143" s="12">
        <v>3709.6</v>
      </c>
      <c r="N143" s="12">
        <v>0</v>
      </c>
      <c r="O143" s="12">
        <f t="shared" si="17"/>
        <v>1602.7500000000005</v>
      </c>
    </row>
    <row r="144" spans="1:15" x14ac:dyDescent="0.2">
      <c r="A144" s="17" t="s">
        <v>158</v>
      </c>
      <c r="B144" s="12">
        <v>-1474.82</v>
      </c>
      <c r="C144" s="12">
        <v>-1469.61</v>
      </c>
      <c r="D144" s="12">
        <v>-1483.23</v>
      </c>
      <c r="E144" s="12">
        <v>-1642.25</v>
      </c>
      <c r="F144" s="12">
        <v>-1406.83</v>
      </c>
      <c r="G144" s="12">
        <v>-1491.22</v>
      </c>
      <c r="H144" s="12">
        <v>-1578.88</v>
      </c>
      <c r="I144" s="12">
        <v>-1553.29</v>
      </c>
      <c r="J144" s="12">
        <v>403.71</v>
      </c>
      <c r="K144" s="12">
        <v>-1953.32</v>
      </c>
      <c r="L144" s="12">
        <v>-1507.83</v>
      </c>
      <c r="M144" s="12">
        <v>-1135.1099999999999</v>
      </c>
      <c r="N144" s="12">
        <v>0</v>
      </c>
      <c r="O144" s="12">
        <f t="shared" si="17"/>
        <v>-16292.680000000002</v>
      </c>
    </row>
    <row r="145" spans="1:15" x14ac:dyDescent="0.2">
      <c r="A145" s="17" t="s">
        <v>159</v>
      </c>
      <c r="B145" s="12">
        <v>-510.28</v>
      </c>
      <c r="C145" s="12">
        <v>-296.52999999999997</v>
      </c>
      <c r="D145" s="12">
        <v>-296.52999999999997</v>
      </c>
      <c r="E145" s="12">
        <v>-412.53</v>
      </c>
      <c r="F145" s="12">
        <v>-296.52999999999997</v>
      </c>
      <c r="G145" s="12">
        <v>-299.75</v>
      </c>
      <c r="H145" s="12">
        <v>-356.92</v>
      </c>
      <c r="I145" s="12">
        <v>-403.24</v>
      </c>
      <c r="J145" s="12">
        <v>-356.05</v>
      </c>
      <c r="K145" s="12">
        <v>-395.01</v>
      </c>
      <c r="L145" s="12">
        <v>-448.02</v>
      </c>
      <c r="M145" s="12">
        <v>-400.7</v>
      </c>
      <c r="N145" s="12">
        <v>0</v>
      </c>
      <c r="O145" s="12">
        <f t="shared" si="17"/>
        <v>-4472.09</v>
      </c>
    </row>
    <row r="146" spans="1:15" x14ac:dyDescent="0.2">
      <c r="A146" s="17" t="s">
        <v>160</v>
      </c>
      <c r="B146" s="12">
        <v>0</v>
      </c>
      <c r="C146" s="12">
        <v>0</v>
      </c>
      <c r="D146" s="12">
        <v>-43.25</v>
      </c>
      <c r="E146" s="12">
        <v>0</v>
      </c>
      <c r="F146" s="12">
        <v>0</v>
      </c>
      <c r="G146" s="12">
        <v>-139.16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f t="shared" si="17"/>
        <v>-182.41</v>
      </c>
    </row>
    <row r="147" spans="1:15" x14ac:dyDescent="0.2">
      <c r="A147" s="17" t="s">
        <v>161</v>
      </c>
      <c r="B147" s="12">
        <v>-250.08</v>
      </c>
      <c r="C147" s="12">
        <v>-250.08</v>
      </c>
      <c r="D147" s="12">
        <v>-250.08</v>
      </c>
      <c r="E147" s="12">
        <v>-291.26</v>
      </c>
      <c r="F147" s="12">
        <v>-250.08</v>
      </c>
      <c r="G147" s="12">
        <v>-250.08</v>
      </c>
      <c r="H147" s="12">
        <v>-250.08</v>
      </c>
      <c r="I147" s="12">
        <v>-826.09</v>
      </c>
      <c r="J147" s="12">
        <v>-250.08</v>
      </c>
      <c r="K147" s="12">
        <v>-353.26</v>
      </c>
      <c r="L147" s="12">
        <v>-553.07000000000005</v>
      </c>
      <c r="M147" s="12">
        <v>-217.67</v>
      </c>
      <c r="N147" s="12">
        <v>0</v>
      </c>
      <c r="O147" s="12">
        <f t="shared" si="17"/>
        <v>-3991.9100000000003</v>
      </c>
    </row>
    <row r="148" spans="1:15" x14ac:dyDescent="0.2">
      <c r="A148" s="17" t="s">
        <v>162</v>
      </c>
      <c r="B148" s="12">
        <v>-597</v>
      </c>
      <c r="C148" s="12">
        <v>-597</v>
      </c>
      <c r="D148" s="12">
        <v>-597</v>
      </c>
      <c r="E148" s="12">
        <v>-630.53</v>
      </c>
      <c r="F148" s="12">
        <v>-597</v>
      </c>
      <c r="G148" s="12">
        <v>-597</v>
      </c>
      <c r="H148" s="12">
        <v>-965</v>
      </c>
      <c r="I148" s="12">
        <v>-597</v>
      </c>
      <c r="J148" s="12">
        <v>-597</v>
      </c>
      <c r="K148" s="12">
        <v>-478</v>
      </c>
      <c r="L148" s="12">
        <v>-1301.31</v>
      </c>
      <c r="M148" s="12">
        <v>-2158.41</v>
      </c>
      <c r="N148" s="12">
        <v>0</v>
      </c>
      <c r="O148" s="12">
        <f t="shared" si="17"/>
        <v>-9712.25</v>
      </c>
    </row>
    <row r="149" spans="1:15" x14ac:dyDescent="0.2">
      <c r="A149" s="17" t="s">
        <v>163</v>
      </c>
      <c r="B149" s="12">
        <v>-331.29</v>
      </c>
      <c r="C149" s="12">
        <v>-331.29</v>
      </c>
      <c r="D149" s="12">
        <v>-407.09</v>
      </c>
      <c r="E149" s="12">
        <v>-504.32</v>
      </c>
      <c r="F149" s="12">
        <v>-364.82</v>
      </c>
      <c r="G149" s="12">
        <v>-386.99</v>
      </c>
      <c r="H149" s="12">
        <v>-420.42</v>
      </c>
      <c r="I149" s="12">
        <v>-331.29</v>
      </c>
      <c r="J149" s="12">
        <v>-750.94</v>
      </c>
      <c r="K149" s="12">
        <v>-443.25</v>
      </c>
      <c r="L149" s="12">
        <v>-970.03</v>
      </c>
      <c r="M149" s="12">
        <v>-338.2</v>
      </c>
      <c r="N149" s="12">
        <v>0</v>
      </c>
      <c r="O149" s="12">
        <f t="shared" si="17"/>
        <v>-5579.93</v>
      </c>
    </row>
    <row r="150" spans="1:15" x14ac:dyDescent="0.2">
      <c r="A150" s="17" t="s">
        <v>164</v>
      </c>
      <c r="B150" s="12">
        <v>0</v>
      </c>
      <c r="C150" s="12">
        <v>0</v>
      </c>
      <c r="D150" s="12">
        <v>-585.77</v>
      </c>
      <c r="E150" s="12">
        <v>-326.7</v>
      </c>
      <c r="F150" s="12">
        <v>0</v>
      </c>
      <c r="G150" s="12">
        <v>-701.46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f t="shared" si="17"/>
        <v>-1613.93</v>
      </c>
    </row>
    <row r="151" spans="1:15" x14ac:dyDescent="0.2">
      <c r="A151" s="17" t="s">
        <v>165</v>
      </c>
      <c r="B151" s="12">
        <v>-510.6</v>
      </c>
      <c r="C151" s="12">
        <v>-510.6</v>
      </c>
      <c r="D151" s="12">
        <v>-510.6</v>
      </c>
      <c r="E151" s="12">
        <v>-606.4</v>
      </c>
      <c r="F151" s="12">
        <v>-471.96</v>
      </c>
      <c r="G151" s="12">
        <v>-762.6</v>
      </c>
      <c r="H151" s="12">
        <v>-781.05</v>
      </c>
      <c r="I151" s="12">
        <v>-721.85</v>
      </c>
      <c r="J151" s="12">
        <v>-510.6</v>
      </c>
      <c r="K151" s="12">
        <v>-1122.01</v>
      </c>
      <c r="L151" s="12">
        <v>-899.94</v>
      </c>
      <c r="M151" s="12">
        <v>-706.47</v>
      </c>
      <c r="N151" s="12">
        <v>0</v>
      </c>
      <c r="O151" s="12">
        <f t="shared" si="17"/>
        <v>-8114.6800000000012</v>
      </c>
    </row>
    <row r="152" spans="1:15" x14ac:dyDescent="0.2">
      <c r="A152" s="17" t="s">
        <v>166</v>
      </c>
      <c r="B152" s="12">
        <v>-343.22</v>
      </c>
      <c r="C152" s="12">
        <v>-343.22</v>
      </c>
      <c r="D152" s="12">
        <v>-503.97</v>
      </c>
      <c r="E152" s="12">
        <v>-501.46</v>
      </c>
      <c r="F152" s="12">
        <v>-389.46</v>
      </c>
      <c r="G152" s="12">
        <v>-510.49</v>
      </c>
      <c r="H152" s="12">
        <v>-454.08</v>
      </c>
      <c r="I152" s="12">
        <v>-511.22</v>
      </c>
      <c r="J152" s="12">
        <v>-567.62</v>
      </c>
      <c r="K152" s="12">
        <v>-523.16999999999996</v>
      </c>
      <c r="L152" s="12">
        <v>-1146.82</v>
      </c>
      <c r="M152" s="12">
        <v>-344.89</v>
      </c>
      <c r="N152" s="12">
        <v>0</v>
      </c>
      <c r="O152" s="12">
        <f t="shared" si="17"/>
        <v>-6139.62</v>
      </c>
    </row>
    <row r="153" spans="1:15" x14ac:dyDescent="0.2">
      <c r="A153" s="17" t="s">
        <v>167</v>
      </c>
      <c r="B153" s="12">
        <v>-232.29</v>
      </c>
      <c r="C153" s="12">
        <v>-232.29</v>
      </c>
      <c r="D153" s="12">
        <v>-358.04</v>
      </c>
      <c r="E153" s="12">
        <v>-232.29</v>
      </c>
      <c r="F153" s="12">
        <v>-232.29</v>
      </c>
      <c r="G153" s="12">
        <v>-232.29</v>
      </c>
      <c r="H153" s="12">
        <v>-551.64</v>
      </c>
      <c r="I153" s="12">
        <v>-232.29</v>
      </c>
      <c r="J153" s="12">
        <v>-232.29</v>
      </c>
      <c r="K153" s="12">
        <v>-232.29</v>
      </c>
      <c r="L153" s="12">
        <v>-885.3</v>
      </c>
      <c r="M153" s="12">
        <v>-316.39999999999998</v>
      </c>
      <c r="N153" s="12">
        <v>0</v>
      </c>
      <c r="O153" s="12">
        <f t="shared" ref="O153:O184" si="18">SUM(B153:N153)</f>
        <v>-3969.7000000000003</v>
      </c>
    </row>
    <row r="154" spans="1:15" x14ac:dyDescent="0.2">
      <c r="A154" s="17" t="s">
        <v>168</v>
      </c>
      <c r="B154" s="12">
        <v>-456.58</v>
      </c>
      <c r="C154" s="12">
        <v>-466.13</v>
      </c>
      <c r="D154" s="12">
        <v>-479.54</v>
      </c>
      <c r="E154" s="12">
        <v>-488.26</v>
      </c>
      <c r="F154" s="12">
        <v>-714.56</v>
      </c>
      <c r="G154" s="12">
        <v>-483.58</v>
      </c>
      <c r="H154" s="12">
        <v>-489.23</v>
      </c>
      <c r="I154" s="12">
        <v>-552.33000000000004</v>
      </c>
      <c r="J154" s="12">
        <v>-521.15</v>
      </c>
      <c r="K154" s="12">
        <v>-685.99</v>
      </c>
      <c r="L154" s="12">
        <v>-965.38</v>
      </c>
      <c r="M154" s="12">
        <v>-386.77</v>
      </c>
      <c r="N154" s="12">
        <v>0</v>
      </c>
      <c r="O154" s="12">
        <f t="shared" si="18"/>
        <v>-6689.5</v>
      </c>
    </row>
    <row r="155" spans="1:15" x14ac:dyDescent="0.2">
      <c r="A155" s="17" t="s">
        <v>169</v>
      </c>
      <c r="B155" s="12">
        <v>0</v>
      </c>
      <c r="C155" s="12">
        <v>0</v>
      </c>
      <c r="D155" s="12">
        <v>-363.21</v>
      </c>
      <c r="E155" s="12">
        <v>-145.93</v>
      </c>
      <c r="F155" s="12">
        <v>0</v>
      </c>
      <c r="G155" s="12">
        <v>-443.41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f t="shared" si="18"/>
        <v>-952.55</v>
      </c>
    </row>
    <row r="156" spans="1:15" x14ac:dyDescent="0.2">
      <c r="A156" s="17" t="s">
        <v>170</v>
      </c>
      <c r="B156" s="12">
        <v>-95.13</v>
      </c>
      <c r="C156" s="12">
        <v>-325.13</v>
      </c>
      <c r="D156" s="12">
        <v>-374.27</v>
      </c>
      <c r="E156" s="12">
        <v>-523.55999999999995</v>
      </c>
      <c r="F156" s="12">
        <v>-325.13</v>
      </c>
      <c r="G156" s="12">
        <v>-325.13</v>
      </c>
      <c r="H156" s="12">
        <v>-536.49</v>
      </c>
      <c r="I156" s="12">
        <v>-653.32000000000005</v>
      </c>
      <c r="J156" s="12">
        <v>-651.45000000000005</v>
      </c>
      <c r="K156" s="12">
        <v>-984.81</v>
      </c>
      <c r="L156" s="12">
        <v>-552.28</v>
      </c>
      <c r="M156" s="12">
        <v>-617.74</v>
      </c>
      <c r="N156" s="12">
        <v>0</v>
      </c>
      <c r="O156" s="12">
        <f t="shared" si="18"/>
        <v>-5964.44</v>
      </c>
    </row>
    <row r="157" spans="1:15" x14ac:dyDescent="0.2">
      <c r="A157" s="17" t="s">
        <v>171</v>
      </c>
      <c r="B157" s="12">
        <v>0</v>
      </c>
      <c r="C157" s="12">
        <v>0</v>
      </c>
      <c r="D157" s="12">
        <v>-49.18</v>
      </c>
      <c r="E157" s="12">
        <v>-109.92</v>
      </c>
      <c r="F157" s="12">
        <v>0</v>
      </c>
      <c r="G157" s="12">
        <v>-130.38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f t="shared" si="18"/>
        <v>-289.48</v>
      </c>
    </row>
    <row r="158" spans="1:15" x14ac:dyDescent="0.2">
      <c r="A158" s="17" t="s">
        <v>172</v>
      </c>
      <c r="B158" s="12">
        <v>-476.96</v>
      </c>
      <c r="C158" s="12">
        <v>-275.36</v>
      </c>
      <c r="D158" s="12">
        <v>-357.11</v>
      </c>
      <c r="E158" s="12">
        <v>-321.60000000000002</v>
      </c>
      <c r="F158" s="12">
        <v>-397.36</v>
      </c>
      <c r="G158" s="12">
        <v>-562.95000000000005</v>
      </c>
      <c r="H158" s="12">
        <v>-510.11</v>
      </c>
      <c r="I158" s="12">
        <v>-275.36</v>
      </c>
      <c r="J158" s="12">
        <v>-401.18</v>
      </c>
      <c r="K158" s="12">
        <v>-492.23</v>
      </c>
      <c r="L158" s="12">
        <v>-452.36</v>
      </c>
      <c r="M158" s="12">
        <v>-472.1</v>
      </c>
      <c r="N158" s="12">
        <v>0</v>
      </c>
      <c r="O158" s="12">
        <f t="shared" si="18"/>
        <v>-4994.68</v>
      </c>
    </row>
    <row r="159" spans="1:15" x14ac:dyDescent="0.2">
      <c r="A159" s="17" t="s">
        <v>173</v>
      </c>
      <c r="B159" s="12">
        <v>0</v>
      </c>
      <c r="C159" s="12">
        <v>-498.22</v>
      </c>
      <c r="D159" s="12">
        <v>-162.51</v>
      </c>
      <c r="E159" s="12">
        <v>-313.08</v>
      </c>
      <c r="F159" s="12">
        <v>-29.37</v>
      </c>
      <c r="G159" s="12">
        <v>-226.64</v>
      </c>
      <c r="H159" s="12">
        <v>-462.52</v>
      </c>
      <c r="I159" s="12">
        <v>-764.66</v>
      </c>
      <c r="J159" s="12">
        <v>-194.54</v>
      </c>
      <c r="K159" s="12">
        <v>-379.21</v>
      </c>
      <c r="L159" s="12">
        <v>-220.27</v>
      </c>
      <c r="M159" s="12">
        <v>-522.84</v>
      </c>
      <c r="N159" s="12">
        <v>0</v>
      </c>
      <c r="O159" s="12">
        <f t="shared" si="18"/>
        <v>-3773.86</v>
      </c>
    </row>
    <row r="160" spans="1:15" x14ac:dyDescent="0.2">
      <c r="A160" s="15" t="s">
        <v>174</v>
      </c>
      <c r="B160" s="14">
        <f t="shared" ref="B160:O160" si="19">SUM(B89:B159)</f>
        <v>-156485.84824300001</v>
      </c>
      <c r="C160" s="14">
        <f t="shared" si="19"/>
        <v>-153369.800648</v>
      </c>
      <c r="D160" s="14">
        <f t="shared" si="19"/>
        <v>-202611.11397799995</v>
      </c>
      <c r="E160" s="14">
        <f t="shared" si="19"/>
        <v>-197731.52343300002</v>
      </c>
      <c r="F160" s="14">
        <f t="shared" si="19"/>
        <v>-152155.99497499998</v>
      </c>
      <c r="G160" s="14">
        <f t="shared" si="19"/>
        <v>-151427.501552</v>
      </c>
      <c r="H160" s="14">
        <f t="shared" si="19"/>
        <v>-141417.266328</v>
      </c>
      <c r="I160" s="14">
        <f t="shared" si="19"/>
        <v>-143752.55214499999</v>
      </c>
      <c r="J160" s="14">
        <f t="shared" si="19"/>
        <v>-158471.33697800004</v>
      </c>
      <c r="K160" s="14">
        <f t="shared" si="19"/>
        <v>-221562.13078070001</v>
      </c>
      <c r="L160" s="14">
        <f t="shared" si="19"/>
        <v>-194726.23386260995</v>
      </c>
      <c r="M160" s="14">
        <f t="shared" si="19"/>
        <v>-343288.27462448756</v>
      </c>
      <c r="N160" s="14">
        <f t="shared" si="19"/>
        <v>0</v>
      </c>
      <c r="O160" s="14">
        <f t="shared" si="19"/>
        <v>-2216999.5775477979</v>
      </c>
    </row>
    <row r="161" spans="1:15" x14ac:dyDescent="0.2">
      <c r="A161" s="16" t="s">
        <v>175</v>
      </c>
      <c r="B161" s="14">
        <f t="shared" ref="B161:O161" si="20">B79+B87+B160</f>
        <v>-998593.51787899993</v>
      </c>
      <c r="C161" s="14">
        <f t="shared" si="20"/>
        <v>-1007407.338768</v>
      </c>
      <c r="D161" s="14">
        <f t="shared" si="20"/>
        <v>-997480.7864959999</v>
      </c>
      <c r="E161" s="14">
        <f t="shared" si="20"/>
        <v>-1074416.5851650001</v>
      </c>
      <c r="F161" s="14">
        <f t="shared" si="20"/>
        <v>-1028557.0301299999</v>
      </c>
      <c r="G161" s="14">
        <f t="shared" si="20"/>
        <v>-920685.86263200012</v>
      </c>
      <c r="H161" s="14">
        <f t="shared" si="20"/>
        <v>-1043240.7932019999</v>
      </c>
      <c r="I161" s="14">
        <f t="shared" si="20"/>
        <v>-1005003.91263</v>
      </c>
      <c r="J161" s="14">
        <f t="shared" si="20"/>
        <v>-1037366.8759859999</v>
      </c>
      <c r="K161" s="14">
        <f t="shared" si="20"/>
        <v>-1102951.0724333799</v>
      </c>
      <c r="L161" s="14">
        <f t="shared" si="20"/>
        <v>-1119134.6225618101</v>
      </c>
      <c r="M161" s="14">
        <f t="shared" si="20"/>
        <v>-818938.7778217576</v>
      </c>
      <c r="N161" s="14">
        <f t="shared" si="20"/>
        <v>0</v>
      </c>
      <c r="O161" s="14">
        <f t="shared" si="20"/>
        <v>-12153777.175704947</v>
      </c>
    </row>
    <row r="162" spans="1:15" x14ac:dyDescent="0.2">
      <c r="A162" s="18" t="s">
        <v>176</v>
      </c>
      <c r="B162" s="14">
        <f t="shared" ref="B162:O162" si="21">B53+B161</f>
        <v>-38414.147247000015</v>
      </c>
      <c r="C162" s="14">
        <f t="shared" si="21"/>
        <v>-42188.21804800001</v>
      </c>
      <c r="D162" s="14">
        <f t="shared" si="21"/>
        <v>254170.12674799981</v>
      </c>
      <c r="E162" s="14">
        <f t="shared" si="21"/>
        <v>70292.441240999615</v>
      </c>
      <c r="F162" s="14">
        <f t="shared" si="21"/>
        <v>1643.7445750001352</v>
      </c>
      <c r="G162" s="14">
        <f t="shared" si="21"/>
        <v>185289.88380799978</v>
      </c>
      <c r="H162" s="14">
        <f t="shared" si="21"/>
        <v>144960.92649700015</v>
      </c>
      <c r="I162" s="14">
        <f t="shared" si="21"/>
        <v>62969.213110999786</v>
      </c>
      <c r="J162" s="14">
        <f t="shared" si="21"/>
        <v>48487.617073000059</v>
      </c>
      <c r="K162" s="14">
        <f t="shared" si="21"/>
        <v>-5861.3982632798143</v>
      </c>
      <c r="L162" s="14">
        <f t="shared" si="21"/>
        <v>209210.49720940972</v>
      </c>
      <c r="M162" s="14">
        <f t="shared" si="21"/>
        <v>189961.82268226484</v>
      </c>
      <c r="N162" s="14">
        <f t="shared" si="21"/>
        <v>0</v>
      </c>
      <c r="O162" s="14">
        <f t="shared" si="21"/>
        <v>1080522.5093863923</v>
      </c>
    </row>
    <row r="163" spans="1:15" x14ac:dyDescent="0.2">
      <c r="A163" s="7" t="s">
        <v>177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8" t="s">
        <v>178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19" t="s">
        <v>179</v>
      </c>
      <c r="B165" s="12">
        <v>0</v>
      </c>
      <c r="C165" s="12">
        <v>0</v>
      </c>
      <c r="D165" s="12">
        <v>0</v>
      </c>
      <c r="E165" s="12">
        <v>0</v>
      </c>
      <c r="F165" s="12">
        <v>4.42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1.58</v>
      </c>
      <c r="N165" s="12">
        <v>0</v>
      </c>
      <c r="O165" s="12">
        <f>SUM(B165:N165)</f>
        <v>6</v>
      </c>
    </row>
    <row r="166" spans="1:15" x14ac:dyDescent="0.2">
      <c r="A166" s="16" t="s">
        <v>180</v>
      </c>
      <c r="B166" s="14">
        <f t="shared" ref="B166:O166" si="22">SUM(B165)</f>
        <v>0</v>
      </c>
      <c r="C166" s="14">
        <f t="shared" si="22"/>
        <v>0</v>
      </c>
      <c r="D166" s="14">
        <f t="shared" si="22"/>
        <v>0</v>
      </c>
      <c r="E166" s="14">
        <f t="shared" si="22"/>
        <v>0</v>
      </c>
      <c r="F166" s="14">
        <f t="shared" si="22"/>
        <v>4.42</v>
      </c>
      <c r="G166" s="14">
        <f t="shared" si="22"/>
        <v>0</v>
      </c>
      <c r="H166" s="14">
        <f t="shared" si="22"/>
        <v>0</v>
      </c>
      <c r="I166" s="14">
        <f t="shared" si="22"/>
        <v>0</v>
      </c>
      <c r="J166" s="14">
        <f t="shared" si="22"/>
        <v>0</v>
      </c>
      <c r="K166" s="14">
        <f t="shared" si="22"/>
        <v>0</v>
      </c>
      <c r="L166" s="14">
        <f t="shared" si="22"/>
        <v>0</v>
      </c>
      <c r="M166" s="14">
        <f t="shared" si="22"/>
        <v>1.58</v>
      </c>
      <c r="N166" s="14">
        <f t="shared" si="22"/>
        <v>0</v>
      </c>
      <c r="O166" s="14">
        <f t="shared" si="22"/>
        <v>6</v>
      </c>
    </row>
    <row r="167" spans="1:15" x14ac:dyDescent="0.2">
      <c r="A167" s="8" t="s">
        <v>181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19" t="s">
        <v>182</v>
      </c>
      <c r="B168" s="12">
        <v>0</v>
      </c>
      <c r="C168" s="12">
        <v>131.72</v>
      </c>
      <c r="D168" s="12">
        <v>131.13999999999999</v>
      </c>
      <c r="E168" s="12">
        <v>130.56</v>
      </c>
      <c r="F168" s="12">
        <v>129.97</v>
      </c>
      <c r="G168" s="12">
        <v>129.38</v>
      </c>
      <c r="H168" s="12">
        <v>128.80000000000001</v>
      </c>
      <c r="I168" s="12">
        <v>128.21</v>
      </c>
      <c r="J168" s="12">
        <v>127.62</v>
      </c>
      <c r="K168" s="12">
        <v>127.03</v>
      </c>
      <c r="L168" s="12">
        <v>126.44</v>
      </c>
      <c r="M168" s="12">
        <v>18149.240000000002</v>
      </c>
      <c r="N168" s="12">
        <v>0</v>
      </c>
      <c r="O168" s="12">
        <f>SUM(B168:N168)</f>
        <v>19440.11</v>
      </c>
    </row>
    <row r="169" spans="1:15" x14ac:dyDescent="0.2">
      <c r="A169" s="19" t="s">
        <v>183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685.03</v>
      </c>
      <c r="N169" s="12">
        <v>0</v>
      </c>
      <c r="O169" s="12">
        <f>SUM(B169:N169)</f>
        <v>685.03</v>
      </c>
    </row>
    <row r="170" spans="1:15" x14ac:dyDescent="0.2">
      <c r="A170" s="16" t="s">
        <v>184</v>
      </c>
      <c r="B170" s="14">
        <f t="shared" ref="B170:O170" si="23">SUM(B168:B169)</f>
        <v>0</v>
      </c>
      <c r="C170" s="14">
        <f t="shared" si="23"/>
        <v>131.72</v>
      </c>
      <c r="D170" s="14">
        <f t="shared" si="23"/>
        <v>131.13999999999999</v>
      </c>
      <c r="E170" s="14">
        <f t="shared" si="23"/>
        <v>130.56</v>
      </c>
      <c r="F170" s="14">
        <f t="shared" si="23"/>
        <v>129.97</v>
      </c>
      <c r="G170" s="14">
        <f t="shared" si="23"/>
        <v>129.38</v>
      </c>
      <c r="H170" s="14">
        <f t="shared" si="23"/>
        <v>128.80000000000001</v>
      </c>
      <c r="I170" s="14">
        <f t="shared" si="23"/>
        <v>128.21</v>
      </c>
      <c r="J170" s="14">
        <f t="shared" si="23"/>
        <v>127.62</v>
      </c>
      <c r="K170" s="14">
        <f t="shared" si="23"/>
        <v>127.03</v>
      </c>
      <c r="L170" s="14">
        <f t="shared" si="23"/>
        <v>126.44</v>
      </c>
      <c r="M170" s="14">
        <f t="shared" si="23"/>
        <v>18834.27</v>
      </c>
      <c r="N170" s="14">
        <f t="shared" si="23"/>
        <v>0</v>
      </c>
      <c r="O170" s="14">
        <f t="shared" si="23"/>
        <v>20125.14</v>
      </c>
    </row>
    <row r="171" spans="1:15" x14ac:dyDescent="0.2">
      <c r="A171" s="8" t="s">
        <v>185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19" t="s">
        <v>186</v>
      </c>
      <c r="B172" s="12">
        <v>1013.17</v>
      </c>
      <c r="C172" s="12">
        <v>3807.01</v>
      </c>
      <c r="D172" s="12">
        <v>1730.82</v>
      </c>
      <c r="E172" s="12">
        <v>444.29</v>
      </c>
      <c r="F172" s="12">
        <v>1046.82</v>
      </c>
      <c r="G172" s="12">
        <v>0</v>
      </c>
      <c r="H172" s="12">
        <v>2417.5300000000002</v>
      </c>
      <c r="I172" s="12">
        <v>172.18</v>
      </c>
      <c r="J172" s="12">
        <v>0</v>
      </c>
      <c r="K172" s="12">
        <v>845.7</v>
      </c>
      <c r="L172" s="12">
        <v>0</v>
      </c>
      <c r="M172" s="12">
        <v>-11056.2</v>
      </c>
      <c r="N172" s="12">
        <v>0</v>
      </c>
      <c r="O172" s="12">
        <f>SUM(B172:N172)</f>
        <v>421.31999999999971</v>
      </c>
    </row>
    <row r="173" spans="1:15" x14ac:dyDescent="0.2">
      <c r="A173" s="19" t="s">
        <v>187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2">
        <v>1900.02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1900.02</v>
      </c>
      <c r="N173" s="12">
        <v>0</v>
      </c>
      <c r="O173" s="12">
        <f>SUM(B173:N173)</f>
        <v>3800.04</v>
      </c>
    </row>
    <row r="174" spans="1:15" x14ac:dyDescent="0.2">
      <c r="A174" s="16" t="s">
        <v>188</v>
      </c>
      <c r="B174" s="14">
        <f t="shared" ref="B174:O174" si="24">SUM(B172:B173)</f>
        <v>1013.17</v>
      </c>
      <c r="C174" s="14">
        <f t="shared" si="24"/>
        <v>3807.01</v>
      </c>
      <c r="D174" s="14">
        <f t="shared" si="24"/>
        <v>1730.82</v>
      </c>
      <c r="E174" s="14">
        <f t="shared" si="24"/>
        <v>444.29</v>
      </c>
      <c r="F174" s="14">
        <f t="shared" si="24"/>
        <v>1046.82</v>
      </c>
      <c r="G174" s="14">
        <f t="shared" si="24"/>
        <v>1900.02</v>
      </c>
      <c r="H174" s="14">
        <f t="shared" si="24"/>
        <v>2417.5300000000002</v>
      </c>
      <c r="I174" s="14">
        <f t="shared" si="24"/>
        <v>172.18</v>
      </c>
      <c r="J174" s="14">
        <f t="shared" si="24"/>
        <v>0</v>
      </c>
      <c r="K174" s="14">
        <f t="shared" si="24"/>
        <v>845.7</v>
      </c>
      <c r="L174" s="14">
        <f t="shared" si="24"/>
        <v>0</v>
      </c>
      <c r="M174" s="14">
        <f t="shared" si="24"/>
        <v>-9156.18</v>
      </c>
      <c r="N174" s="14">
        <f t="shared" si="24"/>
        <v>0</v>
      </c>
      <c r="O174" s="14">
        <f t="shared" si="24"/>
        <v>4221.3599999999997</v>
      </c>
    </row>
    <row r="175" spans="1:15" x14ac:dyDescent="0.2">
      <c r="A175" s="8" t="s">
        <v>189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19" t="s">
        <v>190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2839.7654664000002</v>
      </c>
      <c r="N176" s="12">
        <v>0</v>
      </c>
      <c r="O176" s="12">
        <f>SUM(B176:N176)</f>
        <v>2839.7654664000002</v>
      </c>
    </row>
    <row r="177" spans="1:15" x14ac:dyDescent="0.2">
      <c r="A177" s="19" t="s">
        <v>191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2">
        <v>-1900.02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-1900.02</v>
      </c>
      <c r="N177" s="12">
        <v>0</v>
      </c>
      <c r="O177" s="12">
        <f>SUM(B177:N177)</f>
        <v>-3800.04</v>
      </c>
    </row>
    <row r="178" spans="1:15" x14ac:dyDescent="0.2">
      <c r="A178" s="16" t="s">
        <v>192</v>
      </c>
      <c r="B178" s="14">
        <f t="shared" ref="B178:O178" si="25">SUM(B176:B177)</f>
        <v>0</v>
      </c>
      <c r="C178" s="14">
        <f t="shared" si="25"/>
        <v>0</v>
      </c>
      <c r="D178" s="14">
        <f t="shared" si="25"/>
        <v>0</v>
      </c>
      <c r="E178" s="14">
        <f t="shared" si="25"/>
        <v>0</v>
      </c>
      <c r="F178" s="14">
        <f t="shared" si="25"/>
        <v>0</v>
      </c>
      <c r="G178" s="14">
        <f t="shared" si="25"/>
        <v>-1900.02</v>
      </c>
      <c r="H178" s="14">
        <f t="shared" si="25"/>
        <v>0</v>
      </c>
      <c r="I178" s="14">
        <f t="shared" si="25"/>
        <v>0</v>
      </c>
      <c r="J178" s="14">
        <f t="shared" si="25"/>
        <v>0</v>
      </c>
      <c r="K178" s="14">
        <f t="shared" si="25"/>
        <v>0</v>
      </c>
      <c r="L178" s="14">
        <f t="shared" si="25"/>
        <v>0</v>
      </c>
      <c r="M178" s="14">
        <f t="shared" si="25"/>
        <v>939.74546640000017</v>
      </c>
      <c r="N178" s="14">
        <f t="shared" si="25"/>
        <v>0</v>
      </c>
      <c r="O178" s="14">
        <f t="shared" si="25"/>
        <v>-960.27453359999981</v>
      </c>
    </row>
    <row r="179" spans="1:15" x14ac:dyDescent="0.2">
      <c r="A179" s="18" t="s">
        <v>193</v>
      </c>
      <c r="B179" s="14">
        <f t="shared" ref="B179:O179" si="26">B166+B170+B174+0+B178</f>
        <v>1013.17</v>
      </c>
      <c r="C179" s="14">
        <f t="shared" si="26"/>
        <v>3938.73</v>
      </c>
      <c r="D179" s="14">
        <f t="shared" si="26"/>
        <v>1861.96</v>
      </c>
      <c r="E179" s="14">
        <f t="shared" si="26"/>
        <v>574.85</v>
      </c>
      <c r="F179" s="14">
        <f t="shared" si="26"/>
        <v>1181.21</v>
      </c>
      <c r="G179" s="14">
        <f t="shared" si="26"/>
        <v>129.38000000000011</v>
      </c>
      <c r="H179" s="14">
        <f t="shared" si="26"/>
        <v>2546.3300000000004</v>
      </c>
      <c r="I179" s="14">
        <f t="shared" si="26"/>
        <v>300.39</v>
      </c>
      <c r="J179" s="14">
        <f t="shared" si="26"/>
        <v>127.62</v>
      </c>
      <c r="K179" s="14">
        <f t="shared" si="26"/>
        <v>972.73</v>
      </c>
      <c r="L179" s="14">
        <f t="shared" si="26"/>
        <v>126.44</v>
      </c>
      <c r="M179" s="14">
        <f t="shared" si="26"/>
        <v>10619.415466400002</v>
      </c>
      <c r="N179" s="14">
        <f t="shared" si="26"/>
        <v>0</v>
      </c>
      <c r="O179" s="14">
        <f t="shared" si="26"/>
        <v>23392.225466399999</v>
      </c>
    </row>
    <row r="180" spans="1:15" x14ac:dyDescent="0.2">
      <c r="A180" s="7" t="s">
        <v>194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20" t="s">
        <v>195</v>
      </c>
      <c r="B181" s="12">
        <v>-13.92</v>
      </c>
      <c r="C181" s="12">
        <v>-33.590000000000003</v>
      </c>
      <c r="D181" s="12">
        <v>-11.55</v>
      </c>
      <c r="E181" s="12">
        <v>-1.78</v>
      </c>
      <c r="F181" s="12">
        <v>-7.28</v>
      </c>
      <c r="G181" s="12">
        <v>0</v>
      </c>
      <c r="H181" s="12">
        <v>-27.79</v>
      </c>
      <c r="I181" s="12">
        <v>-2.35</v>
      </c>
      <c r="J181" s="12">
        <v>0</v>
      </c>
      <c r="K181" s="12">
        <v>-11.61</v>
      </c>
      <c r="L181" s="12">
        <v>0</v>
      </c>
      <c r="M181" s="12">
        <v>-45.23</v>
      </c>
      <c r="N181" s="12">
        <v>0</v>
      </c>
      <c r="O181" s="12">
        <f t="shared" ref="O181:O188" si="27">SUM(B181:N181)</f>
        <v>-155.1</v>
      </c>
    </row>
    <row r="182" spans="1:15" x14ac:dyDescent="0.2">
      <c r="A182" s="20" t="s">
        <v>196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-299.88</v>
      </c>
      <c r="N182" s="12">
        <v>0</v>
      </c>
      <c r="O182" s="12">
        <f t="shared" si="27"/>
        <v>-299.88</v>
      </c>
    </row>
    <row r="183" spans="1:15" x14ac:dyDescent="0.2">
      <c r="A183" s="20" t="s">
        <v>197</v>
      </c>
      <c r="B183" s="12">
        <v>-299.88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299.88</v>
      </c>
      <c r="N183" s="12">
        <v>0</v>
      </c>
      <c r="O183" s="12">
        <f t="shared" si="27"/>
        <v>0</v>
      </c>
    </row>
    <row r="184" spans="1:15" x14ac:dyDescent="0.2">
      <c r="A184" s="20" t="s">
        <v>198</v>
      </c>
      <c r="B184" s="12">
        <v>0</v>
      </c>
      <c r="C184" s="12">
        <v>-580.14952000000005</v>
      </c>
      <c r="D184" s="12">
        <v>-22913.299630000001</v>
      </c>
      <c r="E184" s="12">
        <v>0</v>
      </c>
      <c r="F184" s="12">
        <v>-478.83785</v>
      </c>
      <c r="G184" s="12">
        <v>-22938.880000000001</v>
      </c>
      <c r="H184" s="12">
        <v>-726.51085</v>
      </c>
      <c r="I184" s="12">
        <v>-263.63537000000002</v>
      </c>
      <c r="J184" s="12">
        <v>-23783.93</v>
      </c>
      <c r="K184" s="12">
        <v>0</v>
      </c>
      <c r="L184" s="12">
        <v>-409</v>
      </c>
      <c r="M184" s="12">
        <v>-49340.608039999999</v>
      </c>
      <c r="N184" s="12">
        <v>0</v>
      </c>
      <c r="O184" s="12">
        <f t="shared" si="27"/>
        <v>-121434.85126</v>
      </c>
    </row>
    <row r="185" spans="1:15" x14ac:dyDescent="0.2">
      <c r="A185" s="20" t="s">
        <v>199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676</v>
      </c>
      <c r="I185" s="12">
        <v>0</v>
      </c>
      <c r="J185" s="12">
        <v>0</v>
      </c>
      <c r="K185" s="12">
        <v>0</v>
      </c>
      <c r="L185" s="12">
        <v>0</v>
      </c>
      <c r="M185" s="12">
        <v>-5</v>
      </c>
      <c r="N185" s="12">
        <v>0</v>
      </c>
      <c r="O185" s="12">
        <f t="shared" si="27"/>
        <v>671</v>
      </c>
    </row>
    <row r="186" spans="1:15" x14ac:dyDescent="0.2">
      <c r="A186" s="20" t="s">
        <v>200</v>
      </c>
      <c r="B186" s="12">
        <v>0</v>
      </c>
      <c r="C186" s="12">
        <v>0</v>
      </c>
      <c r="D186" s="12">
        <v>-1237.5</v>
      </c>
      <c r="E186" s="12">
        <v>0</v>
      </c>
      <c r="F186" s="12">
        <v>0</v>
      </c>
      <c r="G186" s="12">
        <v>-1237.5</v>
      </c>
      <c r="H186" s="12">
        <v>0</v>
      </c>
      <c r="I186" s="12">
        <v>0</v>
      </c>
      <c r="J186" s="12">
        <v>-1237.5</v>
      </c>
      <c r="K186" s="12">
        <v>0</v>
      </c>
      <c r="L186" s="12">
        <v>0</v>
      </c>
      <c r="M186" s="12">
        <v>-2887.71</v>
      </c>
      <c r="N186" s="12">
        <v>0</v>
      </c>
      <c r="O186" s="12">
        <f t="shared" si="27"/>
        <v>-6600.21</v>
      </c>
    </row>
    <row r="187" spans="1:15" x14ac:dyDescent="0.2">
      <c r="A187" s="20" t="s">
        <v>201</v>
      </c>
      <c r="B187" s="12">
        <v>0</v>
      </c>
      <c r="C187" s="12">
        <v>-20701</v>
      </c>
      <c r="D187" s="12">
        <v>0</v>
      </c>
      <c r="E187" s="12">
        <v>0</v>
      </c>
      <c r="F187" s="12">
        <v>-20701</v>
      </c>
      <c r="G187" s="12">
        <v>0</v>
      </c>
      <c r="H187" s="12">
        <v>0</v>
      </c>
      <c r="I187" s="12">
        <v>-21994</v>
      </c>
      <c r="J187" s="12">
        <v>0</v>
      </c>
      <c r="K187" s="12">
        <v>0</v>
      </c>
      <c r="L187" s="12">
        <v>-23074</v>
      </c>
      <c r="M187" s="12">
        <v>-28438</v>
      </c>
      <c r="N187" s="12">
        <v>0</v>
      </c>
      <c r="O187" s="12">
        <f t="shared" si="27"/>
        <v>-114908</v>
      </c>
    </row>
    <row r="188" spans="1:15" x14ac:dyDescent="0.2">
      <c r="A188" s="20" t="s">
        <v>202</v>
      </c>
      <c r="B188" s="12">
        <v>-253.3</v>
      </c>
      <c r="C188" s="12">
        <v>-610.9</v>
      </c>
      <c r="D188" s="12">
        <v>-210.69</v>
      </c>
      <c r="E188" s="12">
        <v>-32.450000000000003</v>
      </c>
      <c r="F188" s="12">
        <v>-132.44</v>
      </c>
      <c r="G188" s="12">
        <v>0</v>
      </c>
      <c r="H188" s="12">
        <v>-505.72</v>
      </c>
      <c r="I188" s="12">
        <v>-43.05</v>
      </c>
      <c r="J188" s="12">
        <v>0</v>
      </c>
      <c r="K188" s="12">
        <v>-211.43</v>
      </c>
      <c r="L188" s="12">
        <v>0</v>
      </c>
      <c r="M188" s="12">
        <v>-823.13</v>
      </c>
      <c r="N188" s="12">
        <v>0</v>
      </c>
      <c r="O188" s="12">
        <f t="shared" si="27"/>
        <v>-2823.11</v>
      </c>
    </row>
    <row r="189" spans="1:15" x14ac:dyDescent="0.2">
      <c r="A189" s="18" t="s">
        <v>203</v>
      </c>
      <c r="B189" s="14">
        <f t="shared" ref="B189:O189" si="28">SUM(B181:B188)</f>
        <v>-567.1</v>
      </c>
      <c r="C189" s="14">
        <f t="shared" si="28"/>
        <v>-21925.639520000001</v>
      </c>
      <c r="D189" s="14">
        <f t="shared" si="28"/>
        <v>-24373.039629999999</v>
      </c>
      <c r="E189" s="14">
        <f t="shared" si="28"/>
        <v>-34.230000000000004</v>
      </c>
      <c r="F189" s="14">
        <f t="shared" si="28"/>
        <v>-21319.557849999997</v>
      </c>
      <c r="G189" s="14">
        <f t="shared" si="28"/>
        <v>-24176.38</v>
      </c>
      <c r="H189" s="14">
        <f t="shared" si="28"/>
        <v>-584.02085</v>
      </c>
      <c r="I189" s="14">
        <f t="shared" si="28"/>
        <v>-22303.035369999998</v>
      </c>
      <c r="J189" s="14">
        <f t="shared" si="28"/>
        <v>-25021.43</v>
      </c>
      <c r="K189" s="14">
        <f t="shared" si="28"/>
        <v>-223.04000000000002</v>
      </c>
      <c r="L189" s="14">
        <f t="shared" si="28"/>
        <v>-23483</v>
      </c>
      <c r="M189" s="14">
        <f t="shared" si="28"/>
        <v>-81539.678039999999</v>
      </c>
      <c r="N189" s="14">
        <f t="shared" si="28"/>
        <v>0</v>
      </c>
      <c r="O189" s="14">
        <f t="shared" si="28"/>
        <v>-245550.15125999998</v>
      </c>
    </row>
    <row r="190" spans="1:15" x14ac:dyDescent="0.2">
      <c r="A190" s="7" t="s">
        <v>204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20" t="s">
        <v>205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-2021.18</v>
      </c>
      <c r="N191" s="12">
        <v>0</v>
      </c>
      <c r="O191" s="12">
        <f>SUM(B191:N191)</f>
        <v>-2021.18</v>
      </c>
    </row>
    <row r="192" spans="1:15" x14ac:dyDescent="0.2">
      <c r="A192" s="20" t="s">
        <v>206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-1959</v>
      </c>
      <c r="N192" s="12">
        <v>0</v>
      </c>
      <c r="O192" s="12">
        <f>SUM(B192:N192)</f>
        <v>-1959</v>
      </c>
    </row>
    <row r="193" spans="1:15" x14ac:dyDescent="0.2">
      <c r="A193" s="18" t="s">
        <v>207</v>
      </c>
      <c r="B193" s="14">
        <f t="shared" ref="B193:O193" si="29">SUM(B191:B192)</f>
        <v>0</v>
      </c>
      <c r="C193" s="14">
        <f t="shared" si="29"/>
        <v>0</v>
      </c>
      <c r="D193" s="14">
        <f t="shared" si="29"/>
        <v>0</v>
      </c>
      <c r="E193" s="14">
        <f t="shared" si="29"/>
        <v>0</v>
      </c>
      <c r="F193" s="14">
        <f t="shared" si="29"/>
        <v>0</v>
      </c>
      <c r="G193" s="14">
        <f t="shared" si="29"/>
        <v>0</v>
      </c>
      <c r="H193" s="14">
        <f t="shared" si="29"/>
        <v>0</v>
      </c>
      <c r="I193" s="14">
        <f t="shared" si="29"/>
        <v>0</v>
      </c>
      <c r="J193" s="14">
        <f t="shared" si="29"/>
        <v>0</v>
      </c>
      <c r="K193" s="14">
        <f t="shared" si="29"/>
        <v>0</v>
      </c>
      <c r="L193" s="14">
        <f t="shared" si="29"/>
        <v>0</v>
      </c>
      <c r="M193" s="14">
        <f t="shared" si="29"/>
        <v>-3980.1800000000003</v>
      </c>
      <c r="N193" s="14">
        <f t="shared" si="29"/>
        <v>0</v>
      </c>
      <c r="O193" s="14">
        <f t="shared" si="29"/>
        <v>-3980.1800000000003</v>
      </c>
    </row>
    <row r="194" spans="1:15" x14ac:dyDescent="0.2">
      <c r="A194" s="21" t="s">
        <v>208</v>
      </c>
      <c r="B194" s="14">
        <f t="shared" ref="B194:O194" si="30">B162+B179+B189+B193</f>
        <v>-37968.077247000016</v>
      </c>
      <c r="C194" s="14">
        <f t="shared" si="30"/>
        <v>-60175.127568000011</v>
      </c>
      <c r="D194" s="14">
        <f t="shared" si="30"/>
        <v>231659.04711799981</v>
      </c>
      <c r="E194" s="14">
        <f t="shared" si="30"/>
        <v>70833.061240999625</v>
      </c>
      <c r="F194" s="14">
        <f t="shared" si="30"/>
        <v>-18494.603274999863</v>
      </c>
      <c r="G194" s="14">
        <f t="shared" si="30"/>
        <v>161242.88380799978</v>
      </c>
      <c r="H194" s="14">
        <f t="shared" si="30"/>
        <v>146923.23564700014</v>
      </c>
      <c r="I194" s="14">
        <f t="shared" si="30"/>
        <v>40966.567740999788</v>
      </c>
      <c r="J194" s="14">
        <f t="shared" si="30"/>
        <v>23593.807073000062</v>
      </c>
      <c r="K194" s="14">
        <f t="shared" si="30"/>
        <v>-5111.7082632798147</v>
      </c>
      <c r="L194" s="14">
        <f t="shared" si="30"/>
        <v>185853.93720940972</v>
      </c>
      <c r="M194" s="14">
        <f t="shared" si="30"/>
        <v>115061.38010866486</v>
      </c>
      <c r="N194" s="14">
        <f t="shared" si="30"/>
        <v>0</v>
      </c>
      <c r="O194" s="14">
        <f t="shared" si="30"/>
        <v>854384.40359279222</v>
      </c>
    </row>
  </sheetData>
  <mergeCells count="3">
    <mergeCell ref="A1:O1"/>
    <mergeCell ref="A2:O2"/>
    <mergeCell ref="A3:O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2023-08-08T21:26:25Z</dcterms:created>
  <dcterms:modified xsi:type="dcterms:W3CDTF">2023-08-08T21:26:59Z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