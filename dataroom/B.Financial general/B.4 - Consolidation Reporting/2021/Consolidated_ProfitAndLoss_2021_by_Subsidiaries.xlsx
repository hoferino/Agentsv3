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1\"/>
    </mc:Choice>
  </mc:AlternateContent>
  <xr:revisionPtr revIDLastSave="0" documentId="13_ncr:40009_{71794B85-6AD6-412F-B6D5-F4A33DBC4D12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0" i="1" l="1"/>
  <c r="F190" i="1"/>
  <c r="E190" i="1"/>
  <c r="D190" i="1"/>
  <c r="C190" i="1"/>
  <c r="B190" i="1"/>
  <c r="H189" i="1"/>
  <c r="H188" i="1"/>
  <c r="H190" i="1" s="1"/>
  <c r="G186" i="1"/>
  <c r="F186" i="1"/>
  <c r="E186" i="1"/>
  <c r="D186" i="1"/>
  <c r="C186" i="1"/>
  <c r="B186" i="1"/>
  <c r="H185" i="1"/>
  <c r="H184" i="1"/>
  <c r="H183" i="1"/>
  <c r="H182" i="1"/>
  <c r="H181" i="1"/>
  <c r="H180" i="1"/>
  <c r="H179" i="1"/>
  <c r="G176" i="1"/>
  <c r="F176" i="1"/>
  <c r="E176" i="1"/>
  <c r="D176" i="1"/>
  <c r="C176" i="1"/>
  <c r="B176" i="1"/>
  <c r="H175" i="1"/>
  <c r="H174" i="1"/>
  <c r="H176" i="1" s="1"/>
  <c r="G172" i="1"/>
  <c r="F172" i="1"/>
  <c r="E172" i="1"/>
  <c r="D172" i="1"/>
  <c r="C172" i="1"/>
  <c r="B172" i="1"/>
  <c r="H171" i="1"/>
  <c r="H170" i="1"/>
  <c r="H172" i="1" s="1"/>
  <c r="G168" i="1"/>
  <c r="F168" i="1"/>
  <c r="E168" i="1"/>
  <c r="D168" i="1"/>
  <c r="C168" i="1"/>
  <c r="B168" i="1"/>
  <c r="H167" i="1"/>
  <c r="H166" i="1"/>
  <c r="H168" i="1" s="1"/>
  <c r="G164" i="1"/>
  <c r="F164" i="1"/>
  <c r="E164" i="1"/>
  <c r="D164" i="1"/>
  <c r="D177" i="1" s="1"/>
  <c r="C164" i="1"/>
  <c r="B164" i="1"/>
  <c r="B177" i="1" s="1"/>
  <c r="H163" i="1"/>
  <c r="H164" i="1" s="1"/>
  <c r="G158" i="1"/>
  <c r="F158" i="1"/>
  <c r="E158" i="1"/>
  <c r="D158" i="1"/>
  <c r="C158" i="1"/>
  <c r="B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E86" i="1"/>
  <c r="G85" i="1"/>
  <c r="G86" i="1" s="1"/>
  <c r="F85" i="1"/>
  <c r="F86" i="1" s="1"/>
  <c r="E85" i="1"/>
  <c r="D85" i="1"/>
  <c r="D86" i="1" s="1"/>
  <c r="C85" i="1"/>
  <c r="C86" i="1" s="1"/>
  <c r="B85" i="1"/>
  <c r="B86" i="1" s="1"/>
  <c r="H84" i="1"/>
  <c r="H83" i="1"/>
  <c r="H82" i="1"/>
  <c r="H81" i="1"/>
  <c r="G77" i="1"/>
  <c r="F77" i="1"/>
  <c r="E77" i="1"/>
  <c r="D77" i="1"/>
  <c r="C77" i="1"/>
  <c r="B77" i="1"/>
  <c r="H76" i="1"/>
  <c r="H75" i="1"/>
  <c r="H74" i="1"/>
  <c r="H73" i="1"/>
  <c r="H72" i="1"/>
  <c r="H71" i="1"/>
  <c r="H70" i="1"/>
  <c r="H69" i="1"/>
  <c r="H68" i="1"/>
  <c r="H67" i="1"/>
  <c r="H66" i="1"/>
  <c r="G64" i="1"/>
  <c r="G78" i="1" s="1"/>
  <c r="F64" i="1"/>
  <c r="E64" i="1"/>
  <c r="D64" i="1"/>
  <c r="C64" i="1"/>
  <c r="B64" i="1"/>
  <c r="B78" i="1" s="1"/>
  <c r="H63" i="1"/>
  <c r="H62" i="1"/>
  <c r="H61" i="1"/>
  <c r="H60" i="1"/>
  <c r="H59" i="1"/>
  <c r="H58" i="1"/>
  <c r="H57" i="1"/>
  <c r="H56" i="1"/>
  <c r="G50" i="1"/>
  <c r="F50" i="1"/>
  <c r="E50" i="1"/>
  <c r="D50" i="1"/>
  <c r="C50" i="1"/>
  <c r="B50" i="1"/>
  <c r="H49" i="1"/>
  <c r="H48" i="1"/>
  <c r="H47" i="1"/>
  <c r="H46" i="1"/>
  <c r="H45" i="1"/>
  <c r="G43" i="1"/>
  <c r="F43" i="1"/>
  <c r="F51" i="1" s="1"/>
  <c r="E43" i="1"/>
  <c r="D43" i="1"/>
  <c r="C43" i="1"/>
  <c r="B43" i="1"/>
  <c r="H42" i="1"/>
  <c r="H41" i="1"/>
  <c r="H40" i="1"/>
  <c r="H39" i="1"/>
  <c r="G35" i="1"/>
  <c r="F35" i="1"/>
  <c r="E35" i="1"/>
  <c r="D35" i="1"/>
  <c r="C35" i="1"/>
  <c r="B35" i="1"/>
  <c r="H34" i="1"/>
  <c r="H33" i="1"/>
  <c r="H32" i="1"/>
  <c r="H31" i="1"/>
  <c r="H30" i="1"/>
  <c r="H29" i="1"/>
  <c r="H28" i="1"/>
  <c r="H27" i="1"/>
  <c r="H26" i="1"/>
  <c r="H25" i="1"/>
  <c r="H24" i="1"/>
  <c r="G22" i="1"/>
  <c r="F22" i="1"/>
  <c r="E22" i="1"/>
  <c r="E36" i="1" s="1"/>
  <c r="D22" i="1"/>
  <c r="C22" i="1"/>
  <c r="C36" i="1" s="1"/>
  <c r="B22" i="1"/>
  <c r="B36" i="1" s="1"/>
  <c r="H21" i="1"/>
  <c r="H20" i="1"/>
  <c r="H19" i="1"/>
  <c r="H18" i="1"/>
  <c r="H17" i="1"/>
  <c r="H16" i="1"/>
  <c r="H15" i="1"/>
  <c r="H14" i="1"/>
  <c r="H13" i="1"/>
  <c r="H12" i="1"/>
  <c r="H11" i="1"/>
  <c r="E177" i="1" l="1"/>
  <c r="E78" i="1"/>
  <c r="E159" i="1" s="1"/>
  <c r="G159" i="1"/>
  <c r="H43" i="1"/>
  <c r="E51" i="1"/>
  <c r="F78" i="1"/>
  <c r="F159" i="1" s="1"/>
  <c r="E52" i="1"/>
  <c r="E160" i="1" s="1"/>
  <c r="B51" i="1"/>
  <c r="B52" i="1" s="1"/>
  <c r="B160" i="1" s="1"/>
  <c r="B191" i="1" s="1"/>
  <c r="C51" i="1"/>
  <c r="C52" i="1" s="1"/>
  <c r="G177" i="1"/>
  <c r="G36" i="1"/>
  <c r="C78" i="1"/>
  <c r="H50" i="1"/>
  <c r="H51" i="1" s="1"/>
  <c r="F36" i="1"/>
  <c r="F52" i="1" s="1"/>
  <c r="F177" i="1"/>
  <c r="H35" i="1"/>
  <c r="H77" i="1"/>
  <c r="D51" i="1"/>
  <c r="H177" i="1"/>
  <c r="H64" i="1"/>
  <c r="H186" i="1"/>
  <c r="H22" i="1"/>
  <c r="H85" i="1"/>
  <c r="H86" i="1" s="1"/>
  <c r="C177" i="1"/>
  <c r="H158" i="1"/>
  <c r="D36" i="1"/>
  <c r="D52" i="1" s="1"/>
  <c r="G51" i="1"/>
  <c r="G52" i="1" s="1"/>
  <c r="G160" i="1" s="1"/>
  <c r="D78" i="1"/>
  <c r="F160" i="1"/>
  <c r="B159" i="1"/>
  <c r="C159" i="1"/>
  <c r="D159" i="1"/>
  <c r="D160" i="1" s="1"/>
  <c r="D191" i="1" s="1"/>
  <c r="H36" i="1" l="1"/>
  <c r="E191" i="1"/>
  <c r="H52" i="1"/>
  <c r="G191" i="1"/>
  <c r="H78" i="1"/>
  <c r="H159" i="1" s="1"/>
  <c r="C160" i="1"/>
  <c r="C191" i="1" s="1"/>
  <c r="F191" i="1"/>
  <c r="H160" i="1" l="1"/>
  <c r="H191" i="1" s="1"/>
</calcChain>
</file>

<file path=xl/sharedStrings.xml><?xml version="1.0" encoding="utf-8"?>
<sst xmlns="http://schemas.openxmlformats.org/spreadsheetml/2006/main" count="205" uniqueCount="199">
  <si>
    <t>PROMATIS software GmbH</t>
  </si>
  <si>
    <t>Firma (Consolidated)</t>
  </si>
  <si>
    <t>PG P+L Consolidated</t>
  </si>
  <si>
    <t>From Jan 2021 to Adjust 2021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</si>
  <si>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</si>
  <si>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</si>
  <si>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</si>
  <si>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</si>
  <si>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</si>
  <si>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</si>
  <si>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</si>
  <si>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</si>
  <si>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</si>
  <si>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</si>
  <si>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</si>
  <si>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</si>
  <si>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</si>
  <si>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</si>
  <si>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</si>
  <si>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</si>
  <si>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</si>
  <si>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</si>
  <si>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</si>
  <si>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</si>
  <si>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</si>
  <si>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</si>
  <si>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</si>
  <si>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400000 - Sales (free text)</t>
  </si>
  <si>
    <t>474000 - Volume discounts granted</t>
  </si>
  <si>
    <t>Total Revenue</t>
  </si>
  <si>
    <t>4. Other operating income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</si>
  <si>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</si>
  <si>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</si>
  <si>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</si>
  <si>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490000 - Income from disposal of fixed assets</t>
  </si>
  <si>
    <t>493000 - Income from reversal of provisions</t>
  </si>
  <si>
    <t>497000 - Insurance recoveries and compensation payments</t>
  </si>
  <si>
    <t>494500 - Non-cash benefits, Standard VAT (goods)</t>
  </si>
  <si>
    <t>483000 - Other operating income</t>
  </si>
  <si>
    <t>484000 - Realized Foreign Exchange Gain</t>
  </si>
  <si>
    <t>484500 - Revenue from sales of tangible fixed assets, Standard VAT</t>
  </si>
  <si>
    <t>454000 - Revenue infrastructure standard VAT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</si>
  <si>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</si>
  <si>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</si>
  <si>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</si>
  <si>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</si>
  <si>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</si>
  <si>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540000 - Cost of merchandise, Standard input tax</t>
  </si>
  <si>
    <t>580010 - Invoice PO price variance standard rate</t>
  </si>
  <si>
    <t>580020 - Invoice PO qty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</si>
  <si>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</si>
  <si>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</si>
  <si>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</si>
  <si>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</si>
  <si>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590600 - Purchased services, Standard input tax</t>
  </si>
  <si>
    <t>590900 - Purchased services, no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</si>
  <si>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</si>
  <si>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</si>
  <si>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</si>
  <si>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</si>
  <si>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</si>
  <si>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</si>
  <si>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</si>
  <si>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</si>
  <si>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</si>
  <si>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</si>
  <si>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</si>
  <si>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</si>
  <si>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</si>
  <si>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</si>
  <si>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</si>
  <si>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</si>
  <si>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</si>
  <si>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</si>
  <si>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603900 - Flat-rate taxes for employees</t>
  </si>
  <si>
    <t>603600 - Flat-rate taxes for marginal parttime workers</t>
  </si>
  <si>
    <t>607200 - Non-cash benefits and services provided to employees</t>
  </si>
  <si>
    <t>602300 - Profit-sharing salary management</t>
  </si>
  <si>
    <t>497200 - Refunds Act on Reimbursement of Employers' Expenses (AAG)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</si>
  <si>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</si>
  <si>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</si>
  <si>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</si>
  <si>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</si>
  <si>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</si>
  <si>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</si>
  <si>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</si>
  <si>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</si>
  <si>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</si>
  <si>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</si>
  <si>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</si>
  <si>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</si>
  <si>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</si>
  <si>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</si>
  <si>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</si>
  <si>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</si>
  <si>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</si>
  <si>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656300 - Bike leasing</t>
  </si>
  <si>
    <t>683000 - Bookkeeping costs</t>
  </si>
  <si>
    <t>633000 - Cleaning</t>
  </si>
  <si>
    <t>660500 - Conception</t>
  </si>
  <si>
    <t>699500 - Contra account 6990-6998</t>
  </si>
  <si>
    <t>642000 - Contributions</t>
  </si>
  <si>
    <t>688100 - Currency Exchange Losses</t>
  </si>
  <si>
    <t>688000 - Currency translation losses</t>
  </si>
  <si>
    <t>644000 - Disabled persons equalisation levy</t>
  </si>
  <si>
    <t>666800 - Employee mileage reimbursement</t>
  </si>
  <si>
    <t>666500 - Employee travel expens, add. sub costs,Income tax liability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</si>
  <si>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</si>
  <si>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</si>
  <si>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</si>
  <si>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</si>
  <si>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</si>
  <si>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</si>
  <si>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</si>
  <si>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</si>
  <si>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</si>
  <si>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</si>
  <si>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</si>
  <si>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</si>
  <si>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</si>
  <si>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</si>
  <si>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</si>
  <si>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683600 - Leases (movable assets)</t>
  </si>
  <si>
    <t>682500 - Legal and consulting costs</t>
  </si>
  <si>
    <t>682800 - Legal and consulting fees §13b UStG Supplier EU service</t>
  </si>
  <si>
    <t>690000 - Losses on disposal of fixed assets</t>
  </si>
  <si>
    <t>682000 - Newspapers, books</t>
  </si>
  <si>
    <t>639100 - Non-cash benefits, donations for scient. and cult. purposes</t>
  </si>
  <si>
    <t>664400 - Non-deductible entertainment expenses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</si>
  <si>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</si>
  <si>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</si>
  <si>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</si>
  <si>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</si>
  <si>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</si>
  <si>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</si>
  <si>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</si>
  <si>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</si>
  <si>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</si>
  <si>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</si>
  <si>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</si>
  <si>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</si>
  <si>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</si>
  <si>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660600 - Sponsoring</t>
  </si>
  <si>
    <t>680500 - Telephone</t>
  </si>
  <si>
    <t>678000 - Third-party services (distribution)</t>
  </si>
  <si>
    <t>682100 - Training costs</t>
  </si>
  <si>
    <t>692300 - Transfer to specific valuation allowance on receivables</t>
  </si>
  <si>
    <t>692000 - Transfers to global valuation allowance on receivables</t>
  </si>
  <si>
    <t>669900 - Travel costs liability adjustment account</t>
  </si>
  <si>
    <t>650035 - Vehicle Expenses KA-FS 5712/2 BMW 740d xDrive Limousine</t>
  </si>
  <si>
    <t>650033 - Vehicle expenses  KA-MW 8801 Mazda CX30</t>
  </si>
  <si>
    <t>650018 - Vehicle expenses KA-B 9883 Skoda Octavia</t>
  </si>
  <si>
    <t>650036 - Vehicle expenses KA-B 9884 Skodia Fabia</t>
  </si>
  <si>
    <t>650021 - Vehicle expenses KA-EW 1155 Skoda KODIAQ Drive 2.0 TDI</t>
  </si>
  <si>
    <t>650017 - Vehicle expenses KA-JM 1075 Skoda Superb</t>
  </si>
  <si>
    <t>650026 - Vehicle expenses KA-JR 1012 Audi Q5 2.0 Quattro TDI</t>
  </si>
  <si>
    <t>650037 - Vehicle expenses KA-JR 1240 Audi Q3 Sportsback 45 TFSI</t>
  </si>
  <si>
    <t>650014 - Vehicle expenses KA-KS 1186 Mercedes GLA</t>
  </si>
  <si>
    <t>650012 - Vehicle expenses KA-M 3390 Tesla</t>
  </si>
  <si>
    <t>650019 - Vehicle expenses KA-MA 9080 Skoda Superb Combi 1.8 TSI</t>
  </si>
  <si>
    <t>650025 - Vehicle expenses KA-MP 1018 KIA Sportage</t>
  </si>
  <si>
    <t>650034 - Vehicle expenses KA-MP 1019 KIA Xceed 1.4 T-GDI</t>
  </si>
  <si>
    <t>650016 - Vehicle expenses KA-MW 8800 Toyota Verso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</si>
  <si>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</si>
  <si>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</si>
  <si>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</si>
  <si>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</si>
  <si>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</si>
  <si>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</si>
  <si>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</si>
  <si>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</si>
  <si>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</si>
  <si>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</si>
  <si>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</si>
  <si>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</si>
  <si>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</si>
  <si>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</si>
  <si>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710000 - Other interest and similar income</t>
  </si>
  <si>
    <t>711900 - Other interest income from affiliated companies</t>
  </si>
  <si>
    <t>Total Other interest and similar income</t>
  </si>
  <si>
    <t>13. Interest and similar expenses</t>
  </si>
  <si>
    <t>740200 - Extraordinary income standard</t>
  </si>
  <si>
    <t>732900 - Interest expenses on long-term liabilities to affiliated co.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</si>
  <si>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</si>
  <si>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</si>
  <si>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</si>
  <si>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</si>
  <si>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764100 - Backpayments and refunds of trade tax for prior years</t>
  </si>
  <si>
    <t>760000 - Corporate income tax</t>
  </si>
  <si>
    <t>760300 - Corporate income tax for prior years</t>
  </si>
  <si>
    <t>760800 - Solidarity surcharge</t>
  </si>
  <si>
    <t>761000 - Trade tax</t>
  </si>
  <si>
    <t>763000 - Withholding tax on investment income, 25%</t>
  </si>
  <si>
    <t>Total Taxes on income</t>
  </si>
  <si>
    <t>16. Other taxes</t>
  </si>
  <si>
    <t>769000 - Backpayments of other taxes for prior years</t>
  </si>
  <si>
    <t>768500 - Motor vehicle tax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</si>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</sst>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1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" t="s">
        <v>1</v>
      </c>
      <c r="B1" s="1"/>
      <c r="C1" s="1"/>
      <c r="D1" s="1"/>
      <c r="E1" s="1"/>
      <c r="F1" s="1"/>
      <c r="G1" s="1"/>
      <c r="H1" s="1"/>
    </row>
    <row r="2" spans="1:8" ht="18" x14ac:dyDescent="0.25">
      <c r="A2" s="2" t="s">
        <v>2</v>
      </c>
      <c r="B2" s="2"/>
      <c r="C2" s="2"/>
      <c r="D2" s="2"/>
      <c r="E2" s="2"/>
      <c r="F2" s="2"/>
      <c r="G2" s="2"/>
      <c r="H2" s="2"/>
    </row>
    <row r="3" spans="1:8" ht="18" x14ac:dyDescent="0.25">
      <c r="A3" s="2" t="s">
        <v>3</v>
      </c>
      <c r="B3" s="2"/>
      <c r="C3" s="2"/>
      <c r="D3" s="2"/>
      <c r="E3" s="2"/>
      <c r="F3" s="2"/>
      <c r="G3" s="2"/>
      <c r="H3" s="2"/>
    </row>
    <row r="4" spans="1:8" x14ac:dyDescent="0.2">
      <c r="A4" s="3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0</v>
      </c>
      <c r="G4" s="4" t="s">
        <v>9</v>
      </c>
      <c r="H4" s="4" t="s">
        <v>10</v>
      </c>
    </row>
    <row r="5" spans="1:8" x14ac:dyDescent="0.2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x14ac:dyDescent="0.2">
      <c r="A6" s="5" t="s">
        <v>13</v>
      </c>
      <c r="B6" s="6"/>
      <c r="C6" s="6"/>
      <c r="D6" s="6"/>
      <c r="E6" s="6"/>
      <c r="F6" s="6"/>
      <c r="G6" s="6"/>
      <c r="H6" s="6"/>
    </row>
    <row r="7" spans="1:8" x14ac:dyDescent="0.2">
      <c r="A7" s="7" t="s">
        <v>14</v>
      </c>
      <c r="B7" s="6"/>
      <c r="C7" s="6"/>
      <c r="D7" s="6"/>
      <c r="E7" s="6"/>
      <c r="F7" s="6"/>
      <c r="G7" s="6"/>
      <c r="H7" s="6"/>
    </row>
    <row r="8" spans="1:8" x14ac:dyDescent="0.2">
      <c r="A8" s="8" t="s">
        <v>15</v>
      </c>
      <c r="B8" s="6"/>
      <c r="C8" s="6"/>
      <c r="D8" s="6"/>
      <c r="E8" s="6"/>
      <c r="F8" s="6"/>
      <c r="G8" s="6"/>
      <c r="H8" s="6"/>
    </row>
    <row r="9" spans="1:8" x14ac:dyDescent="0.2">
      <c r="A9" s="9" t="s">
        <v>16</v>
      </c>
      <c r="B9" s="6"/>
      <c r="C9" s="6"/>
      <c r="D9" s="6"/>
      <c r="E9" s="6"/>
      <c r="F9" s="6"/>
      <c r="G9" s="6"/>
      <c r="H9" s="6"/>
    </row>
    <row r="10" spans="1:8" x14ac:dyDescent="0.2">
      <c r="A10" s="10" t="s">
        <v>17</v>
      </c>
      <c r="B10" s="6"/>
      <c r="C10" s="6"/>
      <c r="D10" s="6"/>
      <c r="E10" s="6"/>
      <c r="F10" s="6"/>
      <c r="G10" s="6"/>
      <c r="H10" s="6"/>
    </row>
    <row r="11" spans="1:8" x14ac:dyDescent="0.2">
      <c r="A11" s="11" t="s">
        <v>18</v>
      </c>
      <c r="B11" s="12">
        <v>0</v>
      </c>
      <c r="C11" s="12">
        <v>0</v>
      </c>
      <c r="D11" s="12">
        <v>0</v>
      </c>
      <c r="E11" s="12">
        <v>0</v>
      </c>
      <c r="F11" s="12">
        <v>-18989.2</v>
      </c>
      <c r="G11" s="12">
        <v>0</v>
      </c>
      <c r="H11" s="12">
        <f t="shared" ref="H11:H21" si="0">SUM(B11:G11)</f>
        <v>-18989.2</v>
      </c>
    </row>
    <row r="12" spans="1:8" x14ac:dyDescent="0.2">
      <c r="A12" s="11" t="s">
        <v>19</v>
      </c>
      <c r="B12" s="12">
        <v>0</v>
      </c>
      <c r="C12" s="12">
        <v>0</v>
      </c>
      <c r="D12" s="12">
        <v>0</v>
      </c>
      <c r="E12" s="12">
        <v>0</v>
      </c>
      <c r="F12" s="12">
        <v>9494.6</v>
      </c>
      <c r="G12" s="12">
        <v>0</v>
      </c>
      <c r="H12" s="12">
        <f t="shared" si="0"/>
        <v>9494.6</v>
      </c>
    </row>
    <row r="13" spans="1:8" x14ac:dyDescent="0.2">
      <c r="A13" s="11" t="s">
        <v>20</v>
      </c>
      <c r="B13" s="12">
        <v>0</v>
      </c>
      <c r="C13" s="12">
        <v>0</v>
      </c>
      <c r="D13" s="12">
        <v>0</v>
      </c>
      <c r="E13" s="12">
        <v>0</v>
      </c>
      <c r="F13" s="12">
        <v>-2649.6</v>
      </c>
      <c r="G13" s="12">
        <v>0</v>
      </c>
      <c r="H13" s="12">
        <f t="shared" si="0"/>
        <v>-2649.6</v>
      </c>
    </row>
    <row r="14" spans="1:8" x14ac:dyDescent="0.2">
      <c r="A14" s="11" t="s">
        <v>21</v>
      </c>
      <c r="B14" s="12">
        <v>-36951.67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f t="shared" si="0"/>
        <v>-36951.67</v>
      </c>
    </row>
    <row r="15" spans="1:8" x14ac:dyDescent="0.2">
      <c r="A15" s="11" t="s">
        <v>22</v>
      </c>
      <c r="B15" s="12">
        <v>0</v>
      </c>
      <c r="C15" s="12">
        <v>21521.926229199998</v>
      </c>
      <c r="D15" s="12">
        <v>0</v>
      </c>
      <c r="E15" s="12">
        <v>0</v>
      </c>
      <c r="F15" s="12">
        <v>1631731.28</v>
      </c>
      <c r="G15" s="12">
        <v>0</v>
      </c>
      <c r="H15" s="12">
        <f t="shared" si="0"/>
        <v>1653253.2062292001</v>
      </c>
    </row>
    <row r="16" spans="1:8" x14ac:dyDescent="0.2">
      <c r="A16" s="11" t="s">
        <v>23</v>
      </c>
      <c r="B16" s="12">
        <v>0</v>
      </c>
      <c r="C16" s="12">
        <v>0</v>
      </c>
      <c r="D16" s="12">
        <v>1393648.4553213925</v>
      </c>
      <c r="E16" s="12">
        <v>0</v>
      </c>
      <c r="F16" s="12">
        <v>0</v>
      </c>
      <c r="G16" s="12">
        <v>0</v>
      </c>
      <c r="H16" s="12">
        <f t="shared" si="0"/>
        <v>1393648.4553213925</v>
      </c>
    </row>
    <row r="17" spans="1:8" x14ac:dyDescent="0.2">
      <c r="A17" s="11" t="s">
        <v>24</v>
      </c>
      <c r="B17" s="12">
        <v>98170.67</v>
      </c>
      <c r="C17" s="12">
        <v>500879.40581934003</v>
      </c>
      <c r="D17" s="12">
        <v>39040.894639999999</v>
      </c>
      <c r="E17" s="12">
        <v>986268.55</v>
      </c>
      <c r="F17" s="12">
        <v>10652678.48</v>
      </c>
      <c r="G17" s="12">
        <v>104127.49</v>
      </c>
      <c r="H17" s="12">
        <f t="shared" si="0"/>
        <v>12381165.49045934</v>
      </c>
    </row>
    <row r="18" spans="1:8" x14ac:dyDescent="0.2">
      <c r="A18" s="11" t="s">
        <v>25</v>
      </c>
      <c r="B18" s="12">
        <v>0</v>
      </c>
      <c r="C18" s="12">
        <v>0</v>
      </c>
      <c r="D18" s="12">
        <v>0</v>
      </c>
      <c r="E18" s="12">
        <v>230281.25</v>
      </c>
      <c r="F18" s="12">
        <v>0</v>
      </c>
      <c r="G18" s="12">
        <v>0</v>
      </c>
      <c r="H18" s="12">
        <f t="shared" si="0"/>
        <v>230281.25</v>
      </c>
    </row>
    <row r="19" spans="1:8" x14ac:dyDescent="0.2">
      <c r="A19" s="11" t="s">
        <v>26</v>
      </c>
      <c r="B19" s="12">
        <v>0</v>
      </c>
      <c r="C19" s="12">
        <v>0</v>
      </c>
      <c r="D19" s="12">
        <v>0</v>
      </c>
      <c r="E19" s="12">
        <v>0</v>
      </c>
      <c r="F19" s="12">
        <v>1155165.8500000001</v>
      </c>
      <c r="G19" s="12">
        <v>0</v>
      </c>
      <c r="H19" s="12">
        <f t="shared" si="0"/>
        <v>1155165.8500000001</v>
      </c>
    </row>
    <row r="20" spans="1:8" x14ac:dyDescent="0.2">
      <c r="A20" s="11" t="s">
        <v>27</v>
      </c>
      <c r="B20" s="12">
        <v>2190</v>
      </c>
      <c r="C20" s="12">
        <v>0</v>
      </c>
      <c r="D20" s="12">
        <v>0</v>
      </c>
      <c r="E20" s="12">
        <v>0</v>
      </c>
      <c r="F20" s="12">
        <v>43555</v>
      </c>
      <c r="G20" s="12">
        <v>0</v>
      </c>
      <c r="H20" s="12">
        <f t="shared" si="0"/>
        <v>45745</v>
      </c>
    </row>
    <row r="21" spans="1:8" x14ac:dyDescent="0.2">
      <c r="A21" s="11" t="s">
        <v>28</v>
      </c>
      <c r="B21" s="12">
        <v>0</v>
      </c>
      <c r="C21" s="12">
        <v>0</v>
      </c>
      <c r="D21" s="12">
        <v>0</v>
      </c>
      <c r="E21" s="12">
        <v>0</v>
      </c>
      <c r="F21" s="12">
        <v>-146391.93</v>
      </c>
      <c r="G21" s="12">
        <v>0</v>
      </c>
      <c r="H21" s="12">
        <f t="shared" si="0"/>
        <v>-146391.93</v>
      </c>
    </row>
    <row r="22" spans="1:8" x14ac:dyDescent="0.2">
      <c r="A22" s="13" t="s">
        <v>29</v>
      </c>
      <c r="B22" s="14">
        <f t="shared" ref="B22:H22" si="1">SUM(B11:B21)</f>
        <v>63409</v>
      </c>
      <c r="C22" s="14">
        <f t="shared" si="1"/>
        <v>522401.33204854</v>
      </c>
      <c r="D22" s="14">
        <f t="shared" si="1"/>
        <v>1432689.3499613926</v>
      </c>
      <c r="E22" s="14">
        <f t="shared" si="1"/>
        <v>1216549.8</v>
      </c>
      <c r="F22" s="14">
        <f t="shared" si="1"/>
        <v>13324594.48</v>
      </c>
      <c r="G22" s="14">
        <f t="shared" si="1"/>
        <v>104127.49</v>
      </c>
      <c r="H22" s="14">
        <f t="shared" si="1"/>
        <v>16663771.452009931</v>
      </c>
    </row>
    <row r="23" spans="1:8" x14ac:dyDescent="0.2">
      <c r="A23" s="10" t="s">
        <v>30</v>
      </c>
      <c r="B23" s="6"/>
      <c r="C23" s="6"/>
      <c r="D23" s="6"/>
      <c r="E23" s="6"/>
      <c r="F23" s="6"/>
      <c r="G23" s="6"/>
      <c r="H23" s="6"/>
    </row>
    <row r="24" spans="1:8" x14ac:dyDescent="0.2">
      <c r="A24" s="11" t="s">
        <v>31</v>
      </c>
      <c r="B24" s="12">
        <v>0</v>
      </c>
      <c r="C24" s="12">
        <v>0</v>
      </c>
      <c r="D24" s="12">
        <v>0</v>
      </c>
      <c r="E24" s="12">
        <v>0</v>
      </c>
      <c r="F24" s="12">
        <v>75310.52</v>
      </c>
      <c r="G24" s="12">
        <v>0</v>
      </c>
      <c r="H24" s="12">
        <f t="shared" ref="H24:H34" si="2">SUM(B24:G24)</f>
        <v>75310.52</v>
      </c>
    </row>
    <row r="25" spans="1:8" x14ac:dyDescent="0.2">
      <c r="A25" s="11" t="s">
        <v>32</v>
      </c>
      <c r="B25" s="12">
        <v>0</v>
      </c>
      <c r="C25" s="12">
        <v>0</v>
      </c>
      <c r="D25" s="12">
        <v>0</v>
      </c>
      <c r="E25" s="12">
        <v>0</v>
      </c>
      <c r="F25" s="12">
        <v>79</v>
      </c>
      <c r="G25" s="12">
        <v>0</v>
      </c>
      <c r="H25" s="12">
        <f t="shared" si="2"/>
        <v>79</v>
      </c>
    </row>
    <row r="26" spans="1:8" x14ac:dyDescent="0.2">
      <c r="A26" s="11" t="s">
        <v>33</v>
      </c>
      <c r="B26" s="12">
        <v>0</v>
      </c>
      <c r="C26" s="12">
        <v>0</v>
      </c>
      <c r="D26" s="12">
        <v>0</v>
      </c>
      <c r="E26" s="12">
        <v>0</v>
      </c>
      <c r="F26" s="12">
        <v>1271.9000000000001</v>
      </c>
      <c r="G26" s="12">
        <v>0</v>
      </c>
      <c r="H26" s="12">
        <f t="shared" si="2"/>
        <v>1271.9000000000001</v>
      </c>
    </row>
    <row r="27" spans="1:8" x14ac:dyDescent="0.2">
      <c r="A27" s="11" t="s">
        <v>34</v>
      </c>
      <c r="B27" s="12">
        <v>0</v>
      </c>
      <c r="C27" s="12">
        <v>0</v>
      </c>
      <c r="D27" s="12">
        <v>0</v>
      </c>
      <c r="E27" s="12">
        <v>2154.7199999999998</v>
      </c>
      <c r="F27" s="12">
        <v>0</v>
      </c>
      <c r="G27" s="12">
        <v>0</v>
      </c>
      <c r="H27" s="12">
        <f t="shared" si="2"/>
        <v>2154.7199999999998</v>
      </c>
    </row>
    <row r="28" spans="1:8" x14ac:dyDescent="0.2">
      <c r="A28" s="11" t="s">
        <v>35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28</v>
      </c>
      <c r="H28" s="12">
        <f t="shared" si="2"/>
        <v>28</v>
      </c>
    </row>
    <row r="29" spans="1:8" x14ac:dyDescent="0.2">
      <c r="A29" s="11" t="s">
        <v>36</v>
      </c>
      <c r="B29" s="12">
        <v>0</v>
      </c>
      <c r="C29" s="12">
        <v>0</v>
      </c>
      <c r="D29" s="12">
        <v>0</v>
      </c>
      <c r="E29" s="12">
        <v>0</v>
      </c>
      <c r="F29" s="12">
        <v>200.81</v>
      </c>
      <c r="G29" s="12">
        <v>0</v>
      </c>
      <c r="H29" s="12">
        <f t="shared" si="2"/>
        <v>200.81</v>
      </c>
    </row>
    <row r="30" spans="1:8" x14ac:dyDescent="0.2">
      <c r="A30" s="11" t="s">
        <v>37</v>
      </c>
      <c r="B30" s="12">
        <v>0</v>
      </c>
      <c r="C30" s="12">
        <v>0</v>
      </c>
      <c r="D30" s="12">
        <v>0</v>
      </c>
      <c r="E30" s="12">
        <v>0</v>
      </c>
      <c r="F30" s="12">
        <v>2430</v>
      </c>
      <c r="G30" s="12">
        <v>0</v>
      </c>
      <c r="H30" s="12">
        <f t="shared" si="2"/>
        <v>2430</v>
      </c>
    </row>
    <row r="31" spans="1:8" x14ac:dyDescent="0.2">
      <c r="A31" s="11" t="s">
        <v>38</v>
      </c>
      <c r="B31" s="12">
        <v>0</v>
      </c>
      <c r="C31" s="12">
        <v>135.01098999999999</v>
      </c>
      <c r="D31" s="12">
        <v>78054.671102459994</v>
      </c>
      <c r="E31" s="12">
        <v>0.01</v>
      </c>
      <c r="F31" s="12">
        <v>72448.58</v>
      </c>
      <c r="G31" s="12">
        <v>0</v>
      </c>
      <c r="H31" s="12">
        <f t="shared" si="2"/>
        <v>150638.27209245999</v>
      </c>
    </row>
    <row r="32" spans="1:8" x14ac:dyDescent="0.2">
      <c r="A32" s="11" t="s">
        <v>39</v>
      </c>
      <c r="B32" s="12">
        <v>0</v>
      </c>
      <c r="C32" s="12">
        <v>0</v>
      </c>
      <c r="D32" s="12">
        <v>0</v>
      </c>
      <c r="E32" s="12">
        <v>0</v>
      </c>
      <c r="F32" s="12">
        <v>39650.160000000003</v>
      </c>
      <c r="G32" s="12">
        <v>0</v>
      </c>
      <c r="H32" s="12">
        <f t="shared" si="2"/>
        <v>39650.160000000003</v>
      </c>
    </row>
    <row r="33" spans="1:8" x14ac:dyDescent="0.2">
      <c r="A33" s="11" t="s">
        <v>40</v>
      </c>
      <c r="B33" s="12">
        <v>0</v>
      </c>
      <c r="C33" s="12">
        <v>0</v>
      </c>
      <c r="D33" s="12">
        <v>0</v>
      </c>
      <c r="E33" s="12">
        <v>0</v>
      </c>
      <c r="F33" s="12">
        <v>1272.5999999999999</v>
      </c>
      <c r="G33" s="12">
        <v>0</v>
      </c>
      <c r="H33" s="12">
        <f t="shared" si="2"/>
        <v>1272.5999999999999</v>
      </c>
    </row>
    <row r="34" spans="1:8" x14ac:dyDescent="0.2">
      <c r="A34" s="11" t="s">
        <v>41</v>
      </c>
      <c r="B34" s="12">
        <v>0</v>
      </c>
      <c r="C34" s="12">
        <v>0</v>
      </c>
      <c r="D34" s="12">
        <v>0</v>
      </c>
      <c r="E34" s="12">
        <v>0</v>
      </c>
      <c r="F34" s="12">
        <v>42000</v>
      </c>
      <c r="G34" s="12">
        <v>0</v>
      </c>
      <c r="H34" s="12">
        <f t="shared" si="2"/>
        <v>42000</v>
      </c>
    </row>
    <row r="35" spans="1:8" x14ac:dyDescent="0.2">
      <c r="A35" s="13" t="s">
        <v>42</v>
      </c>
      <c r="B35" s="14">
        <f t="shared" ref="B35:H35" si="3">SUM(B24:B34)</f>
        <v>0</v>
      </c>
      <c r="C35" s="14">
        <f t="shared" si="3"/>
        <v>135.01098999999999</v>
      </c>
      <c r="D35" s="14">
        <f t="shared" si="3"/>
        <v>78054.671102459994</v>
      </c>
      <c r="E35" s="14">
        <f t="shared" si="3"/>
        <v>2154.73</v>
      </c>
      <c r="F35" s="14">
        <f t="shared" si="3"/>
        <v>234663.57</v>
      </c>
      <c r="G35" s="14">
        <f t="shared" si="3"/>
        <v>28</v>
      </c>
      <c r="H35" s="14">
        <f t="shared" si="3"/>
        <v>315035.98209245992</v>
      </c>
    </row>
    <row r="36" spans="1:8" x14ac:dyDescent="0.2">
      <c r="A36" s="15" t="s">
        <v>43</v>
      </c>
      <c r="B36" s="14">
        <f t="shared" ref="B36:H36" si="4">B22+0+0+B35</f>
        <v>63409</v>
      </c>
      <c r="C36" s="14">
        <f t="shared" si="4"/>
        <v>522536.34303853998</v>
      </c>
      <c r="D36" s="14">
        <f t="shared" si="4"/>
        <v>1510744.0210638526</v>
      </c>
      <c r="E36" s="14">
        <f t="shared" si="4"/>
        <v>1218704.53</v>
      </c>
      <c r="F36" s="14">
        <f t="shared" si="4"/>
        <v>13559258.050000001</v>
      </c>
      <c r="G36" s="14">
        <f t="shared" si="4"/>
        <v>104155.49</v>
      </c>
      <c r="H36" s="14">
        <f t="shared" si="4"/>
        <v>16978807.43410239</v>
      </c>
    </row>
    <row r="37" spans="1:8" x14ac:dyDescent="0.2">
      <c r="A37" s="9" t="s">
        <v>44</v>
      </c>
      <c r="B37" s="6"/>
      <c r="C37" s="6"/>
      <c r="D37" s="6"/>
      <c r="E37" s="6"/>
      <c r="F37" s="6"/>
      <c r="G37" s="6"/>
      <c r="H37" s="6"/>
    </row>
    <row r="38" spans="1:8" x14ac:dyDescent="0.2">
      <c r="A38" s="10" t="s">
        <v>45</v>
      </c>
      <c r="B38" s="6"/>
      <c r="C38" s="6"/>
      <c r="D38" s="6"/>
      <c r="E38" s="6"/>
      <c r="F38" s="6"/>
      <c r="G38" s="6"/>
      <c r="H38" s="6"/>
    </row>
    <row r="39" spans="1:8" x14ac:dyDescent="0.2">
      <c r="A39" s="11" t="s">
        <v>46</v>
      </c>
      <c r="B39" s="12">
        <v>0</v>
      </c>
      <c r="C39" s="12">
        <v>0</v>
      </c>
      <c r="D39" s="12">
        <v>-14276.7</v>
      </c>
      <c r="E39" s="12">
        <v>0</v>
      </c>
      <c r="F39" s="12">
        <v>0</v>
      </c>
      <c r="G39" s="12">
        <v>0</v>
      </c>
      <c r="H39" s="12">
        <f>SUM(B39:G39)</f>
        <v>-14276.7</v>
      </c>
    </row>
    <row r="40" spans="1:8" x14ac:dyDescent="0.2">
      <c r="A40" s="11" t="s">
        <v>47</v>
      </c>
      <c r="B40" s="12">
        <v>0</v>
      </c>
      <c r="C40" s="12">
        <v>0</v>
      </c>
      <c r="D40" s="12">
        <v>0</v>
      </c>
      <c r="E40" s="12">
        <v>0</v>
      </c>
      <c r="F40" s="12">
        <v>-873191.87</v>
      </c>
      <c r="G40" s="12">
        <v>0</v>
      </c>
      <c r="H40" s="12">
        <f>SUM(B40:G40)</f>
        <v>-873191.87</v>
      </c>
    </row>
    <row r="41" spans="1:8" x14ac:dyDescent="0.2">
      <c r="A41" s="11" t="s">
        <v>48</v>
      </c>
      <c r="B41" s="12">
        <v>0</v>
      </c>
      <c r="C41" s="12">
        <v>0</v>
      </c>
      <c r="D41" s="12">
        <v>0</v>
      </c>
      <c r="E41" s="12">
        <v>0</v>
      </c>
      <c r="F41" s="12">
        <v>-0.2</v>
      </c>
      <c r="G41" s="12">
        <v>-0.06</v>
      </c>
      <c r="H41" s="12">
        <f>SUM(B41:G41)</f>
        <v>-0.26</v>
      </c>
    </row>
    <row r="42" spans="1:8" x14ac:dyDescent="0.2">
      <c r="A42" s="11" t="s">
        <v>49</v>
      </c>
      <c r="B42" s="12">
        <v>0</v>
      </c>
      <c r="C42" s="12">
        <v>0</v>
      </c>
      <c r="D42" s="12">
        <v>0</v>
      </c>
      <c r="E42" s="12">
        <v>0</v>
      </c>
      <c r="F42" s="12">
        <v>27000</v>
      </c>
      <c r="G42" s="12">
        <v>0</v>
      </c>
      <c r="H42" s="12">
        <f>SUM(B42:G42)</f>
        <v>27000</v>
      </c>
    </row>
    <row r="43" spans="1:8" x14ac:dyDescent="0.2">
      <c r="A43" s="13" t="s">
        <v>50</v>
      </c>
      <c r="B43" s="14">
        <f t="shared" ref="B43:H43" si="5">SUM(B39:B42)</f>
        <v>0</v>
      </c>
      <c r="C43" s="14">
        <f t="shared" si="5"/>
        <v>0</v>
      </c>
      <c r="D43" s="14">
        <f t="shared" si="5"/>
        <v>-14276.7</v>
      </c>
      <c r="E43" s="14">
        <f t="shared" si="5"/>
        <v>0</v>
      </c>
      <c r="F43" s="14">
        <f t="shared" si="5"/>
        <v>-846192.07</v>
      </c>
      <c r="G43" s="14">
        <f t="shared" si="5"/>
        <v>-0.06</v>
      </c>
      <c r="H43" s="14">
        <f t="shared" si="5"/>
        <v>-860468.83</v>
      </c>
    </row>
    <row r="44" spans="1:8" x14ac:dyDescent="0.2">
      <c r="A44" s="10" t="s">
        <v>51</v>
      </c>
      <c r="B44" s="6"/>
      <c r="C44" s="6"/>
      <c r="D44" s="6"/>
      <c r="E44" s="6"/>
      <c r="F44" s="6"/>
      <c r="G44" s="6"/>
      <c r="H44" s="6"/>
    </row>
    <row r="45" spans="1:8" x14ac:dyDescent="0.2">
      <c r="A45" s="11" t="s">
        <v>52</v>
      </c>
      <c r="B45" s="12">
        <v>0</v>
      </c>
      <c r="C45" s="12">
        <v>0</v>
      </c>
      <c r="D45" s="12">
        <v>0</v>
      </c>
      <c r="E45" s="12">
        <v>0</v>
      </c>
      <c r="F45" s="12">
        <v>-302993.48</v>
      </c>
      <c r="G45" s="12">
        <v>-10859.38</v>
      </c>
      <c r="H45" s="12">
        <f>SUM(B45:G45)</f>
        <v>-313852.86</v>
      </c>
    </row>
    <row r="46" spans="1:8" x14ac:dyDescent="0.2">
      <c r="A46" s="11" t="s">
        <v>53</v>
      </c>
      <c r="B46" s="12">
        <v>0</v>
      </c>
      <c r="C46" s="12">
        <v>-50225.847804600002</v>
      </c>
      <c r="D46" s="12">
        <v>-1022142.17046725</v>
      </c>
      <c r="E46" s="12">
        <v>0</v>
      </c>
      <c r="F46" s="12">
        <v>-70288.78</v>
      </c>
      <c r="G46" s="12">
        <v>-35416.51</v>
      </c>
      <c r="H46" s="12">
        <f>SUM(B46:G46)</f>
        <v>-1178073.30827185</v>
      </c>
    </row>
    <row r="47" spans="1:8" x14ac:dyDescent="0.2">
      <c r="A47" s="11" t="s">
        <v>54</v>
      </c>
      <c r="B47" s="12">
        <v>0</v>
      </c>
      <c r="C47" s="12">
        <v>0</v>
      </c>
      <c r="D47" s="12">
        <v>0</v>
      </c>
      <c r="E47" s="12">
        <v>0</v>
      </c>
      <c r="F47" s="12">
        <v>-342464</v>
      </c>
      <c r="G47" s="12">
        <v>-3953.01</v>
      </c>
      <c r="H47" s="12">
        <f>SUM(B47:G47)</f>
        <v>-346417.01</v>
      </c>
    </row>
    <row r="48" spans="1:8" x14ac:dyDescent="0.2">
      <c r="A48" s="11" t="s">
        <v>55</v>
      </c>
      <c r="B48" s="12">
        <v>0</v>
      </c>
      <c r="C48" s="12">
        <v>-382901.72073920001</v>
      </c>
      <c r="D48" s="12">
        <v>0</v>
      </c>
      <c r="E48" s="12">
        <v>0</v>
      </c>
      <c r="F48" s="12">
        <v>0</v>
      </c>
      <c r="G48" s="12">
        <v>0</v>
      </c>
      <c r="H48" s="12">
        <f>SUM(B48:G48)</f>
        <v>-382901.72073920001</v>
      </c>
    </row>
    <row r="49" spans="1:8" x14ac:dyDescent="0.2">
      <c r="A49" s="11" t="s">
        <v>56</v>
      </c>
      <c r="B49" s="12">
        <v>0</v>
      </c>
      <c r="C49" s="12">
        <v>0</v>
      </c>
      <c r="D49" s="12">
        <v>0</v>
      </c>
      <c r="E49" s="12">
        <v>-662794.02</v>
      </c>
      <c r="F49" s="12">
        <v>0</v>
      </c>
      <c r="G49" s="12">
        <v>0</v>
      </c>
      <c r="H49" s="12">
        <f>SUM(B49:G49)</f>
        <v>-662794.02</v>
      </c>
    </row>
    <row r="50" spans="1:8" x14ac:dyDescent="0.2">
      <c r="A50" s="13" t="s">
        <v>57</v>
      </c>
      <c r="B50" s="14">
        <f t="shared" ref="B50:H50" si="6">SUM(B45:B49)</f>
        <v>0</v>
      </c>
      <c r="C50" s="14">
        <f t="shared" si="6"/>
        <v>-433127.56854380004</v>
      </c>
      <c r="D50" s="14">
        <f t="shared" si="6"/>
        <v>-1022142.17046725</v>
      </c>
      <c r="E50" s="14">
        <f t="shared" si="6"/>
        <v>-662794.02</v>
      </c>
      <c r="F50" s="14">
        <f t="shared" si="6"/>
        <v>-715746.26</v>
      </c>
      <c r="G50" s="14">
        <f t="shared" si="6"/>
        <v>-50228.9</v>
      </c>
      <c r="H50" s="14">
        <f t="shared" si="6"/>
        <v>-2884038.9190110499</v>
      </c>
    </row>
    <row r="51" spans="1:8" x14ac:dyDescent="0.2">
      <c r="A51" s="15" t="s">
        <v>58</v>
      </c>
      <c r="B51" s="14">
        <f t="shared" ref="B51:H51" si="7">B43+B50</f>
        <v>0</v>
      </c>
      <c r="C51" s="14">
        <f t="shared" si="7"/>
        <v>-433127.56854380004</v>
      </c>
      <c r="D51" s="14">
        <f t="shared" si="7"/>
        <v>-1036418.87046725</v>
      </c>
      <c r="E51" s="14">
        <f t="shared" si="7"/>
        <v>-662794.02</v>
      </c>
      <c r="F51" s="14">
        <f t="shared" si="7"/>
        <v>-1561938.33</v>
      </c>
      <c r="G51" s="14">
        <f t="shared" si="7"/>
        <v>-50228.959999999999</v>
      </c>
      <c r="H51" s="14">
        <f t="shared" si="7"/>
        <v>-3744507.74901105</v>
      </c>
    </row>
    <row r="52" spans="1:8" x14ac:dyDescent="0.2">
      <c r="A52" s="16" t="s">
        <v>59</v>
      </c>
      <c r="B52" s="14">
        <f t="shared" ref="B52:H52" si="8">B36+B51</f>
        <v>63409</v>
      </c>
      <c r="C52" s="14">
        <f t="shared" si="8"/>
        <v>89408.774494739948</v>
      </c>
      <c r="D52" s="14">
        <f t="shared" si="8"/>
        <v>474325.15059660259</v>
      </c>
      <c r="E52" s="14">
        <f t="shared" si="8"/>
        <v>555910.51</v>
      </c>
      <c r="F52" s="14">
        <f t="shared" si="8"/>
        <v>11997319.720000001</v>
      </c>
      <c r="G52" s="14">
        <f t="shared" si="8"/>
        <v>53926.530000000006</v>
      </c>
      <c r="H52" s="14">
        <f t="shared" si="8"/>
        <v>13234299.685091339</v>
      </c>
    </row>
    <row r="53" spans="1:8" x14ac:dyDescent="0.2">
      <c r="A53" s="8" t="s">
        <v>60</v>
      </c>
      <c r="B53" s="6"/>
      <c r="C53" s="6"/>
      <c r="D53" s="6"/>
      <c r="E53" s="6"/>
      <c r="F53" s="6"/>
      <c r="G53" s="6"/>
      <c r="H53" s="6"/>
    </row>
    <row r="54" spans="1:8" x14ac:dyDescent="0.2">
      <c r="A54" s="9" t="s">
        <v>61</v>
      </c>
      <c r="B54" s="6"/>
      <c r="C54" s="6"/>
      <c r="D54" s="6"/>
      <c r="E54" s="6"/>
      <c r="F54" s="6"/>
      <c r="G54" s="6"/>
      <c r="H54" s="6"/>
    </row>
    <row r="55" spans="1:8" x14ac:dyDescent="0.2">
      <c r="A55" s="10" t="s">
        <v>62</v>
      </c>
      <c r="B55" s="6"/>
      <c r="C55" s="6"/>
      <c r="D55" s="6"/>
      <c r="E55" s="6"/>
      <c r="F55" s="6"/>
      <c r="G55" s="6"/>
      <c r="H55" s="6"/>
    </row>
    <row r="56" spans="1:8" x14ac:dyDescent="0.2">
      <c r="A56" s="11" t="s">
        <v>63</v>
      </c>
      <c r="B56" s="12">
        <v>-51.05</v>
      </c>
      <c r="C56" s="12">
        <v>-4454.6331087999997</v>
      </c>
      <c r="D56" s="12">
        <v>0</v>
      </c>
      <c r="E56" s="12">
        <v>-916.55</v>
      </c>
      <c r="F56" s="12">
        <v>-28301.25</v>
      </c>
      <c r="G56" s="12">
        <v>0</v>
      </c>
      <c r="H56" s="12">
        <f t="shared" ref="H56:H63" si="9">SUM(B56:G56)</f>
        <v>-33723.483108799999</v>
      </c>
    </row>
    <row r="57" spans="1:8" x14ac:dyDescent="0.2">
      <c r="A57" s="11" t="s">
        <v>64</v>
      </c>
      <c r="B57" s="12">
        <v>-209.16</v>
      </c>
      <c r="C57" s="12">
        <v>0</v>
      </c>
      <c r="D57" s="12">
        <v>0</v>
      </c>
      <c r="E57" s="12">
        <v>0</v>
      </c>
      <c r="F57" s="12">
        <v>-18678.2</v>
      </c>
      <c r="G57" s="12">
        <v>0</v>
      </c>
      <c r="H57" s="12">
        <f t="shared" si="9"/>
        <v>-18887.36</v>
      </c>
    </row>
    <row r="58" spans="1:8" x14ac:dyDescent="0.2">
      <c r="A58" s="11" t="s">
        <v>65</v>
      </c>
      <c r="B58" s="12">
        <v>0</v>
      </c>
      <c r="C58" s="12">
        <v>0</v>
      </c>
      <c r="D58" s="12">
        <v>0</v>
      </c>
      <c r="E58" s="12">
        <v>-5655.12</v>
      </c>
      <c r="F58" s="12">
        <v>-87189.24</v>
      </c>
      <c r="G58" s="12">
        <v>0</v>
      </c>
      <c r="H58" s="12">
        <f t="shared" si="9"/>
        <v>-92844.36</v>
      </c>
    </row>
    <row r="59" spans="1:8" x14ac:dyDescent="0.2">
      <c r="A59" s="11" t="s">
        <v>66</v>
      </c>
      <c r="B59" s="12">
        <v>0</v>
      </c>
      <c r="C59" s="12">
        <v>0</v>
      </c>
      <c r="D59" s="12">
        <v>0</v>
      </c>
      <c r="E59" s="12">
        <v>0</v>
      </c>
      <c r="F59" s="12">
        <v>-3689.72</v>
      </c>
      <c r="G59" s="12">
        <v>0</v>
      </c>
      <c r="H59" s="12">
        <f t="shared" si="9"/>
        <v>-3689.72</v>
      </c>
    </row>
    <row r="60" spans="1:8" x14ac:dyDescent="0.2">
      <c r="A60" s="11" t="s">
        <v>67</v>
      </c>
      <c r="B60" s="12">
        <v>-5933.61</v>
      </c>
      <c r="C60" s="12">
        <v>911.26866640000003</v>
      </c>
      <c r="D60" s="12">
        <v>-3687.6643473624999</v>
      </c>
      <c r="E60" s="12">
        <v>-63858.54</v>
      </c>
      <c r="F60" s="12">
        <v>-1172023.32</v>
      </c>
      <c r="G60" s="12">
        <v>0</v>
      </c>
      <c r="H60" s="12">
        <f t="shared" si="9"/>
        <v>-1244591.8656809626</v>
      </c>
    </row>
    <row r="61" spans="1:8" x14ac:dyDescent="0.2">
      <c r="A61" s="11" t="s">
        <v>68</v>
      </c>
      <c r="B61" s="12">
        <v>0</v>
      </c>
      <c r="C61" s="12">
        <v>0</v>
      </c>
      <c r="D61" s="12">
        <v>0</v>
      </c>
      <c r="E61" s="12">
        <v>0</v>
      </c>
      <c r="F61" s="12">
        <v>-1323.57</v>
      </c>
      <c r="G61" s="12">
        <v>0</v>
      </c>
      <c r="H61" s="12">
        <f t="shared" si="9"/>
        <v>-1323.57</v>
      </c>
    </row>
    <row r="62" spans="1:8" x14ac:dyDescent="0.2">
      <c r="A62" s="11" t="s">
        <v>69</v>
      </c>
      <c r="B62" s="12">
        <v>0</v>
      </c>
      <c r="C62" s="12">
        <v>0</v>
      </c>
      <c r="D62" s="12">
        <v>0</v>
      </c>
      <c r="E62" s="12">
        <v>0</v>
      </c>
      <c r="F62" s="12">
        <v>-20737.990000000002</v>
      </c>
      <c r="G62" s="12">
        <v>0</v>
      </c>
      <c r="H62" s="12">
        <f t="shared" si="9"/>
        <v>-20737.990000000002</v>
      </c>
    </row>
    <row r="63" spans="1:8" x14ac:dyDescent="0.2">
      <c r="A63" s="11" t="s">
        <v>70</v>
      </c>
      <c r="B63" s="12">
        <v>0</v>
      </c>
      <c r="C63" s="12">
        <v>0</v>
      </c>
      <c r="D63" s="12">
        <v>0</v>
      </c>
      <c r="E63" s="12">
        <v>0</v>
      </c>
      <c r="F63" s="12">
        <v>-7135.21</v>
      </c>
      <c r="G63" s="12">
        <v>0</v>
      </c>
      <c r="H63" s="12">
        <f t="shared" si="9"/>
        <v>-7135.21</v>
      </c>
    </row>
    <row r="64" spans="1:8" x14ac:dyDescent="0.2">
      <c r="A64" s="13" t="s">
        <v>71</v>
      </c>
      <c r="B64" s="14">
        <f t="shared" ref="B64:H64" si="10">SUM(B56:B63)</f>
        <v>-6193.82</v>
      </c>
      <c r="C64" s="14">
        <f t="shared" si="10"/>
        <v>-3543.3644423999995</v>
      </c>
      <c r="D64" s="14">
        <f t="shared" si="10"/>
        <v>-3687.6643473624999</v>
      </c>
      <c r="E64" s="14">
        <f t="shared" si="10"/>
        <v>-70430.210000000006</v>
      </c>
      <c r="F64" s="14">
        <f t="shared" si="10"/>
        <v>-1339078.5</v>
      </c>
      <c r="G64" s="14">
        <f t="shared" si="10"/>
        <v>0</v>
      </c>
      <c r="H64" s="14">
        <f t="shared" si="10"/>
        <v>-1422933.5587897627</v>
      </c>
    </row>
    <row r="65" spans="1:8" x14ac:dyDescent="0.2">
      <c r="A65" s="10" t="s">
        <v>72</v>
      </c>
      <c r="B65" s="6"/>
      <c r="C65" s="6"/>
      <c r="D65" s="6"/>
      <c r="E65" s="6"/>
      <c r="F65" s="6"/>
      <c r="G65" s="6"/>
      <c r="H65" s="6"/>
    </row>
    <row r="66" spans="1:8" x14ac:dyDescent="0.2">
      <c r="A66" s="11" t="s">
        <v>73</v>
      </c>
      <c r="B66" s="12">
        <v>0</v>
      </c>
      <c r="C66" s="12">
        <v>0</v>
      </c>
      <c r="D66" s="12">
        <v>0</v>
      </c>
      <c r="E66" s="12">
        <v>0</v>
      </c>
      <c r="F66" s="12">
        <v>-397.32</v>
      </c>
      <c r="G66" s="12">
        <v>0</v>
      </c>
      <c r="H66" s="12">
        <f t="shared" ref="H66:H76" si="11">SUM(B66:G66)</f>
        <v>-397.32</v>
      </c>
    </row>
    <row r="67" spans="1:8" x14ac:dyDescent="0.2">
      <c r="A67" s="11" t="s">
        <v>74</v>
      </c>
      <c r="B67" s="12">
        <v>0</v>
      </c>
      <c r="C67" s="12">
        <v>0</v>
      </c>
      <c r="D67" s="12">
        <v>-1515.120817</v>
      </c>
      <c r="E67" s="12">
        <v>0</v>
      </c>
      <c r="F67" s="12">
        <v>0</v>
      </c>
      <c r="G67" s="12">
        <v>0</v>
      </c>
      <c r="H67" s="12">
        <f t="shared" si="11"/>
        <v>-1515.120817</v>
      </c>
    </row>
    <row r="68" spans="1:8" x14ac:dyDescent="0.2">
      <c r="A68" s="11" t="s">
        <v>75</v>
      </c>
      <c r="B68" s="12">
        <v>0</v>
      </c>
      <c r="C68" s="12">
        <v>0</v>
      </c>
      <c r="D68" s="12">
        <v>0</v>
      </c>
      <c r="E68" s="12">
        <v>0</v>
      </c>
      <c r="F68" s="12">
        <v>-31.8</v>
      </c>
      <c r="G68" s="12">
        <v>0</v>
      </c>
      <c r="H68" s="12">
        <f t="shared" si="11"/>
        <v>-31.8</v>
      </c>
    </row>
    <row r="69" spans="1:8" x14ac:dyDescent="0.2">
      <c r="A69" s="11" t="s">
        <v>76</v>
      </c>
      <c r="B69" s="12">
        <v>0</v>
      </c>
      <c r="C69" s="12">
        <v>0</v>
      </c>
      <c r="D69" s="12">
        <v>0</v>
      </c>
      <c r="E69" s="12">
        <v>0</v>
      </c>
      <c r="F69" s="12">
        <v>-43414.36</v>
      </c>
      <c r="G69" s="12">
        <v>0</v>
      </c>
      <c r="H69" s="12">
        <f t="shared" si="11"/>
        <v>-43414.36</v>
      </c>
    </row>
    <row r="70" spans="1:8" x14ac:dyDescent="0.2">
      <c r="A70" s="11" t="s">
        <v>77</v>
      </c>
      <c r="B70" s="12">
        <v>0</v>
      </c>
      <c r="C70" s="12">
        <v>0</v>
      </c>
      <c r="D70" s="12">
        <v>0</v>
      </c>
      <c r="E70" s="12">
        <v>0</v>
      </c>
      <c r="F70" s="12">
        <v>-339730.08</v>
      </c>
      <c r="G70" s="12">
        <v>0</v>
      </c>
      <c r="H70" s="12">
        <f t="shared" si="11"/>
        <v>-339730.08</v>
      </c>
    </row>
    <row r="71" spans="1:8" x14ac:dyDescent="0.2">
      <c r="A71" s="11" t="s">
        <v>78</v>
      </c>
      <c r="B71" s="12">
        <v>0</v>
      </c>
      <c r="C71" s="12">
        <v>0</v>
      </c>
      <c r="D71" s="12">
        <v>0</v>
      </c>
      <c r="E71" s="12">
        <v>0</v>
      </c>
      <c r="F71" s="12">
        <v>13621.59</v>
      </c>
      <c r="G71" s="12">
        <v>0</v>
      </c>
      <c r="H71" s="12">
        <f t="shared" si="11"/>
        <v>13621.59</v>
      </c>
    </row>
    <row r="72" spans="1:8" x14ac:dyDescent="0.2">
      <c r="A72" s="11" t="s">
        <v>79</v>
      </c>
      <c r="B72" s="12">
        <v>-27916.74</v>
      </c>
      <c r="C72" s="12">
        <v>-31134.6427396</v>
      </c>
      <c r="D72" s="12">
        <v>-131596.70031078751</v>
      </c>
      <c r="E72" s="12">
        <v>-400533.46</v>
      </c>
      <c r="F72" s="12">
        <v>-6711745.2199999997</v>
      </c>
      <c r="G72" s="12">
        <v>0</v>
      </c>
      <c r="H72" s="12">
        <f t="shared" si="11"/>
        <v>-7302926.7630503876</v>
      </c>
    </row>
    <row r="73" spans="1:8" x14ac:dyDescent="0.2">
      <c r="A73" s="11" t="s">
        <v>80</v>
      </c>
      <c r="B73" s="12">
        <v>0</v>
      </c>
      <c r="C73" s="12">
        <v>0</v>
      </c>
      <c r="D73" s="12">
        <v>0</v>
      </c>
      <c r="E73" s="12">
        <v>0</v>
      </c>
      <c r="F73" s="12">
        <v>-683897.53</v>
      </c>
      <c r="G73" s="12">
        <v>0</v>
      </c>
      <c r="H73" s="12">
        <f t="shared" si="11"/>
        <v>-683897.53</v>
      </c>
    </row>
    <row r="74" spans="1:8" x14ac:dyDescent="0.2">
      <c r="A74" s="11" t="s">
        <v>81</v>
      </c>
      <c r="B74" s="12">
        <v>0</v>
      </c>
      <c r="C74" s="12">
        <v>0</v>
      </c>
      <c r="D74" s="12">
        <v>0</v>
      </c>
      <c r="E74" s="12">
        <v>0</v>
      </c>
      <c r="F74" s="12">
        <v>-92307.14</v>
      </c>
      <c r="G74" s="12">
        <v>0</v>
      </c>
      <c r="H74" s="12">
        <f t="shared" si="11"/>
        <v>-92307.14</v>
      </c>
    </row>
    <row r="75" spans="1:8" x14ac:dyDescent="0.2">
      <c r="A75" s="11" t="s">
        <v>82</v>
      </c>
      <c r="B75" s="12">
        <v>914</v>
      </c>
      <c r="C75" s="12">
        <v>0</v>
      </c>
      <c r="D75" s="12">
        <v>0</v>
      </c>
      <c r="E75" s="12">
        <v>0</v>
      </c>
      <c r="F75" s="12">
        <v>2952.32</v>
      </c>
      <c r="G75" s="12">
        <v>0</v>
      </c>
      <c r="H75" s="12">
        <f t="shared" si="11"/>
        <v>3866.32</v>
      </c>
    </row>
    <row r="76" spans="1:8" x14ac:dyDescent="0.2">
      <c r="A76" s="11" t="s">
        <v>83</v>
      </c>
      <c r="B76" s="12">
        <v>0</v>
      </c>
      <c r="C76" s="12">
        <v>0</v>
      </c>
      <c r="D76" s="12">
        <v>0</v>
      </c>
      <c r="E76" s="12">
        <v>-720.77</v>
      </c>
      <c r="F76" s="12">
        <v>-14330.13</v>
      </c>
      <c r="G76" s="12">
        <v>0</v>
      </c>
      <c r="H76" s="12">
        <f t="shared" si="11"/>
        <v>-15050.9</v>
      </c>
    </row>
    <row r="77" spans="1:8" x14ac:dyDescent="0.2">
      <c r="A77" s="13" t="s">
        <v>84</v>
      </c>
      <c r="B77" s="14">
        <f t="shared" ref="B77:H77" si="12">SUM(B66:B76)</f>
        <v>-27002.74</v>
      </c>
      <c r="C77" s="14">
        <f t="shared" si="12"/>
        <v>-31134.6427396</v>
      </c>
      <c r="D77" s="14">
        <f t="shared" si="12"/>
        <v>-133111.82112778749</v>
      </c>
      <c r="E77" s="14">
        <f t="shared" si="12"/>
        <v>-401254.23000000004</v>
      </c>
      <c r="F77" s="14">
        <f t="shared" si="12"/>
        <v>-7869279.669999999</v>
      </c>
      <c r="G77" s="14">
        <f t="shared" si="12"/>
        <v>0</v>
      </c>
      <c r="H77" s="14">
        <f t="shared" si="12"/>
        <v>-8461783.1038673874</v>
      </c>
    </row>
    <row r="78" spans="1:8" x14ac:dyDescent="0.2">
      <c r="A78" s="15" t="s">
        <v>85</v>
      </c>
      <c r="B78" s="14">
        <f t="shared" ref="B78:H78" si="13">B64+B77</f>
        <v>-33196.559999999998</v>
      </c>
      <c r="C78" s="14">
        <f t="shared" si="13"/>
        <v>-34678.007182000001</v>
      </c>
      <c r="D78" s="14">
        <f t="shared" si="13"/>
        <v>-136799.48547515</v>
      </c>
      <c r="E78" s="14">
        <f t="shared" si="13"/>
        <v>-471684.44000000006</v>
      </c>
      <c r="F78" s="14">
        <f t="shared" si="13"/>
        <v>-9208358.1699999981</v>
      </c>
      <c r="G78" s="14">
        <f t="shared" si="13"/>
        <v>0</v>
      </c>
      <c r="H78" s="14">
        <f t="shared" si="13"/>
        <v>-9884716.6626571491</v>
      </c>
    </row>
    <row r="79" spans="1:8" x14ac:dyDescent="0.2">
      <c r="A79" s="9" t="s">
        <v>86</v>
      </c>
      <c r="B79" s="6"/>
      <c r="C79" s="6"/>
      <c r="D79" s="6"/>
      <c r="E79" s="6"/>
      <c r="F79" s="6"/>
      <c r="G79" s="6"/>
      <c r="H79" s="6"/>
    </row>
    <row r="80" spans="1:8" x14ac:dyDescent="0.2">
      <c r="A80" s="10" t="s">
        <v>87</v>
      </c>
      <c r="B80" s="6"/>
      <c r="C80" s="6"/>
      <c r="D80" s="6"/>
      <c r="E80" s="6"/>
      <c r="F80" s="6"/>
      <c r="G80" s="6"/>
      <c r="H80" s="6"/>
    </row>
    <row r="81" spans="1:8" x14ac:dyDescent="0.2">
      <c r="A81" s="11" t="s">
        <v>88</v>
      </c>
      <c r="B81" s="12">
        <v>0</v>
      </c>
      <c r="C81" s="12">
        <v>0</v>
      </c>
      <c r="D81" s="12">
        <v>0</v>
      </c>
      <c r="E81" s="12">
        <v>0</v>
      </c>
      <c r="F81" s="12">
        <v>-272.23</v>
      </c>
      <c r="G81" s="12">
        <v>0</v>
      </c>
      <c r="H81" s="12">
        <f>SUM(B81:G81)</f>
        <v>-272.23</v>
      </c>
    </row>
    <row r="82" spans="1:8" x14ac:dyDescent="0.2">
      <c r="A82" s="11" t="s">
        <v>89</v>
      </c>
      <c r="B82" s="12">
        <v>0</v>
      </c>
      <c r="C82" s="12">
        <v>0</v>
      </c>
      <c r="D82" s="12">
        <v>0</v>
      </c>
      <c r="E82" s="12">
        <v>-318.88</v>
      </c>
      <c r="F82" s="12">
        <v>-800.04</v>
      </c>
      <c r="G82" s="12">
        <v>-22608.12</v>
      </c>
      <c r="H82" s="12">
        <f>SUM(B82:G82)</f>
        <v>-23727.040000000001</v>
      </c>
    </row>
    <row r="83" spans="1:8" x14ac:dyDescent="0.2">
      <c r="A83" s="11" t="s">
        <v>90</v>
      </c>
      <c r="B83" s="12">
        <v>0</v>
      </c>
      <c r="C83" s="12">
        <v>0</v>
      </c>
      <c r="D83" s="12">
        <v>0</v>
      </c>
      <c r="E83" s="12">
        <v>0</v>
      </c>
      <c r="F83" s="12">
        <v>-8879.2800000000007</v>
      </c>
      <c r="G83" s="12">
        <v>0</v>
      </c>
      <c r="H83" s="12">
        <f>SUM(B83:G83)</f>
        <v>-8879.2800000000007</v>
      </c>
    </row>
    <row r="84" spans="1:8" x14ac:dyDescent="0.2">
      <c r="A84" s="11" t="s">
        <v>91</v>
      </c>
      <c r="B84" s="12">
        <v>0</v>
      </c>
      <c r="C84" s="12">
        <v>-1555.7055</v>
      </c>
      <c r="D84" s="12">
        <v>0</v>
      </c>
      <c r="E84" s="12">
        <v>-4545.3599999999997</v>
      </c>
      <c r="F84" s="12">
        <v>-5888.38</v>
      </c>
      <c r="G84" s="12">
        <v>-7192.94</v>
      </c>
      <c r="H84" s="12">
        <f>SUM(B84:G84)</f>
        <v>-19182.3855</v>
      </c>
    </row>
    <row r="85" spans="1:8" x14ac:dyDescent="0.2">
      <c r="A85" s="13" t="s">
        <v>92</v>
      </c>
      <c r="B85" s="14">
        <f t="shared" ref="B85:H85" si="14">SUM(B81:B84)</f>
        <v>0</v>
      </c>
      <c r="C85" s="14">
        <f t="shared" si="14"/>
        <v>-1555.7055</v>
      </c>
      <c r="D85" s="14">
        <f t="shared" si="14"/>
        <v>0</v>
      </c>
      <c r="E85" s="14">
        <f t="shared" si="14"/>
        <v>-4864.24</v>
      </c>
      <c r="F85" s="14">
        <f t="shared" si="14"/>
        <v>-15839.93</v>
      </c>
      <c r="G85" s="14">
        <f t="shared" si="14"/>
        <v>-29801.059999999998</v>
      </c>
      <c r="H85" s="14">
        <f t="shared" si="14"/>
        <v>-52060.935500000007</v>
      </c>
    </row>
    <row r="86" spans="1:8" x14ac:dyDescent="0.2">
      <c r="A86" s="15" t="s">
        <v>93</v>
      </c>
      <c r="B86" s="14">
        <f t="shared" ref="B86:H86" si="15">B85+0</f>
        <v>0</v>
      </c>
      <c r="C86" s="14">
        <f t="shared" si="15"/>
        <v>-1555.7055</v>
      </c>
      <c r="D86" s="14">
        <f t="shared" si="15"/>
        <v>0</v>
      </c>
      <c r="E86" s="14">
        <f t="shared" si="15"/>
        <v>-4864.24</v>
      </c>
      <c r="F86" s="14">
        <f t="shared" si="15"/>
        <v>-15839.93</v>
      </c>
      <c r="G86" s="14">
        <f t="shared" si="15"/>
        <v>-29801.059999999998</v>
      </c>
      <c r="H86" s="14">
        <f t="shared" si="15"/>
        <v>-52060.935500000007</v>
      </c>
    </row>
    <row r="87" spans="1:8" x14ac:dyDescent="0.2">
      <c r="A87" s="9" t="s">
        <v>94</v>
      </c>
      <c r="B87" s="6"/>
      <c r="C87" s="6"/>
      <c r="D87" s="6"/>
      <c r="E87" s="6"/>
      <c r="F87" s="6"/>
      <c r="G87" s="6"/>
      <c r="H87" s="6"/>
    </row>
    <row r="88" spans="1:8" x14ac:dyDescent="0.2">
      <c r="A88" s="17" t="s">
        <v>95</v>
      </c>
      <c r="B88" s="12">
        <v>0</v>
      </c>
      <c r="C88" s="12">
        <v>0</v>
      </c>
      <c r="D88" s="12">
        <v>-1004.995</v>
      </c>
      <c r="E88" s="12">
        <v>-478.16</v>
      </c>
      <c r="F88" s="12">
        <v>-15492.9</v>
      </c>
      <c r="G88" s="12">
        <v>0</v>
      </c>
      <c r="H88" s="12">
        <f t="shared" ref="H88:H119" si="16">SUM(B88:G88)</f>
        <v>-16976.055</v>
      </c>
    </row>
    <row r="89" spans="1:8" x14ac:dyDescent="0.2">
      <c r="A89" s="17" t="s">
        <v>96</v>
      </c>
      <c r="B89" s="12">
        <v>0</v>
      </c>
      <c r="C89" s="12">
        <v>0</v>
      </c>
      <c r="D89" s="12">
        <v>0</v>
      </c>
      <c r="E89" s="12">
        <v>0</v>
      </c>
      <c r="F89" s="12">
        <v>-1210.0999999999999</v>
      </c>
      <c r="G89" s="12">
        <v>0</v>
      </c>
      <c r="H89" s="12">
        <f t="shared" si="16"/>
        <v>-1210.0999999999999</v>
      </c>
    </row>
    <row r="90" spans="1:8" x14ac:dyDescent="0.2">
      <c r="A90" s="17" t="s">
        <v>97</v>
      </c>
      <c r="B90" s="12">
        <v>-3600</v>
      </c>
      <c r="C90" s="12">
        <v>-14251.83706152</v>
      </c>
      <c r="D90" s="12">
        <v>0</v>
      </c>
      <c r="E90" s="12">
        <v>0</v>
      </c>
      <c r="F90" s="12">
        <v>0</v>
      </c>
      <c r="G90" s="12">
        <v>-9600</v>
      </c>
      <c r="H90" s="12">
        <f t="shared" si="16"/>
        <v>-27451.83706152</v>
      </c>
    </row>
    <row r="91" spans="1:8" x14ac:dyDescent="0.2">
      <c r="A91" s="17" t="s">
        <v>98</v>
      </c>
      <c r="B91" s="12">
        <v>0</v>
      </c>
      <c r="C91" s="12">
        <v>-545.88</v>
      </c>
      <c r="D91" s="12">
        <v>0</v>
      </c>
      <c r="E91" s="12">
        <v>0</v>
      </c>
      <c r="F91" s="12">
        <v>-33703.39</v>
      </c>
      <c r="G91" s="12">
        <v>0</v>
      </c>
      <c r="H91" s="12">
        <f t="shared" si="16"/>
        <v>-34249.269999999997</v>
      </c>
    </row>
    <row r="92" spans="1:8" x14ac:dyDescent="0.2">
      <c r="A92" s="17" t="s">
        <v>99</v>
      </c>
      <c r="B92" s="12">
        <v>0</v>
      </c>
      <c r="C92" s="12">
        <v>0</v>
      </c>
      <c r="D92" s="12">
        <v>0</v>
      </c>
      <c r="E92" s="12">
        <v>0</v>
      </c>
      <c r="F92" s="12">
        <v>-2240</v>
      </c>
      <c r="G92" s="12">
        <v>0</v>
      </c>
      <c r="H92" s="12">
        <f t="shared" si="16"/>
        <v>-2240</v>
      </c>
    </row>
    <row r="93" spans="1:8" x14ac:dyDescent="0.2">
      <c r="A93" s="17" t="s">
        <v>100</v>
      </c>
      <c r="B93" s="12">
        <v>0</v>
      </c>
      <c r="C93" s="12">
        <v>0</v>
      </c>
      <c r="D93" s="12">
        <v>0</v>
      </c>
      <c r="E93" s="12">
        <v>0</v>
      </c>
      <c r="F93" s="12">
        <v>-10108.85</v>
      </c>
      <c r="G93" s="12">
        <v>0</v>
      </c>
      <c r="H93" s="12">
        <f t="shared" si="16"/>
        <v>-10108.85</v>
      </c>
    </row>
    <row r="94" spans="1:8" x14ac:dyDescent="0.2">
      <c r="A94" s="17" t="s">
        <v>101</v>
      </c>
      <c r="B94" s="12">
        <v>-282.95999999999998</v>
      </c>
      <c r="C94" s="12">
        <v>-2414.7384099999999</v>
      </c>
      <c r="D94" s="12">
        <v>-517.66499999999996</v>
      </c>
      <c r="E94" s="12">
        <v>-1407.25</v>
      </c>
      <c r="F94" s="12">
        <v>-25746.09</v>
      </c>
      <c r="G94" s="12">
        <v>-1063.28</v>
      </c>
      <c r="H94" s="12">
        <f t="shared" si="16"/>
        <v>-31431.983410000001</v>
      </c>
    </row>
    <row r="95" spans="1:8" x14ac:dyDescent="0.2">
      <c r="A95" s="17" t="s">
        <v>102</v>
      </c>
      <c r="B95" s="12">
        <v>0</v>
      </c>
      <c r="C95" s="12">
        <v>0</v>
      </c>
      <c r="D95" s="12">
        <v>0</v>
      </c>
      <c r="E95" s="12">
        <v>0</v>
      </c>
      <c r="F95" s="12">
        <v>20723.400000000001</v>
      </c>
      <c r="G95" s="12">
        <v>0</v>
      </c>
      <c r="H95" s="12">
        <f t="shared" si="16"/>
        <v>20723.400000000001</v>
      </c>
    </row>
    <row r="96" spans="1:8" x14ac:dyDescent="0.2">
      <c r="A96" s="17" t="s">
        <v>103</v>
      </c>
      <c r="B96" s="12">
        <v>0</v>
      </c>
      <c r="C96" s="12">
        <v>8.9931509999999992</v>
      </c>
      <c r="D96" s="12">
        <v>0</v>
      </c>
      <c r="E96" s="12">
        <v>0</v>
      </c>
      <c r="F96" s="12">
        <v>0</v>
      </c>
      <c r="G96" s="12">
        <v>0</v>
      </c>
      <c r="H96" s="12">
        <f t="shared" si="16"/>
        <v>8.9931509999999992</v>
      </c>
    </row>
    <row r="97" spans="1:8" x14ac:dyDescent="0.2">
      <c r="A97" s="17" t="s">
        <v>104</v>
      </c>
      <c r="B97" s="12">
        <v>0</v>
      </c>
      <c r="C97" s="12">
        <v>0</v>
      </c>
      <c r="D97" s="12">
        <v>0</v>
      </c>
      <c r="E97" s="12">
        <v>0</v>
      </c>
      <c r="F97" s="12">
        <v>-1540</v>
      </c>
      <c r="G97" s="12">
        <v>0</v>
      </c>
      <c r="H97" s="12">
        <f t="shared" si="16"/>
        <v>-1540</v>
      </c>
    </row>
    <row r="98" spans="1:8" x14ac:dyDescent="0.2">
      <c r="A98" s="17" t="s">
        <v>105</v>
      </c>
      <c r="B98" s="12">
        <v>0</v>
      </c>
      <c r="C98" s="12">
        <v>0</v>
      </c>
      <c r="D98" s="12">
        <v>0</v>
      </c>
      <c r="E98" s="12">
        <v>0</v>
      </c>
      <c r="F98" s="12">
        <v>-8165.04</v>
      </c>
      <c r="G98" s="12">
        <v>0</v>
      </c>
      <c r="H98" s="12">
        <f t="shared" si="16"/>
        <v>-8165.04</v>
      </c>
    </row>
    <row r="99" spans="1:8" x14ac:dyDescent="0.2">
      <c r="A99" s="17" t="s">
        <v>106</v>
      </c>
      <c r="B99" s="12">
        <v>0</v>
      </c>
      <c r="C99" s="12">
        <v>0</v>
      </c>
      <c r="D99" s="12">
        <v>0</v>
      </c>
      <c r="E99" s="12">
        <v>0</v>
      </c>
      <c r="F99" s="12">
        <v>-2354</v>
      </c>
      <c r="G99" s="12">
        <v>0</v>
      </c>
      <c r="H99" s="12">
        <f t="shared" si="16"/>
        <v>-2354</v>
      </c>
    </row>
    <row r="100" spans="1:8" x14ac:dyDescent="0.2">
      <c r="A100" s="17" t="s">
        <v>107</v>
      </c>
      <c r="B100" s="12">
        <v>0</v>
      </c>
      <c r="C100" s="12">
        <v>0</v>
      </c>
      <c r="D100" s="12">
        <v>0</v>
      </c>
      <c r="E100" s="12">
        <v>-518.42999999999995</v>
      </c>
      <c r="F100" s="12">
        <v>-42168.91</v>
      </c>
      <c r="G100" s="12">
        <v>0</v>
      </c>
      <c r="H100" s="12">
        <f t="shared" si="16"/>
        <v>-42687.340000000004</v>
      </c>
    </row>
    <row r="101" spans="1:8" x14ac:dyDescent="0.2">
      <c r="A101" s="17" t="s">
        <v>108</v>
      </c>
      <c r="B101" s="12">
        <v>0</v>
      </c>
      <c r="C101" s="12">
        <v>0</v>
      </c>
      <c r="D101" s="12">
        <v>0</v>
      </c>
      <c r="E101" s="12">
        <v>0</v>
      </c>
      <c r="F101" s="12">
        <v>-21721.9</v>
      </c>
      <c r="G101" s="12">
        <v>0</v>
      </c>
      <c r="H101" s="12">
        <f t="shared" si="16"/>
        <v>-21721.9</v>
      </c>
    </row>
    <row r="102" spans="1:8" x14ac:dyDescent="0.2">
      <c r="A102" s="17" t="s">
        <v>109</v>
      </c>
      <c r="B102" s="12">
        <v>0</v>
      </c>
      <c r="C102" s="12">
        <v>0</v>
      </c>
      <c r="D102" s="12">
        <v>0</v>
      </c>
      <c r="E102" s="12">
        <v>-944.34</v>
      </c>
      <c r="F102" s="12">
        <v>-36969.360000000001</v>
      </c>
      <c r="G102" s="12">
        <v>0</v>
      </c>
      <c r="H102" s="12">
        <f t="shared" si="16"/>
        <v>-37913.699999999997</v>
      </c>
    </row>
    <row r="103" spans="1:8" x14ac:dyDescent="0.2">
      <c r="A103" s="17" t="s">
        <v>110</v>
      </c>
      <c r="B103" s="12">
        <v>0</v>
      </c>
      <c r="C103" s="12">
        <v>0</v>
      </c>
      <c r="D103" s="12">
        <v>0</v>
      </c>
      <c r="E103" s="12">
        <v>0</v>
      </c>
      <c r="F103" s="12">
        <v>-16585.75</v>
      </c>
      <c r="G103" s="12">
        <v>0</v>
      </c>
      <c r="H103" s="12">
        <f t="shared" si="16"/>
        <v>-16585.75</v>
      </c>
    </row>
    <row r="104" spans="1:8" x14ac:dyDescent="0.2">
      <c r="A104" s="17" t="s">
        <v>111</v>
      </c>
      <c r="B104" s="12">
        <v>0</v>
      </c>
      <c r="C104" s="12">
        <v>0</v>
      </c>
      <c r="D104" s="12">
        <v>-927.71407699999997</v>
      </c>
      <c r="E104" s="12">
        <v>0</v>
      </c>
      <c r="F104" s="12">
        <v>-338.21</v>
      </c>
      <c r="G104" s="12">
        <v>0</v>
      </c>
      <c r="H104" s="12">
        <f t="shared" si="16"/>
        <v>-1265.9240769999999</v>
      </c>
    </row>
    <row r="105" spans="1:8" x14ac:dyDescent="0.2">
      <c r="A105" s="17" t="s">
        <v>112</v>
      </c>
      <c r="B105" s="12">
        <v>0</v>
      </c>
      <c r="C105" s="12">
        <v>0</v>
      </c>
      <c r="D105" s="12">
        <v>-775.48916391</v>
      </c>
      <c r="E105" s="12">
        <v>0</v>
      </c>
      <c r="F105" s="12">
        <v>-23692.799999999999</v>
      </c>
      <c r="G105" s="12">
        <v>0</v>
      </c>
      <c r="H105" s="12">
        <f t="shared" si="16"/>
        <v>-24468.289163909998</v>
      </c>
    </row>
    <row r="106" spans="1:8" x14ac:dyDescent="0.2">
      <c r="A106" s="17" t="s">
        <v>113</v>
      </c>
      <c r="B106" s="12">
        <v>0</v>
      </c>
      <c r="C106" s="12">
        <v>-7417.6443636499998</v>
      </c>
      <c r="D106" s="12">
        <v>-4093.0491161824998</v>
      </c>
      <c r="E106" s="12">
        <v>-8102.1</v>
      </c>
      <c r="F106" s="12">
        <v>-6217</v>
      </c>
      <c r="G106" s="12">
        <v>0</v>
      </c>
      <c r="H106" s="12">
        <f t="shared" si="16"/>
        <v>-25829.7934798325</v>
      </c>
    </row>
    <row r="107" spans="1:8" x14ac:dyDescent="0.2">
      <c r="A107" s="17" t="s">
        <v>114</v>
      </c>
      <c r="B107" s="12">
        <v>0</v>
      </c>
      <c r="C107" s="12">
        <v>0</v>
      </c>
      <c r="D107" s="12">
        <v>0</v>
      </c>
      <c r="E107" s="12">
        <v>0</v>
      </c>
      <c r="F107" s="12">
        <v>-1538.38</v>
      </c>
      <c r="G107" s="12">
        <v>0</v>
      </c>
      <c r="H107" s="12">
        <f t="shared" si="16"/>
        <v>-1538.38</v>
      </c>
    </row>
    <row r="108" spans="1:8" x14ac:dyDescent="0.2">
      <c r="A108" s="17" t="s">
        <v>115</v>
      </c>
      <c r="B108" s="12">
        <v>-7843.55</v>
      </c>
      <c r="C108" s="12">
        <v>0</v>
      </c>
      <c r="D108" s="12">
        <v>0</v>
      </c>
      <c r="E108" s="12">
        <v>-255.24</v>
      </c>
      <c r="F108" s="12">
        <v>-46824.05</v>
      </c>
      <c r="G108" s="12">
        <v>0</v>
      </c>
      <c r="H108" s="12">
        <f t="shared" si="16"/>
        <v>-54922.840000000004</v>
      </c>
    </row>
    <row r="109" spans="1:8" x14ac:dyDescent="0.2">
      <c r="A109" s="17" t="s">
        <v>116</v>
      </c>
      <c r="B109" s="12">
        <v>-69.959999999999994</v>
      </c>
      <c r="C109" s="12">
        <v>-136.66298599999999</v>
      </c>
      <c r="D109" s="12">
        <v>0</v>
      </c>
      <c r="E109" s="12">
        <v>-83.35</v>
      </c>
      <c r="F109" s="12">
        <v>-6982.28</v>
      </c>
      <c r="G109" s="12">
        <v>0</v>
      </c>
      <c r="H109" s="12">
        <f t="shared" si="16"/>
        <v>-7272.2529859999995</v>
      </c>
    </row>
    <row r="110" spans="1:8" x14ac:dyDescent="0.2">
      <c r="A110" s="17" t="s">
        <v>117</v>
      </c>
      <c r="B110" s="12">
        <v>0</v>
      </c>
      <c r="C110" s="12">
        <v>-104.05898500000001</v>
      </c>
      <c r="D110" s="12">
        <v>0</v>
      </c>
      <c r="E110" s="12">
        <v>-734.8</v>
      </c>
      <c r="F110" s="12">
        <v>-99929.18</v>
      </c>
      <c r="G110" s="12">
        <v>0</v>
      </c>
      <c r="H110" s="12">
        <f t="shared" si="16"/>
        <v>-100768.03898499999</v>
      </c>
    </row>
    <row r="111" spans="1:8" x14ac:dyDescent="0.2">
      <c r="A111" s="17" t="s">
        <v>118</v>
      </c>
      <c r="B111" s="12">
        <v>0</v>
      </c>
      <c r="C111" s="12">
        <v>0</v>
      </c>
      <c r="D111" s="12">
        <v>0</v>
      </c>
      <c r="E111" s="12">
        <v>0</v>
      </c>
      <c r="F111" s="12">
        <v>-104.87</v>
      </c>
      <c r="G111" s="12">
        <v>0</v>
      </c>
      <c r="H111" s="12">
        <f t="shared" si="16"/>
        <v>-104.87</v>
      </c>
    </row>
    <row r="112" spans="1:8" x14ac:dyDescent="0.2">
      <c r="A112" s="17" t="s">
        <v>119</v>
      </c>
      <c r="B112" s="12">
        <v>0</v>
      </c>
      <c r="C112" s="12">
        <v>0</v>
      </c>
      <c r="D112" s="12">
        <v>0</v>
      </c>
      <c r="E112" s="12">
        <v>0</v>
      </c>
      <c r="F112" s="12">
        <v>-19368.419999999998</v>
      </c>
      <c r="G112" s="12">
        <v>-2619.9</v>
      </c>
      <c r="H112" s="12">
        <f t="shared" si="16"/>
        <v>-21988.32</v>
      </c>
    </row>
    <row r="113" spans="1:8" x14ac:dyDescent="0.2">
      <c r="A113" s="17" t="s">
        <v>120</v>
      </c>
      <c r="B113" s="12">
        <v>-174.6</v>
      </c>
      <c r="C113" s="12">
        <v>-255.54348028000001</v>
      </c>
      <c r="D113" s="12">
        <v>-104.135265</v>
      </c>
      <c r="E113" s="12">
        <v>-841.73</v>
      </c>
      <c r="F113" s="12">
        <v>-24606.9</v>
      </c>
      <c r="G113" s="12">
        <v>-200.04</v>
      </c>
      <c r="H113" s="12">
        <f t="shared" si="16"/>
        <v>-26182.948745280002</v>
      </c>
    </row>
    <row r="114" spans="1:8" x14ac:dyDescent="0.2">
      <c r="A114" s="17" t="s">
        <v>121</v>
      </c>
      <c r="B114" s="12">
        <v>0</v>
      </c>
      <c r="C114" s="12">
        <v>1.1888196</v>
      </c>
      <c r="D114" s="12">
        <v>-947.75368668500005</v>
      </c>
      <c r="E114" s="12">
        <v>0</v>
      </c>
      <c r="F114" s="12">
        <v>-12961.96</v>
      </c>
      <c r="G114" s="12">
        <v>0</v>
      </c>
      <c r="H114" s="12">
        <f t="shared" si="16"/>
        <v>-13908.524867085</v>
      </c>
    </row>
    <row r="115" spans="1:8" x14ac:dyDescent="0.2">
      <c r="A115" s="17" t="s">
        <v>122</v>
      </c>
      <c r="B115" s="12">
        <v>0</v>
      </c>
      <c r="C115" s="12">
        <v>0</v>
      </c>
      <c r="D115" s="12">
        <v>-58.058</v>
      </c>
      <c r="E115" s="12">
        <v>0</v>
      </c>
      <c r="F115" s="12">
        <v>-4136.24</v>
      </c>
      <c r="G115" s="12">
        <v>0</v>
      </c>
      <c r="H115" s="12">
        <f t="shared" si="16"/>
        <v>-4194.2979999999998</v>
      </c>
    </row>
    <row r="116" spans="1:8" x14ac:dyDescent="0.2">
      <c r="A116" s="17" t="s">
        <v>123</v>
      </c>
      <c r="B116" s="12">
        <v>0</v>
      </c>
      <c r="C116" s="12">
        <v>0</v>
      </c>
      <c r="D116" s="12">
        <v>-18673.716230000002</v>
      </c>
      <c r="E116" s="12">
        <v>-2278</v>
      </c>
      <c r="F116" s="12">
        <v>-671.76</v>
      </c>
      <c r="G116" s="12">
        <v>-135</v>
      </c>
      <c r="H116" s="12">
        <f t="shared" si="16"/>
        <v>-21758.47623</v>
      </c>
    </row>
    <row r="117" spans="1:8" x14ac:dyDescent="0.2">
      <c r="A117" s="17" t="s">
        <v>124</v>
      </c>
      <c r="B117" s="12">
        <v>0</v>
      </c>
      <c r="C117" s="12">
        <v>-9221</v>
      </c>
      <c r="D117" s="12">
        <v>0</v>
      </c>
      <c r="E117" s="12">
        <v>0</v>
      </c>
      <c r="F117" s="12">
        <v>0</v>
      </c>
      <c r="G117" s="12">
        <v>0</v>
      </c>
      <c r="H117" s="12">
        <f t="shared" si="16"/>
        <v>-9221</v>
      </c>
    </row>
    <row r="118" spans="1:8" x14ac:dyDescent="0.2">
      <c r="A118" s="17" t="s">
        <v>125</v>
      </c>
      <c r="B118" s="12">
        <v>0</v>
      </c>
      <c r="C118" s="12">
        <v>0</v>
      </c>
      <c r="D118" s="12">
        <v>0</v>
      </c>
      <c r="E118" s="12">
        <v>0</v>
      </c>
      <c r="F118" s="12">
        <v>-7956.04</v>
      </c>
      <c r="G118" s="12">
        <v>0</v>
      </c>
      <c r="H118" s="12">
        <f t="shared" si="16"/>
        <v>-7956.04</v>
      </c>
    </row>
    <row r="119" spans="1:8" x14ac:dyDescent="0.2">
      <c r="A119" s="17" t="s">
        <v>126</v>
      </c>
      <c r="B119" s="12">
        <v>0</v>
      </c>
      <c r="C119" s="12">
        <v>0</v>
      </c>
      <c r="D119" s="12">
        <v>0</v>
      </c>
      <c r="E119" s="12">
        <v>0</v>
      </c>
      <c r="F119" s="12">
        <v>-340.7</v>
      </c>
      <c r="G119" s="12">
        <v>0</v>
      </c>
      <c r="H119" s="12">
        <f t="shared" si="16"/>
        <v>-340.7</v>
      </c>
    </row>
    <row r="120" spans="1:8" x14ac:dyDescent="0.2">
      <c r="A120" s="17" t="s">
        <v>127</v>
      </c>
      <c r="B120" s="12">
        <v>0</v>
      </c>
      <c r="C120" s="12">
        <v>0</v>
      </c>
      <c r="D120" s="12">
        <v>0</v>
      </c>
      <c r="E120" s="12">
        <v>0</v>
      </c>
      <c r="F120" s="12">
        <v>-8190</v>
      </c>
      <c r="G120" s="12">
        <v>0</v>
      </c>
      <c r="H120" s="12">
        <f t="shared" ref="H120:H151" si="17">SUM(B120:G120)</f>
        <v>-8190</v>
      </c>
    </row>
    <row r="121" spans="1:8" x14ac:dyDescent="0.2">
      <c r="A121" s="17" t="s">
        <v>128</v>
      </c>
      <c r="B121" s="12">
        <v>0</v>
      </c>
      <c r="C121" s="12">
        <v>0</v>
      </c>
      <c r="D121" s="12">
        <v>-33.436341347499997</v>
      </c>
      <c r="E121" s="12">
        <v>0</v>
      </c>
      <c r="F121" s="12">
        <v>-659.31</v>
      </c>
      <c r="G121" s="12">
        <v>0</v>
      </c>
      <c r="H121" s="12">
        <f t="shared" si="17"/>
        <v>-692.74634134749999</v>
      </c>
    </row>
    <row r="122" spans="1:8" x14ac:dyDescent="0.2">
      <c r="A122" s="17" t="s">
        <v>129</v>
      </c>
      <c r="B122" s="12">
        <v>0</v>
      </c>
      <c r="C122" s="12">
        <v>-48.901975</v>
      </c>
      <c r="D122" s="12">
        <v>-2404.6027417575001</v>
      </c>
      <c r="E122" s="12">
        <v>-343.64</v>
      </c>
      <c r="F122" s="12">
        <v>-6221.73</v>
      </c>
      <c r="G122" s="12">
        <v>-196.8</v>
      </c>
      <c r="H122" s="12">
        <f t="shared" si="17"/>
        <v>-9215.6747167574995</v>
      </c>
    </row>
    <row r="123" spans="1:8" x14ac:dyDescent="0.2">
      <c r="A123" s="17" t="s">
        <v>130</v>
      </c>
      <c r="B123" s="12">
        <v>0</v>
      </c>
      <c r="C123" s="12">
        <v>-1851.8453457999999</v>
      </c>
      <c r="D123" s="12">
        <v>0</v>
      </c>
      <c r="E123" s="12">
        <v>0</v>
      </c>
      <c r="F123" s="12">
        <v>-521.4</v>
      </c>
      <c r="G123" s="12">
        <v>0</v>
      </c>
      <c r="H123" s="12">
        <f t="shared" si="17"/>
        <v>-2373.2453458</v>
      </c>
    </row>
    <row r="124" spans="1:8" x14ac:dyDescent="0.2">
      <c r="A124" s="17" t="s">
        <v>131</v>
      </c>
      <c r="B124" s="12">
        <v>0</v>
      </c>
      <c r="C124" s="12">
        <v>0</v>
      </c>
      <c r="D124" s="12">
        <v>0</v>
      </c>
      <c r="E124" s="12">
        <v>0</v>
      </c>
      <c r="F124" s="12">
        <v>-86700</v>
      </c>
      <c r="G124" s="12">
        <v>0</v>
      </c>
      <c r="H124" s="12">
        <f t="shared" si="17"/>
        <v>-86700</v>
      </c>
    </row>
    <row r="125" spans="1:8" x14ac:dyDescent="0.2">
      <c r="A125" s="17" t="s">
        <v>132</v>
      </c>
      <c r="B125" s="12">
        <v>0</v>
      </c>
      <c r="C125" s="12">
        <v>0</v>
      </c>
      <c r="D125" s="12">
        <v>0</v>
      </c>
      <c r="E125" s="12">
        <v>0</v>
      </c>
      <c r="F125" s="12">
        <v>814</v>
      </c>
      <c r="G125" s="12">
        <v>0</v>
      </c>
      <c r="H125" s="12">
        <f t="shared" si="17"/>
        <v>814</v>
      </c>
    </row>
    <row r="126" spans="1:8" x14ac:dyDescent="0.2">
      <c r="A126" s="17" t="s">
        <v>133</v>
      </c>
      <c r="B126" s="12">
        <v>0</v>
      </c>
      <c r="C126" s="12">
        <v>334.90677024000001</v>
      </c>
      <c r="D126" s="12">
        <v>0</v>
      </c>
      <c r="E126" s="12">
        <v>0</v>
      </c>
      <c r="F126" s="12">
        <v>0</v>
      </c>
      <c r="G126" s="12">
        <v>0</v>
      </c>
      <c r="H126" s="12">
        <f t="shared" si="17"/>
        <v>334.90677024000001</v>
      </c>
    </row>
    <row r="127" spans="1:8" x14ac:dyDescent="0.2">
      <c r="A127" s="17" t="s">
        <v>134</v>
      </c>
      <c r="B127" s="12">
        <v>0</v>
      </c>
      <c r="C127" s="12">
        <v>0</v>
      </c>
      <c r="D127" s="12">
        <v>-392.519248</v>
      </c>
      <c r="E127" s="12">
        <v>0</v>
      </c>
      <c r="F127" s="12">
        <v>-753.6</v>
      </c>
      <c r="G127" s="12">
        <v>0</v>
      </c>
      <c r="H127" s="12">
        <f t="shared" si="17"/>
        <v>-1146.119248</v>
      </c>
    </row>
    <row r="128" spans="1:8" x14ac:dyDescent="0.2">
      <c r="A128" s="17" t="s">
        <v>135</v>
      </c>
      <c r="B128" s="12">
        <v>-780.55</v>
      </c>
      <c r="C128" s="12">
        <v>-18164.957620720001</v>
      </c>
      <c r="D128" s="12">
        <v>0</v>
      </c>
      <c r="E128" s="12">
        <v>-10508.85</v>
      </c>
      <c r="F128" s="12">
        <v>-16401.34</v>
      </c>
      <c r="G128" s="12">
        <v>-917.47</v>
      </c>
      <c r="H128" s="12">
        <f t="shared" si="17"/>
        <v>-46773.167620720007</v>
      </c>
    </row>
    <row r="129" spans="1:8" x14ac:dyDescent="0.2">
      <c r="A129" s="17" t="s">
        <v>136</v>
      </c>
      <c r="B129" s="12">
        <v>0</v>
      </c>
      <c r="C129" s="12">
        <v>-26.275718000000001</v>
      </c>
      <c r="D129" s="12">
        <v>0</v>
      </c>
      <c r="E129" s="12">
        <v>-52.52</v>
      </c>
      <c r="F129" s="12">
        <v>-1582.93</v>
      </c>
      <c r="G129" s="12">
        <v>0</v>
      </c>
      <c r="H129" s="12">
        <f t="shared" si="17"/>
        <v>-1661.7257180000001</v>
      </c>
    </row>
    <row r="130" spans="1:8" x14ac:dyDescent="0.2">
      <c r="A130" s="17" t="s">
        <v>137</v>
      </c>
      <c r="B130" s="12">
        <v>0</v>
      </c>
      <c r="C130" s="12">
        <v>-4821.3165650000001</v>
      </c>
      <c r="D130" s="12">
        <v>-38316.214004499998</v>
      </c>
      <c r="E130" s="12">
        <v>-20182.439999999999</v>
      </c>
      <c r="F130" s="12">
        <v>-369700.68</v>
      </c>
      <c r="G130" s="12">
        <v>0</v>
      </c>
      <c r="H130" s="12">
        <f t="shared" si="17"/>
        <v>-433020.65056949999</v>
      </c>
    </row>
    <row r="131" spans="1:8" x14ac:dyDescent="0.2">
      <c r="A131" s="17" t="s">
        <v>138</v>
      </c>
      <c r="B131" s="12">
        <v>0</v>
      </c>
      <c r="C131" s="12">
        <v>0</v>
      </c>
      <c r="D131" s="12">
        <v>0</v>
      </c>
      <c r="E131" s="12">
        <v>0</v>
      </c>
      <c r="F131" s="12">
        <v>-9600</v>
      </c>
      <c r="G131" s="12">
        <v>0</v>
      </c>
      <c r="H131" s="12">
        <f t="shared" si="17"/>
        <v>-9600</v>
      </c>
    </row>
    <row r="132" spans="1:8" x14ac:dyDescent="0.2">
      <c r="A132" s="17" t="s">
        <v>139</v>
      </c>
      <c r="B132" s="12">
        <v>0</v>
      </c>
      <c r="C132" s="12">
        <v>-2547.44</v>
      </c>
      <c r="D132" s="12">
        <v>0</v>
      </c>
      <c r="E132" s="12">
        <v>-454.23</v>
      </c>
      <c r="F132" s="12">
        <v>-140.94999999999999</v>
      </c>
      <c r="G132" s="12">
        <v>0</v>
      </c>
      <c r="H132" s="12">
        <f t="shared" si="17"/>
        <v>-3142.62</v>
      </c>
    </row>
    <row r="133" spans="1:8" x14ac:dyDescent="0.2">
      <c r="A133" s="17" t="s">
        <v>140</v>
      </c>
      <c r="B133" s="12">
        <v>0</v>
      </c>
      <c r="C133" s="12">
        <v>0</v>
      </c>
      <c r="D133" s="12">
        <v>0</v>
      </c>
      <c r="E133" s="12">
        <v>0</v>
      </c>
      <c r="F133" s="12">
        <v>-229750.02</v>
      </c>
      <c r="G133" s="12">
        <v>0</v>
      </c>
      <c r="H133" s="12">
        <f t="shared" si="17"/>
        <v>-229750.02</v>
      </c>
    </row>
    <row r="134" spans="1:8" x14ac:dyDescent="0.2">
      <c r="A134" s="17" t="s">
        <v>141</v>
      </c>
      <c r="B134" s="12">
        <v>0</v>
      </c>
      <c r="C134" s="12">
        <v>0</v>
      </c>
      <c r="D134" s="12">
        <v>0</v>
      </c>
      <c r="E134" s="12">
        <v>-53.5</v>
      </c>
      <c r="F134" s="12">
        <v>-9118.3799999999992</v>
      </c>
      <c r="G134" s="12">
        <v>0</v>
      </c>
      <c r="H134" s="12">
        <f t="shared" si="17"/>
        <v>-9171.8799999999992</v>
      </c>
    </row>
    <row r="135" spans="1:8" x14ac:dyDescent="0.2">
      <c r="A135" s="17" t="s">
        <v>142</v>
      </c>
      <c r="B135" s="12">
        <v>0</v>
      </c>
      <c r="C135" s="12">
        <v>0</v>
      </c>
      <c r="D135" s="12">
        <v>0</v>
      </c>
      <c r="E135" s="12">
        <v>0</v>
      </c>
      <c r="F135" s="12">
        <v>-400</v>
      </c>
      <c r="G135" s="12">
        <v>0</v>
      </c>
      <c r="H135" s="12">
        <f t="shared" si="17"/>
        <v>-400</v>
      </c>
    </row>
    <row r="136" spans="1:8" x14ac:dyDescent="0.2">
      <c r="A136" s="17" t="s">
        <v>143</v>
      </c>
      <c r="B136" s="12">
        <v>0</v>
      </c>
      <c r="C136" s="12">
        <v>-326.936081</v>
      </c>
      <c r="D136" s="12">
        <v>-1621.189822285</v>
      </c>
      <c r="E136" s="12">
        <v>-2630.76</v>
      </c>
      <c r="F136" s="12">
        <v>-27539.93</v>
      </c>
      <c r="G136" s="12">
        <v>0</v>
      </c>
      <c r="H136" s="12">
        <f t="shared" si="17"/>
        <v>-32118.815903285002</v>
      </c>
    </row>
    <row r="137" spans="1:8" x14ac:dyDescent="0.2">
      <c r="A137" s="17" t="s">
        <v>144</v>
      </c>
      <c r="B137" s="12">
        <v>0</v>
      </c>
      <c r="C137" s="12">
        <v>0</v>
      </c>
      <c r="D137" s="12">
        <v>0</v>
      </c>
      <c r="E137" s="12">
        <v>-6652.78</v>
      </c>
      <c r="F137" s="12">
        <v>-606800</v>
      </c>
      <c r="G137" s="12">
        <v>0</v>
      </c>
      <c r="H137" s="12">
        <f t="shared" si="17"/>
        <v>-613452.78</v>
      </c>
    </row>
    <row r="138" spans="1:8" x14ac:dyDescent="0.2">
      <c r="A138" s="17" t="s">
        <v>145</v>
      </c>
      <c r="B138" s="12">
        <v>0</v>
      </c>
      <c r="C138" s="12">
        <v>0</v>
      </c>
      <c r="D138" s="12">
        <v>0</v>
      </c>
      <c r="E138" s="12">
        <v>0</v>
      </c>
      <c r="F138" s="12">
        <v>-63485.95</v>
      </c>
      <c r="G138" s="12">
        <v>0</v>
      </c>
      <c r="H138" s="12">
        <f t="shared" si="17"/>
        <v>-63485.95</v>
      </c>
    </row>
    <row r="139" spans="1:8" x14ac:dyDescent="0.2">
      <c r="A139" s="17" t="s">
        <v>146</v>
      </c>
      <c r="B139" s="12">
        <v>0</v>
      </c>
      <c r="C139" s="12">
        <v>0</v>
      </c>
      <c r="D139" s="12">
        <v>0</v>
      </c>
      <c r="E139" s="12">
        <v>0</v>
      </c>
      <c r="F139" s="12">
        <v>-28800</v>
      </c>
      <c r="G139" s="12">
        <v>0</v>
      </c>
      <c r="H139" s="12">
        <f t="shared" si="17"/>
        <v>-28800</v>
      </c>
    </row>
    <row r="140" spans="1:8" x14ac:dyDescent="0.2">
      <c r="A140" s="17" t="s">
        <v>147</v>
      </c>
      <c r="B140" s="12">
        <v>0</v>
      </c>
      <c r="C140" s="12">
        <v>0</v>
      </c>
      <c r="D140" s="12">
        <v>0</v>
      </c>
      <c r="E140" s="12">
        <v>0</v>
      </c>
      <c r="F140" s="12">
        <v>-1698</v>
      </c>
      <c r="G140" s="12">
        <v>0</v>
      </c>
      <c r="H140" s="12">
        <f t="shared" si="17"/>
        <v>-1698</v>
      </c>
    </row>
    <row r="141" spans="1:8" x14ac:dyDescent="0.2">
      <c r="A141" s="17" t="s">
        <v>148</v>
      </c>
      <c r="B141" s="12">
        <v>0</v>
      </c>
      <c r="C141" s="12">
        <v>0</v>
      </c>
      <c r="D141" s="12">
        <v>0</v>
      </c>
      <c r="E141" s="12">
        <v>-2856.4</v>
      </c>
      <c r="F141" s="12">
        <v>4459.1499999999996</v>
      </c>
      <c r="G141" s="12">
        <v>0</v>
      </c>
      <c r="H141" s="12">
        <f t="shared" si="17"/>
        <v>1602.7499999999995</v>
      </c>
    </row>
    <row r="142" spans="1:8" x14ac:dyDescent="0.2">
      <c r="A142" s="17" t="s">
        <v>149</v>
      </c>
      <c r="B142" s="12">
        <v>0</v>
      </c>
      <c r="C142" s="12">
        <v>0</v>
      </c>
      <c r="D142" s="12">
        <v>0</v>
      </c>
      <c r="E142" s="12">
        <v>0</v>
      </c>
      <c r="F142" s="12">
        <v>-16292.68</v>
      </c>
      <c r="G142" s="12">
        <v>0</v>
      </c>
      <c r="H142" s="12">
        <f t="shared" si="17"/>
        <v>-16292.68</v>
      </c>
    </row>
    <row r="143" spans="1:8" x14ac:dyDescent="0.2">
      <c r="A143" s="17" t="s">
        <v>150</v>
      </c>
      <c r="B143" s="12">
        <v>0</v>
      </c>
      <c r="C143" s="12">
        <v>0</v>
      </c>
      <c r="D143" s="12">
        <v>0</v>
      </c>
      <c r="E143" s="12">
        <v>0</v>
      </c>
      <c r="F143" s="12">
        <v>-4472.09</v>
      </c>
      <c r="G143" s="12">
        <v>0</v>
      </c>
      <c r="H143" s="12">
        <f t="shared" si="17"/>
        <v>-4472.09</v>
      </c>
    </row>
    <row r="144" spans="1:8" x14ac:dyDescent="0.2">
      <c r="A144" s="17" t="s">
        <v>151</v>
      </c>
      <c r="B144" s="12">
        <v>0</v>
      </c>
      <c r="C144" s="12">
        <v>0</v>
      </c>
      <c r="D144" s="12">
        <v>0</v>
      </c>
      <c r="E144" s="12">
        <v>0</v>
      </c>
      <c r="F144" s="12">
        <v>-182.41</v>
      </c>
      <c r="G144" s="12">
        <v>0</v>
      </c>
      <c r="H144" s="12">
        <f t="shared" si="17"/>
        <v>-182.41</v>
      </c>
    </row>
    <row r="145" spans="1:8" x14ac:dyDescent="0.2">
      <c r="A145" s="17" t="s">
        <v>152</v>
      </c>
      <c r="B145" s="12">
        <v>0</v>
      </c>
      <c r="C145" s="12">
        <v>0</v>
      </c>
      <c r="D145" s="12">
        <v>0</v>
      </c>
      <c r="E145" s="12">
        <v>0</v>
      </c>
      <c r="F145" s="12">
        <v>-3991.91</v>
      </c>
      <c r="G145" s="12">
        <v>0</v>
      </c>
      <c r="H145" s="12">
        <f t="shared" si="17"/>
        <v>-3991.91</v>
      </c>
    </row>
    <row r="146" spans="1:8" x14ac:dyDescent="0.2">
      <c r="A146" s="17" t="s">
        <v>153</v>
      </c>
      <c r="B146" s="12">
        <v>0</v>
      </c>
      <c r="C146" s="12">
        <v>0</v>
      </c>
      <c r="D146" s="12">
        <v>0</v>
      </c>
      <c r="E146" s="12">
        <v>0</v>
      </c>
      <c r="F146" s="12">
        <v>-9712.25</v>
      </c>
      <c r="G146" s="12">
        <v>0</v>
      </c>
      <c r="H146" s="12">
        <f t="shared" si="17"/>
        <v>-9712.25</v>
      </c>
    </row>
    <row r="147" spans="1:8" x14ac:dyDescent="0.2">
      <c r="A147" s="17" t="s">
        <v>154</v>
      </c>
      <c r="B147" s="12">
        <v>0</v>
      </c>
      <c r="C147" s="12">
        <v>0</v>
      </c>
      <c r="D147" s="12">
        <v>0</v>
      </c>
      <c r="E147" s="12">
        <v>0</v>
      </c>
      <c r="F147" s="12">
        <v>-5579.93</v>
      </c>
      <c r="G147" s="12">
        <v>0</v>
      </c>
      <c r="H147" s="12">
        <f t="shared" si="17"/>
        <v>-5579.93</v>
      </c>
    </row>
    <row r="148" spans="1:8" x14ac:dyDescent="0.2">
      <c r="A148" s="17" t="s">
        <v>155</v>
      </c>
      <c r="B148" s="12">
        <v>0</v>
      </c>
      <c r="C148" s="12">
        <v>0</v>
      </c>
      <c r="D148" s="12">
        <v>0</v>
      </c>
      <c r="E148" s="12">
        <v>0</v>
      </c>
      <c r="F148" s="12">
        <v>-1613.93</v>
      </c>
      <c r="G148" s="12">
        <v>0</v>
      </c>
      <c r="H148" s="12">
        <f t="shared" si="17"/>
        <v>-1613.93</v>
      </c>
    </row>
    <row r="149" spans="1:8" x14ac:dyDescent="0.2">
      <c r="A149" s="17" t="s">
        <v>156</v>
      </c>
      <c r="B149" s="12">
        <v>0</v>
      </c>
      <c r="C149" s="12">
        <v>0</v>
      </c>
      <c r="D149" s="12">
        <v>0</v>
      </c>
      <c r="E149" s="12">
        <v>0</v>
      </c>
      <c r="F149" s="12">
        <v>-8114.68</v>
      </c>
      <c r="G149" s="12">
        <v>0</v>
      </c>
      <c r="H149" s="12">
        <f t="shared" si="17"/>
        <v>-8114.68</v>
      </c>
    </row>
    <row r="150" spans="1:8" x14ac:dyDescent="0.2">
      <c r="A150" s="17" t="s">
        <v>157</v>
      </c>
      <c r="B150" s="12">
        <v>0</v>
      </c>
      <c r="C150" s="12">
        <v>0</v>
      </c>
      <c r="D150" s="12">
        <v>0</v>
      </c>
      <c r="E150" s="12">
        <v>0</v>
      </c>
      <c r="F150" s="12">
        <v>-6139.62</v>
      </c>
      <c r="G150" s="12">
        <v>0</v>
      </c>
      <c r="H150" s="12">
        <f t="shared" si="17"/>
        <v>-6139.62</v>
      </c>
    </row>
    <row r="151" spans="1:8" x14ac:dyDescent="0.2">
      <c r="A151" s="17" t="s">
        <v>158</v>
      </c>
      <c r="B151" s="12">
        <v>0</v>
      </c>
      <c r="C151" s="12">
        <v>0</v>
      </c>
      <c r="D151" s="12">
        <v>0</v>
      </c>
      <c r="E151" s="12">
        <v>0</v>
      </c>
      <c r="F151" s="12">
        <v>-3969.7</v>
      </c>
      <c r="G151" s="12">
        <v>0</v>
      </c>
      <c r="H151" s="12">
        <f t="shared" si="17"/>
        <v>-3969.7</v>
      </c>
    </row>
    <row r="152" spans="1:8" x14ac:dyDescent="0.2">
      <c r="A152" s="17" t="s">
        <v>159</v>
      </c>
      <c r="B152" s="12">
        <v>0</v>
      </c>
      <c r="C152" s="12">
        <v>0</v>
      </c>
      <c r="D152" s="12">
        <v>0</v>
      </c>
      <c r="E152" s="12">
        <v>0</v>
      </c>
      <c r="F152" s="12">
        <v>-6689.5</v>
      </c>
      <c r="G152" s="12">
        <v>0</v>
      </c>
      <c r="H152" s="12">
        <f t="shared" ref="H152:H183" si="18">SUM(B152:G152)</f>
        <v>-6689.5</v>
      </c>
    </row>
    <row r="153" spans="1:8" x14ac:dyDescent="0.2">
      <c r="A153" s="17" t="s">
        <v>160</v>
      </c>
      <c r="B153" s="12">
        <v>0</v>
      </c>
      <c r="C153" s="12">
        <v>0</v>
      </c>
      <c r="D153" s="12">
        <v>0</v>
      </c>
      <c r="E153" s="12">
        <v>0</v>
      </c>
      <c r="F153" s="12">
        <v>-952.55</v>
      </c>
      <c r="G153" s="12">
        <v>0</v>
      </c>
      <c r="H153" s="12">
        <f t="shared" si="18"/>
        <v>-952.55</v>
      </c>
    </row>
    <row r="154" spans="1:8" x14ac:dyDescent="0.2">
      <c r="A154" s="17" t="s">
        <v>161</v>
      </c>
      <c r="B154" s="12">
        <v>0</v>
      </c>
      <c r="C154" s="12">
        <v>0</v>
      </c>
      <c r="D154" s="12">
        <v>0</v>
      </c>
      <c r="E154" s="12">
        <v>0</v>
      </c>
      <c r="F154" s="12">
        <v>-5964.44</v>
      </c>
      <c r="G154" s="12">
        <v>0</v>
      </c>
      <c r="H154" s="12">
        <f t="shared" si="18"/>
        <v>-5964.44</v>
      </c>
    </row>
    <row r="155" spans="1:8" x14ac:dyDescent="0.2">
      <c r="A155" s="17" t="s">
        <v>162</v>
      </c>
      <c r="B155" s="12">
        <v>0</v>
      </c>
      <c r="C155" s="12">
        <v>0</v>
      </c>
      <c r="D155" s="12">
        <v>0</v>
      </c>
      <c r="E155" s="12">
        <v>0</v>
      </c>
      <c r="F155" s="12">
        <v>-289.48</v>
      </c>
      <c r="G155" s="12">
        <v>0</v>
      </c>
      <c r="H155" s="12">
        <f t="shared" si="18"/>
        <v>-289.48</v>
      </c>
    </row>
    <row r="156" spans="1:8" x14ac:dyDescent="0.2">
      <c r="A156" s="17" t="s">
        <v>163</v>
      </c>
      <c r="B156" s="12">
        <v>0</v>
      </c>
      <c r="C156" s="12">
        <v>0</v>
      </c>
      <c r="D156" s="12">
        <v>0</v>
      </c>
      <c r="E156" s="12">
        <v>0</v>
      </c>
      <c r="F156" s="12">
        <v>-4994.68</v>
      </c>
      <c r="G156" s="12">
        <v>0</v>
      </c>
      <c r="H156" s="12">
        <f t="shared" si="18"/>
        <v>-4994.68</v>
      </c>
    </row>
    <row r="157" spans="1:8" x14ac:dyDescent="0.2">
      <c r="A157" s="17" t="s">
        <v>164</v>
      </c>
      <c r="B157" s="12">
        <v>0</v>
      </c>
      <c r="C157" s="12">
        <v>0</v>
      </c>
      <c r="D157" s="12">
        <v>0</v>
      </c>
      <c r="E157" s="12">
        <v>0</v>
      </c>
      <c r="F157" s="12">
        <v>-2498.19</v>
      </c>
      <c r="G157" s="12">
        <v>-1275.67</v>
      </c>
      <c r="H157" s="12">
        <f t="shared" si="18"/>
        <v>-3773.86</v>
      </c>
    </row>
    <row r="158" spans="1:8" x14ac:dyDescent="0.2">
      <c r="A158" s="15" t="s">
        <v>165</v>
      </c>
      <c r="B158" s="14">
        <f t="shared" ref="B158:H158" si="19">SUM(B88:B157)</f>
        <v>-12751.619999999999</v>
      </c>
      <c r="C158" s="14">
        <f t="shared" si="19"/>
        <v>-61789.949851130004</v>
      </c>
      <c r="D158" s="14">
        <f t="shared" si="19"/>
        <v>-69870.537696667496</v>
      </c>
      <c r="E158" s="14">
        <f t="shared" si="19"/>
        <v>-59378.520000000004</v>
      </c>
      <c r="F158" s="14">
        <f t="shared" si="19"/>
        <v>-1997200.7899999996</v>
      </c>
      <c r="G158" s="14">
        <f t="shared" si="19"/>
        <v>-16008.16</v>
      </c>
      <c r="H158" s="14">
        <f t="shared" si="19"/>
        <v>-2216999.5775477984</v>
      </c>
    </row>
    <row r="159" spans="1:8" x14ac:dyDescent="0.2">
      <c r="A159" s="16" t="s">
        <v>166</v>
      </c>
      <c r="B159" s="14">
        <f t="shared" ref="B159:H159" si="20">B78+B86+B158</f>
        <v>-45948.179999999993</v>
      </c>
      <c r="C159" s="14">
        <f t="shared" si="20"/>
        <v>-98023.662533130002</v>
      </c>
      <c r="D159" s="14">
        <f t="shared" si="20"/>
        <v>-206670.02317181748</v>
      </c>
      <c r="E159" s="14">
        <f t="shared" si="20"/>
        <v>-535927.20000000007</v>
      </c>
      <c r="F159" s="14">
        <f t="shared" si="20"/>
        <v>-11221398.889999997</v>
      </c>
      <c r="G159" s="14">
        <f t="shared" si="20"/>
        <v>-45809.22</v>
      </c>
      <c r="H159" s="14">
        <f t="shared" si="20"/>
        <v>-12153777.175704947</v>
      </c>
    </row>
    <row r="160" spans="1:8" x14ac:dyDescent="0.2">
      <c r="A160" s="18" t="s">
        <v>167</v>
      </c>
      <c r="B160" s="14">
        <f t="shared" ref="B160:H160" si="21">B52+B159</f>
        <v>17460.820000000007</v>
      </c>
      <c r="C160" s="14">
        <f t="shared" si="21"/>
        <v>-8614.8880383900541</v>
      </c>
      <c r="D160" s="14">
        <f t="shared" si="21"/>
        <v>267655.12742478511</v>
      </c>
      <c r="E160" s="14">
        <f t="shared" si="21"/>
        <v>19983.309999999939</v>
      </c>
      <c r="F160" s="14">
        <f t="shared" si="21"/>
        <v>775920.8300000038</v>
      </c>
      <c r="G160" s="14">
        <f t="shared" si="21"/>
        <v>8117.3100000000049</v>
      </c>
      <c r="H160" s="14">
        <f t="shared" si="21"/>
        <v>1080522.5093863923</v>
      </c>
    </row>
    <row r="161" spans="1:8" x14ac:dyDescent="0.2">
      <c r="A161" s="7" t="s">
        <v>168</v>
      </c>
      <c r="B161" s="6"/>
      <c r="C161" s="6"/>
      <c r="D161" s="6"/>
      <c r="E161" s="6"/>
      <c r="F161" s="6"/>
      <c r="G161" s="6"/>
      <c r="H161" s="6"/>
    </row>
    <row r="162" spans="1:8" x14ac:dyDescent="0.2">
      <c r="A162" s="8" t="s">
        <v>169</v>
      </c>
      <c r="B162" s="6"/>
      <c r="C162" s="6"/>
      <c r="D162" s="6"/>
      <c r="E162" s="6"/>
      <c r="F162" s="6"/>
      <c r="G162" s="6"/>
      <c r="H162" s="6"/>
    </row>
    <row r="163" spans="1:8" x14ac:dyDescent="0.2">
      <c r="A163" s="19" t="s">
        <v>170</v>
      </c>
      <c r="B163" s="12">
        <v>0</v>
      </c>
      <c r="C163" s="12">
        <v>0</v>
      </c>
      <c r="D163" s="12">
        <v>0</v>
      </c>
      <c r="E163" s="12">
        <v>0</v>
      </c>
      <c r="F163" s="12">
        <v>6</v>
      </c>
      <c r="G163" s="12">
        <v>0</v>
      </c>
      <c r="H163" s="12">
        <f>SUM(B163:G163)</f>
        <v>6</v>
      </c>
    </row>
    <row r="164" spans="1:8" x14ac:dyDescent="0.2">
      <c r="A164" s="16" t="s">
        <v>171</v>
      </c>
      <c r="B164" s="14">
        <f t="shared" ref="B164:H164" si="22">SUM(B163)</f>
        <v>0</v>
      </c>
      <c r="C164" s="14">
        <f t="shared" si="22"/>
        <v>0</v>
      </c>
      <c r="D164" s="14">
        <f t="shared" si="22"/>
        <v>0</v>
      </c>
      <c r="E164" s="14">
        <f t="shared" si="22"/>
        <v>0</v>
      </c>
      <c r="F164" s="14">
        <f t="shared" si="22"/>
        <v>6</v>
      </c>
      <c r="G164" s="14">
        <f t="shared" si="22"/>
        <v>0</v>
      </c>
      <c r="H164" s="14">
        <f t="shared" si="22"/>
        <v>6</v>
      </c>
    </row>
    <row r="165" spans="1:8" x14ac:dyDescent="0.2">
      <c r="A165" s="8" t="s">
        <v>172</v>
      </c>
      <c r="B165" s="6"/>
      <c r="C165" s="6"/>
      <c r="D165" s="6"/>
      <c r="E165" s="6"/>
      <c r="F165" s="6"/>
      <c r="G165" s="6"/>
      <c r="H165" s="6"/>
    </row>
    <row r="166" spans="1:8" x14ac:dyDescent="0.2">
      <c r="A166" s="19" t="s">
        <v>173</v>
      </c>
      <c r="B166" s="12">
        <v>0</v>
      </c>
      <c r="C166" s="12">
        <v>0</v>
      </c>
      <c r="D166" s="12">
        <v>0</v>
      </c>
      <c r="E166" s="12">
        <v>0</v>
      </c>
      <c r="F166" s="12">
        <v>17898.13</v>
      </c>
      <c r="G166" s="12">
        <v>1541.98</v>
      </c>
      <c r="H166" s="12">
        <f>SUM(B166:G166)</f>
        <v>19440.11</v>
      </c>
    </row>
    <row r="167" spans="1:8" x14ac:dyDescent="0.2">
      <c r="A167" s="19" t="s">
        <v>174</v>
      </c>
      <c r="B167" s="12">
        <v>0</v>
      </c>
      <c r="C167" s="12">
        <v>0</v>
      </c>
      <c r="D167" s="12">
        <v>0</v>
      </c>
      <c r="E167" s="12">
        <v>0</v>
      </c>
      <c r="F167" s="12">
        <v>685.03</v>
      </c>
      <c r="G167" s="12">
        <v>0</v>
      </c>
      <c r="H167" s="12">
        <f>SUM(B167:G167)</f>
        <v>685.03</v>
      </c>
    </row>
    <row r="168" spans="1:8" x14ac:dyDescent="0.2">
      <c r="A168" s="16" t="s">
        <v>175</v>
      </c>
      <c r="B168" s="14">
        <f t="shared" ref="B168:H168" si="23">SUM(B166:B167)</f>
        <v>0</v>
      </c>
      <c r="C168" s="14">
        <f t="shared" si="23"/>
        <v>0</v>
      </c>
      <c r="D168" s="14">
        <f t="shared" si="23"/>
        <v>0</v>
      </c>
      <c r="E168" s="14">
        <f t="shared" si="23"/>
        <v>0</v>
      </c>
      <c r="F168" s="14">
        <f t="shared" si="23"/>
        <v>18583.16</v>
      </c>
      <c r="G168" s="14">
        <f t="shared" si="23"/>
        <v>1541.98</v>
      </c>
      <c r="H168" s="14">
        <f t="shared" si="23"/>
        <v>20125.14</v>
      </c>
    </row>
    <row r="169" spans="1:8" x14ac:dyDescent="0.2">
      <c r="A169" s="8" t="s">
        <v>176</v>
      </c>
      <c r="B169" s="6"/>
      <c r="C169" s="6"/>
      <c r="D169" s="6"/>
      <c r="E169" s="6"/>
      <c r="F169" s="6"/>
      <c r="G169" s="6"/>
      <c r="H169" s="6"/>
    </row>
    <row r="170" spans="1:8" x14ac:dyDescent="0.2">
      <c r="A170" s="19" t="s">
        <v>177</v>
      </c>
      <c r="B170" s="12">
        <v>0</v>
      </c>
      <c r="C170" s="12">
        <v>0</v>
      </c>
      <c r="D170" s="12">
        <v>0</v>
      </c>
      <c r="E170" s="12">
        <v>6.52</v>
      </c>
      <c r="F170" s="12">
        <v>340.89</v>
      </c>
      <c r="G170" s="12">
        <v>73.91</v>
      </c>
      <c r="H170" s="12">
        <f>SUM(B170:G170)</f>
        <v>421.31999999999994</v>
      </c>
    </row>
    <row r="171" spans="1:8" x14ac:dyDescent="0.2">
      <c r="A171" s="19" t="s">
        <v>178</v>
      </c>
      <c r="B171" s="12">
        <v>3800.04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f>SUM(B171:G171)</f>
        <v>3800.04</v>
      </c>
    </row>
    <row r="172" spans="1:8" x14ac:dyDescent="0.2">
      <c r="A172" s="16" t="s">
        <v>179</v>
      </c>
      <c r="B172" s="14">
        <f t="shared" ref="B172:H172" si="24">SUM(B170:B171)</f>
        <v>3800.04</v>
      </c>
      <c r="C172" s="14">
        <f t="shared" si="24"/>
        <v>0</v>
      </c>
      <c r="D172" s="14">
        <f t="shared" si="24"/>
        <v>0</v>
      </c>
      <c r="E172" s="14">
        <f t="shared" si="24"/>
        <v>6.52</v>
      </c>
      <c r="F172" s="14">
        <f t="shared" si="24"/>
        <v>340.89</v>
      </c>
      <c r="G172" s="14">
        <f t="shared" si="24"/>
        <v>73.91</v>
      </c>
      <c r="H172" s="14">
        <f t="shared" si="24"/>
        <v>4221.3599999999997</v>
      </c>
    </row>
    <row r="173" spans="1:8" x14ac:dyDescent="0.2">
      <c r="A173" s="8" t="s">
        <v>180</v>
      </c>
      <c r="B173" s="6"/>
      <c r="C173" s="6"/>
      <c r="D173" s="6"/>
      <c r="E173" s="6"/>
      <c r="F173" s="6"/>
      <c r="G173" s="6"/>
      <c r="H173" s="6"/>
    </row>
    <row r="174" spans="1:8" x14ac:dyDescent="0.2">
      <c r="A174" s="19" t="s">
        <v>181</v>
      </c>
      <c r="B174" s="12">
        <v>0</v>
      </c>
      <c r="C174" s="12">
        <v>2839.7654664000002</v>
      </c>
      <c r="D174" s="12">
        <v>0</v>
      </c>
      <c r="E174" s="12">
        <v>0</v>
      </c>
      <c r="F174" s="12">
        <v>0</v>
      </c>
      <c r="G174" s="12">
        <v>0</v>
      </c>
      <c r="H174" s="12">
        <f>SUM(B174:G174)</f>
        <v>2839.7654664000002</v>
      </c>
    </row>
    <row r="175" spans="1:8" x14ac:dyDescent="0.2">
      <c r="A175" s="19" t="s">
        <v>182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2">
        <v>-3800.04</v>
      </c>
      <c r="H175" s="12">
        <f>SUM(B175:G175)</f>
        <v>-3800.04</v>
      </c>
    </row>
    <row r="176" spans="1:8" x14ac:dyDescent="0.2">
      <c r="A176" s="16" t="s">
        <v>183</v>
      </c>
      <c r="B176" s="14">
        <f t="shared" ref="B176:H176" si="25">SUM(B174:B175)</f>
        <v>0</v>
      </c>
      <c r="C176" s="14">
        <f t="shared" si="25"/>
        <v>2839.7654664000002</v>
      </c>
      <c r="D176" s="14">
        <f t="shared" si="25"/>
        <v>0</v>
      </c>
      <c r="E176" s="14">
        <f t="shared" si="25"/>
        <v>0</v>
      </c>
      <c r="F176" s="14">
        <f t="shared" si="25"/>
        <v>0</v>
      </c>
      <c r="G176" s="14">
        <f t="shared" si="25"/>
        <v>-3800.04</v>
      </c>
      <c r="H176" s="14">
        <f t="shared" si="25"/>
        <v>-960.27453359999981</v>
      </c>
    </row>
    <row r="177" spans="1:8" x14ac:dyDescent="0.2">
      <c r="A177" s="18" t="s">
        <v>184</v>
      </c>
      <c r="B177" s="14">
        <f t="shared" ref="B177:H177" si="26">B164+B168+B172+0+B176</f>
        <v>3800.04</v>
      </c>
      <c r="C177" s="14">
        <f t="shared" si="26"/>
        <v>2839.7654664000002</v>
      </c>
      <c r="D177" s="14">
        <f t="shared" si="26"/>
        <v>0</v>
      </c>
      <c r="E177" s="14">
        <f t="shared" si="26"/>
        <v>6.52</v>
      </c>
      <c r="F177" s="14">
        <f t="shared" si="26"/>
        <v>18930.05</v>
      </c>
      <c r="G177" s="14">
        <f t="shared" si="26"/>
        <v>-2184.1499999999996</v>
      </c>
      <c r="H177" s="14">
        <f t="shared" si="26"/>
        <v>23392.225466399999</v>
      </c>
    </row>
    <row r="178" spans="1:8" x14ac:dyDescent="0.2">
      <c r="A178" s="7" t="s">
        <v>185</v>
      </c>
      <c r="B178" s="6"/>
      <c r="C178" s="6"/>
      <c r="D178" s="6"/>
      <c r="E178" s="6"/>
      <c r="F178" s="6"/>
      <c r="G178" s="6"/>
      <c r="H178" s="6"/>
    </row>
    <row r="179" spans="1:8" x14ac:dyDescent="0.2">
      <c r="A179" s="20" t="s">
        <v>186</v>
      </c>
      <c r="B179" s="12">
        <v>0</v>
      </c>
      <c r="C179" s="12">
        <v>0</v>
      </c>
      <c r="D179" s="12">
        <v>0</v>
      </c>
      <c r="E179" s="12">
        <v>0</v>
      </c>
      <c r="F179" s="12">
        <v>-154.09</v>
      </c>
      <c r="G179" s="12">
        <v>-1.01</v>
      </c>
      <c r="H179" s="12">
        <f t="shared" ref="H179:H185" si="27">SUM(B179:G179)</f>
        <v>-155.1</v>
      </c>
    </row>
    <row r="180" spans="1:8" x14ac:dyDescent="0.2">
      <c r="A180" s="20" t="s">
        <v>187</v>
      </c>
      <c r="B180" s="12">
        <v>0</v>
      </c>
      <c r="C180" s="12">
        <v>0</v>
      </c>
      <c r="D180" s="12">
        <v>0</v>
      </c>
      <c r="E180" s="12">
        <v>0</v>
      </c>
      <c r="F180" s="12">
        <v>-299.88</v>
      </c>
      <c r="G180" s="12">
        <v>0</v>
      </c>
      <c r="H180" s="12">
        <f t="shared" si="27"/>
        <v>-299.88</v>
      </c>
    </row>
    <row r="181" spans="1:8" x14ac:dyDescent="0.2">
      <c r="A181" s="20" t="s">
        <v>188</v>
      </c>
      <c r="B181" s="12">
        <v>-3189</v>
      </c>
      <c r="C181" s="12">
        <v>-128.85126</v>
      </c>
      <c r="D181" s="12">
        <v>0</v>
      </c>
      <c r="E181" s="12">
        <v>-1306</v>
      </c>
      <c r="F181" s="12">
        <v>-115940</v>
      </c>
      <c r="G181" s="12">
        <v>-871</v>
      </c>
      <c r="H181" s="12">
        <f t="shared" si="27"/>
        <v>-121434.85126</v>
      </c>
    </row>
    <row r="182" spans="1:8" x14ac:dyDescent="0.2">
      <c r="A182" s="20" t="s">
        <v>189</v>
      </c>
      <c r="B182" s="12">
        <v>0</v>
      </c>
      <c r="C182" s="12">
        <v>0</v>
      </c>
      <c r="D182" s="12">
        <v>0</v>
      </c>
      <c r="E182" s="12">
        <v>671</v>
      </c>
      <c r="F182" s="12">
        <v>0</v>
      </c>
      <c r="G182" s="12">
        <v>0</v>
      </c>
      <c r="H182" s="12">
        <f t="shared" si="27"/>
        <v>671</v>
      </c>
    </row>
    <row r="183" spans="1:8" x14ac:dyDescent="0.2">
      <c r="A183" s="20" t="s">
        <v>190</v>
      </c>
      <c r="B183" s="12">
        <v>-175.39</v>
      </c>
      <c r="C183" s="12">
        <v>0</v>
      </c>
      <c r="D183" s="12">
        <v>0</v>
      </c>
      <c r="E183" s="12">
        <v>0</v>
      </c>
      <c r="F183" s="12">
        <v>-6376.88</v>
      </c>
      <c r="G183" s="12">
        <v>-47.94</v>
      </c>
      <c r="H183" s="12">
        <f t="shared" si="27"/>
        <v>-6600.21</v>
      </c>
    </row>
    <row r="184" spans="1:8" x14ac:dyDescent="0.2">
      <c r="A184" s="20" t="s">
        <v>191</v>
      </c>
      <c r="B184" s="12">
        <v>-2819</v>
      </c>
      <c r="C184" s="12">
        <v>0</v>
      </c>
      <c r="D184" s="12">
        <v>0</v>
      </c>
      <c r="E184" s="12">
        <v>0</v>
      </c>
      <c r="F184" s="12">
        <v>-111307</v>
      </c>
      <c r="G184" s="12">
        <v>-782</v>
      </c>
      <c r="H184" s="12">
        <f t="shared" si="27"/>
        <v>-114908</v>
      </c>
    </row>
    <row r="185" spans="1:8" x14ac:dyDescent="0.2">
      <c r="A185" s="20" t="s">
        <v>192</v>
      </c>
      <c r="B185" s="12">
        <v>0</v>
      </c>
      <c r="C185" s="12">
        <v>0</v>
      </c>
      <c r="D185" s="12">
        <v>0</v>
      </c>
      <c r="E185" s="12">
        <v>0</v>
      </c>
      <c r="F185" s="12">
        <v>-2804.63</v>
      </c>
      <c r="G185" s="12">
        <v>-18.48</v>
      </c>
      <c r="H185" s="12">
        <f t="shared" si="27"/>
        <v>-2823.11</v>
      </c>
    </row>
    <row r="186" spans="1:8" x14ac:dyDescent="0.2">
      <c r="A186" s="18" t="s">
        <v>193</v>
      </c>
      <c r="B186" s="14">
        <f t="shared" ref="B186:H186" si="28">SUM(B179:B185)</f>
        <v>-6183.3899999999994</v>
      </c>
      <c r="C186" s="14">
        <f t="shared" si="28"/>
        <v>-128.85126</v>
      </c>
      <c r="D186" s="14">
        <f t="shared" si="28"/>
        <v>0</v>
      </c>
      <c r="E186" s="14">
        <f t="shared" si="28"/>
        <v>-635</v>
      </c>
      <c r="F186" s="14">
        <f t="shared" si="28"/>
        <v>-236882.48</v>
      </c>
      <c r="G186" s="14">
        <f t="shared" si="28"/>
        <v>-1720.43</v>
      </c>
      <c r="H186" s="14">
        <f t="shared" si="28"/>
        <v>-245550.15125999998</v>
      </c>
    </row>
    <row r="187" spans="1:8" x14ac:dyDescent="0.2">
      <c r="A187" s="7" t="s">
        <v>194</v>
      </c>
      <c r="B187" s="6"/>
      <c r="C187" s="6"/>
      <c r="D187" s="6"/>
      <c r="E187" s="6"/>
      <c r="F187" s="6"/>
      <c r="G187" s="6"/>
      <c r="H187" s="6"/>
    </row>
    <row r="188" spans="1:8" x14ac:dyDescent="0.2">
      <c r="A188" s="20" t="s">
        <v>195</v>
      </c>
      <c r="B188" s="12">
        <v>0</v>
      </c>
      <c r="C188" s="12">
        <v>0</v>
      </c>
      <c r="D188" s="12">
        <v>0</v>
      </c>
      <c r="E188" s="12">
        <v>0</v>
      </c>
      <c r="F188" s="12">
        <v>-2021.18</v>
      </c>
      <c r="G188" s="12">
        <v>0</v>
      </c>
      <c r="H188" s="12">
        <f>SUM(B188:G188)</f>
        <v>-2021.18</v>
      </c>
    </row>
    <row r="189" spans="1:8" x14ac:dyDescent="0.2">
      <c r="A189" s="20" t="s">
        <v>196</v>
      </c>
      <c r="B189" s="12">
        <v>0</v>
      </c>
      <c r="C189" s="12">
        <v>0</v>
      </c>
      <c r="D189" s="12">
        <v>0</v>
      </c>
      <c r="E189" s="12">
        <v>0</v>
      </c>
      <c r="F189" s="12">
        <v>-1959</v>
      </c>
      <c r="G189" s="12">
        <v>0</v>
      </c>
      <c r="H189" s="12">
        <f>SUM(B189:G189)</f>
        <v>-1959</v>
      </c>
    </row>
    <row r="190" spans="1:8" x14ac:dyDescent="0.2">
      <c r="A190" s="18" t="s">
        <v>197</v>
      </c>
      <c r="B190" s="14">
        <f t="shared" ref="B190:H190" si="29">SUM(B188:B189)</f>
        <v>0</v>
      </c>
      <c r="C190" s="14">
        <f t="shared" si="29"/>
        <v>0</v>
      </c>
      <c r="D190" s="14">
        <f t="shared" si="29"/>
        <v>0</v>
      </c>
      <c r="E190" s="14">
        <f t="shared" si="29"/>
        <v>0</v>
      </c>
      <c r="F190" s="14">
        <f t="shared" si="29"/>
        <v>-3980.1800000000003</v>
      </c>
      <c r="G190" s="14">
        <f t="shared" si="29"/>
        <v>0</v>
      </c>
      <c r="H190" s="14">
        <f t="shared" si="29"/>
        <v>-3980.1800000000003</v>
      </c>
    </row>
    <row r="191" spans="1:8" x14ac:dyDescent="0.2">
      <c r="A191" s="21" t="s">
        <v>198</v>
      </c>
      <c r="B191" s="14">
        <f t="shared" ref="B191:H191" si="30">B160+B177+B186+B190</f>
        <v>15077.470000000008</v>
      </c>
      <c r="C191" s="14">
        <f t="shared" si="30"/>
        <v>-5903.9738319900544</v>
      </c>
      <c r="D191" s="14">
        <f t="shared" si="30"/>
        <v>267655.12742478511</v>
      </c>
      <c r="E191" s="14">
        <f t="shared" si="30"/>
        <v>19354.82999999994</v>
      </c>
      <c r="F191" s="14">
        <f t="shared" si="30"/>
        <v>553988.22000000381</v>
      </c>
      <c r="G191" s="14">
        <f t="shared" si="30"/>
        <v>4212.730000000005</v>
      </c>
      <c r="H191" s="14">
        <f t="shared" si="30"/>
        <v>854384.40359279222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2023-08-08T21:25:03Z</dcterms:created>
  <dcterms:modified xsi:type="dcterms:W3CDTF">2023-08-08T21:25:24Z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