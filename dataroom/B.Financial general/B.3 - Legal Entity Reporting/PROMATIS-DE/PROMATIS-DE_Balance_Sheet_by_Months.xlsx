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DE\"/>
    </mc:Choice>
  </mc:AlternateContent>
  <xr:revisionPtr revIDLastSave="0" documentId="13_ncr:40009_{9DE1462F-7BD7-4B12-94AC-48137E8C8DBC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byEntity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236" i="1" l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CK149" i="1"/>
  <c r="CK231" i="1" s="1"/>
  <c r="CJ149" i="1"/>
  <c r="CJ231" i="1" s="1"/>
  <c r="CI149" i="1"/>
  <c r="CI231" i="1" s="1"/>
  <c r="CH149" i="1"/>
  <c r="CH231" i="1" s="1"/>
  <c r="CG149" i="1"/>
  <c r="CG231" i="1" s="1"/>
  <c r="CF149" i="1"/>
  <c r="CF231" i="1" s="1"/>
  <c r="CE149" i="1"/>
  <c r="CE231" i="1" s="1"/>
  <c r="CD149" i="1"/>
  <c r="CD231" i="1" s="1"/>
  <c r="CC149" i="1"/>
  <c r="CC231" i="1" s="1"/>
  <c r="CB149" i="1"/>
  <c r="CB231" i="1" s="1"/>
  <c r="CA149" i="1"/>
  <c r="CA231" i="1" s="1"/>
  <c r="BZ149" i="1"/>
  <c r="BZ231" i="1" s="1"/>
  <c r="BY149" i="1"/>
  <c r="BY231" i="1" s="1"/>
  <c r="BX149" i="1"/>
  <c r="BX231" i="1" s="1"/>
  <c r="BW149" i="1"/>
  <c r="BW231" i="1" s="1"/>
  <c r="BV149" i="1"/>
  <c r="BV231" i="1" s="1"/>
  <c r="BU149" i="1"/>
  <c r="BU231" i="1" s="1"/>
  <c r="BT149" i="1"/>
  <c r="BT231" i="1" s="1"/>
  <c r="BS149" i="1"/>
  <c r="BS231" i="1" s="1"/>
  <c r="BR149" i="1"/>
  <c r="BR231" i="1" s="1"/>
  <c r="BQ149" i="1"/>
  <c r="BQ231" i="1" s="1"/>
  <c r="BP149" i="1"/>
  <c r="BP231" i="1" s="1"/>
  <c r="BO149" i="1"/>
  <c r="BO231" i="1" s="1"/>
  <c r="BN149" i="1"/>
  <c r="BN231" i="1" s="1"/>
  <c r="BM149" i="1"/>
  <c r="BM231" i="1" s="1"/>
  <c r="BL149" i="1"/>
  <c r="BL231" i="1" s="1"/>
  <c r="BK149" i="1"/>
  <c r="BK231" i="1" s="1"/>
  <c r="BJ149" i="1"/>
  <c r="BJ231" i="1" s="1"/>
  <c r="BI149" i="1"/>
  <c r="BI231" i="1" s="1"/>
  <c r="BH149" i="1"/>
  <c r="BH231" i="1" s="1"/>
  <c r="BG149" i="1"/>
  <c r="BG231" i="1" s="1"/>
  <c r="BF149" i="1"/>
  <c r="BF231" i="1" s="1"/>
  <c r="BE149" i="1"/>
  <c r="BE231" i="1" s="1"/>
  <c r="BD149" i="1"/>
  <c r="BD231" i="1" s="1"/>
  <c r="BC149" i="1"/>
  <c r="BC231" i="1" s="1"/>
  <c r="BB149" i="1"/>
  <c r="BB231" i="1" s="1"/>
  <c r="BA149" i="1"/>
  <c r="BA231" i="1" s="1"/>
  <c r="AZ149" i="1"/>
  <c r="AZ231" i="1" s="1"/>
  <c r="AY149" i="1"/>
  <c r="AY231" i="1" s="1"/>
  <c r="AX149" i="1"/>
  <c r="AX231" i="1" s="1"/>
  <c r="AW149" i="1"/>
  <c r="AW231" i="1" s="1"/>
  <c r="AV149" i="1"/>
  <c r="AV231" i="1" s="1"/>
  <c r="AU149" i="1"/>
  <c r="AU231" i="1" s="1"/>
  <c r="AT149" i="1"/>
  <c r="AT231" i="1" s="1"/>
  <c r="AS149" i="1"/>
  <c r="AS231" i="1" s="1"/>
  <c r="AR149" i="1"/>
  <c r="AR231" i="1" s="1"/>
  <c r="AQ149" i="1"/>
  <c r="AQ231" i="1" s="1"/>
  <c r="AP149" i="1"/>
  <c r="AP231" i="1" s="1"/>
  <c r="AO149" i="1"/>
  <c r="AO231" i="1" s="1"/>
  <c r="AN149" i="1"/>
  <c r="AN231" i="1" s="1"/>
  <c r="AM149" i="1"/>
  <c r="AM231" i="1" s="1"/>
  <c r="AL149" i="1"/>
  <c r="AL231" i="1" s="1"/>
  <c r="AK149" i="1"/>
  <c r="AK231" i="1" s="1"/>
  <c r="AJ149" i="1"/>
  <c r="AJ231" i="1" s="1"/>
  <c r="AI149" i="1"/>
  <c r="AI231" i="1" s="1"/>
  <c r="AH149" i="1"/>
  <c r="AH231" i="1" s="1"/>
  <c r="AG149" i="1"/>
  <c r="AG231" i="1" s="1"/>
  <c r="AF149" i="1"/>
  <c r="AF231" i="1" s="1"/>
  <c r="AE149" i="1"/>
  <c r="AE231" i="1" s="1"/>
  <c r="AD149" i="1"/>
  <c r="AD231" i="1" s="1"/>
  <c r="AC149" i="1"/>
  <c r="AC231" i="1" s="1"/>
  <c r="AB149" i="1"/>
  <c r="AB231" i="1" s="1"/>
  <c r="AA149" i="1"/>
  <c r="AA231" i="1" s="1"/>
  <c r="Z149" i="1"/>
  <c r="Z231" i="1" s="1"/>
  <c r="Y149" i="1"/>
  <c r="Y231" i="1" s="1"/>
  <c r="X149" i="1"/>
  <c r="X231" i="1" s="1"/>
  <c r="W149" i="1"/>
  <c r="W231" i="1" s="1"/>
  <c r="V149" i="1"/>
  <c r="V231" i="1" s="1"/>
  <c r="U149" i="1"/>
  <c r="U231" i="1" s="1"/>
  <c r="T149" i="1"/>
  <c r="T231" i="1" s="1"/>
  <c r="S149" i="1"/>
  <c r="S231" i="1" s="1"/>
  <c r="R149" i="1"/>
  <c r="R231" i="1" s="1"/>
  <c r="Q149" i="1"/>
  <c r="Q231" i="1" s="1"/>
  <c r="P149" i="1"/>
  <c r="P231" i="1" s="1"/>
  <c r="O149" i="1"/>
  <c r="O231" i="1" s="1"/>
  <c r="N149" i="1"/>
  <c r="N231" i="1" s="1"/>
  <c r="M149" i="1"/>
  <c r="M231" i="1" s="1"/>
  <c r="L149" i="1"/>
  <c r="L231" i="1" s="1"/>
  <c r="K149" i="1"/>
  <c r="K231" i="1" s="1"/>
  <c r="J149" i="1"/>
  <c r="J231" i="1" s="1"/>
  <c r="I149" i="1"/>
  <c r="I231" i="1" s="1"/>
  <c r="H149" i="1"/>
  <c r="H231" i="1" s="1"/>
  <c r="G149" i="1"/>
  <c r="G231" i="1" s="1"/>
  <c r="F149" i="1"/>
  <c r="F231" i="1" s="1"/>
  <c r="E149" i="1"/>
  <c r="E231" i="1" s="1"/>
  <c r="D149" i="1"/>
  <c r="D231" i="1" s="1"/>
  <c r="C149" i="1"/>
  <c r="C231" i="1" s="1"/>
  <c r="B149" i="1"/>
  <c r="B231" i="1" s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CK133" i="1"/>
  <c r="CK144" i="1" s="1"/>
  <c r="CJ133" i="1"/>
  <c r="CJ144" i="1" s="1"/>
  <c r="CI133" i="1"/>
  <c r="CI144" i="1" s="1"/>
  <c r="CH133" i="1"/>
  <c r="CH144" i="1" s="1"/>
  <c r="CG133" i="1"/>
  <c r="CG144" i="1" s="1"/>
  <c r="CF133" i="1"/>
  <c r="CF144" i="1" s="1"/>
  <c r="CE133" i="1"/>
  <c r="CE144" i="1" s="1"/>
  <c r="CD133" i="1"/>
  <c r="CD144" i="1" s="1"/>
  <c r="CC133" i="1"/>
  <c r="CC144" i="1" s="1"/>
  <c r="CB133" i="1"/>
  <c r="CB144" i="1" s="1"/>
  <c r="CA133" i="1"/>
  <c r="CA144" i="1" s="1"/>
  <c r="BZ133" i="1"/>
  <c r="BZ144" i="1" s="1"/>
  <c r="BY133" i="1"/>
  <c r="BY144" i="1" s="1"/>
  <c r="BX133" i="1"/>
  <c r="BX144" i="1" s="1"/>
  <c r="BW133" i="1"/>
  <c r="BW144" i="1" s="1"/>
  <c r="BV133" i="1"/>
  <c r="BV144" i="1" s="1"/>
  <c r="BU133" i="1"/>
  <c r="BU144" i="1" s="1"/>
  <c r="BT133" i="1"/>
  <c r="BT144" i="1" s="1"/>
  <c r="BS133" i="1"/>
  <c r="BS144" i="1" s="1"/>
  <c r="BR133" i="1"/>
  <c r="BR144" i="1" s="1"/>
  <c r="BQ133" i="1"/>
  <c r="BQ144" i="1" s="1"/>
  <c r="BP133" i="1"/>
  <c r="BP144" i="1" s="1"/>
  <c r="BO133" i="1"/>
  <c r="BO144" i="1" s="1"/>
  <c r="BN133" i="1"/>
  <c r="BN144" i="1" s="1"/>
  <c r="BM133" i="1"/>
  <c r="BM144" i="1" s="1"/>
  <c r="BL133" i="1"/>
  <c r="BL144" i="1" s="1"/>
  <c r="BK133" i="1"/>
  <c r="BK144" i="1" s="1"/>
  <c r="BJ133" i="1"/>
  <c r="BJ144" i="1" s="1"/>
  <c r="BI133" i="1"/>
  <c r="BI144" i="1" s="1"/>
  <c r="BH133" i="1"/>
  <c r="BH144" i="1" s="1"/>
  <c r="BG133" i="1"/>
  <c r="BG144" i="1" s="1"/>
  <c r="BF133" i="1"/>
  <c r="BF144" i="1" s="1"/>
  <c r="BE133" i="1"/>
  <c r="BE144" i="1" s="1"/>
  <c r="BD133" i="1"/>
  <c r="BD144" i="1" s="1"/>
  <c r="BC133" i="1"/>
  <c r="BC144" i="1" s="1"/>
  <c r="BB133" i="1"/>
  <c r="BB144" i="1" s="1"/>
  <c r="BA133" i="1"/>
  <c r="BA144" i="1" s="1"/>
  <c r="AZ133" i="1"/>
  <c r="AZ144" i="1" s="1"/>
  <c r="AY133" i="1"/>
  <c r="AY144" i="1" s="1"/>
  <c r="AX133" i="1"/>
  <c r="AX144" i="1" s="1"/>
  <c r="AW133" i="1"/>
  <c r="AW144" i="1" s="1"/>
  <c r="AV133" i="1"/>
  <c r="AV144" i="1" s="1"/>
  <c r="AU133" i="1"/>
  <c r="AU144" i="1" s="1"/>
  <c r="AT133" i="1"/>
  <c r="AT144" i="1" s="1"/>
  <c r="AS133" i="1"/>
  <c r="AS144" i="1" s="1"/>
  <c r="AR133" i="1"/>
  <c r="AR144" i="1" s="1"/>
  <c r="AQ133" i="1"/>
  <c r="AQ144" i="1" s="1"/>
  <c r="AP133" i="1"/>
  <c r="AP144" i="1" s="1"/>
  <c r="AO133" i="1"/>
  <c r="AO144" i="1" s="1"/>
  <c r="AN133" i="1"/>
  <c r="AN144" i="1" s="1"/>
  <c r="AM133" i="1"/>
  <c r="AM144" i="1" s="1"/>
  <c r="AL133" i="1"/>
  <c r="AL144" i="1" s="1"/>
  <c r="AK133" i="1"/>
  <c r="AK144" i="1" s="1"/>
  <c r="AJ133" i="1"/>
  <c r="AJ144" i="1" s="1"/>
  <c r="AI133" i="1"/>
  <c r="AI144" i="1" s="1"/>
  <c r="AH133" i="1"/>
  <c r="AH144" i="1" s="1"/>
  <c r="AG133" i="1"/>
  <c r="AG144" i="1" s="1"/>
  <c r="AF133" i="1"/>
  <c r="AF144" i="1" s="1"/>
  <c r="AE133" i="1"/>
  <c r="AE144" i="1" s="1"/>
  <c r="AD133" i="1"/>
  <c r="AD144" i="1" s="1"/>
  <c r="AC133" i="1"/>
  <c r="AC144" i="1" s="1"/>
  <c r="AB133" i="1"/>
  <c r="AB144" i="1" s="1"/>
  <c r="AA133" i="1"/>
  <c r="AA144" i="1" s="1"/>
  <c r="Z133" i="1"/>
  <c r="Z144" i="1" s="1"/>
  <c r="Y133" i="1"/>
  <c r="Y144" i="1" s="1"/>
  <c r="X133" i="1"/>
  <c r="X144" i="1" s="1"/>
  <c r="W133" i="1"/>
  <c r="W144" i="1" s="1"/>
  <c r="V133" i="1"/>
  <c r="V144" i="1" s="1"/>
  <c r="U133" i="1"/>
  <c r="U144" i="1" s="1"/>
  <c r="T133" i="1"/>
  <c r="T144" i="1" s="1"/>
  <c r="S133" i="1"/>
  <c r="S144" i="1" s="1"/>
  <c r="R133" i="1"/>
  <c r="R144" i="1" s="1"/>
  <c r="Q133" i="1"/>
  <c r="Q144" i="1" s="1"/>
  <c r="P133" i="1"/>
  <c r="P144" i="1" s="1"/>
  <c r="O133" i="1"/>
  <c r="O144" i="1" s="1"/>
  <c r="N133" i="1"/>
  <c r="N144" i="1" s="1"/>
  <c r="M133" i="1"/>
  <c r="M144" i="1" s="1"/>
  <c r="L133" i="1"/>
  <c r="L144" i="1" s="1"/>
  <c r="K133" i="1"/>
  <c r="K144" i="1" s="1"/>
  <c r="J133" i="1"/>
  <c r="J144" i="1" s="1"/>
  <c r="I133" i="1"/>
  <c r="I144" i="1" s="1"/>
  <c r="H133" i="1"/>
  <c r="H144" i="1" s="1"/>
  <c r="G133" i="1"/>
  <c r="G144" i="1" s="1"/>
  <c r="F133" i="1"/>
  <c r="F144" i="1" s="1"/>
  <c r="E133" i="1"/>
  <c r="E144" i="1" s="1"/>
  <c r="D133" i="1"/>
  <c r="D144" i="1" s="1"/>
  <c r="C133" i="1"/>
  <c r="C144" i="1" s="1"/>
  <c r="B133" i="1"/>
  <c r="B144" i="1" s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CK123" i="1"/>
  <c r="CK126" i="1" s="1"/>
  <c r="CJ123" i="1"/>
  <c r="CJ126" i="1" s="1"/>
  <c r="CI123" i="1"/>
  <c r="CI126" i="1" s="1"/>
  <c r="CH123" i="1"/>
  <c r="CH126" i="1" s="1"/>
  <c r="CG123" i="1"/>
  <c r="CG126" i="1" s="1"/>
  <c r="CF123" i="1"/>
  <c r="CF126" i="1" s="1"/>
  <c r="CE123" i="1"/>
  <c r="CE126" i="1" s="1"/>
  <c r="CD123" i="1"/>
  <c r="CD126" i="1" s="1"/>
  <c r="CC123" i="1"/>
  <c r="CC126" i="1" s="1"/>
  <c r="CB123" i="1"/>
  <c r="CB126" i="1" s="1"/>
  <c r="CA123" i="1"/>
  <c r="CA126" i="1" s="1"/>
  <c r="BZ123" i="1"/>
  <c r="BZ126" i="1" s="1"/>
  <c r="BY123" i="1"/>
  <c r="BY126" i="1" s="1"/>
  <c r="BX123" i="1"/>
  <c r="BX126" i="1" s="1"/>
  <c r="BW123" i="1"/>
  <c r="BW126" i="1" s="1"/>
  <c r="BV123" i="1"/>
  <c r="BV126" i="1" s="1"/>
  <c r="BU123" i="1"/>
  <c r="BU126" i="1" s="1"/>
  <c r="BT123" i="1"/>
  <c r="BT126" i="1" s="1"/>
  <c r="BS123" i="1"/>
  <c r="BS126" i="1" s="1"/>
  <c r="BR123" i="1"/>
  <c r="BR126" i="1" s="1"/>
  <c r="BQ123" i="1"/>
  <c r="BQ126" i="1" s="1"/>
  <c r="BP123" i="1"/>
  <c r="BP126" i="1" s="1"/>
  <c r="BO123" i="1"/>
  <c r="BO126" i="1" s="1"/>
  <c r="BN123" i="1"/>
  <c r="BN126" i="1" s="1"/>
  <c r="BM123" i="1"/>
  <c r="BM126" i="1" s="1"/>
  <c r="BL123" i="1"/>
  <c r="BL126" i="1" s="1"/>
  <c r="BK123" i="1"/>
  <c r="BK126" i="1" s="1"/>
  <c r="BJ123" i="1"/>
  <c r="BJ126" i="1" s="1"/>
  <c r="BI123" i="1"/>
  <c r="BI126" i="1" s="1"/>
  <c r="BH123" i="1"/>
  <c r="BH126" i="1" s="1"/>
  <c r="BG123" i="1"/>
  <c r="BG126" i="1" s="1"/>
  <c r="BF123" i="1"/>
  <c r="BF126" i="1" s="1"/>
  <c r="BE123" i="1"/>
  <c r="BE126" i="1" s="1"/>
  <c r="BD123" i="1"/>
  <c r="BD126" i="1" s="1"/>
  <c r="BC123" i="1"/>
  <c r="BC126" i="1" s="1"/>
  <c r="BB123" i="1"/>
  <c r="BB126" i="1" s="1"/>
  <c r="BA123" i="1"/>
  <c r="BA126" i="1" s="1"/>
  <c r="AZ123" i="1"/>
  <c r="AZ126" i="1" s="1"/>
  <c r="AY123" i="1"/>
  <c r="AY126" i="1" s="1"/>
  <c r="AX123" i="1"/>
  <c r="AX126" i="1" s="1"/>
  <c r="AW123" i="1"/>
  <c r="AW126" i="1" s="1"/>
  <c r="AV123" i="1"/>
  <c r="AV126" i="1" s="1"/>
  <c r="AU123" i="1"/>
  <c r="AU126" i="1" s="1"/>
  <c r="AT123" i="1"/>
  <c r="AT126" i="1" s="1"/>
  <c r="AS123" i="1"/>
  <c r="AS126" i="1" s="1"/>
  <c r="AR123" i="1"/>
  <c r="AR126" i="1" s="1"/>
  <c r="AQ123" i="1"/>
  <c r="AQ126" i="1" s="1"/>
  <c r="AP123" i="1"/>
  <c r="AP126" i="1" s="1"/>
  <c r="AO123" i="1"/>
  <c r="AO126" i="1" s="1"/>
  <c r="AN123" i="1"/>
  <c r="AN126" i="1" s="1"/>
  <c r="AM123" i="1"/>
  <c r="AM126" i="1" s="1"/>
  <c r="AL123" i="1"/>
  <c r="AL126" i="1" s="1"/>
  <c r="AK123" i="1"/>
  <c r="AK126" i="1" s="1"/>
  <c r="AJ123" i="1"/>
  <c r="AJ126" i="1" s="1"/>
  <c r="AI123" i="1"/>
  <c r="AI126" i="1" s="1"/>
  <c r="AH123" i="1"/>
  <c r="AH126" i="1" s="1"/>
  <c r="AG123" i="1"/>
  <c r="AG126" i="1" s="1"/>
  <c r="AF123" i="1"/>
  <c r="AF126" i="1" s="1"/>
  <c r="AE123" i="1"/>
  <c r="AE126" i="1" s="1"/>
  <c r="AD123" i="1"/>
  <c r="AD126" i="1" s="1"/>
  <c r="AC123" i="1"/>
  <c r="AC126" i="1" s="1"/>
  <c r="AB123" i="1"/>
  <c r="AB126" i="1" s="1"/>
  <c r="AA123" i="1"/>
  <c r="AA126" i="1" s="1"/>
  <c r="Z123" i="1"/>
  <c r="Z126" i="1" s="1"/>
  <c r="Y123" i="1"/>
  <c r="Y126" i="1" s="1"/>
  <c r="X123" i="1"/>
  <c r="X126" i="1" s="1"/>
  <c r="W123" i="1"/>
  <c r="W126" i="1" s="1"/>
  <c r="V123" i="1"/>
  <c r="V126" i="1" s="1"/>
  <c r="U123" i="1"/>
  <c r="U126" i="1" s="1"/>
  <c r="T123" i="1"/>
  <c r="T126" i="1" s="1"/>
  <c r="S123" i="1"/>
  <c r="S126" i="1" s="1"/>
  <c r="R123" i="1"/>
  <c r="R126" i="1" s="1"/>
  <c r="Q123" i="1"/>
  <c r="Q126" i="1" s="1"/>
  <c r="P123" i="1"/>
  <c r="P126" i="1" s="1"/>
  <c r="O123" i="1"/>
  <c r="O126" i="1" s="1"/>
  <c r="N123" i="1"/>
  <c r="N126" i="1" s="1"/>
  <c r="M123" i="1"/>
  <c r="M126" i="1" s="1"/>
  <c r="L123" i="1"/>
  <c r="L126" i="1" s="1"/>
  <c r="K123" i="1"/>
  <c r="K126" i="1" s="1"/>
  <c r="J123" i="1"/>
  <c r="J126" i="1" s="1"/>
  <c r="I123" i="1"/>
  <c r="I126" i="1" s="1"/>
  <c r="H123" i="1"/>
  <c r="H126" i="1" s="1"/>
  <c r="G123" i="1"/>
  <c r="G126" i="1" s="1"/>
  <c r="F123" i="1"/>
  <c r="F126" i="1" s="1"/>
  <c r="E123" i="1"/>
  <c r="E126" i="1" s="1"/>
  <c r="D123" i="1"/>
  <c r="D126" i="1" s="1"/>
  <c r="C123" i="1"/>
  <c r="C126" i="1" s="1"/>
  <c r="B123" i="1"/>
  <c r="B126" i="1" s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CK94" i="1"/>
  <c r="CK111" i="1" s="1"/>
  <c r="CJ94" i="1"/>
  <c r="CJ111" i="1" s="1"/>
  <c r="CI94" i="1"/>
  <c r="CI111" i="1" s="1"/>
  <c r="CH94" i="1"/>
  <c r="CH111" i="1" s="1"/>
  <c r="CG94" i="1"/>
  <c r="CG111" i="1" s="1"/>
  <c r="CF94" i="1"/>
  <c r="CF111" i="1" s="1"/>
  <c r="CE94" i="1"/>
  <c r="CE111" i="1" s="1"/>
  <c r="CD94" i="1"/>
  <c r="CD111" i="1" s="1"/>
  <c r="CC94" i="1"/>
  <c r="CC111" i="1" s="1"/>
  <c r="CB94" i="1"/>
  <c r="CB111" i="1" s="1"/>
  <c r="CA94" i="1"/>
  <c r="CA111" i="1" s="1"/>
  <c r="BZ94" i="1"/>
  <c r="BZ111" i="1" s="1"/>
  <c r="BY94" i="1"/>
  <c r="BY111" i="1" s="1"/>
  <c r="BX94" i="1"/>
  <c r="BX111" i="1" s="1"/>
  <c r="BW94" i="1"/>
  <c r="BW111" i="1" s="1"/>
  <c r="BV94" i="1"/>
  <c r="BV111" i="1" s="1"/>
  <c r="BU94" i="1"/>
  <c r="BU111" i="1" s="1"/>
  <c r="BT94" i="1"/>
  <c r="BT111" i="1" s="1"/>
  <c r="BS94" i="1"/>
  <c r="BS111" i="1" s="1"/>
  <c r="BR94" i="1"/>
  <c r="BR111" i="1" s="1"/>
  <c r="BQ94" i="1"/>
  <c r="BQ111" i="1" s="1"/>
  <c r="BP94" i="1"/>
  <c r="BP111" i="1" s="1"/>
  <c r="BO94" i="1"/>
  <c r="BO111" i="1" s="1"/>
  <c r="BN94" i="1"/>
  <c r="BN111" i="1" s="1"/>
  <c r="BM94" i="1"/>
  <c r="BM111" i="1" s="1"/>
  <c r="BL94" i="1"/>
  <c r="BL111" i="1" s="1"/>
  <c r="BK94" i="1"/>
  <c r="BK111" i="1" s="1"/>
  <c r="BJ94" i="1"/>
  <c r="BJ111" i="1" s="1"/>
  <c r="BI94" i="1"/>
  <c r="BI111" i="1" s="1"/>
  <c r="BH94" i="1"/>
  <c r="BH111" i="1" s="1"/>
  <c r="BG94" i="1"/>
  <c r="BG111" i="1" s="1"/>
  <c r="BF94" i="1"/>
  <c r="BF111" i="1" s="1"/>
  <c r="BE94" i="1"/>
  <c r="BE111" i="1" s="1"/>
  <c r="BD94" i="1"/>
  <c r="BD111" i="1" s="1"/>
  <c r="BC94" i="1"/>
  <c r="BC111" i="1" s="1"/>
  <c r="BB94" i="1"/>
  <c r="BB111" i="1" s="1"/>
  <c r="BA94" i="1"/>
  <c r="BA111" i="1" s="1"/>
  <c r="AZ94" i="1"/>
  <c r="AZ111" i="1" s="1"/>
  <c r="AY94" i="1"/>
  <c r="AY111" i="1" s="1"/>
  <c r="AX94" i="1"/>
  <c r="AX111" i="1" s="1"/>
  <c r="AW94" i="1"/>
  <c r="AW111" i="1" s="1"/>
  <c r="AV94" i="1"/>
  <c r="AV111" i="1" s="1"/>
  <c r="AU94" i="1"/>
  <c r="AU111" i="1" s="1"/>
  <c r="AT94" i="1"/>
  <c r="AT111" i="1" s="1"/>
  <c r="AS94" i="1"/>
  <c r="AS111" i="1" s="1"/>
  <c r="AR94" i="1"/>
  <c r="AR111" i="1" s="1"/>
  <c r="AQ94" i="1"/>
  <c r="AQ111" i="1" s="1"/>
  <c r="AP94" i="1"/>
  <c r="AP111" i="1" s="1"/>
  <c r="AO94" i="1"/>
  <c r="AO111" i="1" s="1"/>
  <c r="AN94" i="1"/>
  <c r="AN111" i="1" s="1"/>
  <c r="AM94" i="1"/>
  <c r="AM111" i="1" s="1"/>
  <c r="AL94" i="1"/>
  <c r="AL111" i="1" s="1"/>
  <c r="AK94" i="1"/>
  <c r="AK111" i="1" s="1"/>
  <c r="AJ94" i="1"/>
  <c r="AJ111" i="1" s="1"/>
  <c r="AI94" i="1"/>
  <c r="AI111" i="1" s="1"/>
  <c r="AH94" i="1"/>
  <c r="AH111" i="1" s="1"/>
  <c r="AG94" i="1"/>
  <c r="AG111" i="1" s="1"/>
  <c r="AF94" i="1"/>
  <c r="AF111" i="1" s="1"/>
  <c r="AE94" i="1"/>
  <c r="AE111" i="1" s="1"/>
  <c r="AD94" i="1"/>
  <c r="AD111" i="1" s="1"/>
  <c r="AC94" i="1"/>
  <c r="AC111" i="1" s="1"/>
  <c r="AB94" i="1"/>
  <c r="AB111" i="1" s="1"/>
  <c r="AA94" i="1"/>
  <c r="AA111" i="1" s="1"/>
  <c r="Z94" i="1"/>
  <c r="Z111" i="1" s="1"/>
  <c r="Y94" i="1"/>
  <c r="Y111" i="1" s="1"/>
  <c r="X94" i="1"/>
  <c r="X111" i="1" s="1"/>
  <c r="W94" i="1"/>
  <c r="W111" i="1" s="1"/>
  <c r="V94" i="1"/>
  <c r="V111" i="1" s="1"/>
  <c r="U94" i="1"/>
  <c r="U111" i="1" s="1"/>
  <c r="T94" i="1"/>
  <c r="T111" i="1" s="1"/>
  <c r="S94" i="1"/>
  <c r="S111" i="1" s="1"/>
  <c r="R94" i="1"/>
  <c r="R111" i="1" s="1"/>
  <c r="Q94" i="1"/>
  <c r="Q111" i="1" s="1"/>
  <c r="P94" i="1"/>
  <c r="P111" i="1" s="1"/>
  <c r="O94" i="1"/>
  <c r="O111" i="1" s="1"/>
  <c r="N94" i="1"/>
  <c r="N111" i="1" s="1"/>
  <c r="M94" i="1"/>
  <c r="M111" i="1" s="1"/>
  <c r="L94" i="1"/>
  <c r="L111" i="1" s="1"/>
  <c r="K94" i="1"/>
  <c r="K111" i="1" s="1"/>
  <c r="J94" i="1"/>
  <c r="J111" i="1" s="1"/>
  <c r="I94" i="1"/>
  <c r="I111" i="1" s="1"/>
  <c r="H94" i="1"/>
  <c r="H111" i="1" s="1"/>
  <c r="G94" i="1"/>
  <c r="G111" i="1" s="1"/>
  <c r="F94" i="1"/>
  <c r="F111" i="1" s="1"/>
  <c r="E94" i="1"/>
  <c r="E111" i="1" s="1"/>
  <c r="D94" i="1"/>
  <c r="D111" i="1" s="1"/>
  <c r="C94" i="1"/>
  <c r="C111" i="1" s="1"/>
  <c r="B94" i="1"/>
  <c r="B111" i="1" s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CK67" i="1"/>
  <c r="CK90" i="1" s="1"/>
  <c r="CJ67" i="1"/>
  <c r="CJ90" i="1" s="1"/>
  <c r="CI67" i="1"/>
  <c r="CI90" i="1" s="1"/>
  <c r="CH67" i="1"/>
  <c r="CH90" i="1" s="1"/>
  <c r="CG67" i="1"/>
  <c r="CG90" i="1" s="1"/>
  <c r="CF67" i="1"/>
  <c r="CF90" i="1" s="1"/>
  <c r="CE67" i="1"/>
  <c r="CE90" i="1" s="1"/>
  <c r="CD67" i="1"/>
  <c r="CD90" i="1" s="1"/>
  <c r="CC67" i="1"/>
  <c r="CC90" i="1" s="1"/>
  <c r="CB67" i="1"/>
  <c r="CB90" i="1" s="1"/>
  <c r="CA67" i="1"/>
  <c r="CA90" i="1" s="1"/>
  <c r="BZ67" i="1"/>
  <c r="BZ90" i="1" s="1"/>
  <c r="BY67" i="1"/>
  <c r="BY90" i="1" s="1"/>
  <c r="BX67" i="1"/>
  <c r="BX90" i="1" s="1"/>
  <c r="BW67" i="1"/>
  <c r="BW90" i="1" s="1"/>
  <c r="BV67" i="1"/>
  <c r="BV90" i="1" s="1"/>
  <c r="BU67" i="1"/>
  <c r="BU90" i="1" s="1"/>
  <c r="BT67" i="1"/>
  <c r="BT90" i="1" s="1"/>
  <c r="BS67" i="1"/>
  <c r="BS90" i="1" s="1"/>
  <c r="BR67" i="1"/>
  <c r="BR90" i="1" s="1"/>
  <c r="BQ67" i="1"/>
  <c r="BQ90" i="1" s="1"/>
  <c r="BP67" i="1"/>
  <c r="BP90" i="1" s="1"/>
  <c r="BO67" i="1"/>
  <c r="BO90" i="1" s="1"/>
  <c r="BN67" i="1"/>
  <c r="BN90" i="1" s="1"/>
  <c r="BM67" i="1"/>
  <c r="BM90" i="1" s="1"/>
  <c r="BL67" i="1"/>
  <c r="BL90" i="1" s="1"/>
  <c r="BK67" i="1"/>
  <c r="BK90" i="1" s="1"/>
  <c r="BJ67" i="1"/>
  <c r="BJ90" i="1" s="1"/>
  <c r="BI67" i="1"/>
  <c r="BI90" i="1" s="1"/>
  <c r="BH67" i="1"/>
  <c r="BH90" i="1" s="1"/>
  <c r="BG67" i="1"/>
  <c r="BG90" i="1" s="1"/>
  <c r="BF67" i="1"/>
  <c r="BF90" i="1" s="1"/>
  <c r="BE67" i="1"/>
  <c r="BE90" i="1" s="1"/>
  <c r="BD67" i="1"/>
  <c r="BD90" i="1" s="1"/>
  <c r="BC67" i="1"/>
  <c r="BC90" i="1" s="1"/>
  <c r="BB67" i="1"/>
  <c r="BB90" i="1" s="1"/>
  <c r="BA67" i="1"/>
  <c r="BA90" i="1" s="1"/>
  <c r="AZ67" i="1"/>
  <c r="AZ90" i="1" s="1"/>
  <c r="AY67" i="1"/>
  <c r="AY90" i="1" s="1"/>
  <c r="AX67" i="1"/>
  <c r="AX90" i="1" s="1"/>
  <c r="AW67" i="1"/>
  <c r="AW90" i="1" s="1"/>
  <c r="AV67" i="1"/>
  <c r="AV90" i="1" s="1"/>
  <c r="AU67" i="1"/>
  <c r="AU90" i="1" s="1"/>
  <c r="AT67" i="1"/>
  <c r="AT90" i="1" s="1"/>
  <c r="AS67" i="1"/>
  <c r="AS90" i="1" s="1"/>
  <c r="AR67" i="1"/>
  <c r="AR90" i="1" s="1"/>
  <c r="AQ67" i="1"/>
  <c r="AQ90" i="1" s="1"/>
  <c r="AP67" i="1"/>
  <c r="AP90" i="1" s="1"/>
  <c r="AO67" i="1"/>
  <c r="AO90" i="1" s="1"/>
  <c r="AN67" i="1"/>
  <c r="AN90" i="1" s="1"/>
  <c r="AM67" i="1"/>
  <c r="AM90" i="1" s="1"/>
  <c r="AL67" i="1"/>
  <c r="AL90" i="1" s="1"/>
  <c r="AK67" i="1"/>
  <c r="AK90" i="1" s="1"/>
  <c r="AJ67" i="1"/>
  <c r="AJ90" i="1" s="1"/>
  <c r="AI67" i="1"/>
  <c r="AI90" i="1" s="1"/>
  <c r="AH67" i="1"/>
  <c r="AH90" i="1" s="1"/>
  <c r="AG67" i="1"/>
  <c r="AG90" i="1" s="1"/>
  <c r="AF67" i="1"/>
  <c r="AF90" i="1" s="1"/>
  <c r="AE67" i="1"/>
  <c r="AE90" i="1" s="1"/>
  <c r="AD67" i="1"/>
  <c r="AD90" i="1" s="1"/>
  <c r="AC67" i="1"/>
  <c r="AC90" i="1" s="1"/>
  <c r="AB67" i="1"/>
  <c r="AB90" i="1" s="1"/>
  <c r="AA67" i="1"/>
  <c r="AA90" i="1" s="1"/>
  <c r="Z67" i="1"/>
  <c r="Z90" i="1" s="1"/>
  <c r="Y67" i="1"/>
  <c r="Y90" i="1" s="1"/>
  <c r="X67" i="1"/>
  <c r="X90" i="1" s="1"/>
  <c r="W67" i="1"/>
  <c r="W90" i="1" s="1"/>
  <c r="V67" i="1"/>
  <c r="V90" i="1" s="1"/>
  <c r="U67" i="1"/>
  <c r="U90" i="1" s="1"/>
  <c r="T67" i="1"/>
  <c r="T90" i="1" s="1"/>
  <c r="S67" i="1"/>
  <c r="S90" i="1" s="1"/>
  <c r="R67" i="1"/>
  <c r="R90" i="1" s="1"/>
  <c r="Q67" i="1"/>
  <c r="Q90" i="1" s="1"/>
  <c r="P67" i="1"/>
  <c r="P90" i="1" s="1"/>
  <c r="O67" i="1"/>
  <c r="O90" i="1" s="1"/>
  <c r="N67" i="1"/>
  <c r="N90" i="1" s="1"/>
  <c r="M67" i="1"/>
  <c r="M90" i="1" s="1"/>
  <c r="L67" i="1"/>
  <c r="L90" i="1" s="1"/>
  <c r="K67" i="1"/>
  <c r="K90" i="1" s="1"/>
  <c r="J67" i="1"/>
  <c r="J90" i="1" s="1"/>
  <c r="I67" i="1"/>
  <c r="I90" i="1" s="1"/>
  <c r="H67" i="1"/>
  <c r="H90" i="1" s="1"/>
  <c r="G67" i="1"/>
  <c r="G90" i="1" s="1"/>
  <c r="F67" i="1"/>
  <c r="F90" i="1" s="1"/>
  <c r="E67" i="1"/>
  <c r="E90" i="1" s="1"/>
  <c r="D67" i="1"/>
  <c r="D90" i="1" s="1"/>
  <c r="C67" i="1"/>
  <c r="C90" i="1" s="1"/>
  <c r="B67" i="1"/>
  <c r="B90" i="1" s="1"/>
  <c r="CK59" i="1"/>
  <c r="CK60" i="1" s="1"/>
  <c r="CJ59" i="1"/>
  <c r="CJ60" i="1" s="1"/>
  <c r="CJ112" i="1" s="1"/>
  <c r="CI59" i="1"/>
  <c r="CI60" i="1" s="1"/>
  <c r="CI112" i="1" s="1"/>
  <c r="CH59" i="1"/>
  <c r="CH60" i="1" s="1"/>
  <c r="CH112" i="1" s="1"/>
  <c r="CG59" i="1"/>
  <c r="CG60" i="1" s="1"/>
  <c r="CF59" i="1"/>
  <c r="CF60" i="1" s="1"/>
  <c r="CE59" i="1"/>
  <c r="CE60" i="1" s="1"/>
  <c r="CD59" i="1"/>
  <c r="CD60" i="1" s="1"/>
  <c r="CC59" i="1"/>
  <c r="CC60" i="1" s="1"/>
  <c r="CB59" i="1"/>
  <c r="CB60" i="1" s="1"/>
  <c r="CB112" i="1" s="1"/>
  <c r="CA59" i="1"/>
  <c r="CA60" i="1" s="1"/>
  <c r="CA112" i="1" s="1"/>
  <c r="BZ59" i="1"/>
  <c r="BZ60" i="1" s="1"/>
  <c r="BZ112" i="1" s="1"/>
  <c r="BY59" i="1"/>
  <c r="BY60" i="1" s="1"/>
  <c r="BX59" i="1"/>
  <c r="BX60" i="1" s="1"/>
  <c r="BW59" i="1"/>
  <c r="BW60" i="1" s="1"/>
  <c r="BV59" i="1"/>
  <c r="BV60" i="1" s="1"/>
  <c r="BU59" i="1"/>
  <c r="BU60" i="1" s="1"/>
  <c r="BT59" i="1"/>
  <c r="BT60" i="1" s="1"/>
  <c r="BT112" i="1" s="1"/>
  <c r="BS59" i="1"/>
  <c r="BS60" i="1" s="1"/>
  <c r="BS112" i="1" s="1"/>
  <c r="BR59" i="1"/>
  <c r="BR60" i="1" s="1"/>
  <c r="BR112" i="1" s="1"/>
  <c r="BQ59" i="1"/>
  <c r="BQ60" i="1" s="1"/>
  <c r="BP59" i="1"/>
  <c r="BP60" i="1" s="1"/>
  <c r="BP112" i="1" s="1"/>
  <c r="BO59" i="1"/>
  <c r="BO60" i="1" s="1"/>
  <c r="BN59" i="1"/>
  <c r="BN60" i="1" s="1"/>
  <c r="BM59" i="1"/>
  <c r="BM60" i="1" s="1"/>
  <c r="BL59" i="1"/>
  <c r="BL60" i="1" s="1"/>
  <c r="BL112" i="1" s="1"/>
  <c r="BK59" i="1"/>
  <c r="BK60" i="1" s="1"/>
  <c r="BK112" i="1" s="1"/>
  <c r="BJ59" i="1"/>
  <c r="BJ60" i="1" s="1"/>
  <c r="BJ112" i="1" s="1"/>
  <c r="BI59" i="1"/>
  <c r="BI60" i="1" s="1"/>
  <c r="BH59" i="1"/>
  <c r="BH60" i="1" s="1"/>
  <c r="BH112" i="1" s="1"/>
  <c r="BG59" i="1"/>
  <c r="BG60" i="1" s="1"/>
  <c r="BF59" i="1"/>
  <c r="BF60" i="1" s="1"/>
  <c r="BE59" i="1"/>
  <c r="BE60" i="1" s="1"/>
  <c r="BD59" i="1"/>
  <c r="BD60" i="1" s="1"/>
  <c r="BD112" i="1" s="1"/>
  <c r="BC59" i="1"/>
  <c r="BC60" i="1" s="1"/>
  <c r="BC112" i="1" s="1"/>
  <c r="BB59" i="1"/>
  <c r="BB60" i="1" s="1"/>
  <c r="BB112" i="1" s="1"/>
  <c r="BA59" i="1"/>
  <c r="BA60" i="1" s="1"/>
  <c r="AZ59" i="1"/>
  <c r="AZ60" i="1" s="1"/>
  <c r="AY59" i="1"/>
  <c r="AY60" i="1" s="1"/>
  <c r="AX59" i="1"/>
  <c r="AX60" i="1" s="1"/>
  <c r="AW59" i="1"/>
  <c r="AW60" i="1" s="1"/>
  <c r="AV59" i="1"/>
  <c r="AV60" i="1" s="1"/>
  <c r="AV112" i="1" s="1"/>
  <c r="AU59" i="1"/>
  <c r="AU60" i="1" s="1"/>
  <c r="AU112" i="1" s="1"/>
  <c r="AT59" i="1"/>
  <c r="AT60" i="1" s="1"/>
  <c r="AT112" i="1" s="1"/>
  <c r="AS59" i="1"/>
  <c r="AS60" i="1" s="1"/>
  <c r="AR59" i="1"/>
  <c r="AR60" i="1" s="1"/>
  <c r="AQ59" i="1"/>
  <c r="AQ60" i="1" s="1"/>
  <c r="AP59" i="1"/>
  <c r="AP60" i="1" s="1"/>
  <c r="AO59" i="1"/>
  <c r="AO60" i="1" s="1"/>
  <c r="AN59" i="1"/>
  <c r="AN60" i="1" s="1"/>
  <c r="AN112" i="1" s="1"/>
  <c r="AM59" i="1"/>
  <c r="AM60" i="1" s="1"/>
  <c r="AM112" i="1" s="1"/>
  <c r="AL59" i="1"/>
  <c r="AL60" i="1" s="1"/>
  <c r="AL112" i="1" s="1"/>
  <c r="AK59" i="1"/>
  <c r="AK60" i="1" s="1"/>
  <c r="AJ59" i="1"/>
  <c r="AJ60" i="1" s="1"/>
  <c r="AJ112" i="1" s="1"/>
  <c r="AI59" i="1"/>
  <c r="AI60" i="1" s="1"/>
  <c r="AH59" i="1"/>
  <c r="AH60" i="1" s="1"/>
  <c r="AG59" i="1"/>
  <c r="AG60" i="1" s="1"/>
  <c r="AF59" i="1"/>
  <c r="AF60" i="1" s="1"/>
  <c r="AF112" i="1" s="1"/>
  <c r="AE59" i="1"/>
  <c r="AE60" i="1" s="1"/>
  <c r="AE112" i="1" s="1"/>
  <c r="AD59" i="1"/>
  <c r="AD60" i="1" s="1"/>
  <c r="AD112" i="1" s="1"/>
  <c r="AC59" i="1"/>
  <c r="AC60" i="1" s="1"/>
  <c r="AB59" i="1"/>
  <c r="AB60" i="1" s="1"/>
  <c r="AB112" i="1" s="1"/>
  <c r="AA59" i="1"/>
  <c r="AA60" i="1" s="1"/>
  <c r="Z59" i="1"/>
  <c r="Z60" i="1" s="1"/>
  <c r="Y59" i="1"/>
  <c r="Y60" i="1" s="1"/>
  <c r="X59" i="1"/>
  <c r="X60" i="1" s="1"/>
  <c r="X112" i="1" s="1"/>
  <c r="W59" i="1"/>
  <c r="W60" i="1" s="1"/>
  <c r="W112" i="1" s="1"/>
  <c r="V59" i="1"/>
  <c r="V60" i="1" s="1"/>
  <c r="V112" i="1" s="1"/>
  <c r="U59" i="1"/>
  <c r="U60" i="1" s="1"/>
  <c r="T59" i="1"/>
  <c r="T60" i="1" s="1"/>
  <c r="S59" i="1"/>
  <c r="S60" i="1" s="1"/>
  <c r="R59" i="1"/>
  <c r="R60" i="1" s="1"/>
  <c r="Q59" i="1"/>
  <c r="Q60" i="1" s="1"/>
  <c r="P59" i="1"/>
  <c r="P60" i="1" s="1"/>
  <c r="P112" i="1" s="1"/>
  <c r="O59" i="1"/>
  <c r="O60" i="1" s="1"/>
  <c r="O112" i="1" s="1"/>
  <c r="N59" i="1"/>
  <c r="N60" i="1" s="1"/>
  <c r="N112" i="1" s="1"/>
  <c r="M59" i="1"/>
  <c r="M60" i="1" s="1"/>
  <c r="L59" i="1"/>
  <c r="L60" i="1" s="1"/>
  <c r="L112" i="1" s="1"/>
  <c r="K59" i="1"/>
  <c r="K60" i="1" s="1"/>
  <c r="J59" i="1"/>
  <c r="J60" i="1" s="1"/>
  <c r="I59" i="1"/>
  <c r="I60" i="1" s="1"/>
  <c r="H59" i="1"/>
  <c r="H60" i="1" s="1"/>
  <c r="H112" i="1" s="1"/>
  <c r="G59" i="1"/>
  <c r="G60" i="1" s="1"/>
  <c r="G112" i="1" s="1"/>
  <c r="F59" i="1"/>
  <c r="F60" i="1" s="1"/>
  <c r="F112" i="1" s="1"/>
  <c r="E59" i="1"/>
  <c r="E60" i="1" s="1"/>
  <c r="D59" i="1"/>
  <c r="D60" i="1" s="1"/>
  <c r="D112" i="1" s="1"/>
  <c r="C59" i="1"/>
  <c r="C60" i="1" s="1"/>
  <c r="B59" i="1"/>
  <c r="B60" i="1" s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CK43" i="1"/>
  <c r="CK52" i="1" s="1"/>
  <c r="CJ43" i="1"/>
  <c r="CJ52" i="1" s="1"/>
  <c r="CI43" i="1"/>
  <c r="CI52" i="1" s="1"/>
  <c r="CH43" i="1"/>
  <c r="CH52" i="1" s="1"/>
  <c r="CG43" i="1"/>
  <c r="CG52" i="1" s="1"/>
  <c r="CF43" i="1"/>
  <c r="CF52" i="1" s="1"/>
  <c r="CE43" i="1"/>
  <c r="CE52" i="1" s="1"/>
  <c r="CD43" i="1"/>
  <c r="CD52" i="1" s="1"/>
  <c r="CC43" i="1"/>
  <c r="CC52" i="1" s="1"/>
  <c r="CB43" i="1"/>
  <c r="CB52" i="1" s="1"/>
  <c r="CA43" i="1"/>
  <c r="CA52" i="1" s="1"/>
  <c r="BZ43" i="1"/>
  <c r="BZ52" i="1" s="1"/>
  <c r="BY43" i="1"/>
  <c r="BY52" i="1" s="1"/>
  <c r="BX43" i="1"/>
  <c r="BX52" i="1" s="1"/>
  <c r="BW43" i="1"/>
  <c r="BW52" i="1" s="1"/>
  <c r="BV43" i="1"/>
  <c r="BV52" i="1" s="1"/>
  <c r="BU43" i="1"/>
  <c r="BU52" i="1" s="1"/>
  <c r="BT43" i="1"/>
  <c r="BT52" i="1" s="1"/>
  <c r="BS43" i="1"/>
  <c r="BS52" i="1" s="1"/>
  <c r="BR43" i="1"/>
  <c r="BR52" i="1" s="1"/>
  <c r="BQ43" i="1"/>
  <c r="BQ52" i="1" s="1"/>
  <c r="BP43" i="1"/>
  <c r="BP52" i="1" s="1"/>
  <c r="BO43" i="1"/>
  <c r="BO52" i="1" s="1"/>
  <c r="BN43" i="1"/>
  <c r="BN52" i="1" s="1"/>
  <c r="BM43" i="1"/>
  <c r="BM52" i="1" s="1"/>
  <c r="BL43" i="1"/>
  <c r="BL52" i="1" s="1"/>
  <c r="BK43" i="1"/>
  <c r="BK52" i="1" s="1"/>
  <c r="BJ43" i="1"/>
  <c r="BJ52" i="1" s="1"/>
  <c r="BI43" i="1"/>
  <c r="BI52" i="1" s="1"/>
  <c r="BH43" i="1"/>
  <c r="BH52" i="1" s="1"/>
  <c r="BG43" i="1"/>
  <c r="BG52" i="1" s="1"/>
  <c r="BF43" i="1"/>
  <c r="BF52" i="1" s="1"/>
  <c r="BE43" i="1"/>
  <c r="BE52" i="1" s="1"/>
  <c r="BD43" i="1"/>
  <c r="BD52" i="1" s="1"/>
  <c r="BC43" i="1"/>
  <c r="BC52" i="1" s="1"/>
  <c r="BB43" i="1"/>
  <c r="BB52" i="1" s="1"/>
  <c r="BA43" i="1"/>
  <c r="BA52" i="1" s="1"/>
  <c r="AZ43" i="1"/>
  <c r="AZ52" i="1" s="1"/>
  <c r="AY43" i="1"/>
  <c r="AY52" i="1" s="1"/>
  <c r="AX43" i="1"/>
  <c r="AX52" i="1" s="1"/>
  <c r="AW43" i="1"/>
  <c r="AW52" i="1" s="1"/>
  <c r="AV43" i="1"/>
  <c r="AV52" i="1" s="1"/>
  <c r="AU43" i="1"/>
  <c r="AU52" i="1" s="1"/>
  <c r="AT43" i="1"/>
  <c r="AT52" i="1" s="1"/>
  <c r="AS43" i="1"/>
  <c r="AS52" i="1" s="1"/>
  <c r="AR43" i="1"/>
  <c r="AR52" i="1" s="1"/>
  <c r="AQ43" i="1"/>
  <c r="AQ52" i="1" s="1"/>
  <c r="AP43" i="1"/>
  <c r="AP52" i="1" s="1"/>
  <c r="AO43" i="1"/>
  <c r="AO52" i="1" s="1"/>
  <c r="AN43" i="1"/>
  <c r="AN52" i="1" s="1"/>
  <c r="AM43" i="1"/>
  <c r="AM52" i="1" s="1"/>
  <c r="AL43" i="1"/>
  <c r="AL52" i="1" s="1"/>
  <c r="AK43" i="1"/>
  <c r="AK52" i="1" s="1"/>
  <c r="AJ43" i="1"/>
  <c r="AJ52" i="1" s="1"/>
  <c r="AI43" i="1"/>
  <c r="AI52" i="1" s="1"/>
  <c r="AH43" i="1"/>
  <c r="AH52" i="1" s="1"/>
  <c r="AG43" i="1"/>
  <c r="AG52" i="1" s="1"/>
  <c r="AF43" i="1"/>
  <c r="AF52" i="1" s="1"/>
  <c r="AE43" i="1"/>
  <c r="AE52" i="1" s="1"/>
  <c r="AD43" i="1"/>
  <c r="AD52" i="1" s="1"/>
  <c r="AC43" i="1"/>
  <c r="AC52" i="1" s="1"/>
  <c r="AB43" i="1"/>
  <c r="AB52" i="1" s="1"/>
  <c r="AA43" i="1"/>
  <c r="AA52" i="1" s="1"/>
  <c r="Z43" i="1"/>
  <c r="Z52" i="1" s="1"/>
  <c r="Y43" i="1"/>
  <c r="Y52" i="1" s="1"/>
  <c r="X43" i="1"/>
  <c r="X52" i="1" s="1"/>
  <c r="W43" i="1"/>
  <c r="W52" i="1" s="1"/>
  <c r="V43" i="1"/>
  <c r="V52" i="1" s="1"/>
  <c r="U43" i="1"/>
  <c r="U52" i="1" s="1"/>
  <c r="T43" i="1"/>
  <c r="T52" i="1" s="1"/>
  <c r="S43" i="1"/>
  <c r="S52" i="1" s="1"/>
  <c r="R43" i="1"/>
  <c r="R52" i="1" s="1"/>
  <c r="Q43" i="1"/>
  <c r="Q52" i="1" s="1"/>
  <c r="P43" i="1"/>
  <c r="P52" i="1" s="1"/>
  <c r="O43" i="1"/>
  <c r="O52" i="1" s="1"/>
  <c r="N43" i="1"/>
  <c r="N52" i="1" s="1"/>
  <c r="M43" i="1"/>
  <c r="M52" i="1" s="1"/>
  <c r="L43" i="1"/>
  <c r="L52" i="1" s="1"/>
  <c r="K43" i="1"/>
  <c r="K52" i="1" s="1"/>
  <c r="J43" i="1"/>
  <c r="J52" i="1" s="1"/>
  <c r="I43" i="1"/>
  <c r="I52" i="1" s="1"/>
  <c r="H43" i="1"/>
  <c r="H52" i="1" s="1"/>
  <c r="G43" i="1"/>
  <c r="G52" i="1" s="1"/>
  <c r="F43" i="1"/>
  <c r="F52" i="1" s="1"/>
  <c r="E43" i="1"/>
  <c r="E52" i="1" s="1"/>
  <c r="D43" i="1"/>
  <c r="D52" i="1" s="1"/>
  <c r="C43" i="1"/>
  <c r="C52" i="1" s="1"/>
  <c r="B43" i="1"/>
  <c r="B52" i="1" s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CK25" i="1"/>
  <c r="CK39" i="1" s="1"/>
  <c r="CJ25" i="1"/>
  <c r="CJ39" i="1" s="1"/>
  <c r="CI25" i="1"/>
  <c r="CI39" i="1" s="1"/>
  <c r="CH25" i="1"/>
  <c r="CH39" i="1" s="1"/>
  <c r="CG25" i="1"/>
  <c r="CG39" i="1" s="1"/>
  <c r="CF25" i="1"/>
  <c r="CF39" i="1" s="1"/>
  <c r="CE25" i="1"/>
  <c r="CE39" i="1" s="1"/>
  <c r="CD25" i="1"/>
  <c r="CD39" i="1" s="1"/>
  <c r="CC25" i="1"/>
  <c r="CC39" i="1" s="1"/>
  <c r="CB25" i="1"/>
  <c r="CB39" i="1" s="1"/>
  <c r="CA25" i="1"/>
  <c r="CA39" i="1" s="1"/>
  <c r="BZ25" i="1"/>
  <c r="BZ39" i="1" s="1"/>
  <c r="BY25" i="1"/>
  <c r="BY39" i="1" s="1"/>
  <c r="BX25" i="1"/>
  <c r="BX39" i="1" s="1"/>
  <c r="BW25" i="1"/>
  <c r="BW39" i="1" s="1"/>
  <c r="BV25" i="1"/>
  <c r="BV39" i="1" s="1"/>
  <c r="BU25" i="1"/>
  <c r="BU39" i="1" s="1"/>
  <c r="BT25" i="1"/>
  <c r="BT39" i="1" s="1"/>
  <c r="BS25" i="1"/>
  <c r="BS39" i="1" s="1"/>
  <c r="BR25" i="1"/>
  <c r="BR39" i="1" s="1"/>
  <c r="BQ25" i="1"/>
  <c r="BQ39" i="1" s="1"/>
  <c r="BP25" i="1"/>
  <c r="BP39" i="1" s="1"/>
  <c r="BO25" i="1"/>
  <c r="BO39" i="1" s="1"/>
  <c r="BN25" i="1"/>
  <c r="BN39" i="1" s="1"/>
  <c r="BM25" i="1"/>
  <c r="BM39" i="1" s="1"/>
  <c r="BL25" i="1"/>
  <c r="BL39" i="1" s="1"/>
  <c r="BK25" i="1"/>
  <c r="BK39" i="1" s="1"/>
  <c r="BJ25" i="1"/>
  <c r="BJ39" i="1" s="1"/>
  <c r="BI25" i="1"/>
  <c r="BI39" i="1" s="1"/>
  <c r="BH25" i="1"/>
  <c r="BH39" i="1" s="1"/>
  <c r="BG25" i="1"/>
  <c r="BG39" i="1" s="1"/>
  <c r="BF25" i="1"/>
  <c r="BF39" i="1" s="1"/>
  <c r="BE25" i="1"/>
  <c r="BE39" i="1" s="1"/>
  <c r="BD25" i="1"/>
  <c r="BD39" i="1" s="1"/>
  <c r="BC25" i="1"/>
  <c r="BC39" i="1" s="1"/>
  <c r="BB25" i="1"/>
  <c r="BB39" i="1" s="1"/>
  <c r="BA25" i="1"/>
  <c r="BA39" i="1" s="1"/>
  <c r="AZ25" i="1"/>
  <c r="AZ39" i="1" s="1"/>
  <c r="AY25" i="1"/>
  <c r="AY39" i="1" s="1"/>
  <c r="AX25" i="1"/>
  <c r="AX39" i="1" s="1"/>
  <c r="AW25" i="1"/>
  <c r="AW39" i="1" s="1"/>
  <c r="AV25" i="1"/>
  <c r="AV39" i="1" s="1"/>
  <c r="AU25" i="1"/>
  <c r="AU39" i="1" s="1"/>
  <c r="AT25" i="1"/>
  <c r="AT39" i="1" s="1"/>
  <c r="AS25" i="1"/>
  <c r="AS39" i="1" s="1"/>
  <c r="AR25" i="1"/>
  <c r="AR39" i="1" s="1"/>
  <c r="AQ25" i="1"/>
  <c r="AP25" i="1"/>
  <c r="AP39" i="1" s="1"/>
  <c r="AO25" i="1"/>
  <c r="AO39" i="1" s="1"/>
  <c r="AN25" i="1"/>
  <c r="AN39" i="1" s="1"/>
  <c r="AM25" i="1"/>
  <c r="AM39" i="1" s="1"/>
  <c r="AL25" i="1"/>
  <c r="AL39" i="1" s="1"/>
  <c r="AK25" i="1"/>
  <c r="AK39" i="1" s="1"/>
  <c r="AJ25" i="1"/>
  <c r="AJ39" i="1" s="1"/>
  <c r="AI25" i="1"/>
  <c r="AI39" i="1" s="1"/>
  <c r="AH25" i="1"/>
  <c r="AH39" i="1" s="1"/>
  <c r="AG25" i="1"/>
  <c r="AG39" i="1" s="1"/>
  <c r="AF25" i="1"/>
  <c r="AF39" i="1" s="1"/>
  <c r="AE25" i="1"/>
  <c r="AE39" i="1" s="1"/>
  <c r="AD25" i="1"/>
  <c r="AD39" i="1" s="1"/>
  <c r="AC25" i="1"/>
  <c r="AC39" i="1" s="1"/>
  <c r="AB25" i="1"/>
  <c r="AB39" i="1" s="1"/>
  <c r="AA25" i="1"/>
  <c r="AA39" i="1" s="1"/>
  <c r="Z25" i="1"/>
  <c r="Z39" i="1" s="1"/>
  <c r="Y25" i="1"/>
  <c r="Y39" i="1" s="1"/>
  <c r="X25" i="1"/>
  <c r="X39" i="1" s="1"/>
  <c r="W25" i="1"/>
  <c r="W39" i="1" s="1"/>
  <c r="V25" i="1"/>
  <c r="V39" i="1" s="1"/>
  <c r="U25" i="1"/>
  <c r="U39" i="1" s="1"/>
  <c r="T25" i="1"/>
  <c r="T39" i="1" s="1"/>
  <c r="S25" i="1"/>
  <c r="S39" i="1" s="1"/>
  <c r="R25" i="1"/>
  <c r="R39" i="1" s="1"/>
  <c r="Q25" i="1"/>
  <c r="Q39" i="1" s="1"/>
  <c r="P25" i="1"/>
  <c r="P39" i="1" s="1"/>
  <c r="O25" i="1"/>
  <c r="O39" i="1" s="1"/>
  <c r="N25" i="1"/>
  <c r="N39" i="1" s="1"/>
  <c r="M25" i="1"/>
  <c r="M39" i="1" s="1"/>
  <c r="L25" i="1"/>
  <c r="L39" i="1" s="1"/>
  <c r="K25" i="1"/>
  <c r="K39" i="1" s="1"/>
  <c r="J25" i="1"/>
  <c r="J39" i="1" s="1"/>
  <c r="I25" i="1"/>
  <c r="I39" i="1" s="1"/>
  <c r="H25" i="1"/>
  <c r="H39" i="1" s="1"/>
  <c r="G25" i="1"/>
  <c r="G39" i="1" s="1"/>
  <c r="F25" i="1"/>
  <c r="F39" i="1" s="1"/>
  <c r="E25" i="1"/>
  <c r="E39" i="1" s="1"/>
  <c r="D25" i="1"/>
  <c r="D39" i="1" s="1"/>
  <c r="C25" i="1"/>
  <c r="C39" i="1" s="1"/>
  <c r="B25" i="1"/>
  <c r="B39" i="1" s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CK12" i="1"/>
  <c r="CK17" i="1" s="1"/>
  <c r="CK53" i="1" s="1"/>
  <c r="CJ12" i="1"/>
  <c r="CJ17" i="1" s="1"/>
  <c r="CJ53" i="1" s="1"/>
  <c r="CI12" i="1"/>
  <c r="CI17" i="1" s="1"/>
  <c r="CI53" i="1" s="1"/>
  <c r="CH12" i="1"/>
  <c r="CH17" i="1" s="1"/>
  <c r="CH53" i="1" s="1"/>
  <c r="CH117" i="1" s="1"/>
  <c r="CG12" i="1"/>
  <c r="CG17" i="1" s="1"/>
  <c r="CF12" i="1"/>
  <c r="CF17" i="1" s="1"/>
  <c r="CE12" i="1"/>
  <c r="CE17" i="1" s="1"/>
  <c r="CD12" i="1"/>
  <c r="CD17" i="1" s="1"/>
  <c r="CC12" i="1"/>
  <c r="CC17" i="1" s="1"/>
  <c r="CC53" i="1" s="1"/>
  <c r="CB12" i="1"/>
  <c r="CB17" i="1" s="1"/>
  <c r="CB53" i="1" s="1"/>
  <c r="CA12" i="1"/>
  <c r="CA17" i="1" s="1"/>
  <c r="CA53" i="1" s="1"/>
  <c r="BZ12" i="1"/>
  <c r="BZ17" i="1" s="1"/>
  <c r="BZ53" i="1" s="1"/>
  <c r="BZ117" i="1" s="1"/>
  <c r="BY12" i="1"/>
  <c r="BY17" i="1" s="1"/>
  <c r="BX12" i="1"/>
  <c r="BX17" i="1" s="1"/>
  <c r="BW12" i="1"/>
  <c r="BW17" i="1" s="1"/>
  <c r="BV12" i="1"/>
  <c r="BV17" i="1" s="1"/>
  <c r="BU12" i="1"/>
  <c r="BU17" i="1" s="1"/>
  <c r="BU53" i="1" s="1"/>
  <c r="BT12" i="1"/>
  <c r="BT17" i="1" s="1"/>
  <c r="BT53" i="1" s="1"/>
  <c r="BS12" i="1"/>
  <c r="BS17" i="1" s="1"/>
  <c r="BS53" i="1" s="1"/>
  <c r="BR12" i="1"/>
  <c r="BR17" i="1" s="1"/>
  <c r="BQ12" i="1"/>
  <c r="BQ17" i="1" s="1"/>
  <c r="BP12" i="1"/>
  <c r="BP17" i="1" s="1"/>
  <c r="BO12" i="1"/>
  <c r="BO17" i="1" s="1"/>
  <c r="BN12" i="1"/>
  <c r="BN17" i="1" s="1"/>
  <c r="BM12" i="1"/>
  <c r="BM17" i="1" s="1"/>
  <c r="BM53" i="1" s="1"/>
  <c r="BL12" i="1"/>
  <c r="BL17" i="1" s="1"/>
  <c r="BL53" i="1" s="1"/>
  <c r="BK12" i="1"/>
  <c r="BK17" i="1" s="1"/>
  <c r="BK53" i="1" s="1"/>
  <c r="BJ12" i="1"/>
  <c r="BJ17" i="1" s="1"/>
  <c r="BI12" i="1"/>
  <c r="BI17" i="1" s="1"/>
  <c r="BH12" i="1"/>
  <c r="BH17" i="1" s="1"/>
  <c r="BG12" i="1"/>
  <c r="BG17" i="1" s="1"/>
  <c r="BF12" i="1"/>
  <c r="BF17" i="1" s="1"/>
  <c r="BE12" i="1"/>
  <c r="BE17" i="1" s="1"/>
  <c r="BE53" i="1" s="1"/>
  <c r="BD12" i="1"/>
  <c r="BD17" i="1" s="1"/>
  <c r="BD53" i="1" s="1"/>
  <c r="BC12" i="1"/>
  <c r="BC17" i="1" s="1"/>
  <c r="BC53" i="1" s="1"/>
  <c r="BB12" i="1"/>
  <c r="BB17" i="1" s="1"/>
  <c r="BB53" i="1" s="1"/>
  <c r="BB117" i="1" s="1"/>
  <c r="BA12" i="1"/>
  <c r="BA17" i="1" s="1"/>
  <c r="AZ12" i="1"/>
  <c r="AZ17" i="1" s="1"/>
  <c r="AY12" i="1"/>
  <c r="AY17" i="1" s="1"/>
  <c r="AX12" i="1"/>
  <c r="AX17" i="1" s="1"/>
  <c r="AW12" i="1"/>
  <c r="AW17" i="1" s="1"/>
  <c r="AW53" i="1" s="1"/>
  <c r="AV12" i="1"/>
  <c r="AV17" i="1" s="1"/>
  <c r="AV53" i="1" s="1"/>
  <c r="AU12" i="1"/>
  <c r="AU17" i="1" s="1"/>
  <c r="AU53" i="1" s="1"/>
  <c r="AT12" i="1"/>
  <c r="AT17" i="1" s="1"/>
  <c r="AT53" i="1" s="1"/>
  <c r="AT117" i="1" s="1"/>
  <c r="AS12" i="1"/>
  <c r="AS17" i="1" s="1"/>
  <c r="AR12" i="1"/>
  <c r="AR17" i="1" s="1"/>
  <c r="AQ12" i="1"/>
  <c r="AQ17" i="1" s="1"/>
  <c r="AP12" i="1"/>
  <c r="AP17" i="1" s="1"/>
  <c r="AO12" i="1"/>
  <c r="AO17" i="1" s="1"/>
  <c r="AO53" i="1" s="1"/>
  <c r="AN12" i="1"/>
  <c r="AN17" i="1" s="1"/>
  <c r="AN53" i="1" s="1"/>
  <c r="AM12" i="1"/>
  <c r="AM17" i="1" s="1"/>
  <c r="AM53" i="1" s="1"/>
  <c r="AL12" i="1"/>
  <c r="AL17" i="1" s="1"/>
  <c r="AK12" i="1"/>
  <c r="AK17" i="1" s="1"/>
  <c r="AJ12" i="1"/>
  <c r="AJ17" i="1" s="1"/>
  <c r="AI12" i="1"/>
  <c r="AI17" i="1" s="1"/>
  <c r="AH12" i="1"/>
  <c r="AH17" i="1" s="1"/>
  <c r="AG12" i="1"/>
  <c r="AG17" i="1" s="1"/>
  <c r="AG53" i="1" s="1"/>
  <c r="AF12" i="1"/>
  <c r="AF17" i="1" s="1"/>
  <c r="AF53" i="1" s="1"/>
  <c r="AE12" i="1"/>
  <c r="AE17" i="1" s="1"/>
  <c r="AE53" i="1" s="1"/>
  <c r="AD12" i="1"/>
  <c r="AD17" i="1" s="1"/>
  <c r="AD53" i="1" s="1"/>
  <c r="AD117" i="1" s="1"/>
  <c r="AC12" i="1"/>
  <c r="AC17" i="1" s="1"/>
  <c r="AB12" i="1"/>
  <c r="AB17" i="1" s="1"/>
  <c r="AA12" i="1"/>
  <c r="AA17" i="1" s="1"/>
  <c r="Z12" i="1"/>
  <c r="Z17" i="1" s="1"/>
  <c r="Y12" i="1"/>
  <c r="Y17" i="1" s="1"/>
  <c r="Y53" i="1" s="1"/>
  <c r="X12" i="1"/>
  <c r="X17" i="1" s="1"/>
  <c r="X53" i="1" s="1"/>
  <c r="W12" i="1"/>
  <c r="W17" i="1" s="1"/>
  <c r="W53" i="1" s="1"/>
  <c r="V12" i="1"/>
  <c r="V17" i="1" s="1"/>
  <c r="V53" i="1" s="1"/>
  <c r="V117" i="1" s="1"/>
  <c r="U12" i="1"/>
  <c r="T12" i="1"/>
  <c r="T17" i="1" s="1"/>
  <c r="S12" i="1"/>
  <c r="S17" i="1" s="1"/>
  <c r="R12" i="1"/>
  <c r="R17" i="1" s="1"/>
  <c r="Q12" i="1"/>
  <c r="Q17" i="1" s="1"/>
  <c r="Q53" i="1" s="1"/>
  <c r="P12" i="1"/>
  <c r="P17" i="1" s="1"/>
  <c r="P53" i="1" s="1"/>
  <c r="O12" i="1"/>
  <c r="O17" i="1" s="1"/>
  <c r="O53" i="1" s="1"/>
  <c r="N12" i="1"/>
  <c r="N17" i="1" s="1"/>
  <c r="N53" i="1" s="1"/>
  <c r="N117" i="1" s="1"/>
  <c r="M12" i="1"/>
  <c r="M17" i="1" s="1"/>
  <c r="L12" i="1"/>
  <c r="L17" i="1" s="1"/>
  <c r="K12" i="1"/>
  <c r="K17" i="1" s="1"/>
  <c r="J12" i="1"/>
  <c r="J17" i="1" s="1"/>
  <c r="I12" i="1"/>
  <c r="I17" i="1" s="1"/>
  <c r="I53" i="1" s="1"/>
  <c r="H12" i="1"/>
  <c r="H17" i="1" s="1"/>
  <c r="H53" i="1" s="1"/>
  <c r="G12" i="1"/>
  <c r="G17" i="1" s="1"/>
  <c r="G53" i="1" s="1"/>
  <c r="F12" i="1"/>
  <c r="F17" i="1" s="1"/>
  <c r="E12" i="1"/>
  <c r="E17" i="1" s="1"/>
  <c r="D12" i="1"/>
  <c r="D17" i="1" s="1"/>
  <c r="C12" i="1"/>
  <c r="C17" i="1" s="1"/>
  <c r="B12" i="1"/>
  <c r="B17" i="1" s="1"/>
  <c r="E112" i="1" l="1"/>
  <c r="M112" i="1"/>
  <c r="U112" i="1"/>
  <c r="AC112" i="1"/>
  <c r="AK112" i="1"/>
  <c r="AS112" i="1"/>
  <c r="BA112" i="1"/>
  <c r="BI112" i="1"/>
  <c r="BQ112" i="1"/>
  <c r="BY112" i="1"/>
  <c r="CG112" i="1"/>
  <c r="AN117" i="1"/>
  <c r="CJ117" i="1"/>
  <c r="H117" i="1"/>
  <c r="BT117" i="1"/>
  <c r="C238" i="1"/>
  <c r="K238" i="1"/>
  <c r="S238" i="1"/>
  <c r="AA238" i="1"/>
  <c r="AI238" i="1"/>
  <c r="AQ238" i="1"/>
  <c r="AY238" i="1"/>
  <c r="BG238" i="1"/>
  <c r="BO238" i="1"/>
  <c r="BW238" i="1"/>
  <c r="CE238" i="1"/>
  <c r="X117" i="1"/>
  <c r="CB117" i="1"/>
  <c r="AF117" i="1"/>
  <c r="BL117" i="1"/>
  <c r="AL53" i="1"/>
  <c r="AL117" i="1" s="1"/>
  <c r="AV117" i="1"/>
  <c r="AB53" i="1"/>
  <c r="AB117" i="1" s="1"/>
  <c r="P117" i="1"/>
  <c r="BD117" i="1"/>
  <c r="U17" i="1"/>
  <c r="U53" i="1" s="1"/>
  <c r="U117" i="1" s="1"/>
  <c r="AQ39" i="1"/>
  <c r="AQ53" i="1" s="1"/>
  <c r="AQ117" i="1" s="1"/>
  <c r="Y238" i="1"/>
  <c r="D238" i="1"/>
  <c r="L238" i="1"/>
  <c r="T238" i="1"/>
  <c r="AB238" i="1"/>
  <c r="AJ238" i="1"/>
  <c r="AR238" i="1"/>
  <c r="AZ238" i="1"/>
  <c r="BH238" i="1"/>
  <c r="BP238" i="1"/>
  <c r="BX238" i="1"/>
  <c r="CF238" i="1"/>
  <c r="M238" i="1"/>
  <c r="BQ238" i="1"/>
  <c r="F53" i="1"/>
  <c r="F117" i="1" s="1"/>
  <c r="BR53" i="1"/>
  <c r="BR117" i="1" s="1"/>
  <c r="E238" i="1"/>
  <c r="AS238" i="1"/>
  <c r="BA238" i="1"/>
  <c r="Y112" i="1"/>
  <c r="Y117" i="1" s="1"/>
  <c r="BE112" i="1"/>
  <c r="BE117" i="1" s="1"/>
  <c r="CK112" i="1"/>
  <c r="CK117" i="1" s="1"/>
  <c r="AC238" i="1"/>
  <c r="BY238" i="1"/>
  <c r="B112" i="1"/>
  <c r="J112" i="1"/>
  <c r="R112" i="1"/>
  <c r="Z112" i="1"/>
  <c r="AH112" i="1"/>
  <c r="AP112" i="1"/>
  <c r="AX112" i="1"/>
  <c r="BF112" i="1"/>
  <c r="BN112" i="1"/>
  <c r="BV112" i="1"/>
  <c r="CD112" i="1"/>
  <c r="U238" i="1"/>
  <c r="BI238" i="1"/>
  <c r="C112" i="1"/>
  <c r="K112" i="1"/>
  <c r="S112" i="1"/>
  <c r="AA112" i="1"/>
  <c r="AI112" i="1"/>
  <c r="AQ112" i="1"/>
  <c r="AY112" i="1"/>
  <c r="BG112" i="1"/>
  <c r="BO112" i="1"/>
  <c r="BW112" i="1"/>
  <c r="CE112" i="1"/>
  <c r="AK238" i="1"/>
  <c r="CG238" i="1"/>
  <c r="L53" i="1"/>
  <c r="L117" i="1" s="1"/>
  <c r="T53" i="1"/>
  <c r="AR53" i="1"/>
  <c r="AZ53" i="1"/>
  <c r="BX53" i="1"/>
  <c r="CF53" i="1"/>
  <c r="T112" i="1"/>
  <c r="AR112" i="1"/>
  <c r="AZ112" i="1"/>
  <c r="BX112" i="1"/>
  <c r="CF112" i="1"/>
  <c r="B238" i="1"/>
  <c r="J238" i="1"/>
  <c r="R238" i="1"/>
  <c r="Z238" i="1"/>
  <c r="AH238" i="1"/>
  <c r="AP238" i="1"/>
  <c r="AX238" i="1"/>
  <c r="BF238" i="1"/>
  <c r="BN238" i="1"/>
  <c r="BV238" i="1"/>
  <c r="CD238" i="1"/>
  <c r="AJ53" i="1"/>
  <c r="AJ117" i="1" s="1"/>
  <c r="BJ53" i="1"/>
  <c r="BJ117" i="1" s="1"/>
  <c r="D53" i="1"/>
  <c r="D117" i="1" s="1"/>
  <c r="AW238" i="1"/>
  <c r="R53" i="1"/>
  <c r="AP53" i="1"/>
  <c r="AP117" i="1" s="1"/>
  <c r="CD53" i="1"/>
  <c r="BE238" i="1"/>
  <c r="C53" i="1"/>
  <c r="C117" i="1" s="1"/>
  <c r="K53" i="1"/>
  <c r="S53" i="1"/>
  <c r="AA53" i="1"/>
  <c r="AI53" i="1"/>
  <c r="AY53" i="1"/>
  <c r="BG53" i="1"/>
  <c r="BO53" i="1"/>
  <c r="BO117" i="1" s="1"/>
  <c r="BW53" i="1"/>
  <c r="CE53" i="1"/>
  <c r="CC238" i="1"/>
  <c r="B53" i="1"/>
  <c r="AH53" i="1"/>
  <c r="BV53" i="1"/>
  <c r="I112" i="1"/>
  <c r="I117" i="1" s="1"/>
  <c r="Q112" i="1"/>
  <c r="Q117" i="1" s="1"/>
  <c r="AG112" i="1"/>
  <c r="AG117" i="1" s="1"/>
  <c r="AO112" i="1"/>
  <c r="AO117" i="1" s="1"/>
  <c r="AW112" i="1"/>
  <c r="AW117" i="1" s="1"/>
  <c r="BM112" i="1"/>
  <c r="BM117" i="1" s="1"/>
  <c r="BU112" i="1"/>
  <c r="BU117" i="1" s="1"/>
  <c r="CC112" i="1"/>
  <c r="CC117" i="1" s="1"/>
  <c r="CK238" i="1"/>
  <c r="BH53" i="1"/>
  <c r="BH117" i="1" s="1"/>
  <c r="BF53" i="1"/>
  <c r="BF117" i="1" s="1"/>
  <c r="M53" i="1"/>
  <c r="M117" i="1" s="1"/>
  <c r="AC53" i="1"/>
  <c r="AC117" i="1" s="1"/>
  <c r="AK53" i="1"/>
  <c r="BA53" i="1"/>
  <c r="BA117" i="1" s="1"/>
  <c r="BQ53" i="1"/>
  <c r="BQ117" i="1" s="1"/>
  <c r="CG53" i="1"/>
  <c r="CG117" i="1" s="1"/>
  <c r="J53" i="1"/>
  <c r="Z53" i="1"/>
  <c r="BN53" i="1"/>
  <c r="E53" i="1"/>
  <c r="E117" i="1" s="1"/>
  <c r="AS53" i="1"/>
  <c r="BI53" i="1"/>
  <c r="BY53" i="1"/>
  <c r="BY117" i="1" s="1"/>
  <c r="I238" i="1"/>
  <c r="AG238" i="1"/>
  <c r="AO238" i="1"/>
  <c r="BM238" i="1"/>
  <c r="BU238" i="1"/>
  <c r="AX53" i="1"/>
  <c r="BP53" i="1"/>
  <c r="BP117" i="1" s="1"/>
  <c r="G117" i="1"/>
  <c r="O117" i="1"/>
  <c r="W117" i="1"/>
  <c r="AE117" i="1"/>
  <c r="AM117" i="1"/>
  <c r="AU117" i="1"/>
  <c r="BC117" i="1"/>
  <c r="BK117" i="1"/>
  <c r="BS117" i="1"/>
  <c r="CA117" i="1"/>
  <c r="CI117" i="1"/>
  <c r="Q238" i="1"/>
  <c r="F238" i="1"/>
  <c r="N238" i="1"/>
  <c r="V238" i="1"/>
  <c r="AD238" i="1"/>
  <c r="AL238" i="1"/>
  <c r="AT238" i="1"/>
  <c r="BB238" i="1"/>
  <c r="BJ238" i="1"/>
  <c r="BR238" i="1"/>
  <c r="BZ238" i="1"/>
  <c r="CH238" i="1"/>
  <c r="G238" i="1"/>
  <c r="O238" i="1"/>
  <c r="W238" i="1"/>
  <c r="AE238" i="1"/>
  <c r="AM238" i="1"/>
  <c r="AU238" i="1"/>
  <c r="BC238" i="1"/>
  <c r="BK238" i="1"/>
  <c r="BS238" i="1"/>
  <c r="CA238" i="1"/>
  <c r="CI238" i="1"/>
  <c r="H238" i="1"/>
  <c r="P238" i="1"/>
  <c r="X238" i="1"/>
  <c r="AF238" i="1"/>
  <c r="AN238" i="1"/>
  <c r="AV238" i="1"/>
  <c r="BD238" i="1"/>
  <c r="BL238" i="1"/>
  <c r="BT238" i="1"/>
  <c r="CB238" i="1"/>
  <c r="CJ238" i="1"/>
  <c r="BV117" i="1" l="1"/>
  <c r="BI117" i="1"/>
  <c r="AX117" i="1"/>
  <c r="AS117" i="1"/>
  <c r="AK117" i="1"/>
  <c r="AI117" i="1"/>
  <c r="T117" i="1"/>
  <c r="CE117" i="1"/>
  <c r="S117" i="1"/>
  <c r="J117" i="1"/>
  <c r="BG117" i="1"/>
  <c r="CF117" i="1"/>
  <c r="AH117" i="1"/>
  <c r="AY117" i="1"/>
  <c r="CD117" i="1"/>
  <c r="B117" i="1"/>
  <c r="R117" i="1"/>
  <c r="AA117" i="1"/>
  <c r="BN117" i="1"/>
  <c r="AZ117" i="1"/>
  <c r="BX117" i="1"/>
  <c r="Z117" i="1"/>
  <c r="BW117" i="1"/>
  <c r="K117" i="1"/>
  <c r="AR117" i="1"/>
</calcChain>
</file>

<file path=xl/sharedStrings.xml><?xml version="1.0" encoding="utf-8"?>
<sst xmlns="http://schemas.openxmlformats.org/spreadsheetml/2006/main" count="407" uniqueCount="319">
  <si>
    <t>Firma : PROMATIS software GmbH</t>
  </si>
  <si>
    <t>PG Balance Sheet by Entity and Month/Quarter/Year</t>
  </si>
  <si>
    <t>End of Dez 2023</t>
  </si>
  <si>
    <t> </t>
  </si>
  <si>
    <t>Dec 2016</t>
  </si>
  <si>
    <t xml:space="preserve">Adjust 2016 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</si>
  <si>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</si>
  <si>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</si>
  <si>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</si>
  <si>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</si>
  <si>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</si>
  <si>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</si>
  <si>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</si>
  <si>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</si>
  <si>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</si>
  <si>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</si>
  <si>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</si>
  <si>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</si>
  <si>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 xml:space="preserve">Adjust 2017 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</si>
  <si>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</si>
  <si>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</si>
  <si>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</si>
  <si>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</si>
  <si>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</si>
  <si>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</si>
  <si>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</si>
  <si>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</si>
  <si>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</si>
  <si>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</si>
  <si>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</si>
  <si>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</si>
  <si>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 xml:space="preserve">Adjust 2018 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</si>
  <si>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</si>
  <si>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</si>
  <si>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</si>
  <si>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</si>
  <si>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</si>
  <si>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</si>
  <si>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</si>
  <si>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</si>
  <si>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</si>
  <si>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</si>
  <si>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</si>
  <si>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</si>
  <si>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Adjust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</si>
  <si>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</si>
  <si>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</si>
  <si>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</si>
  <si>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</si>
  <si>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</si>
  <si>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</si>
  <si>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</si>
  <si>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</si>
  <si>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</si>
  <si>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</si>
  <si>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</si>
  <si>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</si>
  <si>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 xml:space="preserve">Adjust 2020 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</si>
  <si>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</si>
  <si>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</si>
  <si>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</si>
  <si>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</si>
  <si>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</si>
  <si>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</si>
  <si>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</si>
  <si>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</si>
  <si>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</si>
  <si>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</si>
  <si>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</si>
  <si>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</si>
  <si>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</si>
  <si>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</si>
  <si>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</si>
  <si>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</si>
  <si>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</si>
  <si>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</si>
  <si>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</si>
  <si>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</si>
  <si>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</si>
  <si>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</si>
  <si>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</si>
  <si>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</si>
  <si>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 xml:space="preserve">Adjust 2022 </t>
  </si>
  <si>
    <t>Jan 2023</t>
  </si>
  <si>
    <t>Feb 2023</t>
  </si>
  <si>
    <t>Mrz 2023</t>
  </si>
  <si>
    <t>Apr 2023</t>
  </si>
  <si>
    <t>Mai 2023</t>
  </si>
  <si>
    <t>Jun 2023</t>
  </si>
  <si>
    <t>Jul 2023</t>
  </si>
  <si>
    <t>Aug 2023</t>
  </si>
  <si>
    <t>Okt 2023</t>
  </si>
  <si>
    <t>As of Dez 2023</t>
  </si>
  <si>
    <t>ASSETS</t>
  </si>
  <si>
    <t>A. Fixed assets</t>
  </si>
  <si>
    <t>I. Intangible assets</t>
  </si>
  <si>
    <t>2. Purchased concessions rights, assets and licences</t>
  </si>
  <si>
    <t>013500 - Computer software</t>
  </si>
  <si>
    <t>013510 - Accumulated depreciation of data processing software</t>
  </si>
  <si>
    <t>Total Purchased concessions rights, assets and licences</t>
  </si>
  <si>
    <t>3. Goodwill</t>
  </si>
  <si>
    <t>015000 - Goodwill</t>
  </si>
  <si>
    <t>015010 - Accumulated depreciation goodwill</t>
  </si>
  <si>
    <t>Total Goodwill</t>
  </si>
  <si>
    <t>Total Intangible assets</t>
  </si>
  <si>
    <t>II. Tangible assets</t>
  </si>
  <si>
    <t>2. Technical equipment and machinery</t>
  </si>
  <si>
    <t>042000 - Technical equipment</t>
  </si>
  <si>
    <t>042010 - Accumulated depreciation-Technical equipment</t>
  </si>
  <si>
    <t>044000 - Machinery</t>
  </si>
  <si>
    <t>044010 - Accumulated depreciation- personal computers and machinery</t>
  </si>
  <si>
    <t>047000 - Operating facilities</t>
  </si>
  <si>
    <t>Total Technical equipment and machinery</t>
  </si>
  <si>
    <t>3. Other equipment, operating and office equipment</t>
  </si>
  <si>
    <t>052000 - Passenger cars</t>
  </si>
  <si>
    <t>052010 - Accumulated depreciation - passenger cars</t>
  </si>
  <si>
    <t>063000 - Operating equipment</t>
  </si>
  <si>
    <t>067010 - Low value assets - software</t>
  </si>
  <si>
    <t>067020 - Accumulated depr. low value assets - software</t>
  </si>
  <si>
    <t>067030 - low value economic goods</t>
  </si>
  <si>
    <t>067040 - Accumulated depreciation- low value economic goods</t>
  </si>
  <si>
    <t>067050 - low value assets - hardware</t>
  </si>
  <si>
    <t>067060 - Accumulated depreciation - low value assets - hardware</t>
  </si>
  <si>
    <t>067070 - Low-value assets</t>
  </si>
  <si>
    <t>067080 - Accumulated depreciation-Low-value assets</t>
  </si>
  <si>
    <t>Total Other equipment, operating and office equipment</t>
  </si>
  <si>
    <t>Total Tangible assets</t>
  </si>
  <si>
    <t>III. Financial assets</t>
  </si>
  <si>
    <t>1. Shares in affiliated companies</t>
  </si>
  <si>
    <t>080400 - Shares in affiliated companies, corporations</t>
  </si>
  <si>
    <t>Total Shares in affiliated companies</t>
  </si>
  <si>
    <t>5. Long-term securities</t>
  </si>
  <si>
    <t>090000 - Long-term securities</t>
  </si>
  <si>
    <t>090100 - Long-term securities,Union Investment</t>
  </si>
  <si>
    <t>090200 - Long-term-securities, Merck Finck</t>
  </si>
  <si>
    <t>Total Long-term securities</t>
  </si>
  <si>
    <t>7. Cooperative shares</t>
  </si>
  <si>
    <t>098000 - Long-term shares in cooperatives</t>
  </si>
  <si>
    <t>Total Cooperative shares</t>
  </si>
  <si>
    <t>Total Financial assets</t>
  </si>
  <si>
    <t>Total Fixed assets</t>
  </si>
  <si>
    <t>B. Current assets</t>
  </si>
  <si>
    <t>I. Inventories</t>
  </si>
  <si>
    <t>6. Prepayments</t>
  </si>
  <si>
    <t>118000 - Prepayments for inventories</t>
  </si>
  <si>
    <t>Total Prepayments</t>
  </si>
  <si>
    <t>Total Inventories</t>
  </si>
  <si>
    <t>II. Trade receivables and other receivables</t>
  </si>
  <si>
    <t>1. Trade receivables</t>
  </si>
  <si>
    <t>120100 - Trade receivables</t>
  </si>
  <si>
    <t>120201 - Creditors with debit balances - Assets</t>
  </si>
  <si>
    <t>124600 - Specific valuation allowances on receivab. due within 1 year</t>
  </si>
  <si>
    <t>124800 - Global valuation allowance on receivables due within 1 year</t>
  </si>
  <si>
    <t>Total Trade receivables</t>
  </si>
  <si>
    <t>2. Receivables from affiliated companies</t>
  </si>
  <si>
    <t>127102 - Receivables from Prociris consulting GmbH</t>
  </si>
  <si>
    <t>127103 - Receivables from Horus software GmbH</t>
  </si>
  <si>
    <t>127104 - Receivables from SEGRA GmbH</t>
  </si>
  <si>
    <t>127105 - Receivables from Asero GmbH</t>
  </si>
  <si>
    <t>127106 - Receivables from PROMATIS Corp (US)</t>
  </si>
  <si>
    <t>127107 - Receivables from PROMATIS AG (CH)</t>
  </si>
  <si>
    <t>127108 - Receivables from PROMATIS GmbH (AT)</t>
  </si>
  <si>
    <t>Total Receivables from affiliated companies</t>
  </si>
  <si>
    <t>6. Other receivables and other assets</t>
  </si>
  <si>
    <t>130000 - Other assets</t>
  </si>
  <si>
    <t>130100 - Other assets - due within 1 year</t>
  </si>
  <si>
    <t>134000 - Receivables from employees (payroll)</t>
  </si>
  <si>
    <t>134100 - Receivables from employees (payroll) - due within 1 year</t>
  </si>
  <si>
    <t>135000 - Security deposits</t>
  </si>
  <si>
    <t>137100 - Rounding difference</t>
  </si>
  <si>
    <t>142000 - VAT receivables</t>
  </si>
  <si>
    <t>142200 - VAT receivables, previous year</t>
  </si>
  <si>
    <t>143500 - Receivables from trade tax overpayments</t>
  </si>
  <si>
    <t>145000 - Reclaimed corporate income tax</t>
  </si>
  <si>
    <t>145700 - Receivables from Bundesagentur für Arbeit</t>
  </si>
  <si>
    <t>Total Other receivables and other assets</t>
  </si>
  <si>
    <t>Total Trade receivables and other receivables</t>
  </si>
  <si>
    <t>IV. Cash-in-hand, central / bank balances and cheques</t>
  </si>
  <si>
    <t>Cash-in-hand</t>
  </si>
  <si>
    <t>160001 - Petty cash PROMATIS Ettlingen</t>
  </si>
  <si>
    <t>Total Cash-in-hand</t>
  </si>
  <si>
    <t>Bank</t>
  </si>
  <si>
    <t>180001 - Volksbank Karlsruhe Girokonto -54916302- PROMATIS D</t>
  </si>
  <si>
    <t>180002 - Clearing Volksbank Karlsruhe Girokonto -54916302</t>
  </si>
  <si>
    <t>180005 - Volksbank Karlsruhe Profitkonto -30063082- PROMATIS D</t>
  </si>
  <si>
    <t>180011 - Volksbank KA Währungskonto USD -465106271- PROMATIS D</t>
  </si>
  <si>
    <t>180014 - BMW Bank Tagesgeld -5005023817- PROMATIS D</t>
  </si>
  <si>
    <t>180017 - Südwestbank Girokonto -573872007- PROMATIS D</t>
  </si>
  <si>
    <t>180018 - Clearing Südwestbank Girokonto -573872007</t>
  </si>
  <si>
    <t>180021 - Südwestbank Tagesgeld -573872031- PROMATIS D</t>
  </si>
  <si>
    <t>180024 - Südwestbank Vermögensverwaltung -573872015- PROMATIS D</t>
  </si>
  <si>
    <t>180027 - Commerzbank Ettlingen Girokonto -4688818- PROMATIS D</t>
  </si>
  <si>
    <t>180074 - Merck Finck Girokonto Verm.-verw. -1050667123- PROMATIS D</t>
  </si>
  <si>
    <t>189001 - Cash invest, short-term CM PROMATIS (DE)</t>
  </si>
  <si>
    <t>189999 - Bank Clearing</t>
  </si>
  <si>
    <t>900000 - Opening Balance</t>
  </si>
  <si>
    <t>Gesamt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</si>
  <si>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</si>
  <si>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</si>
  <si>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</si>
  <si>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</si>
  <si>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</si>
  <si>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</si>
  <si>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</si>
  <si>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A. Equity</t>
  </si>
  <si>
    <t>I. Issued capital</t>
  </si>
  <si>
    <t>290000 - Subscribed capital</t>
  </si>
  <si>
    <t>Total Issued capital</t>
  </si>
  <si>
    <t>IV. Profit Brought Forward</t>
  </si>
  <si>
    <t>VI. Net profit/loss for the year</t>
  </si>
  <si>
    <t>Total Equity</t>
  </si>
  <si>
    <t>B. Provisions</t>
  </si>
  <si>
    <t>2. Provision for taxes</t>
  </si>
  <si>
    <t>303000 - Provision for trade tax</t>
  </si>
  <si>
    <t>303500 - Provision for trade tax, section 4(5b) EStG</t>
  </si>
  <si>
    <t>304000 - Provision for corporate income tax</t>
  </si>
  <si>
    <t>Total Provision for taxes</t>
  </si>
  <si>
    <t>3. Other provisions</t>
  </si>
  <si>
    <t>307010 - Accrual goods purchases</t>
  </si>
  <si>
    <t>307000 - Other provisions</t>
  </si>
  <si>
    <t>309500 - Provisions for period-end closing and audit costs</t>
  </si>
  <si>
    <t>307400 - Provisions for personnel expenses</t>
  </si>
  <si>
    <t>309600 - Provisions for record retention obligations</t>
  </si>
  <si>
    <t>308600 - Provisions for services</t>
  </si>
  <si>
    <t>307900 - Provisions for vacation pay</t>
  </si>
  <si>
    <t>309000 - Provisions for warranties (contra account 4790)</t>
  </si>
  <si>
    <t>Total Other provisions</t>
  </si>
  <si>
    <t>Total Provisions</t>
  </si>
  <si>
    <t>C. Liabilities</t>
  </si>
  <si>
    <t>3. Payments received on account of purchase orders</t>
  </si>
  <si>
    <t>328020 - Non-assigned Customer Payments</t>
  </si>
  <si>
    <t>Total Payments received on account of purchase orders</t>
  </si>
  <si>
    <t>4. Trade payables</t>
  </si>
  <si>
    <t>330000 - Trade payables</t>
  </si>
  <si>
    <t>330100 - Trade payables starting with 2016</t>
  </si>
  <si>
    <t>330200 - Liabilities to employees</t>
  </si>
  <si>
    <t>330201 - Creditors with debit balances - Liabilities</t>
  </si>
  <si>
    <t>330202 - Debitors with a credit balance - Liabilities</t>
  </si>
  <si>
    <t>Total Trade payables</t>
  </si>
  <si>
    <t>6. Liabilities to affiliated companies</t>
  </si>
  <si>
    <t>340103 - Liabilities ag. Horus software GmbH</t>
  </si>
  <si>
    <t>340104 - Liabilities ag. SEGRA GmbH</t>
  </si>
  <si>
    <t>340105 - Liabilities ag. Asero GmbH</t>
  </si>
  <si>
    <t>340107 - Liabilities ag. PROMATIS AG (CH)</t>
  </si>
  <si>
    <t>340108 - Liabilities ag. PROMATIS GmbH (AT)</t>
  </si>
  <si>
    <t>Total Liabilities to affiliated companies</t>
  </si>
  <si>
    <t>8. Other liabilities</t>
  </si>
  <si>
    <t>140000 - Deductible input tax 0%</t>
  </si>
  <si>
    <t>140100 - Deductible input tax - reduced</t>
  </si>
  <si>
    <t>140101 - Deduct. input tax - reduced</t>
  </si>
  <si>
    <t>140110 - VAT 5% Purchase</t>
  </si>
  <si>
    <t>140300 - Deductible input tax on intra-EU acquisitions - reduced</t>
  </si>
  <si>
    <t>140400 - Deductible input tax on intra-EU acquisitions - standard</t>
  </si>
  <si>
    <t>140500 - VAT 16% Purchase</t>
  </si>
  <si>
    <t>140600 - VAT on Purchases</t>
  </si>
  <si>
    <t>140700 - Deductible input tax under section 13b UStG - standard</t>
  </si>
  <si>
    <t>140800 - Deductible input tax under section 13b UStG, Non-EU</t>
  </si>
  <si>
    <t>146000 - Cash in Transit</t>
  </si>
  <si>
    <t>146101 - Credit Card Mastercard Volksbank FSch - PROMATIS D</t>
  </si>
  <si>
    <t>146102 - Credit Card Clearing Mastercard Volksbank FSch</t>
  </si>
  <si>
    <t>146104 - Credit Card Mastercard Volksbank R. Mann - PROMATIS D</t>
  </si>
  <si>
    <t>146300 - PayPal</t>
  </si>
  <si>
    <t>350000 - Other liabilities</t>
  </si>
  <si>
    <t>350100 - Other liabilities - due within 1 year</t>
  </si>
  <si>
    <t>370000 - Liabilities from taxes and levies</t>
  </si>
  <si>
    <t>372000 - Payroll liabilities</t>
  </si>
  <si>
    <t>372500 - Liabilities for amounts withheld from employees</t>
  </si>
  <si>
    <t>372501 - BAV - Allianz Lebensversicherungs AG</t>
  </si>
  <si>
    <t>372504 - BAV - ALTE LEIPZIGER LEBEN</t>
  </si>
  <si>
    <t>372505 - BAV - CANADA LIFE</t>
  </si>
  <si>
    <t>372508 - BAV - HDI Lebensversicherung AG</t>
  </si>
  <si>
    <t>372509 - BAV - HDI Pensionskasse AG</t>
  </si>
  <si>
    <t>372510 - BAV - Die Stuttgarter</t>
  </si>
  <si>
    <t>373000 - Wage and church tax payables</t>
  </si>
  <si>
    <t>374000 - Social security liabilities</t>
  </si>
  <si>
    <t>374001 - KK_AOK Baden-Württemberg</t>
  </si>
  <si>
    <t>374002 - KK_AOK Bayern</t>
  </si>
  <si>
    <t>374003 - KK_AOK Niedersachsen</t>
  </si>
  <si>
    <t>374005 - KK_AOK NordWest</t>
  </si>
  <si>
    <t>374006 - KK_AOK PLUS</t>
  </si>
  <si>
    <t>374007 - KK_AOK Rheinland</t>
  </si>
  <si>
    <t>374010 - KK_BKK Gildemeister/Seidensticker</t>
  </si>
  <si>
    <t>374012 - KK_BKK VerbundPlus</t>
  </si>
  <si>
    <t>374013 - KK_Mercedes Benz BKK (Daimler BKK)</t>
  </si>
  <si>
    <t>374015 - KK_Debeka BKK</t>
  </si>
  <si>
    <t>374016 - KK_Handelskrankenkasse</t>
  </si>
  <si>
    <t>374017 - KK_HEK</t>
  </si>
  <si>
    <t>374018 - KK_IKK classic</t>
  </si>
  <si>
    <t>374019 - KK_IKK gesund plus Ost</t>
  </si>
  <si>
    <t>374021 - KK_Knappschaft-Bahn-See</t>
  </si>
  <si>
    <t>374022 - KK_mhplus BKK</t>
  </si>
  <si>
    <t>374024 - KK_SBK</t>
  </si>
  <si>
    <t>374025 - KK_Techniker Krankenkasse</t>
  </si>
  <si>
    <t>374026 - KK_VIACTIV KRANKENKASSE</t>
  </si>
  <si>
    <t>374029 - KK_AOK RP/SAARL.</t>
  </si>
  <si>
    <t>374030 - KK_IKK SUEDWEST</t>
  </si>
  <si>
    <t>374031 - KK_BKK firmus</t>
  </si>
  <si>
    <t>374032 - KK_pronova BKK</t>
  </si>
  <si>
    <t>374033 - KK_BKK Scheufelen</t>
  </si>
  <si>
    <t>374034 - KK_BKK Pfaff</t>
  </si>
  <si>
    <t>374035 - KK_BKK ZF Partner</t>
  </si>
  <si>
    <t>379000 - Payroll allocation</t>
  </si>
  <si>
    <t>380400 - VAT on intra-EU acquisitions - standard rate</t>
  </si>
  <si>
    <t>380500 - VAT 16% Sale</t>
  </si>
  <si>
    <t>380600 - VAT - standard rate</t>
  </si>
  <si>
    <t>380700 - VAT on intra-EU supplies of goods and serv. subj. (dom tax.)</t>
  </si>
  <si>
    <t>382000 - VAT prepayments</t>
  </si>
  <si>
    <t>383700 - VAT under section 13b UStG - standard rate Non-EU</t>
  </si>
  <si>
    <t>383800 - VAT under section 13b UStG - from EU</t>
  </si>
  <si>
    <t>384100 - VAT, previous year</t>
  </si>
  <si>
    <t>384500 - VAT, earlier years</t>
  </si>
  <si>
    <t>386000 - Vat liabilities</t>
  </si>
  <si>
    <t>Total Other liabilities</t>
  </si>
  <si>
    <t>Total Liabilities</t>
  </si>
  <si>
    <t>D. Deferred income</t>
  </si>
  <si>
    <t>390000 - Deferred Income - manual booking</t>
  </si>
  <si>
    <t>390001 - Deferred Revenue - Accounts Receivables</t>
  </si>
  <si>
    <t>Total Deferred income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</si>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</sst>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10"/>
      <color indexed="16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9"/>
      <color indexed="56"/>
      <name val="Arial"/>
    </font>
    <font>
      <b/>
      <sz val="9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800000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10" xfId="0" applyFont="1" applyBorder="1" applyAlignment="1">
      <alignment horizontal="left" vertical="center"/>
    </xf>
    <xf numFmtId="168" fontId="21" fillId="0" borderId="10" xfId="0" applyNumberFormat="1" applyFont="1" applyBorder="1" applyAlignment="1">
      <alignment horizontal="right" vertical="center"/>
    </xf>
    <xf numFmtId="0" fontId="24" fillId="0" borderId="0" xfId="0" applyFont="1" applyBorder="1" applyAlignment="1">
      <alignment horizontal="left" indent="1"/>
    </xf>
    <xf numFmtId="168" fontId="24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2"/>
    </xf>
    <xf numFmtId="168" fontId="22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3"/>
    </xf>
    <xf numFmtId="0" fontId="23" fillId="0" borderId="0" xfId="0" applyFont="1" applyBorder="1" applyAlignment="1">
      <alignment horizontal="left" indent="4"/>
    </xf>
    <xf numFmtId="168" fontId="23" fillId="0" borderId="0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3"/>
    </xf>
    <xf numFmtId="4" fontId="22" fillId="0" borderId="11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2"/>
    </xf>
    <xf numFmtId="168" fontId="22" fillId="0" borderId="11" xfId="0" applyNumberFormat="1" applyFont="1" applyBorder="1" applyAlignment="1">
      <alignment horizontal="right" vertical="center"/>
    </xf>
    <xf numFmtId="4" fontId="23" fillId="0" borderId="0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left" indent="1"/>
    </xf>
    <xf numFmtId="168" fontId="22" fillId="0" borderId="12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1"/>
    </xf>
    <xf numFmtId="0" fontId="23" fillId="0" borderId="0" xfId="0" applyFont="1" applyBorder="1" applyAlignment="1">
      <alignment horizontal="left" indent="2"/>
    </xf>
    <xf numFmtId="0" fontId="22" fillId="0" borderId="11" xfId="0" applyFont="1" applyBorder="1" applyAlignment="1">
      <alignment horizontal="left" indent="1"/>
    </xf>
    <xf numFmtId="0" fontId="25" fillId="0" borderId="13" xfId="0" applyFont="1" applyBorder="1" applyAlignment="1">
      <alignment horizontal="left" vertical="center"/>
    </xf>
    <xf numFmtId="168" fontId="25" fillId="0" borderId="13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indent="3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238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RowHeight="11.25" x14ac:dyDescent="0.2"/>
  <cols>
    <col min="1" max="1" width="68.5" bestFit="1" customWidth="1"/>
    <col min="2" max="86" width="14.33203125" bestFit="1" customWidth="1"/>
    <col min="87" max="87" width="15.5" bestFit="1" customWidth="1"/>
    <col min="88" max="89" width="14.33203125" bestFit="1" customWidth="1"/>
  </cols>
  <sheetData>
    <row r="1" spans="1:89" s="27" customFormat="1" ht="15.75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</row>
    <row r="2" spans="1:89" s="27" customFormat="1" ht="18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</row>
    <row r="3" spans="1:89" s="27" customFormat="1" ht="18" x14ac:dyDescent="0.25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</row>
    <row r="4" spans="1:89" x14ac:dyDescent="0.2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50</v>
      </c>
      <c r="AW4" s="2" t="s">
        <v>51</v>
      </c>
      <c r="AX4" s="2" t="s">
        <v>52</v>
      </c>
      <c r="AY4" s="2" t="s">
        <v>53</v>
      </c>
      <c r="AZ4" s="2" t="s">
        <v>54</v>
      </c>
      <c r="BA4" s="2" t="s">
        <v>55</v>
      </c>
      <c r="BB4" s="2" t="s">
        <v>56</v>
      </c>
      <c r="BC4" s="2" t="s">
        <v>57</v>
      </c>
      <c r="BD4" s="2" t="s">
        <v>58</v>
      </c>
      <c r="BE4" s="2" t="s">
        <v>59</v>
      </c>
      <c r="BF4" s="2" t="s">
        <v>60</v>
      </c>
      <c r="BG4" s="2" t="s">
        <v>61</v>
      </c>
      <c r="BH4" s="2" t="s">
        <v>62</v>
      </c>
      <c r="BI4" s="2" t="s">
        <v>63</v>
      </c>
      <c r="BJ4" s="2" t="s">
        <v>64</v>
      </c>
      <c r="BK4" s="2" t="s">
        <v>65</v>
      </c>
      <c r="BL4" s="2" t="s">
        <v>66</v>
      </c>
      <c r="BM4" s="2" t="s">
        <v>67</v>
      </c>
      <c r="BN4" s="2" t="s">
        <v>68</v>
      </c>
      <c r="BO4" s="2" t="s">
        <v>69</v>
      </c>
      <c r="BP4" s="2" t="s">
        <v>70</v>
      </c>
      <c r="BQ4" s="2" t="s">
        <v>71</v>
      </c>
      <c r="BR4" s="2" t="s">
        <v>72</v>
      </c>
      <c r="BS4" s="2" t="s">
        <v>73</v>
      </c>
      <c r="BT4" s="2" t="s">
        <v>74</v>
      </c>
      <c r="BU4" s="2" t="s">
        <v>75</v>
      </c>
      <c r="BV4" s="2" t="s">
        <v>76</v>
      </c>
      <c r="BW4" s="2" t="s">
        <v>77</v>
      </c>
      <c r="BX4" s="2" t="s">
        <v>78</v>
      </c>
      <c r="BY4" s="2" t="s">
        <v>79</v>
      </c>
      <c r="BZ4" s="2" t="s">
        <v>80</v>
      </c>
      <c r="CA4" s="2" t="s">
        <v>81</v>
      </c>
      <c r="CB4" s="2" t="s">
        <v>82</v>
      </c>
      <c r="CC4" s="2" t="s">
        <v>83</v>
      </c>
      <c r="CD4" s="2" t="s">
        <v>84</v>
      </c>
      <c r="CE4" s="2" t="s">
        <v>85</v>
      </c>
      <c r="CF4" s="2" t="s">
        <v>86</v>
      </c>
      <c r="CG4" s="2" t="s">
        <v>87</v>
      </c>
      <c r="CH4" s="2" t="s">
        <v>88</v>
      </c>
      <c r="CI4" s="2" t="s">
        <v>89</v>
      </c>
      <c r="CJ4" s="2" t="s">
        <v>90</v>
      </c>
      <c r="CK4" s="2" t="s">
        <v>91</v>
      </c>
    </row>
    <row r="5" spans="1:89" x14ac:dyDescent="0.2">
      <c r="A5" s="1" t="s">
        <v>3</v>
      </c>
      <c r="B5" s="2" t="s">
        <v>92</v>
      </c>
      <c r="C5" s="2" t="s">
        <v>92</v>
      </c>
      <c r="D5" s="2" t="s">
        <v>92</v>
      </c>
      <c r="E5" s="2" t="s">
        <v>92</v>
      </c>
      <c r="F5" s="2" t="s">
        <v>92</v>
      </c>
      <c r="G5" s="2" t="s">
        <v>92</v>
      </c>
      <c r="H5" s="2" t="s">
        <v>92</v>
      </c>
      <c r="I5" s="2" t="s">
        <v>92</v>
      </c>
      <c r="J5" s="2" t="s">
        <v>92</v>
      </c>
      <c r="K5" s="2" t="s">
        <v>92</v>
      </c>
      <c r="L5" s="2" t="s">
        <v>92</v>
      </c>
      <c r="M5" s="2" t="s">
        <v>92</v>
      </c>
      <c r="N5" s="2" t="s">
        <v>92</v>
      </c>
      <c r="O5" s="2" t="s">
        <v>92</v>
      </c>
      <c r="P5" s="2" t="s">
        <v>92</v>
      </c>
      <c r="Q5" s="2" t="s">
        <v>92</v>
      </c>
      <c r="R5" s="2" t="s">
        <v>92</v>
      </c>
      <c r="S5" s="2" t="s">
        <v>92</v>
      </c>
      <c r="T5" s="2" t="s">
        <v>92</v>
      </c>
      <c r="U5" s="2" t="s">
        <v>92</v>
      </c>
      <c r="V5" s="2" t="s">
        <v>92</v>
      </c>
      <c r="W5" s="2" t="s">
        <v>92</v>
      </c>
      <c r="X5" s="2" t="s">
        <v>92</v>
      </c>
      <c r="Y5" s="2" t="s">
        <v>92</v>
      </c>
      <c r="Z5" s="2" t="s">
        <v>92</v>
      </c>
      <c r="AA5" s="2" t="s">
        <v>92</v>
      </c>
      <c r="AB5" s="2" t="s">
        <v>92</v>
      </c>
      <c r="AC5" s="2" t="s">
        <v>92</v>
      </c>
      <c r="AD5" s="2" t="s">
        <v>92</v>
      </c>
      <c r="AE5" s="2" t="s">
        <v>92</v>
      </c>
      <c r="AF5" s="2" t="s">
        <v>92</v>
      </c>
      <c r="AG5" s="2" t="s">
        <v>92</v>
      </c>
      <c r="AH5" s="2" t="s">
        <v>92</v>
      </c>
      <c r="AI5" s="2" t="s">
        <v>92</v>
      </c>
      <c r="AJ5" s="2" t="s">
        <v>92</v>
      </c>
      <c r="AK5" s="2" t="s">
        <v>92</v>
      </c>
      <c r="AL5" s="2" t="s">
        <v>92</v>
      </c>
      <c r="AM5" s="2" t="s">
        <v>92</v>
      </c>
      <c r="AN5" s="2" t="s">
        <v>92</v>
      </c>
      <c r="AO5" s="2" t="s">
        <v>92</v>
      </c>
      <c r="AP5" s="2" t="s">
        <v>92</v>
      </c>
      <c r="AQ5" s="2" t="s">
        <v>92</v>
      </c>
      <c r="AR5" s="2" t="s">
        <v>92</v>
      </c>
      <c r="AS5" s="2" t="s">
        <v>92</v>
      </c>
      <c r="AT5" s="2" t="s">
        <v>92</v>
      </c>
      <c r="AU5" s="2" t="s">
        <v>92</v>
      </c>
      <c r="AV5" s="2" t="s">
        <v>92</v>
      </c>
      <c r="AW5" s="2" t="s">
        <v>92</v>
      </c>
      <c r="AX5" s="2" t="s">
        <v>92</v>
      </c>
      <c r="AY5" s="2" t="s">
        <v>92</v>
      </c>
      <c r="AZ5" s="2" t="s">
        <v>92</v>
      </c>
      <c r="BA5" s="2" t="s">
        <v>92</v>
      </c>
      <c r="BB5" s="2" t="s">
        <v>92</v>
      </c>
      <c r="BC5" s="2" t="s">
        <v>92</v>
      </c>
      <c r="BD5" s="2" t="s">
        <v>92</v>
      </c>
      <c r="BE5" s="2" t="s">
        <v>92</v>
      </c>
      <c r="BF5" s="2" t="s">
        <v>92</v>
      </c>
      <c r="BG5" s="2" t="s">
        <v>92</v>
      </c>
      <c r="BH5" s="2" t="s">
        <v>92</v>
      </c>
      <c r="BI5" s="2" t="s">
        <v>92</v>
      </c>
      <c r="BJ5" s="2" t="s">
        <v>92</v>
      </c>
      <c r="BK5" s="2" t="s">
        <v>92</v>
      </c>
      <c r="BL5" s="2" t="s">
        <v>92</v>
      </c>
      <c r="BM5" s="2" t="s">
        <v>92</v>
      </c>
      <c r="BN5" s="2" t="s">
        <v>92</v>
      </c>
      <c r="BO5" s="2" t="s">
        <v>92</v>
      </c>
      <c r="BP5" s="2" t="s">
        <v>92</v>
      </c>
      <c r="BQ5" s="2" t="s">
        <v>92</v>
      </c>
      <c r="BR5" s="2" t="s">
        <v>92</v>
      </c>
      <c r="BS5" s="2" t="s">
        <v>92</v>
      </c>
      <c r="BT5" s="2" t="s">
        <v>92</v>
      </c>
      <c r="BU5" s="2" t="s">
        <v>92</v>
      </c>
      <c r="BV5" s="2" t="s">
        <v>92</v>
      </c>
      <c r="BW5" s="2" t="s">
        <v>92</v>
      </c>
      <c r="BX5" s="2" t="s">
        <v>92</v>
      </c>
      <c r="BY5" s="2" t="s">
        <v>92</v>
      </c>
      <c r="BZ5" s="2" t="s">
        <v>92</v>
      </c>
      <c r="CA5" s="2" t="s">
        <v>92</v>
      </c>
      <c r="CB5" s="2" t="s">
        <v>92</v>
      </c>
      <c r="CC5" s="2" t="s">
        <v>92</v>
      </c>
      <c r="CD5" s="2" t="s">
        <v>92</v>
      </c>
      <c r="CE5" s="2" t="s">
        <v>92</v>
      </c>
      <c r="CF5" s="2" t="s">
        <v>92</v>
      </c>
      <c r="CG5" s="2" t="s">
        <v>92</v>
      </c>
      <c r="CH5" s="2" t="s">
        <v>92</v>
      </c>
      <c r="CI5" s="2" t="s">
        <v>92</v>
      </c>
      <c r="CJ5" s="2" t="s">
        <v>92</v>
      </c>
      <c r="CK5" s="2" t="s">
        <v>92</v>
      </c>
    </row>
    <row r="6" spans="1:89" ht="12.75" x14ac:dyDescent="0.2">
      <c r="A6" s="3" t="s">
        <v>93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</row>
    <row r="7" spans="1:89" ht="12" x14ac:dyDescent="0.2">
      <c r="A7" s="5" t="s">
        <v>94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</row>
    <row r="8" spans="1:89" x14ac:dyDescent="0.2">
      <c r="A8" s="7" t="s">
        <v>95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</row>
    <row r="9" spans="1:89" x14ac:dyDescent="0.2">
      <c r="A9" s="9" t="s">
        <v>96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</row>
    <row r="10" spans="1:89" x14ac:dyDescent="0.2">
      <c r="A10" s="10" t="s">
        <v>97</v>
      </c>
      <c r="B10" s="11">
        <v>7951</v>
      </c>
      <c r="C10" s="11">
        <v>7951</v>
      </c>
      <c r="D10" s="11">
        <v>7239.95</v>
      </c>
      <c r="E10" s="11">
        <v>6537.59</v>
      </c>
      <c r="F10" s="11">
        <v>6097.1900000000005</v>
      </c>
      <c r="G10" s="11">
        <v>5374.4400000000005</v>
      </c>
      <c r="H10" s="11">
        <v>4748.1900000000005</v>
      </c>
      <c r="I10" s="11">
        <v>21119.03</v>
      </c>
      <c r="J10" s="11">
        <v>20057.16</v>
      </c>
      <c r="K10" s="11">
        <v>18694.419999999998</v>
      </c>
      <c r="L10" s="11">
        <v>29207.57</v>
      </c>
      <c r="M10" s="11">
        <v>27538.85</v>
      </c>
      <c r="N10" s="11">
        <v>26096.92</v>
      </c>
      <c r="O10" s="11">
        <v>26753</v>
      </c>
      <c r="P10" s="11">
        <v>26753</v>
      </c>
      <c r="Q10" s="11">
        <v>25873.59</v>
      </c>
      <c r="R10" s="11">
        <v>24994.18</v>
      </c>
      <c r="S10" s="11">
        <v>24114.77</v>
      </c>
      <c r="T10" s="11">
        <v>23235.360000000001</v>
      </c>
      <c r="U10" s="11">
        <v>22355.920000000002</v>
      </c>
      <c r="V10" s="11">
        <v>21476.52</v>
      </c>
      <c r="W10" s="11">
        <v>20597.080000000002</v>
      </c>
      <c r="X10" s="11">
        <v>19941.68</v>
      </c>
      <c r="Y10" s="11">
        <v>35013.050000000003</v>
      </c>
      <c r="Z10" s="11">
        <v>29177.550000000003</v>
      </c>
      <c r="AA10" s="11">
        <v>23342.04</v>
      </c>
      <c r="AB10" s="11">
        <v>13887</v>
      </c>
      <c r="AC10" s="11">
        <v>13887</v>
      </c>
      <c r="AD10" s="11">
        <v>13143.85</v>
      </c>
      <c r="AE10" s="11">
        <v>12428.130000000001</v>
      </c>
      <c r="AF10" s="11">
        <v>11682.240000000002</v>
      </c>
      <c r="AG10" s="11">
        <v>10936.350000000002</v>
      </c>
      <c r="AH10" s="11">
        <v>10190.450000000003</v>
      </c>
      <c r="AI10" s="11">
        <v>9444.5600000000031</v>
      </c>
      <c r="AJ10" s="11">
        <v>8698.6500000000033</v>
      </c>
      <c r="AK10" s="11">
        <v>7952.7600000000029</v>
      </c>
      <c r="AL10" s="11">
        <v>7206.8700000000026</v>
      </c>
      <c r="AM10" s="11">
        <v>6460.9800000000023</v>
      </c>
      <c r="AN10" s="11">
        <v>5715.0700000000024</v>
      </c>
      <c r="AO10" s="11">
        <v>4981.0000000000027</v>
      </c>
      <c r="AP10" s="11">
        <v>4981.0000000000027</v>
      </c>
      <c r="AQ10" s="11">
        <v>4249.8200000000024</v>
      </c>
      <c r="AR10" s="11">
        <v>3518.6400000000026</v>
      </c>
      <c r="AS10" s="11">
        <v>2787.4600000000028</v>
      </c>
      <c r="AT10" s="11">
        <v>2056.2800000000029</v>
      </c>
      <c r="AU10" s="11">
        <v>1325.1000000000031</v>
      </c>
      <c r="AV10" s="11">
        <v>934.12000000000307</v>
      </c>
      <c r="AW10" s="11">
        <v>934.12000000000307</v>
      </c>
      <c r="AX10" s="11">
        <v>934.12000000000307</v>
      </c>
      <c r="AY10" s="11">
        <v>934.12000000000307</v>
      </c>
      <c r="AZ10" s="11">
        <v>934.12000000000307</v>
      </c>
      <c r="BA10" s="11">
        <v>57757.240000000005</v>
      </c>
      <c r="BB10" s="11">
        <v>57757.240000000005</v>
      </c>
      <c r="BC10" s="11">
        <v>57757.240000000005</v>
      </c>
      <c r="BD10" s="11">
        <v>57757.240000000005</v>
      </c>
      <c r="BE10" s="11">
        <v>57757.240000000005</v>
      </c>
      <c r="BF10" s="11">
        <v>57757.240000000005</v>
      </c>
      <c r="BG10" s="11">
        <v>57757.240000000005</v>
      </c>
      <c r="BH10" s="11">
        <v>57757.240000000005</v>
      </c>
      <c r="BI10" s="11">
        <v>59157.240000000005</v>
      </c>
      <c r="BJ10" s="11">
        <v>59157.240000000005</v>
      </c>
      <c r="BK10" s="11">
        <v>59157.240000000005</v>
      </c>
      <c r="BL10" s="11">
        <v>59157.240000000005</v>
      </c>
      <c r="BM10" s="11">
        <v>59157.240000000005</v>
      </c>
      <c r="BN10" s="11">
        <v>59157.240000000005</v>
      </c>
      <c r="BO10" s="11">
        <v>59157.240000000005</v>
      </c>
      <c r="BP10" s="11">
        <v>59157.240000000005</v>
      </c>
      <c r="BQ10" s="11">
        <v>59157.240000000005</v>
      </c>
      <c r="BR10" s="11">
        <v>59157.240000000005</v>
      </c>
      <c r="BS10" s="11">
        <v>59157.240000000005</v>
      </c>
      <c r="BT10" s="11">
        <v>59157.240000000005</v>
      </c>
      <c r="BU10" s="11">
        <v>59157.240000000005</v>
      </c>
      <c r="BV10" s="11">
        <v>59157.240000000005</v>
      </c>
      <c r="BW10" s="11">
        <v>59157.240000000005</v>
      </c>
      <c r="BX10" s="11">
        <v>59157.240000000005</v>
      </c>
      <c r="BY10" s="11">
        <v>59157.240000000005</v>
      </c>
      <c r="BZ10" s="11">
        <v>59157.240000000005</v>
      </c>
      <c r="CA10" s="11">
        <v>59157.240000000005</v>
      </c>
      <c r="CB10" s="11">
        <v>59157.240000000005</v>
      </c>
      <c r="CC10" s="11">
        <v>59157.240000000005</v>
      </c>
      <c r="CD10" s="11">
        <v>59157.240000000005</v>
      </c>
      <c r="CE10" s="11">
        <v>59157.240000000005</v>
      </c>
      <c r="CF10" s="11">
        <v>59157.240000000005</v>
      </c>
      <c r="CG10" s="11">
        <v>59157.240000000005</v>
      </c>
      <c r="CH10" s="11">
        <v>59157.240000000005</v>
      </c>
      <c r="CI10" s="11">
        <v>59157.240000000005</v>
      </c>
      <c r="CJ10" s="11">
        <v>59157.240000000005</v>
      </c>
      <c r="CK10" s="11">
        <v>59157.240000000005</v>
      </c>
    </row>
    <row r="11" spans="1:89" x14ac:dyDescent="0.2">
      <c r="A11" s="10" t="s">
        <v>98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-390.97</v>
      </c>
      <c r="AX11" s="11">
        <v>-781.94</v>
      </c>
      <c r="AY11" s="11">
        <v>-832.67000000000007</v>
      </c>
      <c r="AZ11" s="11">
        <v>-883.3900000000001</v>
      </c>
      <c r="BA11" s="11">
        <v>-57757.24</v>
      </c>
      <c r="BB11" s="11">
        <v>-57757.24</v>
      </c>
      <c r="BC11" s="11">
        <v>-57757.24</v>
      </c>
      <c r="BD11" s="11">
        <v>-57757.24</v>
      </c>
      <c r="BE11" s="11">
        <v>-57757.24</v>
      </c>
      <c r="BF11" s="11">
        <v>-57757.24</v>
      </c>
      <c r="BG11" s="11">
        <v>-57757.24</v>
      </c>
      <c r="BH11" s="11">
        <v>-57757.24</v>
      </c>
      <c r="BI11" s="11">
        <v>-57796.13</v>
      </c>
      <c r="BJ11" s="11">
        <v>-57835.02</v>
      </c>
      <c r="BK11" s="11">
        <v>-57873.909999999996</v>
      </c>
      <c r="BL11" s="11">
        <v>-57912.799999999996</v>
      </c>
      <c r="BM11" s="11">
        <v>-57951.689999999995</v>
      </c>
      <c r="BN11" s="11">
        <v>-57990.579999999994</v>
      </c>
      <c r="BO11" s="11">
        <v>-58029.469999999994</v>
      </c>
      <c r="BP11" s="11">
        <v>-58068.359999999993</v>
      </c>
      <c r="BQ11" s="11">
        <v>-58107.249999999993</v>
      </c>
      <c r="BR11" s="11">
        <v>-58146.139999999992</v>
      </c>
      <c r="BS11" s="11">
        <v>-58185.029999999992</v>
      </c>
      <c r="BT11" s="11">
        <v>-58223.919999999991</v>
      </c>
      <c r="BU11" s="11">
        <v>-58262.80999999999</v>
      </c>
      <c r="BV11" s="11">
        <v>-58301.69999999999</v>
      </c>
      <c r="BW11" s="11">
        <v>-58340.589999999989</v>
      </c>
      <c r="BX11" s="11">
        <v>-58379.479999999989</v>
      </c>
      <c r="BY11" s="11">
        <v>-58418.369999999988</v>
      </c>
      <c r="BZ11" s="11">
        <v>-58457.259999999987</v>
      </c>
      <c r="CA11" s="11">
        <v>-58496.149999999987</v>
      </c>
      <c r="CB11" s="11">
        <v>-58496.149999999987</v>
      </c>
      <c r="CC11" s="11">
        <v>-58535.039999999986</v>
      </c>
      <c r="CD11" s="11">
        <v>-58573.929999999986</v>
      </c>
      <c r="CE11" s="11">
        <v>-58612.819999999985</v>
      </c>
      <c r="CF11" s="11">
        <v>-58651.709999999985</v>
      </c>
      <c r="CG11" s="11">
        <v>-58690.599999999984</v>
      </c>
      <c r="CH11" s="11">
        <v>-58729.489999999983</v>
      </c>
      <c r="CI11" s="11">
        <v>-58768.379999999983</v>
      </c>
      <c r="CJ11" s="11">
        <v>-58768.379999999983</v>
      </c>
      <c r="CK11" s="11">
        <v>-58768.379999999983</v>
      </c>
    </row>
    <row r="12" spans="1:89" x14ac:dyDescent="0.2">
      <c r="A12" s="12" t="s">
        <v>99</v>
      </c>
      <c r="B12" s="13">
        <f t="shared" ref="B12:AG12" si="0">SUM(B10:B11)</f>
        <v>7951</v>
      </c>
      <c r="C12" s="13">
        <f t="shared" si="0"/>
        <v>7951</v>
      </c>
      <c r="D12" s="13">
        <f t="shared" si="0"/>
        <v>7239.95</v>
      </c>
      <c r="E12" s="13">
        <f t="shared" si="0"/>
        <v>6537.59</v>
      </c>
      <c r="F12" s="13">
        <f t="shared" si="0"/>
        <v>6097.1900000000005</v>
      </c>
      <c r="G12" s="13">
        <f t="shared" si="0"/>
        <v>5374.4400000000005</v>
      </c>
      <c r="H12" s="13">
        <f t="shared" si="0"/>
        <v>4748.1900000000005</v>
      </c>
      <c r="I12" s="13">
        <f t="shared" si="0"/>
        <v>21119.03</v>
      </c>
      <c r="J12" s="13">
        <f t="shared" si="0"/>
        <v>20057.16</v>
      </c>
      <c r="K12" s="13">
        <f t="shared" si="0"/>
        <v>18694.419999999998</v>
      </c>
      <c r="L12" s="13">
        <f t="shared" si="0"/>
        <v>29207.57</v>
      </c>
      <c r="M12" s="13">
        <f t="shared" si="0"/>
        <v>27538.85</v>
      </c>
      <c r="N12" s="13">
        <f t="shared" si="0"/>
        <v>26096.92</v>
      </c>
      <c r="O12" s="13">
        <f t="shared" si="0"/>
        <v>26753</v>
      </c>
      <c r="P12" s="13">
        <f t="shared" si="0"/>
        <v>26753</v>
      </c>
      <c r="Q12" s="13">
        <f t="shared" si="0"/>
        <v>25873.59</v>
      </c>
      <c r="R12" s="13">
        <f t="shared" si="0"/>
        <v>24994.18</v>
      </c>
      <c r="S12" s="13">
        <f t="shared" si="0"/>
        <v>24114.77</v>
      </c>
      <c r="T12" s="13">
        <f t="shared" si="0"/>
        <v>23235.360000000001</v>
      </c>
      <c r="U12" s="13">
        <f t="shared" si="0"/>
        <v>22355.920000000002</v>
      </c>
      <c r="V12" s="13">
        <f t="shared" si="0"/>
        <v>21476.52</v>
      </c>
      <c r="W12" s="13">
        <f t="shared" si="0"/>
        <v>20597.080000000002</v>
      </c>
      <c r="X12" s="13">
        <f t="shared" si="0"/>
        <v>19941.68</v>
      </c>
      <c r="Y12" s="13">
        <f t="shared" si="0"/>
        <v>35013.050000000003</v>
      </c>
      <c r="Z12" s="13">
        <f t="shared" si="0"/>
        <v>29177.550000000003</v>
      </c>
      <c r="AA12" s="13">
        <f t="shared" si="0"/>
        <v>23342.04</v>
      </c>
      <c r="AB12" s="13">
        <f t="shared" si="0"/>
        <v>13887</v>
      </c>
      <c r="AC12" s="13">
        <f t="shared" si="0"/>
        <v>13887</v>
      </c>
      <c r="AD12" s="13">
        <f t="shared" si="0"/>
        <v>13143.85</v>
      </c>
      <c r="AE12" s="13">
        <f t="shared" si="0"/>
        <v>12428.130000000001</v>
      </c>
      <c r="AF12" s="13">
        <f t="shared" si="0"/>
        <v>11682.240000000002</v>
      </c>
      <c r="AG12" s="13">
        <f t="shared" si="0"/>
        <v>10936.350000000002</v>
      </c>
      <c r="AH12" s="13">
        <f t="shared" ref="AH12:BM12" si="1">SUM(AH10:AH11)</f>
        <v>10190.450000000003</v>
      </c>
      <c r="AI12" s="13">
        <f t="shared" si="1"/>
        <v>9444.5600000000031</v>
      </c>
      <c r="AJ12" s="13">
        <f t="shared" si="1"/>
        <v>8698.6500000000033</v>
      </c>
      <c r="AK12" s="13">
        <f t="shared" si="1"/>
        <v>7952.7600000000029</v>
      </c>
      <c r="AL12" s="13">
        <f t="shared" si="1"/>
        <v>7206.8700000000026</v>
      </c>
      <c r="AM12" s="13">
        <f t="shared" si="1"/>
        <v>6460.9800000000023</v>
      </c>
      <c r="AN12" s="13">
        <f t="shared" si="1"/>
        <v>5715.0700000000024</v>
      </c>
      <c r="AO12" s="13">
        <f t="shared" si="1"/>
        <v>4981.0000000000027</v>
      </c>
      <c r="AP12" s="13">
        <f t="shared" si="1"/>
        <v>4981.0000000000027</v>
      </c>
      <c r="AQ12" s="13">
        <f t="shared" si="1"/>
        <v>4249.8200000000024</v>
      </c>
      <c r="AR12" s="13">
        <f t="shared" si="1"/>
        <v>3518.6400000000026</v>
      </c>
      <c r="AS12" s="13">
        <f t="shared" si="1"/>
        <v>2787.4600000000028</v>
      </c>
      <c r="AT12" s="13">
        <f t="shared" si="1"/>
        <v>2056.2800000000029</v>
      </c>
      <c r="AU12" s="13">
        <f t="shared" si="1"/>
        <v>1325.1000000000031</v>
      </c>
      <c r="AV12" s="13">
        <f t="shared" si="1"/>
        <v>934.12000000000307</v>
      </c>
      <c r="AW12" s="13">
        <f t="shared" si="1"/>
        <v>543.15000000000305</v>
      </c>
      <c r="AX12" s="13">
        <f t="shared" si="1"/>
        <v>152.18000000000302</v>
      </c>
      <c r="AY12" s="13">
        <f t="shared" si="1"/>
        <v>101.450000000003</v>
      </c>
      <c r="AZ12" s="13">
        <f t="shared" si="1"/>
        <v>50.730000000002974</v>
      </c>
      <c r="BA12" s="13">
        <f t="shared" si="1"/>
        <v>0</v>
      </c>
      <c r="BB12" s="13">
        <f t="shared" si="1"/>
        <v>0</v>
      </c>
      <c r="BC12" s="13">
        <f t="shared" si="1"/>
        <v>0</v>
      </c>
      <c r="BD12" s="13">
        <f t="shared" si="1"/>
        <v>0</v>
      </c>
      <c r="BE12" s="13">
        <f t="shared" si="1"/>
        <v>0</v>
      </c>
      <c r="BF12" s="13">
        <f t="shared" si="1"/>
        <v>0</v>
      </c>
      <c r="BG12" s="13">
        <f t="shared" si="1"/>
        <v>0</v>
      </c>
      <c r="BH12" s="13">
        <f t="shared" si="1"/>
        <v>0</v>
      </c>
      <c r="BI12" s="13">
        <f t="shared" si="1"/>
        <v>1361.1100000000079</v>
      </c>
      <c r="BJ12" s="13">
        <f t="shared" si="1"/>
        <v>1322.2200000000084</v>
      </c>
      <c r="BK12" s="13">
        <f t="shared" si="1"/>
        <v>1283.330000000009</v>
      </c>
      <c r="BL12" s="13">
        <f t="shared" si="1"/>
        <v>1244.4400000000096</v>
      </c>
      <c r="BM12" s="13">
        <f t="shared" si="1"/>
        <v>1205.5500000000102</v>
      </c>
      <c r="BN12" s="13">
        <f t="shared" ref="BN12:CS12" si="2">SUM(BN10:BN11)</f>
        <v>1166.6600000000108</v>
      </c>
      <c r="BO12" s="13">
        <f t="shared" si="2"/>
        <v>1127.7700000000114</v>
      </c>
      <c r="BP12" s="13">
        <f t="shared" si="2"/>
        <v>1088.8800000000119</v>
      </c>
      <c r="BQ12" s="13">
        <f t="shared" si="2"/>
        <v>1049.9900000000125</v>
      </c>
      <c r="BR12" s="13">
        <f t="shared" si="2"/>
        <v>1011.1000000000131</v>
      </c>
      <c r="BS12" s="13">
        <f t="shared" si="2"/>
        <v>972.21000000001368</v>
      </c>
      <c r="BT12" s="13">
        <f t="shared" si="2"/>
        <v>933.32000000001426</v>
      </c>
      <c r="BU12" s="13">
        <f t="shared" si="2"/>
        <v>894.43000000001484</v>
      </c>
      <c r="BV12" s="13">
        <f t="shared" si="2"/>
        <v>855.54000000001543</v>
      </c>
      <c r="BW12" s="13">
        <f t="shared" si="2"/>
        <v>816.65000000001601</v>
      </c>
      <c r="BX12" s="13">
        <f t="shared" si="2"/>
        <v>777.76000000001659</v>
      </c>
      <c r="BY12" s="13">
        <f t="shared" si="2"/>
        <v>738.87000000001717</v>
      </c>
      <c r="BZ12" s="13">
        <f t="shared" si="2"/>
        <v>699.98000000001775</v>
      </c>
      <c r="CA12" s="13">
        <f t="shared" si="2"/>
        <v>661.09000000001834</v>
      </c>
      <c r="CB12" s="13">
        <f t="shared" si="2"/>
        <v>661.09000000001834</v>
      </c>
      <c r="CC12" s="13">
        <f t="shared" si="2"/>
        <v>622.20000000001892</v>
      </c>
      <c r="CD12" s="13">
        <f t="shared" si="2"/>
        <v>583.3100000000195</v>
      </c>
      <c r="CE12" s="13">
        <f t="shared" si="2"/>
        <v>544.42000000002008</v>
      </c>
      <c r="CF12" s="13">
        <f t="shared" si="2"/>
        <v>505.53000000002066</v>
      </c>
      <c r="CG12" s="13">
        <f t="shared" si="2"/>
        <v>466.64000000002125</v>
      </c>
      <c r="CH12" s="13">
        <f t="shared" si="2"/>
        <v>427.75000000002183</v>
      </c>
      <c r="CI12" s="13">
        <f t="shared" si="2"/>
        <v>388.86000000002241</v>
      </c>
      <c r="CJ12" s="13">
        <f t="shared" si="2"/>
        <v>388.86000000002241</v>
      </c>
      <c r="CK12" s="13">
        <f t="shared" si="2"/>
        <v>388.86000000002241</v>
      </c>
    </row>
    <row r="13" spans="1:89" x14ac:dyDescent="0.2">
      <c r="A13" s="9" t="s">
        <v>100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</row>
    <row r="14" spans="1:89" x14ac:dyDescent="0.2">
      <c r="A14" s="10" t="s">
        <v>101</v>
      </c>
      <c r="B14" s="11">
        <v>475</v>
      </c>
      <c r="C14" s="11">
        <v>475</v>
      </c>
      <c r="D14" s="11">
        <v>463.92</v>
      </c>
      <c r="E14" s="11">
        <v>452.84000000000003</v>
      </c>
      <c r="F14" s="11">
        <v>441.76000000000005</v>
      </c>
      <c r="G14" s="11">
        <v>430.68000000000006</v>
      </c>
      <c r="H14" s="11">
        <v>419.59000000000009</v>
      </c>
      <c r="I14" s="11">
        <v>408.5100000000001</v>
      </c>
      <c r="J14" s="11">
        <v>397.42000000000013</v>
      </c>
      <c r="K14" s="11">
        <v>386.34000000000015</v>
      </c>
      <c r="L14" s="11">
        <v>375.25000000000017</v>
      </c>
      <c r="M14" s="11">
        <v>364.17000000000019</v>
      </c>
      <c r="N14" s="11">
        <v>353.08000000000021</v>
      </c>
      <c r="O14" s="11">
        <v>342.00000000000023</v>
      </c>
      <c r="P14" s="11">
        <v>342.00000000000023</v>
      </c>
      <c r="Q14" s="11">
        <v>330.92000000000024</v>
      </c>
      <c r="R14" s="11">
        <v>319.84000000000026</v>
      </c>
      <c r="S14" s="11">
        <v>308.76000000000028</v>
      </c>
      <c r="T14" s="11">
        <v>297.68000000000029</v>
      </c>
      <c r="U14" s="11">
        <v>286.59000000000032</v>
      </c>
      <c r="V14" s="11">
        <v>275.51000000000033</v>
      </c>
      <c r="W14" s="11">
        <v>264.42000000000036</v>
      </c>
      <c r="X14" s="11">
        <v>253.34000000000034</v>
      </c>
      <c r="Y14" s="11">
        <v>242.25000000000034</v>
      </c>
      <c r="Z14" s="11">
        <v>231.17000000000033</v>
      </c>
      <c r="AA14" s="11">
        <v>220.08000000000033</v>
      </c>
      <c r="AB14" s="11">
        <v>209.00000000000031</v>
      </c>
      <c r="AC14" s="11">
        <v>209.00000000000031</v>
      </c>
      <c r="AD14" s="11">
        <v>198.00000000000031</v>
      </c>
      <c r="AE14" s="11">
        <v>187.00000000000031</v>
      </c>
      <c r="AF14" s="11">
        <v>176.00000000000031</v>
      </c>
      <c r="AG14" s="11">
        <v>165.00000000000031</v>
      </c>
      <c r="AH14" s="11">
        <v>154.00000000000031</v>
      </c>
      <c r="AI14" s="11">
        <v>143.00000000000031</v>
      </c>
      <c r="AJ14" s="11">
        <v>132.00000000000031</v>
      </c>
      <c r="AK14" s="11">
        <v>121.00000000000031</v>
      </c>
      <c r="AL14" s="11">
        <v>110.00000000000031</v>
      </c>
      <c r="AM14" s="11">
        <v>99.000000000000313</v>
      </c>
      <c r="AN14" s="11">
        <v>88.000000000000313</v>
      </c>
      <c r="AO14" s="11">
        <v>77.000000000000313</v>
      </c>
      <c r="AP14" s="11">
        <v>77.000000000000313</v>
      </c>
      <c r="AQ14" s="11">
        <v>66.000000000000313</v>
      </c>
      <c r="AR14" s="11">
        <v>55.000000000000313</v>
      </c>
      <c r="AS14" s="11">
        <v>44.000000000000313</v>
      </c>
      <c r="AT14" s="11">
        <v>33.000000000000313</v>
      </c>
      <c r="AU14" s="11">
        <v>22.000000000000313</v>
      </c>
      <c r="AV14" s="11">
        <v>11.000000000000313</v>
      </c>
      <c r="AW14" s="11">
        <v>11.000000000000313</v>
      </c>
      <c r="AX14" s="11">
        <v>11.000000000000313</v>
      </c>
      <c r="AY14" s="11">
        <v>11.000000000000313</v>
      </c>
      <c r="AZ14" s="11">
        <v>11.000000000000313</v>
      </c>
      <c r="BA14" s="11">
        <v>2000.0000000000002</v>
      </c>
      <c r="BB14" s="11">
        <v>2000.0000000000002</v>
      </c>
      <c r="BC14" s="11">
        <v>2000.0000000000002</v>
      </c>
      <c r="BD14" s="11">
        <v>2000.0000000000002</v>
      </c>
      <c r="BE14" s="11">
        <v>2000.0000000000002</v>
      </c>
      <c r="BF14" s="11">
        <v>2000.0000000000002</v>
      </c>
      <c r="BG14" s="11">
        <v>2000.0000000000002</v>
      </c>
      <c r="BH14" s="11">
        <v>2000.0000000000002</v>
      </c>
      <c r="BI14" s="11">
        <v>2000.0000000000002</v>
      </c>
      <c r="BJ14" s="11">
        <v>2000.0000000000002</v>
      </c>
      <c r="BK14" s="11">
        <v>2000.0000000000002</v>
      </c>
      <c r="BL14" s="11">
        <v>2000.0000000000002</v>
      </c>
      <c r="BM14" s="11">
        <v>2000.0000000000002</v>
      </c>
      <c r="BN14" s="11">
        <v>2000.0000000000002</v>
      </c>
      <c r="BO14" s="11">
        <v>2000.0000000000002</v>
      </c>
      <c r="BP14" s="11">
        <v>2000.0000000000002</v>
      </c>
      <c r="BQ14" s="11">
        <v>2000.0000000000002</v>
      </c>
      <c r="BR14" s="11">
        <v>2000.0000000000002</v>
      </c>
      <c r="BS14" s="11">
        <v>2000.0000000000002</v>
      </c>
      <c r="BT14" s="11">
        <v>2000.0000000000002</v>
      </c>
      <c r="BU14" s="11">
        <v>2000.0000000000002</v>
      </c>
      <c r="BV14" s="11">
        <v>2000.0000000000002</v>
      </c>
      <c r="BW14" s="11">
        <v>2000.0000000000002</v>
      </c>
      <c r="BX14" s="11">
        <v>2000.0000000000002</v>
      </c>
      <c r="BY14" s="11">
        <v>2000.0000000000002</v>
      </c>
      <c r="BZ14" s="11">
        <v>2000.0000000000002</v>
      </c>
      <c r="CA14" s="11">
        <v>2000.0000000000002</v>
      </c>
      <c r="CB14" s="11">
        <v>2000.0000000000002</v>
      </c>
      <c r="CC14" s="11">
        <v>2000.0000000000002</v>
      </c>
      <c r="CD14" s="11">
        <v>2000.0000000000002</v>
      </c>
      <c r="CE14" s="11">
        <v>2000.0000000000002</v>
      </c>
      <c r="CF14" s="11">
        <v>2000.0000000000002</v>
      </c>
      <c r="CG14" s="11">
        <v>2000.0000000000002</v>
      </c>
      <c r="CH14" s="11">
        <v>2000.0000000000002</v>
      </c>
      <c r="CI14" s="11">
        <v>2000.0000000000002</v>
      </c>
      <c r="CJ14" s="11">
        <v>2000.0000000000002</v>
      </c>
      <c r="CK14" s="11">
        <v>2000.0000000000002</v>
      </c>
    </row>
    <row r="15" spans="1:89" x14ac:dyDescent="0.2">
      <c r="A15" s="10" t="s">
        <v>102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-11</v>
      </c>
      <c r="AX15" s="11">
        <v>-11</v>
      </c>
      <c r="AY15" s="11">
        <v>-11</v>
      </c>
      <c r="AZ15" s="11">
        <v>-11</v>
      </c>
      <c r="BA15" s="11">
        <v>-2000</v>
      </c>
      <c r="BB15" s="11">
        <v>-2000</v>
      </c>
      <c r="BC15" s="11">
        <v>-2000</v>
      </c>
      <c r="BD15" s="11">
        <v>-2000</v>
      </c>
      <c r="BE15" s="11">
        <v>-2000</v>
      </c>
      <c r="BF15" s="11">
        <v>-2000</v>
      </c>
      <c r="BG15" s="11">
        <v>-2000</v>
      </c>
      <c r="BH15" s="11">
        <v>-2000</v>
      </c>
      <c r="BI15" s="11">
        <v>-2000</v>
      </c>
      <c r="BJ15" s="11">
        <v>-2000</v>
      </c>
      <c r="BK15" s="11">
        <v>-2000</v>
      </c>
      <c r="BL15" s="11">
        <v>-2000</v>
      </c>
      <c r="BM15" s="11">
        <v>-2000</v>
      </c>
      <c r="BN15" s="11">
        <v>-2000</v>
      </c>
      <c r="BO15" s="11">
        <v>-2000</v>
      </c>
      <c r="BP15" s="11">
        <v>-2000</v>
      </c>
      <c r="BQ15" s="11">
        <v>-2000</v>
      </c>
      <c r="BR15" s="11">
        <v>-2000</v>
      </c>
      <c r="BS15" s="11">
        <v>-2000</v>
      </c>
      <c r="BT15" s="11">
        <v>-2000</v>
      </c>
      <c r="BU15" s="11">
        <v>-2000</v>
      </c>
      <c r="BV15" s="11">
        <v>-2000</v>
      </c>
      <c r="BW15" s="11">
        <v>-2000</v>
      </c>
      <c r="BX15" s="11">
        <v>-2000</v>
      </c>
      <c r="BY15" s="11">
        <v>-2000</v>
      </c>
      <c r="BZ15" s="11">
        <v>-2000</v>
      </c>
      <c r="CA15" s="11">
        <v>-2000</v>
      </c>
      <c r="CB15" s="11">
        <v>-2000</v>
      </c>
      <c r="CC15" s="11">
        <v>-2000</v>
      </c>
      <c r="CD15" s="11">
        <v>-2000</v>
      </c>
      <c r="CE15" s="11">
        <v>-2000</v>
      </c>
      <c r="CF15" s="11">
        <v>-2000</v>
      </c>
      <c r="CG15" s="11">
        <v>-2000</v>
      </c>
      <c r="CH15" s="11">
        <v>-2000</v>
      </c>
      <c r="CI15" s="11">
        <v>-2000</v>
      </c>
      <c r="CJ15" s="11">
        <v>-2000</v>
      </c>
      <c r="CK15" s="11">
        <v>-2000</v>
      </c>
    </row>
    <row r="16" spans="1:89" x14ac:dyDescent="0.2">
      <c r="A16" s="12" t="s">
        <v>103</v>
      </c>
      <c r="B16" s="13">
        <f t="shared" ref="B16:AG16" si="3">SUM(B14:B15)</f>
        <v>475</v>
      </c>
      <c r="C16" s="13">
        <f t="shared" si="3"/>
        <v>475</v>
      </c>
      <c r="D16" s="13">
        <f t="shared" si="3"/>
        <v>463.92</v>
      </c>
      <c r="E16" s="13">
        <f t="shared" si="3"/>
        <v>452.84000000000003</v>
      </c>
      <c r="F16" s="13">
        <f t="shared" si="3"/>
        <v>441.76000000000005</v>
      </c>
      <c r="G16" s="13">
        <f t="shared" si="3"/>
        <v>430.68000000000006</v>
      </c>
      <c r="H16" s="13">
        <f t="shared" si="3"/>
        <v>419.59000000000009</v>
      </c>
      <c r="I16" s="13">
        <f t="shared" si="3"/>
        <v>408.5100000000001</v>
      </c>
      <c r="J16" s="13">
        <f t="shared" si="3"/>
        <v>397.42000000000013</v>
      </c>
      <c r="K16" s="13">
        <f t="shared" si="3"/>
        <v>386.34000000000015</v>
      </c>
      <c r="L16" s="13">
        <f t="shared" si="3"/>
        <v>375.25000000000017</v>
      </c>
      <c r="M16" s="13">
        <f t="shared" si="3"/>
        <v>364.17000000000019</v>
      </c>
      <c r="N16" s="13">
        <f t="shared" si="3"/>
        <v>353.08000000000021</v>
      </c>
      <c r="O16" s="13">
        <f t="shared" si="3"/>
        <v>342.00000000000023</v>
      </c>
      <c r="P16" s="13">
        <f t="shared" si="3"/>
        <v>342.00000000000023</v>
      </c>
      <c r="Q16" s="13">
        <f t="shared" si="3"/>
        <v>330.92000000000024</v>
      </c>
      <c r="R16" s="13">
        <f t="shared" si="3"/>
        <v>319.84000000000026</v>
      </c>
      <c r="S16" s="13">
        <f t="shared" si="3"/>
        <v>308.76000000000028</v>
      </c>
      <c r="T16" s="13">
        <f t="shared" si="3"/>
        <v>297.68000000000029</v>
      </c>
      <c r="U16" s="13">
        <f t="shared" si="3"/>
        <v>286.59000000000032</v>
      </c>
      <c r="V16" s="13">
        <f t="shared" si="3"/>
        <v>275.51000000000033</v>
      </c>
      <c r="W16" s="13">
        <f t="shared" si="3"/>
        <v>264.42000000000036</v>
      </c>
      <c r="X16" s="13">
        <f t="shared" si="3"/>
        <v>253.34000000000034</v>
      </c>
      <c r="Y16" s="13">
        <f t="shared" si="3"/>
        <v>242.25000000000034</v>
      </c>
      <c r="Z16" s="13">
        <f t="shared" si="3"/>
        <v>231.17000000000033</v>
      </c>
      <c r="AA16" s="13">
        <f t="shared" si="3"/>
        <v>220.08000000000033</v>
      </c>
      <c r="AB16" s="13">
        <f t="shared" si="3"/>
        <v>209.00000000000031</v>
      </c>
      <c r="AC16" s="13">
        <f t="shared" si="3"/>
        <v>209.00000000000031</v>
      </c>
      <c r="AD16" s="13">
        <f t="shared" si="3"/>
        <v>198.00000000000031</v>
      </c>
      <c r="AE16" s="13">
        <f t="shared" si="3"/>
        <v>187.00000000000031</v>
      </c>
      <c r="AF16" s="13">
        <f t="shared" si="3"/>
        <v>176.00000000000031</v>
      </c>
      <c r="AG16" s="13">
        <f t="shared" si="3"/>
        <v>165.00000000000031</v>
      </c>
      <c r="AH16" s="13">
        <f t="shared" ref="AH16:BM16" si="4">SUM(AH14:AH15)</f>
        <v>154.00000000000031</v>
      </c>
      <c r="AI16" s="13">
        <f t="shared" si="4"/>
        <v>143.00000000000031</v>
      </c>
      <c r="AJ16" s="13">
        <f t="shared" si="4"/>
        <v>132.00000000000031</v>
      </c>
      <c r="AK16" s="13">
        <f t="shared" si="4"/>
        <v>121.00000000000031</v>
      </c>
      <c r="AL16" s="13">
        <f t="shared" si="4"/>
        <v>110.00000000000031</v>
      </c>
      <c r="AM16" s="13">
        <f t="shared" si="4"/>
        <v>99.000000000000313</v>
      </c>
      <c r="AN16" s="13">
        <f t="shared" si="4"/>
        <v>88.000000000000313</v>
      </c>
      <c r="AO16" s="13">
        <f t="shared" si="4"/>
        <v>77.000000000000313</v>
      </c>
      <c r="AP16" s="13">
        <f t="shared" si="4"/>
        <v>77.000000000000313</v>
      </c>
      <c r="AQ16" s="13">
        <f t="shared" si="4"/>
        <v>66.000000000000313</v>
      </c>
      <c r="AR16" s="13">
        <f t="shared" si="4"/>
        <v>55.000000000000313</v>
      </c>
      <c r="AS16" s="13">
        <f t="shared" si="4"/>
        <v>44.000000000000313</v>
      </c>
      <c r="AT16" s="13">
        <f t="shared" si="4"/>
        <v>33.000000000000313</v>
      </c>
      <c r="AU16" s="13">
        <f t="shared" si="4"/>
        <v>22.000000000000313</v>
      </c>
      <c r="AV16" s="13">
        <f t="shared" si="4"/>
        <v>11.000000000000313</v>
      </c>
      <c r="AW16" s="13">
        <f t="shared" si="4"/>
        <v>3.1263880373444408E-13</v>
      </c>
      <c r="AX16" s="13">
        <f t="shared" si="4"/>
        <v>3.1263880373444408E-13</v>
      </c>
      <c r="AY16" s="13">
        <f t="shared" si="4"/>
        <v>3.1263880373444408E-13</v>
      </c>
      <c r="AZ16" s="13">
        <f t="shared" si="4"/>
        <v>3.1263880373444408E-13</v>
      </c>
      <c r="BA16" s="13">
        <f t="shared" si="4"/>
        <v>0</v>
      </c>
      <c r="BB16" s="13">
        <f t="shared" si="4"/>
        <v>0</v>
      </c>
      <c r="BC16" s="13">
        <f t="shared" si="4"/>
        <v>0</v>
      </c>
      <c r="BD16" s="13">
        <f t="shared" si="4"/>
        <v>0</v>
      </c>
      <c r="BE16" s="13">
        <f t="shared" si="4"/>
        <v>0</v>
      </c>
      <c r="BF16" s="13">
        <f t="shared" si="4"/>
        <v>0</v>
      </c>
      <c r="BG16" s="13">
        <f t="shared" si="4"/>
        <v>0</v>
      </c>
      <c r="BH16" s="13">
        <f t="shared" si="4"/>
        <v>0</v>
      </c>
      <c r="BI16" s="13">
        <f t="shared" si="4"/>
        <v>0</v>
      </c>
      <c r="BJ16" s="13">
        <f t="shared" si="4"/>
        <v>0</v>
      </c>
      <c r="BK16" s="13">
        <f t="shared" si="4"/>
        <v>0</v>
      </c>
      <c r="BL16" s="13">
        <f t="shared" si="4"/>
        <v>0</v>
      </c>
      <c r="BM16" s="13">
        <f t="shared" si="4"/>
        <v>0</v>
      </c>
      <c r="BN16" s="13">
        <f t="shared" ref="BN16:CS16" si="5">SUM(BN14:BN15)</f>
        <v>0</v>
      </c>
      <c r="BO16" s="13">
        <f t="shared" si="5"/>
        <v>0</v>
      </c>
      <c r="BP16" s="13">
        <f t="shared" si="5"/>
        <v>0</v>
      </c>
      <c r="BQ16" s="13">
        <f t="shared" si="5"/>
        <v>0</v>
      </c>
      <c r="BR16" s="13">
        <f t="shared" si="5"/>
        <v>0</v>
      </c>
      <c r="BS16" s="13">
        <f t="shared" si="5"/>
        <v>0</v>
      </c>
      <c r="BT16" s="13">
        <f t="shared" si="5"/>
        <v>0</v>
      </c>
      <c r="BU16" s="13">
        <f t="shared" si="5"/>
        <v>0</v>
      </c>
      <c r="BV16" s="13">
        <f t="shared" si="5"/>
        <v>0</v>
      </c>
      <c r="BW16" s="13">
        <f t="shared" si="5"/>
        <v>0</v>
      </c>
      <c r="BX16" s="13">
        <f t="shared" si="5"/>
        <v>0</v>
      </c>
      <c r="BY16" s="13">
        <f t="shared" si="5"/>
        <v>0</v>
      </c>
      <c r="BZ16" s="13">
        <f t="shared" si="5"/>
        <v>0</v>
      </c>
      <c r="CA16" s="13">
        <f t="shared" si="5"/>
        <v>0</v>
      </c>
      <c r="CB16" s="13">
        <f t="shared" si="5"/>
        <v>0</v>
      </c>
      <c r="CC16" s="13">
        <f t="shared" si="5"/>
        <v>0</v>
      </c>
      <c r="CD16" s="13">
        <f t="shared" si="5"/>
        <v>0</v>
      </c>
      <c r="CE16" s="13">
        <f t="shared" si="5"/>
        <v>0</v>
      </c>
      <c r="CF16" s="13">
        <f t="shared" si="5"/>
        <v>0</v>
      </c>
      <c r="CG16" s="13">
        <f t="shared" si="5"/>
        <v>0</v>
      </c>
      <c r="CH16" s="13">
        <f t="shared" si="5"/>
        <v>0</v>
      </c>
      <c r="CI16" s="13">
        <f t="shared" si="5"/>
        <v>0</v>
      </c>
      <c r="CJ16" s="13">
        <f t="shared" si="5"/>
        <v>0</v>
      </c>
      <c r="CK16" s="13">
        <f t="shared" si="5"/>
        <v>0</v>
      </c>
    </row>
    <row r="17" spans="1:89" x14ac:dyDescent="0.2">
      <c r="A17" s="14" t="s">
        <v>104</v>
      </c>
      <c r="B17" s="15">
        <f t="shared" ref="B17:AG17" si="6">0+B12+B16+0</f>
        <v>8426</v>
      </c>
      <c r="C17" s="15">
        <f t="shared" si="6"/>
        <v>8426</v>
      </c>
      <c r="D17" s="15">
        <f t="shared" si="6"/>
        <v>7703.87</v>
      </c>
      <c r="E17" s="15">
        <f t="shared" si="6"/>
        <v>6990.43</v>
      </c>
      <c r="F17" s="15">
        <f t="shared" si="6"/>
        <v>6538.9500000000007</v>
      </c>
      <c r="G17" s="15">
        <f t="shared" si="6"/>
        <v>5805.1200000000008</v>
      </c>
      <c r="H17" s="15">
        <f t="shared" si="6"/>
        <v>5167.7800000000007</v>
      </c>
      <c r="I17" s="15">
        <f t="shared" si="6"/>
        <v>21527.539999999997</v>
      </c>
      <c r="J17" s="15">
        <f t="shared" si="6"/>
        <v>20454.580000000002</v>
      </c>
      <c r="K17" s="15">
        <f t="shared" si="6"/>
        <v>19080.759999999998</v>
      </c>
      <c r="L17" s="15">
        <f t="shared" si="6"/>
        <v>29582.82</v>
      </c>
      <c r="M17" s="15">
        <f t="shared" si="6"/>
        <v>27903.02</v>
      </c>
      <c r="N17" s="15">
        <f t="shared" si="6"/>
        <v>26450</v>
      </c>
      <c r="O17" s="15">
        <f t="shared" si="6"/>
        <v>27095</v>
      </c>
      <c r="P17" s="15">
        <f t="shared" si="6"/>
        <v>27095</v>
      </c>
      <c r="Q17" s="15">
        <f t="shared" si="6"/>
        <v>26204.510000000002</v>
      </c>
      <c r="R17" s="15">
        <f t="shared" si="6"/>
        <v>25314.02</v>
      </c>
      <c r="S17" s="15">
        <f t="shared" si="6"/>
        <v>24423.530000000002</v>
      </c>
      <c r="T17" s="15">
        <f t="shared" si="6"/>
        <v>23533.040000000001</v>
      </c>
      <c r="U17" s="15">
        <f t="shared" si="6"/>
        <v>22642.510000000002</v>
      </c>
      <c r="V17" s="15">
        <f t="shared" si="6"/>
        <v>21752.030000000002</v>
      </c>
      <c r="W17" s="15">
        <f t="shared" si="6"/>
        <v>20861.500000000004</v>
      </c>
      <c r="X17" s="15">
        <f t="shared" si="6"/>
        <v>20195.02</v>
      </c>
      <c r="Y17" s="15">
        <f t="shared" si="6"/>
        <v>35255.300000000003</v>
      </c>
      <c r="Z17" s="15">
        <f t="shared" si="6"/>
        <v>29408.720000000005</v>
      </c>
      <c r="AA17" s="15">
        <f t="shared" si="6"/>
        <v>23562.120000000003</v>
      </c>
      <c r="AB17" s="15">
        <f t="shared" si="6"/>
        <v>14096</v>
      </c>
      <c r="AC17" s="15">
        <f t="shared" si="6"/>
        <v>14096</v>
      </c>
      <c r="AD17" s="15">
        <f t="shared" si="6"/>
        <v>13341.85</v>
      </c>
      <c r="AE17" s="15">
        <f t="shared" si="6"/>
        <v>12615.130000000001</v>
      </c>
      <c r="AF17" s="15">
        <f t="shared" si="6"/>
        <v>11858.240000000002</v>
      </c>
      <c r="AG17" s="15">
        <f t="shared" si="6"/>
        <v>11101.350000000002</v>
      </c>
      <c r="AH17" s="15">
        <f t="shared" ref="AH17:BM17" si="7">0+AH12+AH16+0</f>
        <v>10344.450000000003</v>
      </c>
      <c r="AI17" s="15">
        <f t="shared" si="7"/>
        <v>9587.5600000000031</v>
      </c>
      <c r="AJ17" s="15">
        <f t="shared" si="7"/>
        <v>8830.6500000000033</v>
      </c>
      <c r="AK17" s="15">
        <f t="shared" si="7"/>
        <v>8073.7600000000029</v>
      </c>
      <c r="AL17" s="15">
        <f t="shared" si="7"/>
        <v>7316.8700000000026</v>
      </c>
      <c r="AM17" s="15">
        <f t="shared" si="7"/>
        <v>6559.9800000000023</v>
      </c>
      <c r="AN17" s="15">
        <f t="shared" si="7"/>
        <v>5803.0700000000024</v>
      </c>
      <c r="AO17" s="15">
        <f t="shared" si="7"/>
        <v>5058.0000000000027</v>
      </c>
      <c r="AP17" s="15">
        <f t="shared" si="7"/>
        <v>5058.0000000000027</v>
      </c>
      <c r="AQ17" s="15">
        <f t="shared" si="7"/>
        <v>4315.8200000000024</v>
      </c>
      <c r="AR17" s="15">
        <f t="shared" si="7"/>
        <v>3573.6400000000031</v>
      </c>
      <c r="AS17" s="15">
        <f t="shared" si="7"/>
        <v>2831.4600000000032</v>
      </c>
      <c r="AT17" s="15">
        <f t="shared" si="7"/>
        <v>2089.2800000000034</v>
      </c>
      <c r="AU17" s="15">
        <f t="shared" si="7"/>
        <v>1347.1000000000033</v>
      </c>
      <c r="AV17" s="15">
        <f t="shared" si="7"/>
        <v>945.12000000000342</v>
      </c>
      <c r="AW17" s="15">
        <f t="shared" si="7"/>
        <v>543.15000000000339</v>
      </c>
      <c r="AX17" s="15">
        <f t="shared" si="7"/>
        <v>152.18000000000333</v>
      </c>
      <c r="AY17" s="15">
        <f t="shared" si="7"/>
        <v>101.45000000000331</v>
      </c>
      <c r="AZ17" s="15">
        <f t="shared" si="7"/>
        <v>50.730000000003287</v>
      </c>
      <c r="BA17" s="15">
        <f t="shared" si="7"/>
        <v>0</v>
      </c>
      <c r="BB17" s="15">
        <f t="shared" si="7"/>
        <v>0</v>
      </c>
      <c r="BC17" s="15">
        <f t="shared" si="7"/>
        <v>0</v>
      </c>
      <c r="BD17" s="15">
        <f t="shared" si="7"/>
        <v>0</v>
      </c>
      <c r="BE17" s="15">
        <f t="shared" si="7"/>
        <v>0</v>
      </c>
      <c r="BF17" s="15">
        <f t="shared" si="7"/>
        <v>0</v>
      </c>
      <c r="BG17" s="15">
        <f t="shared" si="7"/>
        <v>0</v>
      </c>
      <c r="BH17" s="15">
        <f t="shared" si="7"/>
        <v>0</v>
      </c>
      <c r="BI17" s="15">
        <f t="shared" si="7"/>
        <v>1361.1100000000079</v>
      </c>
      <c r="BJ17" s="15">
        <f t="shared" si="7"/>
        <v>1322.2200000000084</v>
      </c>
      <c r="BK17" s="15">
        <f t="shared" si="7"/>
        <v>1283.330000000009</v>
      </c>
      <c r="BL17" s="15">
        <f t="shared" si="7"/>
        <v>1244.4400000000096</v>
      </c>
      <c r="BM17" s="15">
        <f t="shared" si="7"/>
        <v>1205.5500000000102</v>
      </c>
      <c r="BN17" s="15">
        <f t="shared" ref="BN17:CS17" si="8">0+BN12+BN16+0</f>
        <v>1166.6600000000108</v>
      </c>
      <c r="BO17" s="15">
        <f t="shared" si="8"/>
        <v>1127.7700000000114</v>
      </c>
      <c r="BP17" s="15">
        <f t="shared" si="8"/>
        <v>1088.8800000000119</v>
      </c>
      <c r="BQ17" s="15">
        <f t="shared" si="8"/>
        <v>1049.9900000000125</v>
      </c>
      <c r="BR17" s="15">
        <f t="shared" si="8"/>
        <v>1011.1000000000131</v>
      </c>
      <c r="BS17" s="15">
        <f t="shared" si="8"/>
        <v>972.21000000001368</v>
      </c>
      <c r="BT17" s="15">
        <f t="shared" si="8"/>
        <v>933.32000000001426</v>
      </c>
      <c r="BU17" s="15">
        <f t="shared" si="8"/>
        <v>894.43000000001484</v>
      </c>
      <c r="BV17" s="15">
        <f t="shared" si="8"/>
        <v>855.54000000001543</v>
      </c>
      <c r="BW17" s="15">
        <f t="shared" si="8"/>
        <v>816.65000000001601</v>
      </c>
      <c r="BX17" s="15">
        <f t="shared" si="8"/>
        <v>777.76000000001659</v>
      </c>
      <c r="BY17" s="15">
        <f t="shared" si="8"/>
        <v>738.87000000001717</v>
      </c>
      <c r="BZ17" s="15">
        <f t="shared" si="8"/>
        <v>699.98000000001775</v>
      </c>
      <c r="CA17" s="15">
        <f t="shared" si="8"/>
        <v>661.09000000001834</v>
      </c>
      <c r="CB17" s="15">
        <f t="shared" si="8"/>
        <v>661.09000000001834</v>
      </c>
      <c r="CC17" s="15">
        <f t="shared" si="8"/>
        <v>622.20000000001892</v>
      </c>
      <c r="CD17" s="15">
        <f t="shared" si="8"/>
        <v>583.3100000000195</v>
      </c>
      <c r="CE17" s="15">
        <f t="shared" si="8"/>
        <v>544.42000000002008</v>
      </c>
      <c r="CF17" s="15">
        <f t="shared" si="8"/>
        <v>505.53000000002066</v>
      </c>
      <c r="CG17" s="15">
        <f t="shared" si="8"/>
        <v>466.64000000002125</v>
      </c>
      <c r="CH17" s="15">
        <f t="shared" si="8"/>
        <v>427.75000000002183</v>
      </c>
      <c r="CI17" s="15">
        <f t="shared" si="8"/>
        <v>388.86000000002241</v>
      </c>
      <c r="CJ17" s="15">
        <f t="shared" si="8"/>
        <v>388.86000000002241</v>
      </c>
      <c r="CK17" s="15">
        <f t="shared" si="8"/>
        <v>388.86000000002241</v>
      </c>
    </row>
    <row r="18" spans="1:89" x14ac:dyDescent="0.2">
      <c r="A18" s="7" t="s">
        <v>105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</row>
    <row r="19" spans="1:89" x14ac:dyDescent="0.2">
      <c r="A19" s="9" t="s">
        <v>106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</row>
    <row r="20" spans="1:89" x14ac:dyDescent="0.2">
      <c r="A20" s="10" t="s">
        <v>107</v>
      </c>
      <c r="B20" s="16">
        <v>2660</v>
      </c>
      <c r="C20" s="16">
        <v>2660</v>
      </c>
      <c r="D20" s="16">
        <v>2614.08</v>
      </c>
      <c r="E20" s="16">
        <v>2568.16</v>
      </c>
      <c r="F20" s="16">
        <v>2522.2399999999998</v>
      </c>
      <c r="G20" s="16">
        <v>2476.3199999999997</v>
      </c>
      <c r="H20" s="16">
        <v>2430.3999999999996</v>
      </c>
      <c r="I20" s="16">
        <v>2384.4899999999998</v>
      </c>
      <c r="J20" s="16">
        <v>2338.5699999999997</v>
      </c>
      <c r="K20" s="16">
        <v>2292.66</v>
      </c>
      <c r="L20" s="16">
        <v>2246.7399999999998</v>
      </c>
      <c r="M20" s="16">
        <v>2870.6699999999996</v>
      </c>
      <c r="N20" s="16">
        <v>2808.5999999999995</v>
      </c>
      <c r="O20" s="16">
        <v>2636.9999999999995</v>
      </c>
      <c r="P20" s="16">
        <v>2636.9999999999995</v>
      </c>
      <c r="Q20" s="16">
        <v>2575.0799999999995</v>
      </c>
      <c r="R20" s="16">
        <v>2513.1599999999994</v>
      </c>
      <c r="S20" s="16">
        <v>2451.2399999999993</v>
      </c>
      <c r="T20" s="16">
        <v>2389.3199999999993</v>
      </c>
      <c r="U20" s="16">
        <v>2327.3999999999992</v>
      </c>
      <c r="V20" s="16">
        <v>2265.4899999999993</v>
      </c>
      <c r="W20" s="16">
        <v>2203.5699999999993</v>
      </c>
      <c r="X20" s="16">
        <v>2141.6599999999994</v>
      </c>
      <c r="Y20" s="16">
        <v>2079.7399999999993</v>
      </c>
      <c r="Z20" s="16">
        <v>2017.8299999999992</v>
      </c>
      <c r="AA20" s="16">
        <v>1955.9199999999992</v>
      </c>
      <c r="AB20" s="16">
        <v>1893.9999999999991</v>
      </c>
      <c r="AC20" s="16">
        <v>1893.9999999999991</v>
      </c>
      <c r="AD20" s="16">
        <v>1832.1699999999992</v>
      </c>
      <c r="AE20" s="16">
        <v>1770.3399999999992</v>
      </c>
      <c r="AF20" s="16">
        <v>1708.5099999999993</v>
      </c>
      <c r="AG20" s="16">
        <v>1646.6799999999994</v>
      </c>
      <c r="AH20" s="16">
        <v>1584.8399999999995</v>
      </c>
      <c r="AI20" s="16">
        <v>1523.0099999999995</v>
      </c>
      <c r="AJ20" s="16">
        <v>4157.3999999999996</v>
      </c>
      <c r="AK20" s="16">
        <v>4074.72</v>
      </c>
      <c r="AL20" s="16">
        <v>3992.04</v>
      </c>
      <c r="AM20" s="16">
        <v>3909.36</v>
      </c>
      <c r="AN20" s="16">
        <v>3826.6800000000003</v>
      </c>
      <c r="AO20" s="16">
        <v>3744.0000000000005</v>
      </c>
      <c r="AP20" s="16">
        <v>3744.0000000000005</v>
      </c>
      <c r="AQ20" s="16">
        <v>3661.3300000000004</v>
      </c>
      <c r="AR20" s="16">
        <v>3578.6600000000003</v>
      </c>
      <c r="AS20" s="16">
        <v>3495.9900000000002</v>
      </c>
      <c r="AT20" s="16">
        <v>3413.32</v>
      </c>
      <c r="AU20" s="16">
        <v>3330.6600000000003</v>
      </c>
      <c r="AV20" s="16">
        <v>3247.9900000000002</v>
      </c>
      <c r="AW20" s="16">
        <v>3247.9900000000002</v>
      </c>
      <c r="AX20" s="16">
        <v>3247.9900000000002</v>
      </c>
      <c r="AY20" s="16">
        <v>3247.9900000000002</v>
      </c>
      <c r="AZ20" s="16">
        <v>3247.9900000000002</v>
      </c>
      <c r="BA20" s="16">
        <v>8000.08</v>
      </c>
      <c r="BB20" s="16">
        <v>8000.09</v>
      </c>
      <c r="BC20" s="16">
        <v>8000.09</v>
      </c>
      <c r="BD20" s="16">
        <v>8000.09</v>
      </c>
      <c r="BE20" s="16">
        <v>8000.09</v>
      </c>
      <c r="BF20" s="16">
        <v>8000.09</v>
      </c>
      <c r="BG20" s="16">
        <v>8000.09</v>
      </c>
      <c r="BH20" s="16">
        <v>8000.09</v>
      </c>
      <c r="BI20" s="16">
        <v>8000.09</v>
      </c>
      <c r="BJ20" s="16">
        <v>8000.09</v>
      </c>
      <c r="BK20" s="16">
        <v>8000.09</v>
      </c>
      <c r="BL20" s="16">
        <v>8000.09</v>
      </c>
      <c r="BM20" s="16">
        <v>8000.09</v>
      </c>
      <c r="BN20" s="16">
        <v>8000.09</v>
      </c>
      <c r="BO20" s="16">
        <v>8000.09</v>
      </c>
      <c r="BP20" s="16">
        <v>8000.09</v>
      </c>
      <c r="BQ20" s="16">
        <v>8000.09</v>
      </c>
      <c r="BR20" s="16">
        <v>8000.09</v>
      </c>
      <c r="BS20" s="16">
        <v>8000.09</v>
      </c>
      <c r="BT20" s="16">
        <v>8000.09</v>
      </c>
      <c r="BU20" s="16">
        <v>8000.09</v>
      </c>
      <c r="BV20" s="16">
        <v>8000.09</v>
      </c>
      <c r="BW20" s="16">
        <v>8000.09</v>
      </c>
      <c r="BX20" s="16">
        <v>8000.09</v>
      </c>
      <c r="BY20" s="16">
        <v>8000.09</v>
      </c>
      <c r="BZ20" s="16">
        <v>8000.09</v>
      </c>
      <c r="CA20" s="16">
        <v>8000.09</v>
      </c>
      <c r="CB20" s="16">
        <v>8000.09</v>
      </c>
      <c r="CC20" s="16">
        <v>8000.09</v>
      </c>
      <c r="CD20" s="16">
        <v>8000.09</v>
      </c>
      <c r="CE20" s="16">
        <v>8000.09</v>
      </c>
      <c r="CF20" s="16">
        <v>8000.09</v>
      </c>
      <c r="CG20" s="16">
        <v>8000.09</v>
      </c>
      <c r="CH20" s="16">
        <v>8000.09</v>
      </c>
      <c r="CI20" s="16">
        <v>8000.09</v>
      </c>
      <c r="CJ20" s="16">
        <v>8000.09</v>
      </c>
      <c r="CK20" s="16">
        <v>8000.09</v>
      </c>
    </row>
    <row r="21" spans="1:89" x14ac:dyDescent="0.2">
      <c r="A21" s="10" t="s">
        <v>108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-82.67</v>
      </c>
      <c r="AX21" s="16">
        <v>-165.32999999999998</v>
      </c>
      <c r="AY21" s="16">
        <v>-247.98999999999998</v>
      </c>
      <c r="AZ21" s="16">
        <v>-314.65999999999997</v>
      </c>
      <c r="BA21" s="16">
        <v>-5133.42</v>
      </c>
      <c r="BB21" s="16">
        <v>-5200.09</v>
      </c>
      <c r="BC21" s="16">
        <v>-5200.09</v>
      </c>
      <c r="BD21" s="16">
        <v>-5266.76</v>
      </c>
      <c r="BE21" s="16">
        <v>-5333.43</v>
      </c>
      <c r="BF21" s="16">
        <v>-5400.1</v>
      </c>
      <c r="BG21" s="16">
        <v>-5466.77</v>
      </c>
      <c r="BH21" s="16">
        <v>-5533.4400000000005</v>
      </c>
      <c r="BI21" s="16">
        <v>-5600.1100000000006</v>
      </c>
      <c r="BJ21" s="16">
        <v>-5666.7800000000007</v>
      </c>
      <c r="BK21" s="16">
        <v>-5733.4500000000007</v>
      </c>
      <c r="BL21" s="16">
        <v>-5800.1200000000008</v>
      </c>
      <c r="BM21" s="16">
        <v>-5866.7900000000009</v>
      </c>
      <c r="BN21" s="16">
        <v>-5933.4600000000009</v>
      </c>
      <c r="BO21" s="16">
        <v>-6000.130000000001</v>
      </c>
      <c r="BP21" s="16">
        <v>-6066.8000000000011</v>
      </c>
      <c r="BQ21" s="16">
        <v>-6133.4600000000009</v>
      </c>
      <c r="BR21" s="16">
        <v>-6200.1200000000008</v>
      </c>
      <c r="BS21" s="16">
        <v>-6266.7900000000009</v>
      </c>
      <c r="BT21" s="16">
        <v>-6333.4500000000007</v>
      </c>
      <c r="BU21" s="16">
        <v>-6400.1200000000008</v>
      </c>
      <c r="BV21" s="16">
        <v>-6466.7900000000009</v>
      </c>
      <c r="BW21" s="16">
        <v>-6533.4500000000007</v>
      </c>
      <c r="BX21" s="16">
        <v>-6600.1200000000008</v>
      </c>
      <c r="BY21" s="16">
        <v>-6666.7800000000007</v>
      </c>
      <c r="BZ21" s="16">
        <v>-6733.4400000000005</v>
      </c>
      <c r="CA21" s="16">
        <v>-6800.1100000000006</v>
      </c>
      <c r="CB21" s="16">
        <v>-6800.1100000000006</v>
      </c>
      <c r="CC21" s="16">
        <v>-6866.7800000000007</v>
      </c>
      <c r="CD21" s="16">
        <v>-6933.4400000000005</v>
      </c>
      <c r="CE21" s="16">
        <v>-7000.1100000000006</v>
      </c>
      <c r="CF21" s="16">
        <v>-7066.77</v>
      </c>
      <c r="CG21" s="16">
        <v>-7133.43</v>
      </c>
      <c r="CH21" s="16">
        <v>-7200.1</v>
      </c>
      <c r="CI21" s="16">
        <v>-7266.77</v>
      </c>
      <c r="CJ21" s="16">
        <v>-7266.77</v>
      </c>
      <c r="CK21" s="16">
        <v>-7266.77</v>
      </c>
    </row>
    <row r="22" spans="1:89" x14ac:dyDescent="0.2">
      <c r="A22" s="10" t="s">
        <v>109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576.46</v>
      </c>
      <c r="BB22" s="16">
        <v>576.46</v>
      </c>
      <c r="BC22" s="16">
        <v>576.46</v>
      </c>
      <c r="BD22" s="16">
        <v>576.46</v>
      </c>
      <c r="BE22" s="16">
        <v>576.46</v>
      </c>
      <c r="BF22" s="16">
        <v>576.46</v>
      </c>
      <c r="BG22" s="16">
        <v>576.46</v>
      </c>
      <c r="BH22" s="16">
        <v>576.46</v>
      </c>
      <c r="BI22" s="16">
        <v>576.46</v>
      </c>
      <c r="BJ22" s="16">
        <v>576.46</v>
      </c>
      <c r="BK22" s="16">
        <v>576.46</v>
      </c>
      <c r="BL22" s="16">
        <v>576.46</v>
      </c>
      <c r="BM22" s="16">
        <v>576.46</v>
      </c>
      <c r="BN22" s="16">
        <v>576.46</v>
      </c>
      <c r="BO22" s="16">
        <v>576.46</v>
      </c>
      <c r="BP22" s="16">
        <v>576.46</v>
      </c>
      <c r="BQ22" s="16">
        <v>576.46</v>
      </c>
      <c r="BR22" s="16">
        <v>576.46</v>
      </c>
      <c r="BS22" s="16">
        <v>576.46</v>
      </c>
      <c r="BT22" s="16">
        <v>576.46</v>
      </c>
      <c r="BU22" s="16">
        <v>576.46</v>
      </c>
      <c r="BV22" s="16">
        <v>576.46</v>
      </c>
      <c r="BW22" s="16">
        <v>576.46</v>
      </c>
      <c r="BX22" s="16">
        <v>576.46</v>
      </c>
      <c r="BY22" s="16">
        <v>576.46</v>
      </c>
      <c r="BZ22" s="16">
        <v>576.46</v>
      </c>
      <c r="CA22" s="16">
        <v>576.46</v>
      </c>
      <c r="CB22" s="16">
        <v>576.46</v>
      </c>
      <c r="CC22" s="16">
        <v>576.46</v>
      </c>
      <c r="CD22" s="16">
        <v>576.46</v>
      </c>
      <c r="CE22" s="16">
        <v>576.46</v>
      </c>
      <c r="CF22" s="16">
        <v>576.46</v>
      </c>
      <c r="CG22" s="16">
        <v>576.46</v>
      </c>
      <c r="CH22" s="16">
        <v>576.46</v>
      </c>
      <c r="CI22" s="16">
        <v>576.46</v>
      </c>
      <c r="CJ22" s="16">
        <v>576.46</v>
      </c>
      <c r="CK22" s="16">
        <v>576.46</v>
      </c>
    </row>
    <row r="23" spans="1:89" x14ac:dyDescent="0.2">
      <c r="A23" s="10" t="s">
        <v>110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-576.46</v>
      </c>
      <c r="BB23" s="16">
        <v>-576.46</v>
      </c>
      <c r="BC23" s="16">
        <v>-576.46</v>
      </c>
      <c r="BD23" s="16">
        <v>-576.46</v>
      </c>
      <c r="BE23" s="16">
        <v>-576.46</v>
      </c>
      <c r="BF23" s="16">
        <v>-576.46</v>
      </c>
      <c r="BG23" s="16">
        <v>-576.46</v>
      </c>
      <c r="BH23" s="16">
        <v>-576.46</v>
      </c>
      <c r="BI23" s="16">
        <v>-576.46</v>
      </c>
      <c r="BJ23" s="16">
        <v>-576.46</v>
      </c>
      <c r="BK23" s="16">
        <v>-576.46</v>
      </c>
      <c r="BL23" s="16">
        <v>-576.46</v>
      </c>
      <c r="BM23" s="16">
        <v>-576.46</v>
      </c>
      <c r="BN23" s="16">
        <v>-576.46</v>
      </c>
      <c r="BO23" s="16">
        <v>-576.46</v>
      </c>
      <c r="BP23" s="16">
        <v>-576.46</v>
      </c>
      <c r="BQ23" s="16">
        <v>-576.46</v>
      </c>
      <c r="BR23" s="16">
        <v>-576.46</v>
      </c>
      <c r="BS23" s="16">
        <v>-576.46</v>
      </c>
      <c r="BT23" s="16">
        <v>-576.46</v>
      </c>
      <c r="BU23" s="16">
        <v>-576.46</v>
      </c>
      <c r="BV23" s="16">
        <v>-576.46</v>
      </c>
      <c r="BW23" s="16">
        <v>-576.46</v>
      </c>
      <c r="BX23" s="16">
        <v>-576.46</v>
      </c>
      <c r="BY23" s="16">
        <v>-576.46</v>
      </c>
      <c r="BZ23" s="16">
        <v>-576.46</v>
      </c>
      <c r="CA23" s="16">
        <v>-576.46</v>
      </c>
      <c r="CB23" s="16">
        <v>-576.46</v>
      </c>
      <c r="CC23" s="16">
        <v>-576.46</v>
      </c>
      <c r="CD23" s="16">
        <v>-576.46</v>
      </c>
      <c r="CE23" s="16">
        <v>-576.46</v>
      </c>
      <c r="CF23" s="16">
        <v>-576.46</v>
      </c>
      <c r="CG23" s="16">
        <v>-576.46</v>
      </c>
      <c r="CH23" s="16">
        <v>-576.46</v>
      </c>
      <c r="CI23" s="16">
        <v>-576.46</v>
      </c>
      <c r="CJ23" s="16">
        <v>-576.46</v>
      </c>
      <c r="CK23" s="16">
        <v>-576.46</v>
      </c>
    </row>
    <row r="24" spans="1:89" x14ac:dyDescent="0.2">
      <c r="A24" s="10" t="s">
        <v>111</v>
      </c>
      <c r="B24" s="16">
        <v>2333</v>
      </c>
      <c r="C24" s="16">
        <v>0</v>
      </c>
      <c r="D24" s="16">
        <v>-66.67</v>
      </c>
      <c r="E24" s="16">
        <v>-133.34</v>
      </c>
      <c r="F24" s="16">
        <v>-200.01</v>
      </c>
      <c r="G24" s="16">
        <v>-266.68</v>
      </c>
      <c r="H24" s="16">
        <v>-333.34000000000003</v>
      </c>
      <c r="I24" s="16">
        <v>-400.01000000000005</v>
      </c>
      <c r="J24" s="16">
        <v>-466.68000000000006</v>
      </c>
      <c r="K24" s="16">
        <v>-533.34</v>
      </c>
      <c r="L24" s="16">
        <v>-600</v>
      </c>
      <c r="M24" s="16">
        <v>-666.67</v>
      </c>
      <c r="N24" s="16">
        <v>-733.33999999999992</v>
      </c>
      <c r="O24" s="16">
        <v>-799.99999999999989</v>
      </c>
      <c r="P24" s="16">
        <v>1.1368683772161603E-13</v>
      </c>
      <c r="Q24" s="16">
        <v>-66.669999999999888</v>
      </c>
      <c r="R24" s="16">
        <v>-133.33999999999989</v>
      </c>
      <c r="S24" s="16">
        <v>-200.00999999999988</v>
      </c>
      <c r="T24" s="16">
        <v>-266.67999999999989</v>
      </c>
      <c r="U24" s="16">
        <v>-333.33999999999992</v>
      </c>
      <c r="V24" s="16">
        <v>-400.00999999999993</v>
      </c>
      <c r="W24" s="16">
        <v>-466.67999999999995</v>
      </c>
      <c r="X24" s="16">
        <v>-533.33999999999992</v>
      </c>
      <c r="Y24" s="16">
        <v>-599.99999999999989</v>
      </c>
      <c r="Z24" s="16">
        <v>-666.66999999999985</v>
      </c>
      <c r="AA24" s="16">
        <v>-733.3399999999998</v>
      </c>
      <c r="AB24" s="16">
        <v>-799.99999999999977</v>
      </c>
      <c r="AC24" s="16">
        <v>2.2737367544323206E-13</v>
      </c>
      <c r="AD24" s="16">
        <v>-66.639999999999773</v>
      </c>
      <c r="AE24" s="16">
        <v>-133.27999999999977</v>
      </c>
      <c r="AF24" s="16">
        <v>-199.91999999999979</v>
      </c>
      <c r="AG24" s="16">
        <v>-266.55999999999977</v>
      </c>
      <c r="AH24" s="16">
        <v>-333.18999999999977</v>
      </c>
      <c r="AI24" s="16">
        <v>-399.82999999999976</v>
      </c>
      <c r="AJ24" s="16">
        <v>-466.45999999999975</v>
      </c>
      <c r="AK24" s="16">
        <v>-533.0999999999998</v>
      </c>
      <c r="AL24" s="16">
        <v>-599.72999999999979</v>
      </c>
      <c r="AM24" s="16">
        <v>-666.35999999999979</v>
      </c>
      <c r="AN24" s="16">
        <v>-732.99999999999977</v>
      </c>
      <c r="AO24" s="16">
        <v>-732.99999999999977</v>
      </c>
      <c r="AP24" s="16">
        <v>2.2737367544323206E-13</v>
      </c>
      <c r="AQ24" s="16">
        <v>2.2737367544323206E-13</v>
      </c>
      <c r="AR24" s="16">
        <v>2.2737367544323206E-13</v>
      </c>
      <c r="AS24" s="16">
        <v>2.2737367544323206E-13</v>
      </c>
      <c r="AT24" s="16">
        <v>2.2737367544323206E-13</v>
      </c>
      <c r="AU24" s="16">
        <v>2.2737367544323206E-13</v>
      </c>
      <c r="AV24" s="16">
        <v>2.2737367544323206E-13</v>
      </c>
      <c r="AW24" s="16">
        <v>2.2737367544323206E-13</v>
      </c>
      <c r="AX24" s="16">
        <v>2.2737367544323206E-13</v>
      </c>
      <c r="AY24" s="16">
        <v>2.2737367544323206E-13</v>
      </c>
      <c r="AZ24" s="16">
        <v>2.2737367544323206E-13</v>
      </c>
      <c r="BA24" s="16">
        <v>2.2737367544323206E-13</v>
      </c>
      <c r="BB24" s="16">
        <v>2.2737367544323206E-13</v>
      </c>
      <c r="BC24" s="16">
        <v>2.2737367544323206E-13</v>
      </c>
      <c r="BD24" s="16">
        <v>2.2737367544323206E-13</v>
      </c>
      <c r="BE24" s="16">
        <v>2.2737367544323206E-13</v>
      </c>
      <c r="BF24" s="16">
        <v>2.2737367544323206E-13</v>
      </c>
      <c r="BG24" s="16">
        <v>2.2737367544323206E-13</v>
      </c>
      <c r="BH24" s="16">
        <v>2.2737367544323206E-13</v>
      </c>
      <c r="BI24" s="16">
        <v>2.2737367544323206E-13</v>
      </c>
      <c r="BJ24" s="16">
        <v>2.2737367544323206E-13</v>
      </c>
      <c r="BK24" s="16">
        <v>2.2737367544323206E-13</v>
      </c>
      <c r="BL24" s="16">
        <v>2.2737367544323206E-13</v>
      </c>
      <c r="BM24" s="16">
        <v>2.2737367544323206E-13</v>
      </c>
      <c r="BN24" s="16">
        <v>2.2737367544323206E-13</v>
      </c>
      <c r="BO24" s="16">
        <v>2.2737367544323206E-13</v>
      </c>
      <c r="BP24" s="16">
        <v>2.2737367544323206E-13</v>
      </c>
      <c r="BQ24" s="16">
        <v>2.2737367544323206E-13</v>
      </c>
      <c r="BR24" s="16">
        <v>2.2737367544323206E-13</v>
      </c>
      <c r="BS24" s="16">
        <v>2.2737367544323206E-13</v>
      </c>
      <c r="BT24" s="16">
        <v>2.2737367544323206E-13</v>
      </c>
      <c r="BU24" s="16">
        <v>2.2737367544323206E-13</v>
      </c>
      <c r="BV24" s="16">
        <v>2.2737367544323206E-13</v>
      </c>
      <c r="BW24" s="16">
        <v>2.2737367544323206E-13</v>
      </c>
      <c r="BX24" s="16">
        <v>2.2737367544323206E-13</v>
      </c>
      <c r="BY24" s="16">
        <v>2.2737367544323206E-13</v>
      </c>
      <c r="BZ24" s="16">
        <v>2.2737367544323206E-13</v>
      </c>
      <c r="CA24" s="16">
        <v>2.2737367544323206E-13</v>
      </c>
      <c r="CB24" s="16">
        <v>2.2737367544323206E-13</v>
      </c>
      <c r="CC24" s="16">
        <v>2.2737367544323206E-13</v>
      </c>
      <c r="CD24" s="16">
        <v>2.2737367544323206E-13</v>
      </c>
      <c r="CE24" s="16">
        <v>2.2737367544323206E-13</v>
      </c>
      <c r="CF24" s="16">
        <v>2.2737367544323206E-13</v>
      </c>
      <c r="CG24" s="16">
        <v>2.2737367544323206E-13</v>
      </c>
      <c r="CH24" s="16">
        <v>2.2737367544323206E-13</v>
      </c>
      <c r="CI24" s="16">
        <v>2.2737367544323206E-13</v>
      </c>
      <c r="CJ24" s="16">
        <v>2.2737367544323206E-13</v>
      </c>
      <c r="CK24" s="16">
        <v>2.2737367544323206E-13</v>
      </c>
    </row>
    <row r="25" spans="1:89" x14ac:dyDescent="0.2">
      <c r="A25" s="12" t="s">
        <v>112</v>
      </c>
      <c r="B25" s="13">
        <f t="shared" ref="B25:AG25" si="9">SUM(B20:B24)</f>
        <v>4993</v>
      </c>
      <c r="C25" s="13">
        <f t="shared" si="9"/>
        <v>2660</v>
      </c>
      <c r="D25" s="13">
        <f t="shared" si="9"/>
        <v>2547.41</v>
      </c>
      <c r="E25" s="13">
        <f t="shared" si="9"/>
        <v>2434.8199999999997</v>
      </c>
      <c r="F25" s="13">
        <f t="shared" si="9"/>
        <v>2322.2299999999996</v>
      </c>
      <c r="G25" s="13">
        <f t="shared" si="9"/>
        <v>2209.64</v>
      </c>
      <c r="H25" s="13">
        <f t="shared" si="9"/>
        <v>2097.0599999999995</v>
      </c>
      <c r="I25" s="13">
        <f t="shared" si="9"/>
        <v>1984.4799999999998</v>
      </c>
      <c r="J25" s="13">
        <f t="shared" si="9"/>
        <v>1871.8899999999996</v>
      </c>
      <c r="K25" s="13">
        <f t="shared" si="9"/>
        <v>1759.3199999999997</v>
      </c>
      <c r="L25" s="13">
        <f t="shared" si="9"/>
        <v>1646.7399999999998</v>
      </c>
      <c r="M25" s="13">
        <f t="shared" si="9"/>
        <v>2203.9999999999995</v>
      </c>
      <c r="N25" s="13">
        <f t="shared" si="9"/>
        <v>2075.2599999999993</v>
      </c>
      <c r="O25" s="13">
        <f t="shared" si="9"/>
        <v>1836.9999999999995</v>
      </c>
      <c r="P25" s="13">
        <f t="shared" si="9"/>
        <v>2636.9999999999995</v>
      </c>
      <c r="Q25" s="13">
        <f t="shared" si="9"/>
        <v>2508.4099999999994</v>
      </c>
      <c r="R25" s="13">
        <f t="shared" si="9"/>
        <v>2379.8199999999997</v>
      </c>
      <c r="S25" s="13">
        <f t="shared" si="9"/>
        <v>2251.2299999999996</v>
      </c>
      <c r="T25" s="13">
        <f t="shared" si="9"/>
        <v>2122.6399999999994</v>
      </c>
      <c r="U25" s="13">
        <f t="shared" si="9"/>
        <v>1994.0599999999993</v>
      </c>
      <c r="V25" s="13">
        <f t="shared" si="9"/>
        <v>1865.4799999999993</v>
      </c>
      <c r="W25" s="13">
        <f t="shared" si="9"/>
        <v>1736.8899999999994</v>
      </c>
      <c r="X25" s="13">
        <f t="shared" si="9"/>
        <v>1608.3199999999995</v>
      </c>
      <c r="Y25" s="13">
        <f t="shared" si="9"/>
        <v>1479.7399999999993</v>
      </c>
      <c r="Z25" s="13">
        <f t="shared" si="9"/>
        <v>1351.1599999999994</v>
      </c>
      <c r="AA25" s="13">
        <f t="shared" si="9"/>
        <v>1222.5799999999995</v>
      </c>
      <c r="AB25" s="13">
        <f t="shared" si="9"/>
        <v>1093.9999999999993</v>
      </c>
      <c r="AC25" s="13">
        <f t="shared" si="9"/>
        <v>1893.9999999999993</v>
      </c>
      <c r="AD25" s="13">
        <f t="shared" si="9"/>
        <v>1765.5299999999993</v>
      </c>
      <c r="AE25" s="13">
        <f t="shared" si="9"/>
        <v>1637.0599999999995</v>
      </c>
      <c r="AF25" s="13">
        <f t="shared" si="9"/>
        <v>1508.5899999999995</v>
      </c>
      <c r="AG25" s="13">
        <f t="shared" si="9"/>
        <v>1380.1199999999997</v>
      </c>
      <c r="AH25" s="13">
        <f t="shared" ref="AH25:BM25" si="10">SUM(AH20:AH24)</f>
        <v>1251.6499999999996</v>
      </c>
      <c r="AI25" s="13">
        <f t="shared" si="10"/>
        <v>1123.1799999999998</v>
      </c>
      <c r="AJ25" s="13">
        <f t="shared" si="10"/>
        <v>3690.94</v>
      </c>
      <c r="AK25" s="13">
        <f t="shared" si="10"/>
        <v>3541.62</v>
      </c>
      <c r="AL25" s="13">
        <f t="shared" si="10"/>
        <v>3392.3100000000004</v>
      </c>
      <c r="AM25" s="13">
        <f t="shared" si="10"/>
        <v>3243.0000000000005</v>
      </c>
      <c r="AN25" s="13">
        <f t="shared" si="10"/>
        <v>3093.6800000000003</v>
      </c>
      <c r="AO25" s="13">
        <f t="shared" si="10"/>
        <v>3011.0000000000009</v>
      </c>
      <c r="AP25" s="13">
        <f t="shared" si="10"/>
        <v>3744.0000000000009</v>
      </c>
      <c r="AQ25" s="13">
        <f t="shared" si="10"/>
        <v>3661.3300000000008</v>
      </c>
      <c r="AR25" s="13">
        <f t="shared" si="10"/>
        <v>3578.6600000000008</v>
      </c>
      <c r="AS25" s="13">
        <f t="shared" si="10"/>
        <v>3495.9900000000007</v>
      </c>
      <c r="AT25" s="13">
        <f t="shared" si="10"/>
        <v>3413.3200000000006</v>
      </c>
      <c r="AU25" s="13">
        <f t="shared" si="10"/>
        <v>3330.6600000000008</v>
      </c>
      <c r="AV25" s="13">
        <f t="shared" si="10"/>
        <v>3247.9900000000007</v>
      </c>
      <c r="AW25" s="13">
        <f t="shared" si="10"/>
        <v>3165.3200000000006</v>
      </c>
      <c r="AX25" s="13">
        <f t="shared" si="10"/>
        <v>3082.6600000000008</v>
      </c>
      <c r="AY25" s="13">
        <f t="shared" si="10"/>
        <v>3000.0000000000009</v>
      </c>
      <c r="AZ25" s="13">
        <f t="shared" si="10"/>
        <v>2933.3300000000008</v>
      </c>
      <c r="BA25" s="13">
        <f t="shared" si="10"/>
        <v>2866.66</v>
      </c>
      <c r="BB25" s="13">
        <f t="shared" si="10"/>
        <v>2800</v>
      </c>
      <c r="BC25" s="13">
        <f t="shared" si="10"/>
        <v>2800</v>
      </c>
      <c r="BD25" s="13">
        <f t="shared" si="10"/>
        <v>2733.33</v>
      </c>
      <c r="BE25" s="13">
        <f t="shared" si="10"/>
        <v>2666.66</v>
      </c>
      <c r="BF25" s="13">
        <f t="shared" si="10"/>
        <v>2599.9899999999998</v>
      </c>
      <c r="BG25" s="13">
        <f t="shared" si="10"/>
        <v>2533.3199999999997</v>
      </c>
      <c r="BH25" s="13">
        <f t="shared" si="10"/>
        <v>2466.6499999999996</v>
      </c>
      <c r="BI25" s="13">
        <f t="shared" si="10"/>
        <v>2399.9799999999996</v>
      </c>
      <c r="BJ25" s="13">
        <f t="shared" si="10"/>
        <v>2333.3099999999995</v>
      </c>
      <c r="BK25" s="13">
        <f t="shared" si="10"/>
        <v>2266.6399999999994</v>
      </c>
      <c r="BL25" s="13">
        <f t="shared" si="10"/>
        <v>2199.9699999999993</v>
      </c>
      <c r="BM25" s="13">
        <f t="shared" si="10"/>
        <v>2133.2999999999993</v>
      </c>
      <c r="BN25" s="13">
        <f t="shared" ref="BN25:CS25" si="11">SUM(BN20:BN24)</f>
        <v>2066.6299999999992</v>
      </c>
      <c r="BO25" s="13">
        <f t="shared" si="11"/>
        <v>1999.9599999999994</v>
      </c>
      <c r="BP25" s="13">
        <f t="shared" si="11"/>
        <v>1933.2899999999993</v>
      </c>
      <c r="BQ25" s="13">
        <f t="shared" si="11"/>
        <v>1866.6299999999994</v>
      </c>
      <c r="BR25" s="13">
        <f t="shared" si="11"/>
        <v>1799.9699999999996</v>
      </c>
      <c r="BS25" s="13">
        <f t="shared" si="11"/>
        <v>1733.2999999999995</v>
      </c>
      <c r="BT25" s="13">
        <f t="shared" si="11"/>
        <v>1666.6399999999996</v>
      </c>
      <c r="BU25" s="13">
        <f t="shared" si="11"/>
        <v>1599.9699999999996</v>
      </c>
      <c r="BV25" s="13">
        <f t="shared" si="11"/>
        <v>1533.2999999999995</v>
      </c>
      <c r="BW25" s="13">
        <f t="shared" si="11"/>
        <v>1466.6399999999996</v>
      </c>
      <c r="BX25" s="13">
        <f t="shared" si="11"/>
        <v>1399.9699999999996</v>
      </c>
      <c r="BY25" s="13">
        <f t="shared" si="11"/>
        <v>1333.3099999999997</v>
      </c>
      <c r="BZ25" s="13">
        <f t="shared" si="11"/>
        <v>1266.6499999999999</v>
      </c>
      <c r="CA25" s="13">
        <f t="shared" si="11"/>
        <v>1199.9799999999998</v>
      </c>
      <c r="CB25" s="13">
        <f t="shared" si="11"/>
        <v>1199.9799999999998</v>
      </c>
      <c r="CC25" s="13">
        <f t="shared" si="11"/>
        <v>1133.3099999999997</v>
      </c>
      <c r="CD25" s="13">
        <f t="shared" si="11"/>
        <v>1066.6499999999999</v>
      </c>
      <c r="CE25" s="13">
        <f t="shared" si="11"/>
        <v>999.97999999999979</v>
      </c>
      <c r="CF25" s="13">
        <f t="shared" si="11"/>
        <v>933.31999999999994</v>
      </c>
      <c r="CG25" s="13">
        <f t="shared" si="11"/>
        <v>866.66000000000008</v>
      </c>
      <c r="CH25" s="13">
        <f t="shared" si="11"/>
        <v>799.99</v>
      </c>
      <c r="CI25" s="13">
        <f t="shared" si="11"/>
        <v>733.31999999999994</v>
      </c>
      <c r="CJ25" s="13">
        <f t="shared" si="11"/>
        <v>733.31999999999994</v>
      </c>
      <c r="CK25" s="13">
        <f t="shared" si="11"/>
        <v>733.31999999999994</v>
      </c>
    </row>
    <row r="26" spans="1:89" x14ac:dyDescent="0.2">
      <c r="A26" s="9" t="s">
        <v>113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</row>
    <row r="27" spans="1:89" x14ac:dyDescent="0.2">
      <c r="A27" s="10" t="s">
        <v>114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54586.28</v>
      </c>
      <c r="AG27" s="16">
        <v>53895.25</v>
      </c>
      <c r="AH27" s="16">
        <v>53056.99</v>
      </c>
      <c r="AI27" s="16">
        <v>52316.99</v>
      </c>
      <c r="AJ27" s="16">
        <v>51576.99</v>
      </c>
      <c r="AK27" s="16">
        <v>48836.99</v>
      </c>
      <c r="AL27" s="16">
        <v>48096.99</v>
      </c>
      <c r="AM27" s="16">
        <v>47356.99</v>
      </c>
      <c r="AN27" s="16">
        <v>46616.99</v>
      </c>
      <c r="AO27" s="16">
        <v>45877</v>
      </c>
      <c r="AP27" s="16">
        <v>45877</v>
      </c>
      <c r="AQ27" s="16">
        <v>45137</v>
      </c>
      <c r="AR27" s="16">
        <v>44397</v>
      </c>
      <c r="AS27" s="16">
        <v>43657</v>
      </c>
      <c r="AT27" s="16">
        <v>42917</v>
      </c>
      <c r="AU27" s="16">
        <v>42177</v>
      </c>
      <c r="AV27" s="16">
        <v>41437</v>
      </c>
      <c r="AW27" s="16">
        <v>41437</v>
      </c>
      <c r="AX27" s="16">
        <v>41437</v>
      </c>
      <c r="AY27" s="16">
        <v>41437</v>
      </c>
      <c r="AZ27" s="16">
        <v>41437</v>
      </c>
      <c r="BA27" s="16">
        <v>53277.32</v>
      </c>
      <c r="BB27" s="16">
        <v>53277.26</v>
      </c>
      <c r="BC27" s="16">
        <v>53277.26</v>
      </c>
      <c r="BD27" s="16">
        <v>53277.26</v>
      </c>
      <c r="BE27" s="16">
        <v>53277.26</v>
      </c>
      <c r="BF27" s="16">
        <v>53277.26</v>
      </c>
      <c r="BG27" s="16">
        <v>53277.26</v>
      </c>
      <c r="BH27" s="16">
        <v>53277.26</v>
      </c>
      <c r="BI27" s="16">
        <v>53277.26</v>
      </c>
      <c r="BJ27" s="16">
        <v>53277.26</v>
      </c>
      <c r="BK27" s="16">
        <v>53277.26</v>
      </c>
      <c r="BL27" s="16">
        <v>53277.26</v>
      </c>
      <c r="BM27" s="16">
        <v>53277.26</v>
      </c>
      <c r="BN27" s="16">
        <v>53277.26</v>
      </c>
      <c r="BO27" s="16">
        <v>53277.26</v>
      </c>
      <c r="BP27" s="16">
        <v>53277.26</v>
      </c>
      <c r="BQ27" s="16">
        <v>53277.26</v>
      </c>
      <c r="BR27" s="16">
        <v>53277.26</v>
      </c>
      <c r="BS27" s="16">
        <v>53277.26</v>
      </c>
      <c r="BT27" s="16">
        <v>53277.26</v>
      </c>
      <c r="BU27" s="16">
        <v>53277.26</v>
      </c>
      <c r="BV27" s="16">
        <v>53277.26</v>
      </c>
      <c r="BW27" s="16">
        <v>53277.26</v>
      </c>
      <c r="BX27" s="16">
        <v>53277.26</v>
      </c>
      <c r="BY27" s="16">
        <v>53277.26</v>
      </c>
      <c r="BZ27" s="16">
        <v>53277.26</v>
      </c>
      <c r="CA27" s="16">
        <v>53277.26</v>
      </c>
      <c r="CB27" s="16">
        <v>53277.26</v>
      </c>
      <c r="CC27" s="16">
        <v>53277.26</v>
      </c>
      <c r="CD27" s="16">
        <v>53277.26</v>
      </c>
      <c r="CE27" s="16">
        <v>53277.26</v>
      </c>
      <c r="CF27" s="16">
        <v>53277.26</v>
      </c>
      <c r="CG27" s="16">
        <v>53277.26</v>
      </c>
      <c r="CH27" s="16">
        <v>53277.26</v>
      </c>
      <c r="CI27" s="16">
        <v>53277.26</v>
      </c>
      <c r="CJ27" s="16">
        <v>53277.26</v>
      </c>
      <c r="CK27" s="16">
        <v>53277.26</v>
      </c>
    </row>
    <row r="28" spans="1:89" x14ac:dyDescent="0.2">
      <c r="A28" s="10" t="s">
        <v>115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-740</v>
      </c>
      <c r="AX28" s="16">
        <v>-1480</v>
      </c>
      <c r="AY28" s="16">
        <v>-2220</v>
      </c>
      <c r="AZ28" s="16">
        <v>-2960</v>
      </c>
      <c r="BA28" s="16">
        <v>-15540.32</v>
      </c>
      <c r="BB28" s="16">
        <v>-16280.26</v>
      </c>
      <c r="BC28" s="16">
        <v>-16280.26</v>
      </c>
      <c r="BD28" s="16">
        <v>-17020.2</v>
      </c>
      <c r="BE28" s="16">
        <v>-17760.14</v>
      </c>
      <c r="BF28" s="16">
        <v>-18500.079999999998</v>
      </c>
      <c r="BG28" s="16">
        <v>-19240.019999999997</v>
      </c>
      <c r="BH28" s="16">
        <v>-19979.959999999995</v>
      </c>
      <c r="BI28" s="16">
        <v>-20719.899999999994</v>
      </c>
      <c r="BJ28" s="16">
        <v>-21459.839999999993</v>
      </c>
      <c r="BK28" s="16">
        <v>-22199.779999999992</v>
      </c>
      <c r="BL28" s="16">
        <v>-22939.71999999999</v>
      </c>
      <c r="BM28" s="16">
        <v>-23679.659999999989</v>
      </c>
      <c r="BN28" s="16">
        <v>-24419.599999999988</v>
      </c>
      <c r="BO28" s="16">
        <v>-25159.539999999986</v>
      </c>
      <c r="BP28" s="16">
        <v>-25899.479999999985</v>
      </c>
      <c r="BQ28" s="16">
        <v>-26639.419999999984</v>
      </c>
      <c r="BR28" s="16">
        <v>-27379.359999999982</v>
      </c>
      <c r="BS28" s="16">
        <v>-28119.299999999981</v>
      </c>
      <c r="BT28" s="16">
        <v>-28859.23999999998</v>
      </c>
      <c r="BU28" s="16">
        <v>-29599.179999999978</v>
      </c>
      <c r="BV28" s="16">
        <v>-30339.119999999977</v>
      </c>
      <c r="BW28" s="16">
        <v>-31079.059999999976</v>
      </c>
      <c r="BX28" s="16">
        <v>-31818.999999999975</v>
      </c>
      <c r="BY28" s="16">
        <v>-32558.939999999973</v>
      </c>
      <c r="BZ28" s="16">
        <v>-33298.879999999976</v>
      </c>
      <c r="CA28" s="16">
        <v>-34038.819999999978</v>
      </c>
      <c r="CB28" s="16">
        <v>-34038.819999999978</v>
      </c>
      <c r="CC28" s="16">
        <v>-34778.75999999998</v>
      </c>
      <c r="CD28" s="16">
        <v>-35518.699999999983</v>
      </c>
      <c r="CE28" s="16">
        <v>-36258.639999999985</v>
      </c>
      <c r="CF28" s="16">
        <v>-36998.579999999987</v>
      </c>
      <c r="CG28" s="16">
        <v>-37738.51999999999</v>
      </c>
      <c r="CH28" s="16">
        <v>-38478.459999999992</v>
      </c>
      <c r="CI28" s="16">
        <v>-39218.399999999994</v>
      </c>
      <c r="CJ28" s="16">
        <v>-39218.399999999994</v>
      </c>
      <c r="CK28" s="16">
        <v>-39218.399999999994</v>
      </c>
    </row>
    <row r="29" spans="1:89" x14ac:dyDescent="0.2">
      <c r="A29" s="10" t="s">
        <v>116</v>
      </c>
      <c r="B29" s="16">
        <v>0</v>
      </c>
      <c r="C29" s="16">
        <v>2333</v>
      </c>
      <c r="D29" s="16">
        <v>2333</v>
      </c>
      <c r="E29" s="16">
        <v>2333</v>
      </c>
      <c r="F29" s="16">
        <v>2333</v>
      </c>
      <c r="G29" s="16">
        <v>2333</v>
      </c>
      <c r="H29" s="16">
        <v>2333</v>
      </c>
      <c r="I29" s="16">
        <v>2333</v>
      </c>
      <c r="J29" s="16">
        <v>2333</v>
      </c>
      <c r="K29" s="16">
        <v>2333</v>
      </c>
      <c r="L29" s="16">
        <v>2333</v>
      </c>
      <c r="M29" s="16">
        <v>2333</v>
      </c>
      <c r="N29" s="16">
        <v>2333</v>
      </c>
      <c r="O29" s="16">
        <v>2333</v>
      </c>
      <c r="P29" s="16">
        <v>1533</v>
      </c>
      <c r="Q29" s="16">
        <v>1533</v>
      </c>
      <c r="R29" s="16">
        <v>1533</v>
      </c>
      <c r="S29" s="16">
        <v>1533</v>
      </c>
      <c r="T29" s="16">
        <v>1533</v>
      </c>
      <c r="U29" s="16">
        <v>1533</v>
      </c>
      <c r="V29" s="16">
        <v>1533</v>
      </c>
      <c r="W29" s="16">
        <v>1533</v>
      </c>
      <c r="X29" s="16">
        <v>1533</v>
      </c>
      <c r="Y29" s="16">
        <v>1533</v>
      </c>
      <c r="Z29" s="16">
        <v>1533</v>
      </c>
      <c r="AA29" s="16">
        <v>1533</v>
      </c>
      <c r="AB29" s="16">
        <v>1533</v>
      </c>
      <c r="AC29" s="16">
        <v>733</v>
      </c>
      <c r="AD29" s="16">
        <v>733</v>
      </c>
      <c r="AE29" s="16">
        <v>733</v>
      </c>
      <c r="AF29" s="16">
        <v>733</v>
      </c>
      <c r="AG29" s="16">
        <v>733</v>
      </c>
      <c r="AH29" s="16">
        <v>733</v>
      </c>
      <c r="AI29" s="16">
        <v>733</v>
      </c>
      <c r="AJ29" s="16">
        <v>733</v>
      </c>
      <c r="AK29" s="16">
        <v>733</v>
      </c>
      <c r="AL29" s="16">
        <v>733</v>
      </c>
      <c r="AM29" s="16">
        <v>733</v>
      </c>
      <c r="AN29" s="16">
        <v>733</v>
      </c>
      <c r="AO29" s="16">
        <v>733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</row>
    <row r="30" spans="1:89" x14ac:dyDescent="0.2">
      <c r="A30" s="10" t="s">
        <v>117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51.72</v>
      </c>
      <c r="BA30" s="16">
        <v>52449.14</v>
      </c>
      <c r="BB30" s="16">
        <v>52449.14</v>
      </c>
      <c r="BC30" s="16">
        <v>52449.14</v>
      </c>
      <c r="BD30" s="16">
        <v>52449.14</v>
      </c>
      <c r="BE30" s="16">
        <v>52449.14</v>
      </c>
      <c r="BF30" s="16">
        <v>52449.14</v>
      </c>
      <c r="BG30" s="16">
        <v>52449.14</v>
      </c>
      <c r="BH30" s="16">
        <v>52449.14</v>
      </c>
      <c r="BI30" s="16">
        <v>52449.14</v>
      </c>
      <c r="BJ30" s="16">
        <v>52449.14</v>
      </c>
      <c r="BK30" s="16">
        <v>52449.14</v>
      </c>
      <c r="BL30" s="16">
        <v>52449.14</v>
      </c>
      <c r="BM30" s="16">
        <v>52449.14</v>
      </c>
      <c r="BN30" s="16">
        <v>52449.14</v>
      </c>
      <c r="BO30" s="16">
        <v>52449.14</v>
      </c>
      <c r="BP30" s="16">
        <v>52449.14</v>
      </c>
      <c r="BQ30" s="16">
        <v>52449.14</v>
      </c>
      <c r="BR30" s="16">
        <v>52449.14</v>
      </c>
      <c r="BS30" s="16">
        <v>52449.14</v>
      </c>
      <c r="BT30" s="16">
        <v>52449.14</v>
      </c>
      <c r="BU30" s="16">
        <v>52449.14</v>
      </c>
      <c r="BV30" s="16">
        <v>52449.14</v>
      </c>
      <c r="BW30" s="16">
        <v>52449.14</v>
      </c>
      <c r="BX30" s="16">
        <v>52449.14</v>
      </c>
      <c r="BY30" s="16">
        <v>52449.14</v>
      </c>
      <c r="BZ30" s="16">
        <v>52449.14</v>
      </c>
      <c r="CA30" s="16">
        <v>52449.14</v>
      </c>
      <c r="CB30" s="16">
        <v>52449.14</v>
      </c>
      <c r="CC30" s="16">
        <v>52449.14</v>
      </c>
      <c r="CD30" s="16">
        <v>52449.14</v>
      </c>
      <c r="CE30" s="16">
        <v>52449.14</v>
      </c>
      <c r="CF30" s="16">
        <v>52449.14</v>
      </c>
      <c r="CG30" s="16">
        <v>52449.14</v>
      </c>
      <c r="CH30" s="16">
        <v>52536.959999999999</v>
      </c>
      <c r="CI30" s="16">
        <v>52536.959999999999</v>
      </c>
      <c r="CJ30" s="16">
        <v>52536.959999999999</v>
      </c>
      <c r="CK30" s="16">
        <v>52536.959999999999</v>
      </c>
    </row>
    <row r="31" spans="1:89" x14ac:dyDescent="0.2">
      <c r="A31" s="10" t="s">
        <v>118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-52449.14</v>
      </c>
      <c r="BB31" s="16">
        <v>-52449.14</v>
      </c>
      <c r="BC31" s="16">
        <v>-52449.14</v>
      </c>
      <c r="BD31" s="16">
        <v>-52449.14</v>
      </c>
      <c r="BE31" s="16">
        <v>-52449.14</v>
      </c>
      <c r="BF31" s="16">
        <v>-52449.14</v>
      </c>
      <c r="BG31" s="16">
        <v>-52449.14</v>
      </c>
      <c r="BH31" s="16">
        <v>-52449.14</v>
      </c>
      <c r="BI31" s="16">
        <v>-52449.14</v>
      </c>
      <c r="BJ31" s="16">
        <v>-52449.14</v>
      </c>
      <c r="BK31" s="16">
        <v>-52449.14</v>
      </c>
      <c r="BL31" s="16">
        <v>-52449.14</v>
      </c>
      <c r="BM31" s="16">
        <v>-52449.14</v>
      </c>
      <c r="BN31" s="16">
        <v>-52449.14</v>
      </c>
      <c r="BO31" s="16">
        <v>-52449.14</v>
      </c>
      <c r="BP31" s="16">
        <v>-52449.14</v>
      </c>
      <c r="BQ31" s="16">
        <v>-52449.14</v>
      </c>
      <c r="BR31" s="16">
        <v>-52449.14</v>
      </c>
      <c r="BS31" s="16">
        <v>-52449.14</v>
      </c>
      <c r="BT31" s="16">
        <v>-52449.14</v>
      </c>
      <c r="BU31" s="16">
        <v>-52449.14</v>
      </c>
      <c r="BV31" s="16">
        <v>-52449.14</v>
      </c>
      <c r="BW31" s="16">
        <v>-52449.14</v>
      </c>
      <c r="BX31" s="16">
        <v>-52449.14</v>
      </c>
      <c r="BY31" s="16">
        <v>-52449.14</v>
      </c>
      <c r="BZ31" s="16">
        <v>-52449.14</v>
      </c>
      <c r="CA31" s="16">
        <v>-52449.14</v>
      </c>
      <c r="CB31" s="16">
        <v>-52449.14</v>
      </c>
      <c r="CC31" s="16">
        <v>-52449.14</v>
      </c>
      <c r="CD31" s="16">
        <v>-52449.14</v>
      </c>
      <c r="CE31" s="16">
        <v>-52449.14</v>
      </c>
      <c r="CF31" s="16">
        <v>-52449.14</v>
      </c>
      <c r="CG31" s="16">
        <v>-52449.14</v>
      </c>
      <c r="CH31" s="16">
        <v>-52536.959999999999</v>
      </c>
      <c r="CI31" s="16">
        <v>-52536.959999999999</v>
      </c>
      <c r="CJ31" s="16">
        <v>-52536.959999999999</v>
      </c>
      <c r="CK31" s="16">
        <v>-52536.959999999999</v>
      </c>
    </row>
    <row r="32" spans="1:89" x14ac:dyDescent="0.2">
      <c r="A32" s="10" t="s">
        <v>119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1423.88</v>
      </c>
      <c r="BB32" s="16">
        <v>1423.88</v>
      </c>
      <c r="BC32" s="16">
        <v>1423.88</v>
      </c>
      <c r="BD32" s="16">
        <v>1423.88</v>
      </c>
      <c r="BE32" s="16">
        <v>1423.88</v>
      </c>
      <c r="BF32" s="16">
        <v>1423.88</v>
      </c>
      <c r="BG32" s="16">
        <v>1423.88</v>
      </c>
      <c r="BH32" s="16">
        <v>1423.88</v>
      </c>
      <c r="BI32" s="16">
        <v>1423.88</v>
      </c>
      <c r="BJ32" s="16">
        <v>1423.88</v>
      </c>
      <c r="BK32" s="16">
        <v>1423.88</v>
      </c>
      <c r="BL32" s="16">
        <v>1423.88</v>
      </c>
      <c r="BM32" s="16">
        <v>1423.88</v>
      </c>
      <c r="BN32" s="16">
        <v>1423.88</v>
      </c>
      <c r="BO32" s="16">
        <v>1423.88</v>
      </c>
      <c r="BP32" s="16">
        <v>1423.88</v>
      </c>
      <c r="BQ32" s="16">
        <v>1666.7400000000002</v>
      </c>
      <c r="BR32" s="16">
        <v>1666.7400000000002</v>
      </c>
      <c r="BS32" s="16">
        <v>1666.7400000000002</v>
      </c>
      <c r="BT32" s="16">
        <v>1666.7400000000002</v>
      </c>
      <c r="BU32" s="16">
        <v>1666.7400000000002</v>
      </c>
      <c r="BV32" s="16">
        <v>1666.7400000000002</v>
      </c>
      <c r="BW32" s="16">
        <v>1666.7400000000002</v>
      </c>
      <c r="BX32" s="16">
        <v>1666.7400000000002</v>
      </c>
      <c r="BY32" s="16">
        <v>1666.7400000000002</v>
      </c>
      <c r="BZ32" s="16">
        <v>1666.7400000000002</v>
      </c>
      <c r="CA32" s="16">
        <v>1666.7400000000002</v>
      </c>
      <c r="CB32" s="16">
        <v>1666.7400000000002</v>
      </c>
      <c r="CC32" s="16">
        <v>1666.7400000000002</v>
      </c>
      <c r="CD32" s="16">
        <v>1666.7400000000002</v>
      </c>
      <c r="CE32" s="16">
        <v>1666.7400000000002</v>
      </c>
      <c r="CF32" s="16">
        <v>1666.7400000000002</v>
      </c>
      <c r="CG32" s="16">
        <v>1666.7400000000002</v>
      </c>
      <c r="CH32" s="16">
        <v>1666.7400000000002</v>
      </c>
      <c r="CI32" s="16">
        <v>1666.7400000000002</v>
      </c>
      <c r="CJ32" s="16">
        <v>1666.7400000000002</v>
      </c>
      <c r="CK32" s="16">
        <v>1666.7400000000002</v>
      </c>
    </row>
    <row r="33" spans="1:89" x14ac:dyDescent="0.2">
      <c r="A33" s="10" t="s">
        <v>120</v>
      </c>
      <c r="B33" s="16">
        <v>0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-1423.88</v>
      </c>
      <c r="BB33" s="16">
        <v>-1423.88</v>
      </c>
      <c r="BC33" s="16">
        <v>-1423.88</v>
      </c>
      <c r="BD33" s="16">
        <v>-1423.88</v>
      </c>
      <c r="BE33" s="16">
        <v>-1423.88</v>
      </c>
      <c r="BF33" s="16">
        <v>-1423.88</v>
      </c>
      <c r="BG33" s="16">
        <v>-1423.88</v>
      </c>
      <c r="BH33" s="16">
        <v>-1423.88</v>
      </c>
      <c r="BI33" s="16">
        <v>-1423.88</v>
      </c>
      <c r="BJ33" s="16">
        <v>-1423.88</v>
      </c>
      <c r="BK33" s="16">
        <v>-1423.88</v>
      </c>
      <c r="BL33" s="16">
        <v>-1423.88</v>
      </c>
      <c r="BM33" s="16">
        <v>-1423.88</v>
      </c>
      <c r="BN33" s="16">
        <v>-1423.88</v>
      </c>
      <c r="BO33" s="16">
        <v>-1423.88</v>
      </c>
      <c r="BP33" s="16">
        <v>-1423.88</v>
      </c>
      <c r="BQ33" s="16">
        <v>-1666.7400000000002</v>
      </c>
      <c r="BR33" s="16">
        <v>-1666.7400000000002</v>
      </c>
      <c r="BS33" s="16">
        <v>-1666.7400000000002</v>
      </c>
      <c r="BT33" s="16">
        <v>-1666.7400000000002</v>
      </c>
      <c r="BU33" s="16">
        <v>-1666.7400000000002</v>
      </c>
      <c r="BV33" s="16">
        <v>-1666.7400000000002</v>
      </c>
      <c r="BW33" s="16">
        <v>-1666.7400000000002</v>
      </c>
      <c r="BX33" s="16">
        <v>-1666.7400000000002</v>
      </c>
      <c r="BY33" s="16">
        <v>-1666.7400000000002</v>
      </c>
      <c r="BZ33" s="16">
        <v>-1666.7400000000002</v>
      </c>
      <c r="CA33" s="16">
        <v>-1666.7400000000002</v>
      </c>
      <c r="CB33" s="16">
        <v>-1666.7400000000002</v>
      </c>
      <c r="CC33" s="16">
        <v>-1666.7400000000002</v>
      </c>
      <c r="CD33" s="16">
        <v>-1666.7400000000002</v>
      </c>
      <c r="CE33" s="16">
        <v>-1666.7400000000002</v>
      </c>
      <c r="CF33" s="16">
        <v>-1666.7400000000002</v>
      </c>
      <c r="CG33" s="16">
        <v>-1666.7400000000002</v>
      </c>
      <c r="CH33" s="16">
        <v>-1666.7400000000002</v>
      </c>
      <c r="CI33" s="16">
        <v>-1666.7400000000002</v>
      </c>
      <c r="CJ33" s="16">
        <v>-1666.7400000000002</v>
      </c>
      <c r="CK33" s="16">
        <v>-1666.7400000000002</v>
      </c>
    </row>
    <row r="34" spans="1:89" x14ac:dyDescent="0.2">
      <c r="A34" s="10" t="s">
        <v>121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34295.56</v>
      </c>
      <c r="BB34" s="16">
        <v>34295.56</v>
      </c>
      <c r="BC34" s="16">
        <v>34295.56</v>
      </c>
      <c r="BD34" s="16">
        <v>34295.56</v>
      </c>
      <c r="BE34" s="16">
        <v>34295.56</v>
      </c>
      <c r="BF34" s="16">
        <v>36692.649999999994</v>
      </c>
      <c r="BG34" s="16">
        <v>35178.469999999994</v>
      </c>
      <c r="BH34" s="16">
        <v>34421.379999999997</v>
      </c>
      <c r="BI34" s="16">
        <v>31114.179999999997</v>
      </c>
      <c r="BJ34" s="16">
        <v>30045.42</v>
      </c>
      <c r="BK34" s="16">
        <v>29556.42</v>
      </c>
      <c r="BL34" s="16">
        <v>29556.42</v>
      </c>
      <c r="BM34" s="16">
        <v>29556.42</v>
      </c>
      <c r="BN34" s="16">
        <v>29185.809999999998</v>
      </c>
      <c r="BO34" s="16">
        <v>27675.809999999998</v>
      </c>
      <c r="BP34" s="16">
        <v>27114.05</v>
      </c>
      <c r="BQ34" s="16">
        <v>27861.8</v>
      </c>
      <c r="BR34" s="16">
        <v>28031.51</v>
      </c>
      <c r="BS34" s="16">
        <v>26726.1</v>
      </c>
      <c r="BT34" s="16">
        <v>26176.1</v>
      </c>
      <c r="BU34" s="16">
        <v>26176.1</v>
      </c>
      <c r="BV34" s="16">
        <v>26192.899999999998</v>
      </c>
      <c r="BW34" s="16">
        <v>26192.899999999998</v>
      </c>
      <c r="BX34" s="16">
        <v>25476.219999999998</v>
      </c>
      <c r="BY34" s="16">
        <v>25476.219999999998</v>
      </c>
      <c r="BZ34" s="16">
        <v>25291.089999999997</v>
      </c>
      <c r="CA34" s="16">
        <v>22383.309999999998</v>
      </c>
      <c r="CB34" s="16">
        <v>22383.309999999998</v>
      </c>
      <c r="CC34" s="16">
        <v>20211.219999999998</v>
      </c>
      <c r="CD34" s="16">
        <v>20876.069999999996</v>
      </c>
      <c r="CE34" s="16">
        <v>20876.069999999996</v>
      </c>
      <c r="CF34" s="16">
        <v>21505.199999999997</v>
      </c>
      <c r="CG34" s="16">
        <v>21402.239999999998</v>
      </c>
      <c r="CH34" s="16">
        <v>22210.539999999997</v>
      </c>
      <c r="CI34" s="16">
        <v>22210.539999999997</v>
      </c>
      <c r="CJ34" s="16">
        <v>22210.539999999997</v>
      </c>
      <c r="CK34" s="16">
        <v>22210.539999999997</v>
      </c>
    </row>
    <row r="35" spans="1:89" x14ac:dyDescent="0.2">
      <c r="A35" s="10" t="s">
        <v>122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-34295.56</v>
      </c>
      <c r="BB35" s="16">
        <v>-34295.56</v>
      </c>
      <c r="BC35" s="16">
        <v>-34295.56</v>
      </c>
      <c r="BD35" s="16">
        <v>-34295.56</v>
      </c>
      <c r="BE35" s="16">
        <v>-34295.56</v>
      </c>
      <c r="BF35" s="16">
        <v>-36692.649999999994</v>
      </c>
      <c r="BG35" s="16">
        <v>-35178.469999999994</v>
      </c>
      <c r="BH35" s="16">
        <v>-34421.379999999997</v>
      </c>
      <c r="BI35" s="16">
        <v>-31114.179999999997</v>
      </c>
      <c r="BJ35" s="16">
        <v>-29124.089999999997</v>
      </c>
      <c r="BK35" s="16">
        <v>-29556.42</v>
      </c>
      <c r="BL35" s="16">
        <v>-29556.42</v>
      </c>
      <c r="BM35" s="16">
        <v>-29556.42</v>
      </c>
      <c r="BN35" s="16">
        <v>-29185.809999999998</v>
      </c>
      <c r="BO35" s="16">
        <v>-27675.809999999998</v>
      </c>
      <c r="BP35" s="16">
        <v>-27114.05</v>
      </c>
      <c r="BQ35" s="16">
        <v>-27878.6</v>
      </c>
      <c r="BR35" s="16">
        <v>-28048.309999999998</v>
      </c>
      <c r="BS35" s="16">
        <v>-26742.899999999998</v>
      </c>
      <c r="BT35" s="16">
        <v>-26192.899999999998</v>
      </c>
      <c r="BU35" s="16">
        <v>-26192.899999999998</v>
      </c>
      <c r="BV35" s="16">
        <v>-26192.899999999998</v>
      </c>
      <c r="BW35" s="16">
        <v>-26192.899999999998</v>
      </c>
      <c r="BX35" s="16">
        <v>-25196.26</v>
      </c>
      <c r="BY35" s="16">
        <v>-25196.26</v>
      </c>
      <c r="BZ35" s="16">
        <v>-25011.129999999997</v>
      </c>
      <c r="CA35" s="16">
        <v>-22383.309999999998</v>
      </c>
      <c r="CB35" s="16">
        <v>-22383.309999999998</v>
      </c>
      <c r="CC35" s="16">
        <v>-20211.219999999998</v>
      </c>
      <c r="CD35" s="16">
        <v>-20876.069999999996</v>
      </c>
      <c r="CE35" s="16">
        <v>-20876.069999999996</v>
      </c>
      <c r="CF35" s="16">
        <v>-21505.199999999997</v>
      </c>
      <c r="CG35" s="16">
        <v>-21402.239999999998</v>
      </c>
      <c r="CH35" s="16">
        <v>-22210.539999999997</v>
      </c>
      <c r="CI35" s="16">
        <v>-22210.539999999997</v>
      </c>
      <c r="CJ35" s="16">
        <v>-22210.539999999997</v>
      </c>
      <c r="CK35" s="16">
        <v>-22210.539999999997</v>
      </c>
    </row>
    <row r="36" spans="1:89" x14ac:dyDescent="0.2">
      <c r="A36" s="10" t="s">
        <v>123</v>
      </c>
      <c r="B36" s="16">
        <v>0</v>
      </c>
      <c r="C36" s="16">
        <v>0</v>
      </c>
      <c r="D36" s="16">
        <v>713.6</v>
      </c>
      <c r="E36" s="16">
        <v>1167.01</v>
      </c>
      <c r="F36" s="16">
        <v>1050.27</v>
      </c>
      <c r="G36" s="16">
        <v>933.6</v>
      </c>
      <c r="H36" s="16">
        <v>816.91000000000008</v>
      </c>
      <c r="I36" s="16">
        <v>976.67000000000007</v>
      </c>
      <c r="J36" s="16">
        <v>859.93000000000006</v>
      </c>
      <c r="K36" s="16">
        <v>1041.72</v>
      </c>
      <c r="L36" s="16">
        <v>850.42000000000007</v>
      </c>
      <c r="M36" s="16">
        <v>798.59</v>
      </c>
      <c r="N36" s="16">
        <v>537.54999999999995</v>
      </c>
      <c r="O36" s="16">
        <v>0</v>
      </c>
      <c r="P36" s="16">
        <v>0</v>
      </c>
      <c r="Q36" s="16">
        <v>13685.45</v>
      </c>
      <c r="R36" s="16">
        <v>16321.580000000002</v>
      </c>
      <c r="S36" s="16">
        <v>15786.640000000001</v>
      </c>
      <c r="T36" s="16">
        <v>15001.77</v>
      </c>
      <c r="U36" s="16">
        <v>13864.98</v>
      </c>
      <c r="V36" s="16">
        <v>11510.5</v>
      </c>
      <c r="W36" s="16">
        <v>10838.31</v>
      </c>
      <c r="X36" s="16">
        <v>8809.01</v>
      </c>
      <c r="Y36" s="16">
        <v>5952.39</v>
      </c>
      <c r="Z36" s="16">
        <v>3337.32</v>
      </c>
      <c r="AA36" s="16">
        <v>604.49000000000024</v>
      </c>
      <c r="AB36" s="16">
        <v>2.2737367544323206E-13</v>
      </c>
      <c r="AC36" s="16">
        <v>2.2737367544323206E-13</v>
      </c>
      <c r="AD36" s="16">
        <v>2.2737367544323206E-13</v>
      </c>
      <c r="AE36" s="16">
        <v>2.2737367544323206E-13</v>
      </c>
      <c r="AF36" s="16">
        <v>379.89000000000021</v>
      </c>
      <c r="AG36" s="16">
        <v>337.68000000000023</v>
      </c>
      <c r="AH36" s="16">
        <v>295.47000000000025</v>
      </c>
      <c r="AI36" s="16">
        <v>253.26000000000025</v>
      </c>
      <c r="AJ36" s="16">
        <v>1701.2100000000003</v>
      </c>
      <c r="AK36" s="16">
        <v>1360.9700000000003</v>
      </c>
      <c r="AL36" s="16">
        <v>1020.7300000000002</v>
      </c>
      <c r="AM36" s="16">
        <v>1649.8200000000002</v>
      </c>
      <c r="AN36" s="16">
        <v>824.9000000000002</v>
      </c>
      <c r="AO36" s="16">
        <v>2.2737367544323206E-13</v>
      </c>
      <c r="AP36" s="16">
        <v>2.2737367544323206E-13</v>
      </c>
      <c r="AQ36" s="16">
        <v>2.2737367544323206E-13</v>
      </c>
      <c r="AR36" s="16">
        <v>2.2737367544323206E-13</v>
      </c>
      <c r="AS36" s="16">
        <v>2.2737367544323206E-13</v>
      </c>
      <c r="AT36" s="16">
        <v>2.2737367544323206E-13</v>
      </c>
      <c r="AU36" s="16">
        <v>2.2737367544323206E-13</v>
      </c>
      <c r="AV36" s="16">
        <v>2.2737367544323206E-13</v>
      </c>
      <c r="AW36" s="16">
        <v>2.2737367544323206E-13</v>
      </c>
      <c r="AX36" s="16">
        <v>2.2737367544323206E-13</v>
      </c>
      <c r="AY36" s="16">
        <v>800.00000000000023</v>
      </c>
      <c r="AZ36" s="16">
        <v>800.00000000000023</v>
      </c>
      <c r="BA36" s="16">
        <v>1534.2700000000002</v>
      </c>
      <c r="BB36" s="16">
        <v>1534.2700000000002</v>
      </c>
      <c r="BC36" s="16">
        <v>1534.2700000000002</v>
      </c>
      <c r="BD36" s="16">
        <v>1534.2700000000002</v>
      </c>
      <c r="BE36" s="16">
        <v>1534.2700000000002</v>
      </c>
      <c r="BF36" s="16">
        <v>1534.2700000000002</v>
      </c>
      <c r="BG36" s="16">
        <v>1534.2700000000002</v>
      </c>
      <c r="BH36" s="16">
        <v>1534.2700000000002</v>
      </c>
      <c r="BI36" s="16">
        <v>1534.2700000000002</v>
      </c>
      <c r="BJ36" s="16">
        <v>1534.2700000000002</v>
      </c>
      <c r="BK36" s="16">
        <v>1534.2700000000002</v>
      </c>
      <c r="BL36" s="16">
        <v>1534.2700000000002</v>
      </c>
      <c r="BM36" s="16">
        <v>1534.2700000000002</v>
      </c>
      <c r="BN36" s="16">
        <v>1534.2700000000002</v>
      </c>
      <c r="BO36" s="16">
        <v>1534.2700000000002</v>
      </c>
      <c r="BP36" s="16">
        <v>1534.2700000000002</v>
      </c>
      <c r="BQ36" s="16">
        <v>1534.2700000000002</v>
      </c>
      <c r="BR36" s="16">
        <v>1534.2700000000002</v>
      </c>
      <c r="BS36" s="16">
        <v>1534.2700000000002</v>
      </c>
      <c r="BT36" s="16">
        <v>1534.2700000000002</v>
      </c>
      <c r="BU36" s="16">
        <v>1534.2700000000002</v>
      </c>
      <c r="BV36" s="16">
        <v>1534.2700000000002</v>
      </c>
      <c r="BW36" s="16">
        <v>1534.2700000000002</v>
      </c>
      <c r="BX36" s="16">
        <v>1534.2700000000002</v>
      </c>
      <c r="BY36" s="16">
        <v>1534.2700000000002</v>
      </c>
      <c r="BZ36" s="16">
        <v>2263.17</v>
      </c>
      <c r="CA36" s="16">
        <v>2263.17</v>
      </c>
      <c r="CB36" s="16">
        <v>2263.17</v>
      </c>
      <c r="CC36" s="16">
        <v>2263.17</v>
      </c>
      <c r="CD36" s="16">
        <v>2263.17</v>
      </c>
      <c r="CE36" s="16">
        <v>2263.17</v>
      </c>
      <c r="CF36" s="16">
        <v>2263.17</v>
      </c>
      <c r="CG36" s="16">
        <v>2263.17</v>
      </c>
      <c r="CH36" s="16">
        <v>2263.17</v>
      </c>
      <c r="CI36" s="16">
        <v>2263.17</v>
      </c>
      <c r="CJ36" s="16">
        <v>2263.17</v>
      </c>
      <c r="CK36" s="16">
        <v>2263.17</v>
      </c>
    </row>
    <row r="37" spans="1:89" x14ac:dyDescent="0.2">
      <c r="A37" s="10" t="s">
        <v>124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-800</v>
      </c>
      <c r="BA37" s="16">
        <v>-1534.27</v>
      </c>
      <c r="BB37" s="16">
        <v>-1534.27</v>
      </c>
      <c r="BC37" s="16">
        <v>-1534.27</v>
      </c>
      <c r="BD37" s="16">
        <v>-1534.27</v>
      </c>
      <c r="BE37" s="16">
        <v>-1534.27</v>
      </c>
      <c r="BF37" s="16">
        <v>-1534.27</v>
      </c>
      <c r="BG37" s="16">
        <v>-1534.27</v>
      </c>
      <c r="BH37" s="16">
        <v>-1534.27</v>
      </c>
      <c r="BI37" s="16">
        <v>-1534.27</v>
      </c>
      <c r="BJ37" s="16">
        <v>-1534.27</v>
      </c>
      <c r="BK37" s="16">
        <v>-1534.27</v>
      </c>
      <c r="BL37" s="16">
        <v>-1534.27</v>
      </c>
      <c r="BM37" s="16">
        <v>-1534.27</v>
      </c>
      <c r="BN37" s="16">
        <v>-1534.27</v>
      </c>
      <c r="BO37" s="16">
        <v>-1534.27</v>
      </c>
      <c r="BP37" s="16">
        <v>-1534.27</v>
      </c>
      <c r="BQ37" s="16">
        <v>-1534.27</v>
      </c>
      <c r="BR37" s="16">
        <v>-1534.27</v>
      </c>
      <c r="BS37" s="16">
        <v>-1534.27</v>
      </c>
      <c r="BT37" s="16">
        <v>-1534.27</v>
      </c>
      <c r="BU37" s="16">
        <v>-1534.27</v>
      </c>
      <c r="BV37" s="16">
        <v>-1534.27</v>
      </c>
      <c r="BW37" s="16">
        <v>-1534.27</v>
      </c>
      <c r="BX37" s="16">
        <v>-1534.27</v>
      </c>
      <c r="BY37" s="16">
        <v>-1534.27</v>
      </c>
      <c r="BZ37" s="16">
        <v>-2263.17</v>
      </c>
      <c r="CA37" s="16">
        <v>-2263.17</v>
      </c>
      <c r="CB37" s="16">
        <v>-2263.17</v>
      </c>
      <c r="CC37" s="16">
        <v>-2263.17</v>
      </c>
      <c r="CD37" s="16">
        <v>-2263.17</v>
      </c>
      <c r="CE37" s="16">
        <v>-2263.17</v>
      </c>
      <c r="CF37" s="16">
        <v>-2263.17</v>
      </c>
      <c r="CG37" s="16">
        <v>-2263.17</v>
      </c>
      <c r="CH37" s="16">
        <v>-2263.17</v>
      </c>
      <c r="CI37" s="16">
        <v>-2263.17</v>
      </c>
      <c r="CJ37" s="16">
        <v>-2263.17</v>
      </c>
      <c r="CK37" s="16">
        <v>-2263.17</v>
      </c>
    </row>
    <row r="38" spans="1:89" x14ac:dyDescent="0.2">
      <c r="A38" s="12" t="s">
        <v>125</v>
      </c>
      <c r="B38" s="13">
        <f t="shared" ref="B38:AG38" si="12">SUM(B27:B37)</f>
        <v>0</v>
      </c>
      <c r="C38" s="13">
        <f t="shared" si="12"/>
        <v>2333</v>
      </c>
      <c r="D38" s="13">
        <f t="shared" si="12"/>
        <v>3046.6</v>
      </c>
      <c r="E38" s="13">
        <f t="shared" si="12"/>
        <v>3500.01</v>
      </c>
      <c r="F38" s="13">
        <f t="shared" si="12"/>
        <v>3383.27</v>
      </c>
      <c r="G38" s="13">
        <f t="shared" si="12"/>
        <v>3266.6</v>
      </c>
      <c r="H38" s="13">
        <f t="shared" si="12"/>
        <v>3149.91</v>
      </c>
      <c r="I38" s="13">
        <f t="shared" si="12"/>
        <v>3309.67</v>
      </c>
      <c r="J38" s="13">
        <f t="shared" si="12"/>
        <v>3192.9300000000003</v>
      </c>
      <c r="K38" s="13">
        <f t="shared" si="12"/>
        <v>3374.7200000000003</v>
      </c>
      <c r="L38" s="13">
        <f t="shared" si="12"/>
        <v>3183.42</v>
      </c>
      <c r="M38" s="13">
        <f t="shared" si="12"/>
        <v>3131.59</v>
      </c>
      <c r="N38" s="13">
        <f t="shared" si="12"/>
        <v>2870.55</v>
      </c>
      <c r="O38" s="13">
        <f t="shared" si="12"/>
        <v>2333</v>
      </c>
      <c r="P38" s="13">
        <f t="shared" si="12"/>
        <v>1533</v>
      </c>
      <c r="Q38" s="13">
        <f t="shared" si="12"/>
        <v>15218.45</v>
      </c>
      <c r="R38" s="13">
        <f t="shared" si="12"/>
        <v>17854.580000000002</v>
      </c>
      <c r="S38" s="13">
        <f t="shared" si="12"/>
        <v>17319.64</v>
      </c>
      <c r="T38" s="13">
        <f t="shared" si="12"/>
        <v>16534.77</v>
      </c>
      <c r="U38" s="13">
        <f t="shared" si="12"/>
        <v>15397.98</v>
      </c>
      <c r="V38" s="13">
        <f t="shared" si="12"/>
        <v>13043.5</v>
      </c>
      <c r="W38" s="13">
        <f t="shared" si="12"/>
        <v>12371.31</v>
      </c>
      <c r="X38" s="13">
        <f t="shared" si="12"/>
        <v>10342.01</v>
      </c>
      <c r="Y38" s="13">
        <f t="shared" si="12"/>
        <v>7485.39</v>
      </c>
      <c r="Z38" s="13">
        <f t="shared" si="12"/>
        <v>4870.32</v>
      </c>
      <c r="AA38" s="13">
        <f t="shared" si="12"/>
        <v>2137.4900000000002</v>
      </c>
      <c r="AB38" s="13">
        <f t="shared" si="12"/>
        <v>1533.0000000000002</v>
      </c>
      <c r="AC38" s="13">
        <f t="shared" si="12"/>
        <v>733.00000000000023</v>
      </c>
      <c r="AD38" s="13">
        <f t="shared" si="12"/>
        <v>733.00000000000023</v>
      </c>
      <c r="AE38" s="13">
        <f t="shared" si="12"/>
        <v>733.00000000000023</v>
      </c>
      <c r="AF38" s="13">
        <f t="shared" si="12"/>
        <v>55699.17</v>
      </c>
      <c r="AG38" s="13">
        <f t="shared" si="12"/>
        <v>54965.93</v>
      </c>
      <c r="AH38" s="13">
        <f t="shared" ref="AH38:BM38" si="13">SUM(AH27:AH37)</f>
        <v>54085.46</v>
      </c>
      <c r="AI38" s="13">
        <f t="shared" si="13"/>
        <v>53303.25</v>
      </c>
      <c r="AJ38" s="13">
        <f t="shared" si="13"/>
        <v>54011.199999999997</v>
      </c>
      <c r="AK38" s="13">
        <f t="shared" si="13"/>
        <v>50930.96</v>
      </c>
      <c r="AL38" s="13">
        <f t="shared" si="13"/>
        <v>49850.720000000001</v>
      </c>
      <c r="AM38" s="13">
        <f t="shared" si="13"/>
        <v>49739.81</v>
      </c>
      <c r="AN38" s="13">
        <f t="shared" si="13"/>
        <v>48174.89</v>
      </c>
      <c r="AO38" s="13">
        <f t="shared" si="13"/>
        <v>46610</v>
      </c>
      <c r="AP38" s="13">
        <f t="shared" si="13"/>
        <v>45877</v>
      </c>
      <c r="AQ38" s="13">
        <f t="shared" si="13"/>
        <v>45137</v>
      </c>
      <c r="AR38" s="13">
        <f t="shared" si="13"/>
        <v>44397</v>
      </c>
      <c r="AS38" s="13">
        <f t="shared" si="13"/>
        <v>43657</v>
      </c>
      <c r="AT38" s="13">
        <f t="shared" si="13"/>
        <v>42917</v>
      </c>
      <c r="AU38" s="13">
        <f t="shared" si="13"/>
        <v>42177</v>
      </c>
      <c r="AV38" s="13">
        <f t="shared" si="13"/>
        <v>41437</v>
      </c>
      <c r="AW38" s="13">
        <f t="shared" si="13"/>
        <v>40697</v>
      </c>
      <c r="AX38" s="13">
        <f t="shared" si="13"/>
        <v>39957</v>
      </c>
      <c r="AY38" s="13">
        <f t="shared" si="13"/>
        <v>40017</v>
      </c>
      <c r="AZ38" s="13">
        <f t="shared" si="13"/>
        <v>38528.720000000001</v>
      </c>
      <c r="BA38" s="13">
        <f t="shared" si="13"/>
        <v>37737</v>
      </c>
      <c r="BB38" s="13">
        <f t="shared" si="13"/>
        <v>36997</v>
      </c>
      <c r="BC38" s="13">
        <f t="shared" si="13"/>
        <v>36997</v>
      </c>
      <c r="BD38" s="13">
        <f t="shared" si="13"/>
        <v>36257.06</v>
      </c>
      <c r="BE38" s="13">
        <f t="shared" si="13"/>
        <v>35517.12000000001</v>
      </c>
      <c r="BF38" s="13">
        <f t="shared" si="13"/>
        <v>34777.180000000008</v>
      </c>
      <c r="BG38" s="13">
        <f t="shared" si="13"/>
        <v>34037.24</v>
      </c>
      <c r="BH38" s="13">
        <f t="shared" si="13"/>
        <v>33297.299999999996</v>
      </c>
      <c r="BI38" s="13">
        <f t="shared" si="13"/>
        <v>32557.359999999997</v>
      </c>
      <c r="BJ38" s="13">
        <f t="shared" si="13"/>
        <v>32738.750000000011</v>
      </c>
      <c r="BK38" s="13">
        <f t="shared" si="13"/>
        <v>31077.48000000001</v>
      </c>
      <c r="BL38" s="13">
        <f t="shared" si="13"/>
        <v>30337.540000000008</v>
      </c>
      <c r="BM38" s="13">
        <f t="shared" si="13"/>
        <v>29597.60000000002</v>
      </c>
      <c r="BN38" s="13">
        <f t="shared" ref="BN38:CS38" si="14">SUM(BN27:BN37)</f>
        <v>28857.660000000018</v>
      </c>
      <c r="BO38" s="13">
        <f t="shared" si="14"/>
        <v>28117.720000000016</v>
      </c>
      <c r="BP38" s="13">
        <f t="shared" si="14"/>
        <v>27377.780000000017</v>
      </c>
      <c r="BQ38" s="13">
        <f t="shared" si="14"/>
        <v>26621.040000000015</v>
      </c>
      <c r="BR38" s="13">
        <f t="shared" si="14"/>
        <v>25881.10000000002</v>
      </c>
      <c r="BS38" s="13">
        <f t="shared" si="14"/>
        <v>25141.160000000022</v>
      </c>
      <c r="BT38" s="13">
        <f t="shared" si="14"/>
        <v>24401.220000000019</v>
      </c>
      <c r="BU38" s="13">
        <f t="shared" si="14"/>
        <v>23661.280000000032</v>
      </c>
      <c r="BV38" s="13">
        <f t="shared" si="14"/>
        <v>22938.140000000025</v>
      </c>
      <c r="BW38" s="13">
        <f t="shared" si="14"/>
        <v>22198.200000000023</v>
      </c>
      <c r="BX38" s="13">
        <f t="shared" si="14"/>
        <v>21738.220000000027</v>
      </c>
      <c r="BY38" s="13">
        <f t="shared" si="14"/>
        <v>20998.280000000024</v>
      </c>
      <c r="BZ38" s="13">
        <f t="shared" si="14"/>
        <v>20258.340000000018</v>
      </c>
      <c r="CA38" s="13">
        <f t="shared" si="14"/>
        <v>19238.440000000017</v>
      </c>
      <c r="CB38" s="13">
        <f t="shared" si="14"/>
        <v>19238.440000000017</v>
      </c>
      <c r="CC38" s="13">
        <f t="shared" si="14"/>
        <v>18498.500000000022</v>
      </c>
      <c r="CD38" s="13">
        <f t="shared" si="14"/>
        <v>17758.560000000012</v>
      </c>
      <c r="CE38" s="13">
        <f t="shared" si="14"/>
        <v>17018.62000000001</v>
      </c>
      <c r="CF38" s="13">
        <f t="shared" si="14"/>
        <v>16278.680000000006</v>
      </c>
      <c r="CG38" s="13">
        <f t="shared" si="14"/>
        <v>15538.740000000003</v>
      </c>
      <c r="CH38" s="13">
        <f t="shared" si="14"/>
        <v>14798.800000000016</v>
      </c>
      <c r="CI38" s="13">
        <f t="shared" si="14"/>
        <v>14058.860000000011</v>
      </c>
      <c r="CJ38" s="13">
        <f t="shared" si="14"/>
        <v>14058.860000000011</v>
      </c>
      <c r="CK38" s="13">
        <f t="shared" si="14"/>
        <v>14058.860000000011</v>
      </c>
    </row>
    <row r="39" spans="1:89" x14ac:dyDescent="0.2">
      <c r="A39" s="14" t="s">
        <v>126</v>
      </c>
      <c r="B39" s="15">
        <f t="shared" ref="B39:AG39" si="15">0+B25+B38+0</f>
        <v>4993</v>
      </c>
      <c r="C39" s="15">
        <f t="shared" si="15"/>
        <v>4993</v>
      </c>
      <c r="D39" s="15">
        <f t="shared" si="15"/>
        <v>5594.01</v>
      </c>
      <c r="E39" s="15">
        <f t="shared" si="15"/>
        <v>5934.83</v>
      </c>
      <c r="F39" s="15">
        <f t="shared" si="15"/>
        <v>5705.5</v>
      </c>
      <c r="G39" s="15">
        <f t="shared" si="15"/>
        <v>5476.24</v>
      </c>
      <c r="H39" s="15">
        <f t="shared" si="15"/>
        <v>5246.9699999999993</v>
      </c>
      <c r="I39" s="15">
        <f t="shared" si="15"/>
        <v>5294.15</v>
      </c>
      <c r="J39" s="15">
        <f t="shared" si="15"/>
        <v>5064.82</v>
      </c>
      <c r="K39" s="15">
        <f t="shared" si="15"/>
        <v>5134.04</v>
      </c>
      <c r="L39" s="15">
        <f t="shared" si="15"/>
        <v>4830.16</v>
      </c>
      <c r="M39" s="15">
        <f t="shared" si="15"/>
        <v>5335.59</v>
      </c>
      <c r="N39" s="15">
        <f t="shared" si="15"/>
        <v>4945.8099999999995</v>
      </c>
      <c r="O39" s="15">
        <f t="shared" si="15"/>
        <v>4170</v>
      </c>
      <c r="P39" s="15">
        <f t="shared" si="15"/>
        <v>4170</v>
      </c>
      <c r="Q39" s="15">
        <f t="shared" si="15"/>
        <v>17726.86</v>
      </c>
      <c r="R39" s="15">
        <f t="shared" si="15"/>
        <v>20234.400000000001</v>
      </c>
      <c r="S39" s="15">
        <f t="shared" si="15"/>
        <v>19570.87</v>
      </c>
      <c r="T39" s="15">
        <f t="shared" si="15"/>
        <v>18657.41</v>
      </c>
      <c r="U39" s="15">
        <f t="shared" si="15"/>
        <v>17392.039999999997</v>
      </c>
      <c r="V39" s="15">
        <f t="shared" si="15"/>
        <v>14908.98</v>
      </c>
      <c r="W39" s="15">
        <f t="shared" si="15"/>
        <v>14108.199999999999</v>
      </c>
      <c r="X39" s="15">
        <f t="shared" si="15"/>
        <v>11950.33</v>
      </c>
      <c r="Y39" s="15">
        <f t="shared" si="15"/>
        <v>8965.1299999999992</v>
      </c>
      <c r="Z39" s="15">
        <f t="shared" si="15"/>
        <v>6221.48</v>
      </c>
      <c r="AA39" s="15">
        <f t="shared" si="15"/>
        <v>3360.0699999999997</v>
      </c>
      <c r="AB39" s="15">
        <f t="shared" si="15"/>
        <v>2626.9999999999995</v>
      </c>
      <c r="AC39" s="15">
        <f t="shared" si="15"/>
        <v>2626.9999999999995</v>
      </c>
      <c r="AD39" s="15">
        <f t="shared" si="15"/>
        <v>2498.5299999999997</v>
      </c>
      <c r="AE39" s="15">
        <f t="shared" si="15"/>
        <v>2370.0599999999995</v>
      </c>
      <c r="AF39" s="15">
        <f t="shared" si="15"/>
        <v>57207.759999999995</v>
      </c>
      <c r="AG39" s="15">
        <f t="shared" si="15"/>
        <v>56346.05</v>
      </c>
      <c r="AH39" s="15">
        <f t="shared" ref="AH39:BM39" si="16">0+AH25+AH38+0</f>
        <v>55337.11</v>
      </c>
      <c r="AI39" s="15">
        <f t="shared" si="16"/>
        <v>54426.43</v>
      </c>
      <c r="AJ39" s="15">
        <f t="shared" si="16"/>
        <v>57702.14</v>
      </c>
      <c r="AK39" s="15">
        <f t="shared" si="16"/>
        <v>54472.58</v>
      </c>
      <c r="AL39" s="15">
        <f t="shared" si="16"/>
        <v>53243.03</v>
      </c>
      <c r="AM39" s="15">
        <f t="shared" si="16"/>
        <v>52982.81</v>
      </c>
      <c r="AN39" s="15">
        <f t="shared" si="16"/>
        <v>51268.57</v>
      </c>
      <c r="AO39" s="15">
        <f t="shared" si="16"/>
        <v>49621</v>
      </c>
      <c r="AP39" s="15">
        <f t="shared" si="16"/>
        <v>49621</v>
      </c>
      <c r="AQ39" s="15">
        <f t="shared" si="16"/>
        <v>48798.33</v>
      </c>
      <c r="AR39" s="15">
        <f t="shared" si="16"/>
        <v>47975.66</v>
      </c>
      <c r="AS39" s="15">
        <f t="shared" si="16"/>
        <v>47152.99</v>
      </c>
      <c r="AT39" s="15">
        <f t="shared" si="16"/>
        <v>46330.32</v>
      </c>
      <c r="AU39" s="15">
        <f t="shared" si="16"/>
        <v>45507.66</v>
      </c>
      <c r="AV39" s="15">
        <f t="shared" si="16"/>
        <v>44684.99</v>
      </c>
      <c r="AW39" s="15">
        <f t="shared" si="16"/>
        <v>43862.32</v>
      </c>
      <c r="AX39" s="15">
        <f t="shared" si="16"/>
        <v>43039.66</v>
      </c>
      <c r="AY39" s="15">
        <f t="shared" si="16"/>
        <v>43017</v>
      </c>
      <c r="AZ39" s="15">
        <f t="shared" si="16"/>
        <v>41462.050000000003</v>
      </c>
      <c r="BA39" s="15">
        <f t="shared" si="16"/>
        <v>40603.660000000003</v>
      </c>
      <c r="BB39" s="15">
        <f t="shared" si="16"/>
        <v>39797</v>
      </c>
      <c r="BC39" s="15">
        <f t="shared" si="16"/>
        <v>39797</v>
      </c>
      <c r="BD39" s="15">
        <f t="shared" si="16"/>
        <v>38990.39</v>
      </c>
      <c r="BE39" s="15">
        <f t="shared" si="16"/>
        <v>38183.780000000013</v>
      </c>
      <c r="BF39" s="15">
        <f t="shared" si="16"/>
        <v>37377.170000000006</v>
      </c>
      <c r="BG39" s="15">
        <f t="shared" si="16"/>
        <v>36570.559999999998</v>
      </c>
      <c r="BH39" s="15">
        <f t="shared" si="16"/>
        <v>35763.949999999997</v>
      </c>
      <c r="BI39" s="15">
        <f t="shared" si="16"/>
        <v>34957.339999999997</v>
      </c>
      <c r="BJ39" s="15">
        <f t="shared" si="16"/>
        <v>35072.060000000012</v>
      </c>
      <c r="BK39" s="15">
        <f t="shared" si="16"/>
        <v>33344.12000000001</v>
      </c>
      <c r="BL39" s="15">
        <f t="shared" si="16"/>
        <v>32537.510000000009</v>
      </c>
      <c r="BM39" s="15">
        <f t="shared" si="16"/>
        <v>31730.90000000002</v>
      </c>
      <c r="BN39" s="15">
        <f t="shared" ref="BN39:CS39" si="17">0+BN25+BN38+0</f>
        <v>30924.290000000015</v>
      </c>
      <c r="BO39" s="15">
        <f t="shared" si="17"/>
        <v>30117.680000000015</v>
      </c>
      <c r="BP39" s="15">
        <f t="shared" si="17"/>
        <v>29311.070000000018</v>
      </c>
      <c r="BQ39" s="15">
        <f t="shared" si="17"/>
        <v>28487.670000000016</v>
      </c>
      <c r="BR39" s="15">
        <f t="shared" si="17"/>
        <v>27681.070000000022</v>
      </c>
      <c r="BS39" s="15">
        <f t="shared" si="17"/>
        <v>26874.460000000021</v>
      </c>
      <c r="BT39" s="15">
        <f t="shared" si="17"/>
        <v>26067.860000000019</v>
      </c>
      <c r="BU39" s="15">
        <f t="shared" si="17"/>
        <v>25261.250000000033</v>
      </c>
      <c r="BV39" s="15">
        <f t="shared" si="17"/>
        <v>24471.440000000024</v>
      </c>
      <c r="BW39" s="15">
        <f t="shared" si="17"/>
        <v>23664.840000000022</v>
      </c>
      <c r="BX39" s="15">
        <f t="shared" si="17"/>
        <v>23138.190000000028</v>
      </c>
      <c r="BY39" s="15">
        <f t="shared" si="17"/>
        <v>22331.590000000026</v>
      </c>
      <c r="BZ39" s="15">
        <f t="shared" si="17"/>
        <v>21524.99000000002</v>
      </c>
      <c r="CA39" s="15">
        <f t="shared" si="17"/>
        <v>20438.420000000016</v>
      </c>
      <c r="CB39" s="15">
        <f t="shared" si="17"/>
        <v>20438.420000000016</v>
      </c>
      <c r="CC39" s="15">
        <f t="shared" si="17"/>
        <v>19631.810000000023</v>
      </c>
      <c r="CD39" s="15">
        <f t="shared" si="17"/>
        <v>18825.210000000014</v>
      </c>
      <c r="CE39" s="15">
        <f t="shared" si="17"/>
        <v>18018.600000000009</v>
      </c>
      <c r="CF39" s="15">
        <f t="shared" si="17"/>
        <v>17212.000000000007</v>
      </c>
      <c r="CG39" s="15">
        <f t="shared" si="17"/>
        <v>16405.400000000005</v>
      </c>
      <c r="CH39" s="15">
        <f t="shared" si="17"/>
        <v>15598.790000000015</v>
      </c>
      <c r="CI39" s="15">
        <f t="shared" si="17"/>
        <v>14792.180000000011</v>
      </c>
      <c r="CJ39" s="15">
        <f t="shared" si="17"/>
        <v>14792.180000000011</v>
      </c>
      <c r="CK39" s="15">
        <f t="shared" si="17"/>
        <v>14792.180000000011</v>
      </c>
    </row>
    <row r="40" spans="1:89" x14ac:dyDescent="0.2">
      <c r="A40" s="7" t="s">
        <v>127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</row>
    <row r="41" spans="1:89" x14ac:dyDescent="0.2">
      <c r="A41" s="9" t="s">
        <v>128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</row>
    <row r="42" spans="1:89" x14ac:dyDescent="0.2">
      <c r="A42" s="10" t="s">
        <v>129</v>
      </c>
      <c r="B42" s="11">
        <v>0</v>
      </c>
      <c r="C42" s="11">
        <v>0</v>
      </c>
      <c r="D42" s="11">
        <v>0</v>
      </c>
      <c r="E42" s="11">
        <v>0</v>
      </c>
      <c r="F42" s="11">
        <v>279407.65999999997</v>
      </c>
      <c r="G42" s="11">
        <v>279407.65999999997</v>
      </c>
      <c r="H42" s="11">
        <v>279407.65999999997</v>
      </c>
      <c r="I42" s="11">
        <v>279407.65999999997</v>
      </c>
      <c r="J42" s="11">
        <v>279407.65999999997</v>
      </c>
      <c r="K42" s="11">
        <v>279407.65999999997</v>
      </c>
      <c r="L42" s="11">
        <v>279407.65999999997</v>
      </c>
      <c r="M42" s="11">
        <v>279407.65999999997</v>
      </c>
      <c r="N42" s="11">
        <v>279407.65999999997</v>
      </c>
      <c r="O42" s="11">
        <v>279407.65999999997</v>
      </c>
      <c r="P42" s="11">
        <v>279407.65999999997</v>
      </c>
      <c r="Q42" s="11">
        <v>279407.65999999997</v>
      </c>
      <c r="R42" s="11">
        <v>279407.65999999997</v>
      </c>
      <c r="S42" s="11">
        <v>279407.65999999997</v>
      </c>
      <c r="T42" s="11">
        <v>279407.65999999997</v>
      </c>
      <c r="U42" s="11">
        <v>279407.65999999997</v>
      </c>
      <c r="V42" s="11">
        <v>279407.65999999997</v>
      </c>
      <c r="W42" s="11">
        <v>279407.65999999997</v>
      </c>
      <c r="X42" s="11">
        <v>279407.65999999997</v>
      </c>
      <c r="Y42" s="11">
        <v>279407.65999999997</v>
      </c>
      <c r="Z42" s="11">
        <v>279407.65999999997</v>
      </c>
      <c r="AA42" s="11">
        <v>279407.65999999997</v>
      </c>
      <c r="AB42" s="11">
        <v>279407.65999999997</v>
      </c>
      <c r="AC42" s="11">
        <v>279407.65999999997</v>
      </c>
      <c r="AD42" s="11">
        <v>279407.65999999997</v>
      </c>
      <c r="AE42" s="11">
        <v>279407.65999999997</v>
      </c>
      <c r="AF42" s="11">
        <v>279407.65999999997</v>
      </c>
      <c r="AG42" s="11">
        <v>279407.65999999997</v>
      </c>
      <c r="AH42" s="11">
        <v>279407.65999999997</v>
      </c>
      <c r="AI42" s="11">
        <v>279407.65999999997</v>
      </c>
      <c r="AJ42" s="11">
        <v>279407.65999999997</v>
      </c>
      <c r="AK42" s="11">
        <v>279407.65999999997</v>
      </c>
      <c r="AL42" s="11">
        <v>279407.65999999997</v>
      </c>
      <c r="AM42" s="11">
        <v>279407.65999999997</v>
      </c>
      <c r="AN42" s="11">
        <v>279407.65999999997</v>
      </c>
      <c r="AO42" s="11">
        <v>279407.65999999997</v>
      </c>
      <c r="AP42" s="11">
        <v>279407.65999999997</v>
      </c>
      <c r="AQ42" s="11">
        <v>279407.65999999997</v>
      </c>
      <c r="AR42" s="11">
        <v>279407.65999999997</v>
      </c>
      <c r="AS42" s="11">
        <v>279407.65999999997</v>
      </c>
      <c r="AT42" s="11">
        <v>279407.65999999997</v>
      </c>
      <c r="AU42" s="11">
        <v>279407.65999999997</v>
      </c>
      <c r="AV42" s="11">
        <v>279407.65999999997</v>
      </c>
      <c r="AW42" s="11">
        <v>279407.65999999997</v>
      </c>
      <c r="AX42" s="11">
        <v>279407.65999999997</v>
      </c>
      <c r="AY42" s="11">
        <v>279407.65999999997</v>
      </c>
      <c r="AZ42" s="11">
        <v>279407.65999999997</v>
      </c>
      <c r="BA42" s="11">
        <v>279407.65999999997</v>
      </c>
      <c r="BB42" s="11">
        <v>279407.65999999997</v>
      </c>
      <c r="BC42" s="11">
        <v>279407.65999999997</v>
      </c>
      <c r="BD42" s="11">
        <v>279407.65999999997</v>
      </c>
      <c r="BE42" s="11">
        <v>279407.65999999997</v>
      </c>
      <c r="BF42" s="11">
        <v>279407.65999999997</v>
      </c>
      <c r="BG42" s="11">
        <v>279407.65999999997</v>
      </c>
      <c r="BH42" s="11">
        <v>279407.65999999997</v>
      </c>
      <c r="BI42" s="11">
        <v>279407.65999999997</v>
      </c>
      <c r="BJ42" s="11">
        <v>279407.65999999997</v>
      </c>
      <c r="BK42" s="11">
        <v>279407.65999999997</v>
      </c>
      <c r="BL42" s="11">
        <v>279407.65999999997</v>
      </c>
      <c r="BM42" s="11">
        <v>279407.65999999997</v>
      </c>
      <c r="BN42" s="11">
        <v>279407.65999999997</v>
      </c>
      <c r="BO42" s="11">
        <v>279407.65999999997</v>
      </c>
      <c r="BP42" s="11">
        <v>279407.65999999997</v>
      </c>
      <c r="BQ42" s="11">
        <v>279407.65999999997</v>
      </c>
      <c r="BR42" s="11">
        <v>279407.65999999997</v>
      </c>
      <c r="BS42" s="11">
        <v>279407.65999999997</v>
      </c>
      <c r="BT42" s="11">
        <v>279407.65999999997</v>
      </c>
      <c r="BU42" s="11">
        <v>279407.65999999997</v>
      </c>
      <c r="BV42" s="11">
        <v>279407.65999999997</v>
      </c>
      <c r="BW42" s="11">
        <v>279407.65999999997</v>
      </c>
      <c r="BX42" s="11">
        <v>279407.65999999997</v>
      </c>
      <c r="BY42" s="11">
        <v>279407.65999999997</v>
      </c>
      <c r="BZ42" s="11">
        <v>279407.65999999997</v>
      </c>
      <c r="CA42" s="11">
        <v>279407.65999999997</v>
      </c>
      <c r="CB42" s="11">
        <v>279407.65999999997</v>
      </c>
      <c r="CC42" s="11">
        <v>279407.65999999997</v>
      </c>
      <c r="CD42" s="11">
        <v>279407.65999999997</v>
      </c>
      <c r="CE42" s="11">
        <v>279407.65999999997</v>
      </c>
      <c r="CF42" s="11">
        <v>281907.65999999997</v>
      </c>
      <c r="CG42" s="11">
        <v>281907.65999999997</v>
      </c>
      <c r="CH42" s="11">
        <v>281907.65999999997</v>
      </c>
      <c r="CI42" s="11">
        <v>281907.65999999997</v>
      </c>
      <c r="CJ42" s="11">
        <v>281907.65999999997</v>
      </c>
      <c r="CK42" s="11">
        <v>281907.65999999997</v>
      </c>
    </row>
    <row r="43" spans="1:89" x14ac:dyDescent="0.2">
      <c r="A43" s="12" t="s">
        <v>130</v>
      </c>
      <c r="B43" s="13">
        <f t="shared" ref="B43:AG43" si="18">SUM(B42)</f>
        <v>0</v>
      </c>
      <c r="C43" s="13">
        <f t="shared" si="18"/>
        <v>0</v>
      </c>
      <c r="D43" s="13">
        <f t="shared" si="18"/>
        <v>0</v>
      </c>
      <c r="E43" s="13">
        <f t="shared" si="18"/>
        <v>0</v>
      </c>
      <c r="F43" s="13">
        <f t="shared" si="18"/>
        <v>279407.65999999997</v>
      </c>
      <c r="G43" s="13">
        <f t="shared" si="18"/>
        <v>279407.65999999997</v>
      </c>
      <c r="H43" s="13">
        <f t="shared" si="18"/>
        <v>279407.65999999997</v>
      </c>
      <c r="I43" s="13">
        <f t="shared" si="18"/>
        <v>279407.65999999997</v>
      </c>
      <c r="J43" s="13">
        <f t="shared" si="18"/>
        <v>279407.65999999997</v>
      </c>
      <c r="K43" s="13">
        <f t="shared" si="18"/>
        <v>279407.65999999997</v>
      </c>
      <c r="L43" s="13">
        <f t="shared" si="18"/>
        <v>279407.65999999997</v>
      </c>
      <c r="M43" s="13">
        <f t="shared" si="18"/>
        <v>279407.65999999997</v>
      </c>
      <c r="N43" s="13">
        <f t="shared" si="18"/>
        <v>279407.65999999997</v>
      </c>
      <c r="O43" s="13">
        <f t="shared" si="18"/>
        <v>279407.65999999997</v>
      </c>
      <c r="P43" s="13">
        <f t="shared" si="18"/>
        <v>279407.65999999997</v>
      </c>
      <c r="Q43" s="13">
        <f t="shared" si="18"/>
        <v>279407.65999999997</v>
      </c>
      <c r="R43" s="13">
        <f t="shared" si="18"/>
        <v>279407.65999999997</v>
      </c>
      <c r="S43" s="13">
        <f t="shared" si="18"/>
        <v>279407.65999999997</v>
      </c>
      <c r="T43" s="13">
        <f t="shared" si="18"/>
        <v>279407.65999999997</v>
      </c>
      <c r="U43" s="13">
        <f t="shared" si="18"/>
        <v>279407.65999999997</v>
      </c>
      <c r="V43" s="13">
        <f t="shared" si="18"/>
        <v>279407.65999999997</v>
      </c>
      <c r="W43" s="13">
        <f t="shared" si="18"/>
        <v>279407.65999999997</v>
      </c>
      <c r="X43" s="13">
        <f t="shared" si="18"/>
        <v>279407.65999999997</v>
      </c>
      <c r="Y43" s="13">
        <f t="shared" si="18"/>
        <v>279407.65999999997</v>
      </c>
      <c r="Z43" s="13">
        <f t="shared" si="18"/>
        <v>279407.65999999997</v>
      </c>
      <c r="AA43" s="13">
        <f t="shared" si="18"/>
        <v>279407.65999999997</v>
      </c>
      <c r="AB43" s="13">
        <f t="shared" si="18"/>
        <v>279407.65999999997</v>
      </c>
      <c r="AC43" s="13">
        <f t="shared" si="18"/>
        <v>279407.65999999997</v>
      </c>
      <c r="AD43" s="13">
        <f t="shared" si="18"/>
        <v>279407.65999999997</v>
      </c>
      <c r="AE43" s="13">
        <f t="shared" si="18"/>
        <v>279407.65999999997</v>
      </c>
      <c r="AF43" s="13">
        <f t="shared" si="18"/>
        <v>279407.65999999997</v>
      </c>
      <c r="AG43" s="13">
        <f t="shared" si="18"/>
        <v>279407.65999999997</v>
      </c>
      <c r="AH43" s="13">
        <f t="shared" ref="AH43:BM43" si="19">SUM(AH42)</f>
        <v>279407.65999999997</v>
      </c>
      <c r="AI43" s="13">
        <f t="shared" si="19"/>
        <v>279407.65999999997</v>
      </c>
      <c r="AJ43" s="13">
        <f t="shared" si="19"/>
        <v>279407.65999999997</v>
      </c>
      <c r="AK43" s="13">
        <f t="shared" si="19"/>
        <v>279407.65999999997</v>
      </c>
      <c r="AL43" s="13">
        <f t="shared" si="19"/>
        <v>279407.65999999997</v>
      </c>
      <c r="AM43" s="13">
        <f t="shared" si="19"/>
        <v>279407.65999999997</v>
      </c>
      <c r="AN43" s="13">
        <f t="shared" si="19"/>
        <v>279407.65999999997</v>
      </c>
      <c r="AO43" s="13">
        <f t="shared" si="19"/>
        <v>279407.65999999997</v>
      </c>
      <c r="AP43" s="13">
        <f t="shared" si="19"/>
        <v>279407.65999999997</v>
      </c>
      <c r="AQ43" s="13">
        <f t="shared" si="19"/>
        <v>279407.65999999997</v>
      </c>
      <c r="AR43" s="13">
        <f t="shared" si="19"/>
        <v>279407.65999999997</v>
      </c>
      <c r="AS43" s="13">
        <f t="shared" si="19"/>
        <v>279407.65999999997</v>
      </c>
      <c r="AT43" s="13">
        <f t="shared" si="19"/>
        <v>279407.65999999997</v>
      </c>
      <c r="AU43" s="13">
        <f t="shared" si="19"/>
        <v>279407.65999999997</v>
      </c>
      <c r="AV43" s="13">
        <f t="shared" si="19"/>
        <v>279407.65999999997</v>
      </c>
      <c r="AW43" s="13">
        <f t="shared" si="19"/>
        <v>279407.65999999997</v>
      </c>
      <c r="AX43" s="13">
        <f t="shared" si="19"/>
        <v>279407.65999999997</v>
      </c>
      <c r="AY43" s="13">
        <f t="shared" si="19"/>
        <v>279407.65999999997</v>
      </c>
      <c r="AZ43" s="13">
        <f t="shared" si="19"/>
        <v>279407.65999999997</v>
      </c>
      <c r="BA43" s="13">
        <f t="shared" si="19"/>
        <v>279407.65999999997</v>
      </c>
      <c r="BB43" s="13">
        <f t="shared" si="19"/>
        <v>279407.65999999997</v>
      </c>
      <c r="BC43" s="13">
        <f t="shared" si="19"/>
        <v>279407.65999999997</v>
      </c>
      <c r="BD43" s="13">
        <f t="shared" si="19"/>
        <v>279407.65999999997</v>
      </c>
      <c r="BE43" s="13">
        <f t="shared" si="19"/>
        <v>279407.65999999997</v>
      </c>
      <c r="BF43" s="13">
        <f t="shared" si="19"/>
        <v>279407.65999999997</v>
      </c>
      <c r="BG43" s="13">
        <f t="shared" si="19"/>
        <v>279407.65999999997</v>
      </c>
      <c r="BH43" s="13">
        <f t="shared" si="19"/>
        <v>279407.65999999997</v>
      </c>
      <c r="BI43" s="13">
        <f t="shared" si="19"/>
        <v>279407.65999999997</v>
      </c>
      <c r="BJ43" s="13">
        <f t="shared" si="19"/>
        <v>279407.65999999997</v>
      </c>
      <c r="BK43" s="13">
        <f t="shared" si="19"/>
        <v>279407.65999999997</v>
      </c>
      <c r="BL43" s="13">
        <f t="shared" si="19"/>
        <v>279407.65999999997</v>
      </c>
      <c r="BM43" s="13">
        <f t="shared" si="19"/>
        <v>279407.65999999997</v>
      </c>
      <c r="BN43" s="13">
        <f t="shared" ref="BN43:CS43" si="20">SUM(BN42)</f>
        <v>279407.65999999997</v>
      </c>
      <c r="BO43" s="13">
        <f t="shared" si="20"/>
        <v>279407.65999999997</v>
      </c>
      <c r="BP43" s="13">
        <f t="shared" si="20"/>
        <v>279407.65999999997</v>
      </c>
      <c r="BQ43" s="13">
        <f t="shared" si="20"/>
        <v>279407.65999999997</v>
      </c>
      <c r="BR43" s="13">
        <f t="shared" si="20"/>
        <v>279407.65999999997</v>
      </c>
      <c r="BS43" s="13">
        <f t="shared" si="20"/>
        <v>279407.65999999997</v>
      </c>
      <c r="BT43" s="13">
        <f t="shared" si="20"/>
        <v>279407.65999999997</v>
      </c>
      <c r="BU43" s="13">
        <f t="shared" si="20"/>
        <v>279407.65999999997</v>
      </c>
      <c r="BV43" s="13">
        <f t="shared" si="20"/>
        <v>279407.65999999997</v>
      </c>
      <c r="BW43" s="13">
        <f t="shared" si="20"/>
        <v>279407.65999999997</v>
      </c>
      <c r="BX43" s="13">
        <f t="shared" si="20"/>
        <v>279407.65999999997</v>
      </c>
      <c r="BY43" s="13">
        <f t="shared" si="20"/>
        <v>279407.65999999997</v>
      </c>
      <c r="BZ43" s="13">
        <f t="shared" si="20"/>
        <v>279407.65999999997</v>
      </c>
      <c r="CA43" s="13">
        <f t="shared" si="20"/>
        <v>279407.65999999997</v>
      </c>
      <c r="CB43" s="13">
        <f t="shared" si="20"/>
        <v>279407.65999999997</v>
      </c>
      <c r="CC43" s="13">
        <f t="shared" si="20"/>
        <v>279407.65999999997</v>
      </c>
      <c r="CD43" s="13">
        <f t="shared" si="20"/>
        <v>279407.65999999997</v>
      </c>
      <c r="CE43" s="13">
        <f t="shared" si="20"/>
        <v>279407.65999999997</v>
      </c>
      <c r="CF43" s="13">
        <f t="shared" si="20"/>
        <v>281907.65999999997</v>
      </c>
      <c r="CG43" s="13">
        <f t="shared" si="20"/>
        <v>281907.65999999997</v>
      </c>
      <c r="CH43" s="13">
        <f t="shared" si="20"/>
        <v>281907.65999999997</v>
      </c>
      <c r="CI43" s="13">
        <f t="shared" si="20"/>
        <v>281907.65999999997</v>
      </c>
      <c r="CJ43" s="13">
        <f t="shared" si="20"/>
        <v>281907.65999999997</v>
      </c>
      <c r="CK43" s="13">
        <f t="shared" si="20"/>
        <v>281907.65999999997</v>
      </c>
    </row>
    <row r="44" spans="1:89" x14ac:dyDescent="0.2">
      <c r="A44" s="9" t="s">
        <v>131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</row>
    <row r="45" spans="1:89" x14ac:dyDescent="0.2">
      <c r="A45" s="10" t="s">
        <v>132</v>
      </c>
      <c r="B45" s="11">
        <v>381781.07</v>
      </c>
      <c r="C45" s="11">
        <v>381781.07</v>
      </c>
      <c r="D45" s="11">
        <v>381781.07</v>
      </c>
      <c r="E45" s="11">
        <v>381726.99</v>
      </c>
      <c r="F45" s="11">
        <v>376478.87</v>
      </c>
      <c r="G45" s="11">
        <v>375645.54</v>
      </c>
      <c r="H45" s="11">
        <v>374647.79</v>
      </c>
      <c r="I45" s="11">
        <v>374647.79</v>
      </c>
      <c r="J45" s="11">
        <v>374647.79</v>
      </c>
      <c r="K45" s="11">
        <v>356736.58999999997</v>
      </c>
      <c r="L45" s="11">
        <v>356736.58999999997</v>
      </c>
      <c r="M45" s="11">
        <v>377065.6</v>
      </c>
      <c r="N45" s="11">
        <v>377065.6</v>
      </c>
      <c r="O45" s="11">
        <v>400747.31999999995</v>
      </c>
      <c r="P45" s="11">
        <v>400747.31999999995</v>
      </c>
      <c r="Q45" s="11">
        <v>400747.31999999995</v>
      </c>
      <c r="R45" s="11">
        <v>400747.31999999995</v>
      </c>
      <c r="S45" s="11">
        <v>400747.31999999995</v>
      </c>
      <c r="T45" s="11">
        <v>400747.31999999995</v>
      </c>
      <c r="U45" s="11">
        <v>400747.31999999995</v>
      </c>
      <c r="V45" s="11">
        <v>400747.31999999995</v>
      </c>
      <c r="W45" s="11">
        <v>400747.31999999995</v>
      </c>
      <c r="X45" s="11">
        <v>486090.81999999995</v>
      </c>
      <c r="Y45" s="11">
        <v>647484.6399999999</v>
      </c>
      <c r="Z45" s="11">
        <v>739961.49999999988</v>
      </c>
      <c r="AA45" s="11">
        <v>743977.44999999984</v>
      </c>
      <c r="AB45" s="11">
        <v>740960.61999999988</v>
      </c>
      <c r="AC45" s="11">
        <v>740960.61999999988</v>
      </c>
      <c r="AD45" s="11">
        <v>740960.61999999988</v>
      </c>
      <c r="AE45" s="11">
        <v>740960.61999999988</v>
      </c>
      <c r="AF45" s="11">
        <v>740960.61999999988</v>
      </c>
      <c r="AG45" s="11">
        <v>740960.61999999988</v>
      </c>
      <c r="AH45" s="11">
        <v>-1.1641532182693481E-10</v>
      </c>
      <c r="AI45" s="11">
        <v>-1.1641532182693481E-10</v>
      </c>
      <c r="AJ45" s="11">
        <v>-1.1641532182693481E-10</v>
      </c>
      <c r="AK45" s="11">
        <v>-1.1641532182693481E-10</v>
      </c>
      <c r="AL45" s="11">
        <v>-1.1641532182693481E-10</v>
      </c>
      <c r="AM45" s="11">
        <v>-1.1641532182693481E-10</v>
      </c>
      <c r="AN45" s="11">
        <v>-1.1641532182693481E-10</v>
      </c>
      <c r="AO45" s="11">
        <v>-1.1641532182693481E-10</v>
      </c>
      <c r="AP45" s="11">
        <v>-1.1641532182693481E-10</v>
      </c>
      <c r="AQ45" s="11">
        <v>-1.1641532182693481E-10</v>
      </c>
      <c r="AR45" s="11">
        <v>-1.1641532182693481E-10</v>
      </c>
      <c r="AS45" s="11">
        <v>-1.1641532182693481E-10</v>
      </c>
      <c r="AT45" s="11">
        <v>-1.1641532182693481E-10</v>
      </c>
      <c r="AU45" s="11">
        <v>-1.1641532182693481E-10</v>
      </c>
      <c r="AV45" s="11">
        <v>-1.1641532182693481E-10</v>
      </c>
      <c r="AW45" s="11">
        <v>-1.1641532182693481E-10</v>
      </c>
      <c r="AX45" s="11">
        <v>-1.1641532182693481E-10</v>
      </c>
      <c r="AY45" s="11">
        <v>-1.1641532182693481E-10</v>
      </c>
      <c r="AZ45" s="11">
        <v>-1.1641532182693481E-10</v>
      </c>
      <c r="BA45" s="11">
        <v>-1.1641532182693481E-10</v>
      </c>
      <c r="BB45" s="11">
        <v>-1.1641532182693481E-10</v>
      </c>
      <c r="BC45" s="11">
        <v>-1.1641532182693481E-10</v>
      </c>
      <c r="BD45" s="11">
        <v>-1.1641532182693481E-10</v>
      </c>
      <c r="BE45" s="11">
        <v>-1.1641532182693481E-10</v>
      </c>
      <c r="BF45" s="11">
        <v>-1.1641532182693481E-10</v>
      </c>
      <c r="BG45" s="11">
        <v>-1.1641532182693481E-10</v>
      </c>
      <c r="BH45" s="11">
        <v>-1.1641532182693481E-10</v>
      </c>
      <c r="BI45" s="11">
        <v>-1.1641532182693481E-10</v>
      </c>
      <c r="BJ45" s="11">
        <v>-1.1641532182693481E-10</v>
      </c>
      <c r="BK45" s="11">
        <v>-1.1641532182693481E-10</v>
      </c>
      <c r="BL45" s="11">
        <v>-1.1641532182693481E-10</v>
      </c>
      <c r="BM45" s="11">
        <v>-1.1641532182693481E-10</v>
      </c>
      <c r="BN45" s="11">
        <v>-1.1641532182693481E-10</v>
      </c>
      <c r="BO45" s="11">
        <v>-1.1641532182693481E-10</v>
      </c>
      <c r="BP45" s="11">
        <v>-1.1641532182693481E-10</v>
      </c>
      <c r="BQ45" s="11">
        <v>-1.1641532182693481E-10</v>
      </c>
      <c r="BR45" s="11">
        <v>-1.1641532182693481E-10</v>
      </c>
      <c r="BS45" s="11">
        <v>-1.1641532182693481E-10</v>
      </c>
      <c r="BT45" s="11">
        <v>-1.1641532182693481E-10</v>
      </c>
      <c r="BU45" s="11">
        <v>-1.1641532182693481E-10</v>
      </c>
      <c r="BV45" s="11">
        <v>-1.1641532182693481E-10</v>
      </c>
      <c r="BW45" s="11">
        <v>-1.1641532182693481E-10</v>
      </c>
      <c r="BX45" s="11">
        <v>-1.1641532182693481E-10</v>
      </c>
      <c r="BY45" s="11">
        <v>-1.1641532182693481E-10</v>
      </c>
      <c r="BZ45" s="11">
        <v>-1.1641532182693481E-10</v>
      </c>
      <c r="CA45" s="11">
        <v>-1.1641532182693481E-10</v>
      </c>
      <c r="CB45" s="11">
        <v>-1.1641532182693481E-10</v>
      </c>
      <c r="CC45" s="11">
        <v>-1.1641532182693481E-10</v>
      </c>
      <c r="CD45" s="11">
        <v>-1.1641532182693481E-10</v>
      </c>
      <c r="CE45" s="11">
        <v>-1.1641532182693481E-10</v>
      </c>
      <c r="CF45" s="11">
        <v>-1.1641532182693481E-10</v>
      </c>
      <c r="CG45" s="11">
        <v>-1.1641532182693481E-10</v>
      </c>
      <c r="CH45" s="11">
        <v>-1.1641532182693481E-10</v>
      </c>
      <c r="CI45" s="11">
        <v>-1.1641532182693481E-10</v>
      </c>
      <c r="CJ45" s="11">
        <v>-1.1641532182693481E-10</v>
      </c>
      <c r="CK45" s="11">
        <v>-1.1641532182693481E-10</v>
      </c>
    </row>
    <row r="46" spans="1:89" x14ac:dyDescent="0.2">
      <c r="A46" s="10" t="s">
        <v>133</v>
      </c>
      <c r="B46" s="11">
        <v>194759.66</v>
      </c>
      <c r="C46" s="11">
        <v>194759.66</v>
      </c>
      <c r="D46" s="11">
        <v>204759.66</v>
      </c>
      <c r="E46" s="11">
        <v>214759.66</v>
      </c>
      <c r="F46" s="11">
        <v>224759.66</v>
      </c>
      <c r="G46" s="11">
        <v>224759.66</v>
      </c>
      <c r="H46" s="11">
        <v>224759.66</v>
      </c>
      <c r="I46" s="11">
        <v>224759.66</v>
      </c>
      <c r="J46" s="11">
        <v>224759.66</v>
      </c>
      <c r="K46" s="11">
        <v>224759.66</v>
      </c>
      <c r="L46" s="11">
        <v>224759.66</v>
      </c>
      <c r="M46" s="11">
        <v>224759.66</v>
      </c>
      <c r="N46" s="11">
        <v>224759.66</v>
      </c>
      <c r="O46" s="11">
        <v>224850.59</v>
      </c>
      <c r="P46" s="11">
        <v>224850.59</v>
      </c>
      <c r="Q46" s="11">
        <v>224850.59</v>
      </c>
      <c r="R46" s="11">
        <v>224850.59</v>
      </c>
      <c r="S46" s="11">
        <v>224850.59</v>
      </c>
      <c r="T46" s="11">
        <v>224850.59</v>
      </c>
      <c r="U46" s="11">
        <v>224850.59</v>
      </c>
      <c r="V46" s="11">
        <v>224850.59</v>
      </c>
      <c r="W46" s="11">
        <v>224850.59</v>
      </c>
      <c r="X46" s="11">
        <v>224850.59</v>
      </c>
      <c r="Y46" s="11">
        <v>224850.59</v>
      </c>
      <c r="Z46" s="11">
        <v>224850.59</v>
      </c>
      <c r="AA46" s="11">
        <v>224850.59</v>
      </c>
      <c r="AB46" s="11">
        <v>225501.79</v>
      </c>
      <c r="AC46" s="11">
        <v>225501.79</v>
      </c>
      <c r="AD46" s="11">
        <v>225501.79</v>
      </c>
      <c r="AE46" s="11">
        <v>225501.79</v>
      </c>
      <c r="AF46" s="11">
        <v>225501.79</v>
      </c>
      <c r="AG46" s="11">
        <v>225501.79</v>
      </c>
      <c r="AH46" s="11">
        <v>225501.79</v>
      </c>
      <c r="AI46" s="11">
        <v>225501.79</v>
      </c>
      <c r="AJ46" s="11">
        <v>225501.79</v>
      </c>
      <c r="AK46" s="11">
        <v>225501.79</v>
      </c>
      <c r="AL46" s="11">
        <v>225501.79</v>
      </c>
      <c r="AM46" s="11">
        <v>225501.79</v>
      </c>
      <c r="AN46" s="11">
        <v>225501.79</v>
      </c>
      <c r="AO46" s="11">
        <v>225831.34</v>
      </c>
      <c r="AP46" s="11">
        <v>225831.34</v>
      </c>
      <c r="AQ46" s="11">
        <v>225831.34</v>
      </c>
      <c r="AR46" s="11">
        <v>225831.34</v>
      </c>
      <c r="AS46" s="11">
        <v>225831.34</v>
      </c>
      <c r="AT46" s="11">
        <v>225831.34</v>
      </c>
      <c r="AU46" s="11">
        <v>225831.34</v>
      </c>
      <c r="AV46" s="11">
        <v>225831.34</v>
      </c>
      <c r="AW46" s="11">
        <v>225831.34</v>
      </c>
      <c r="AX46" s="11">
        <v>225831.34</v>
      </c>
      <c r="AY46" s="11">
        <v>225831.34</v>
      </c>
      <c r="AZ46" s="11">
        <v>225831.34</v>
      </c>
      <c r="BA46" s="11">
        <v>225831.34</v>
      </c>
      <c r="BB46" s="11">
        <v>221307.11</v>
      </c>
      <c r="BC46" s="11">
        <v>221307.11</v>
      </c>
      <c r="BD46" s="11">
        <v>221307.11</v>
      </c>
      <c r="BE46" s="11">
        <v>221307.11</v>
      </c>
      <c r="BF46" s="11">
        <v>221307.11</v>
      </c>
      <c r="BG46" s="11">
        <v>221307.11</v>
      </c>
      <c r="BH46" s="11">
        <v>221307.11</v>
      </c>
      <c r="BI46" s="11">
        <v>221307.11</v>
      </c>
      <c r="BJ46" s="11">
        <v>221307.11</v>
      </c>
      <c r="BK46" s="11">
        <v>221307.11</v>
      </c>
      <c r="BL46" s="11">
        <v>221307.11</v>
      </c>
      <c r="BM46" s="11">
        <v>221307.11</v>
      </c>
      <c r="BN46" s="11">
        <v>221307.11</v>
      </c>
      <c r="BO46" s="11">
        <v>221802.46999999997</v>
      </c>
      <c r="BP46" s="11">
        <v>221802.46999999997</v>
      </c>
      <c r="BQ46" s="11">
        <v>221802.46999999997</v>
      </c>
      <c r="BR46" s="11">
        <v>221802.46999999997</v>
      </c>
      <c r="BS46" s="11">
        <v>821802.47</v>
      </c>
      <c r="BT46" s="11">
        <v>822020.46</v>
      </c>
      <c r="BU46" s="11">
        <v>822020.46</v>
      </c>
      <c r="BV46" s="11">
        <v>822020.46</v>
      </c>
      <c r="BW46" s="11">
        <v>822020.46</v>
      </c>
      <c r="BX46" s="11">
        <v>822020.46</v>
      </c>
      <c r="BY46" s="11">
        <v>822020.46</v>
      </c>
      <c r="BZ46" s="11">
        <v>822020.46</v>
      </c>
      <c r="CA46" s="11">
        <v>829792.64999999991</v>
      </c>
      <c r="CB46" s="11">
        <v>829792.64999999991</v>
      </c>
      <c r="CC46" s="11">
        <v>829792.64999999991</v>
      </c>
      <c r="CD46" s="11">
        <v>829792.64999999991</v>
      </c>
      <c r="CE46" s="11">
        <v>829792.64999999991</v>
      </c>
      <c r="CF46" s="11">
        <v>829792.64999999991</v>
      </c>
      <c r="CG46" s="11">
        <v>836261.94</v>
      </c>
      <c r="CH46" s="11">
        <v>836261.94</v>
      </c>
      <c r="CI46" s="11">
        <v>836261.94</v>
      </c>
      <c r="CJ46" s="11">
        <v>836261.94</v>
      </c>
      <c r="CK46" s="11">
        <v>836261.94</v>
      </c>
    </row>
    <row r="47" spans="1:89" x14ac:dyDescent="0.2">
      <c r="A47" s="10" t="s">
        <v>134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740960.62</v>
      </c>
      <c r="AI47" s="11">
        <v>688364.72</v>
      </c>
      <c r="AJ47" s="11">
        <v>726548.44</v>
      </c>
      <c r="AK47" s="11">
        <v>693246.42999999993</v>
      </c>
      <c r="AL47" s="11">
        <v>681423.5199999999</v>
      </c>
      <c r="AM47" s="11">
        <v>714120.47999999986</v>
      </c>
      <c r="AN47" s="11">
        <v>629442.97999999986</v>
      </c>
      <c r="AO47" s="11">
        <v>726071.2899999998</v>
      </c>
      <c r="AP47" s="11">
        <v>726071.2899999998</v>
      </c>
      <c r="AQ47" s="11">
        <v>725553.45999999985</v>
      </c>
      <c r="AR47" s="11">
        <v>721823.14999999979</v>
      </c>
      <c r="AS47" s="11">
        <v>609804.46999999974</v>
      </c>
      <c r="AT47" s="11">
        <v>525506.72999999975</v>
      </c>
      <c r="AU47" s="11">
        <v>495705.05999999976</v>
      </c>
      <c r="AV47" s="11">
        <v>453683.30999999976</v>
      </c>
      <c r="AW47" s="11">
        <v>597560.5399999998</v>
      </c>
      <c r="AX47" s="11">
        <v>678008.83999999985</v>
      </c>
      <c r="AY47" s="11">
        <v>696580.3899999999</v>
      </c>
      <c r="AZ47" s="11">
        <v>709104.5199999999</v>
      </c>
      <c r="BA47" s="11">
        <v>709104.5199999999</v>
      </c>
      <c r="BB47" s="11">
        <v>703716.60999999987</v>
      </c>
      <c r="BC47" s="11">
        <v>703716.60999999987</v>
      </c>
      <c r="BD47" s="11">
        <v>703716.60999999987</v>
      </c>
      <c r="BE47" s="11">
        <v>660862.62999999989</v>
      </c>
      <c r="BF47" s="11">
        <v>683409.54999999993</v>
      </c>
      <c r="BG47" s="11">
        <v>704250.16999999993</v>
      </c>
      <c r="BH47" s="11">
        <v>694759.08</v>
      </c>
      <c r="BI47" s="11">
        <v>694759.08</v>
      </c>
      <c r="BJ47" s="11">
        <v>980813.98</v>
      </c>
      <c r="BK47" s="11">
        <v>978348.57</v>
      </c>
      <c r="BL47" s="11">
        <v>978348.57</v>
      </c>
      <c r="BM47" s="11">
        <v>1103988.3499999999</v>
      </c>
      <c r="BN47" s="11">
        <v>1103988.3499999999</v>
      </c>
      <c r="BO47" s="11">
        <v>1222864.0099999998</v>
      </c>
      <c r="BP47" s="11">
        <v>1187396.0699999998</v>
      </c>
      <c r="BQ47" s="11">
        <v>1186651.0799999998</v>
      </c>
      <c r="BR47" s="11">
        <v>1194692.5899999999</v>
      </c>
      <c r="BS47" s="11">
        <v>1199486.5399999998</v>
      </c>
      <c r="BT47" s="11">
        <v>1199486.5399999998</v>
      </c>
      <c r="BU47" s="11">
        <v>1213734.1899999997</v>
      </c>
      <c r="BV47" s="11">
        <v>1231208.3799999997</v>
      </c>
      <c r="BW47" s="11">
        <v>1225577.2199999997</v>
      </c>
      <c r="BX47" s="11">
        <v>1225577.2199999997</v>
      </c>
      <c r="BY47" s="11">
        <v>1225577.2199999997</v>
      </c>
      <c r="BZ47" s="11">
        <v>1225577.2199999997</v>
      </c>
      <c r="CA47" s="11">
        <v>1180590.6099999996</v>
      </c>
      <c r="CB47" s="11">
        <v>1180590.6099999996</v>
      </c>
      <c r="CC47" s="11">
        <v>1172232.5999999996</v>
      </c>
      <c r="CD47" s="11">
        <v>1172990.9299999997</v>
      </c>
      <c r="CE47" s="11">
        <v>1156097.1999999997</v>
      </c>
      <c r="CF47" s="11">
        <v>1162222.5099999998</v>
      </c>
      <c r="CG47" s="11">
        <v>1162222.5099999998</v>
      </c>
      <c r="CH47" s="11">
        <v>1162222.5099999998</v>
      </c>
      <c r="CI47" s="11">
        <v>534792.05999999982</v>
      </c>
      <c r="CJ47" s="11">
        <v>534792.05999999982</v>
      </c>
      <c r="CK47" s="11">
        <v>534792.05999999982</v>
      </c>
    </row>
    <row r="48" spans="1:89" x14ac:dyDescent="0.2">
      <c r="A48" s="12" t="s">
        <v>135</v>
      </c>
      <c r="B48" s="13">
        <f t="shared" ref="B48:AG48" si="21">SUM(B45:B47)</f>
        <v>576540.73</v>
      </c>
      <c r="C48" s="13">
        <f t="shared" si="21"/>
        <v>576540.73</v>
      </c>
      <c r="D48" s="13">
        <f t="shared" si="21"/>
        <v>586540.73</v>
      </c>
      <c r="E48" s="13">
        <f t="shared" si="21"/>
        <v>596486.65</v>
      </c>
      <c r="F48" s="13">
        <f t="shared" si="21"/>
        <v>601238.53</v>
      </c>
      <c r="G48" s="13">
        <f t="shared" si="21"/>
        <v>600405.19999999995</v>
      </c>
      <c r="H48" s="13">
        <f t="shared" si="21"/>
        <v>599407.44999999995</v>
      </c>
      <c r="I48" s="13">
        <f t="shared" si="21"/>
        <v>599407.44999999995</v>
      </c>
      <c r="J48" s="13">
        <f t="shared" si="21"/>
        <v>599407.44999999995</v>
      </c>
      <c r="K48" s="13">
        <f t="shared" si="21"/>
        <v>581496.25</v>
      </c>
      <c r="L48" s="13">
        <f t="shared" si="21"/>
        <v>581496.25</v>
      </c>
      <c r="M48" s="13">
        <f t="shared" si="21"/>
        <v>601825.26</v>
      </c>
      <c r="N48" s="13">
        <f t="shared" si="21"/>
        <v>601825.26</v>
      </c>
      <c r="O48" s="13">
        <f t="shared" si="21"/>
        <v>625597.90999999992</v>
      </c>
      <c r="P48" s="13">
        <f t="shared" si="21"/>
        <v>625597.90999999992</v>
      </c>
      <c r="Q48" s="13">
        <f t="shared" si="21"/>
        <v>625597.90999999992</v>
      </c>
      <c r="R48" s="13">
        <f t="shared" si="21"/>
        <v>625597.90999999992</v>
      </c>
      <c r="S48" s="13">
        <f t="shared" si="21"/>
        <v>625597.90999999992</v>
      </c>
      <c r="T48" s="13">
        <f t="shared" si="21"/>
        <v>625597.90999999992</v>
      </c>
      <c r="U48" s="13">
        <f t="shared" si="21"/>
        <v>625597.90999999992</v>
      </c>
      <c r="V48" s="13">
        <f t="shared" si="21"/>
        <v>625597.90999999992</v>
      </c>
      <c r="W48" s="13">
        <f t="shared" si="21"/>
        <v>625597.90999999992</v>
      </c>
      <c r="X48" s="13">
        <f t="shared" si="21"/>
        <v>710941.40999999992</v>
      </c>
      <c r="Y48" s="13">
        <f t="shared" si="21"/>
        <v>872335.22999999986</v>
      </c>
      <c r="Z48" s="13">
        <f t="shared" si="21"/>
        <v>964812.08999999985</v>
      </c>
      <c r="AA48" s="13">
        <f t="shared" si="21"/>
        <v>968828.0399999998</v>
      </c>
      <c r="AB48" s="13">
        <f t="shared" si="21"/>
        <v>966462.40999999992</v>
      </c>
      <c r="AC48" s="13">
        <f t="shared" si="21"/>
        <v>966462.40999999992</v>
      </c>
      <c r="AD48" s="13">
        <f t="shared" si="21"/>
        <v>966462.40999999992</v>
      </c>
      <c r="AE48" s="13">
        <f t="shared" si="21"/>
        <v>966462.40999999992</v>
      </c>
      <c r="AF48" s="13">
        <f t="shared" si="21"/>
        <v>966462.40999999992</v>
      </c>
      <c r="AG48" s="13">
        <f t="shared" si="21"/>
        <v>966462.40999999992</v>
      </c>
      <c r="AH48" s="13">
        <f t="shared" ref="AH48:BM48" si="22">SUM(AH45:AH47)</f>
        <v>966462.40999999992</v>
      </c>
      <c r="AI48" s="13">
        <f t="shared" si="22"/>
        <v>913866.50999999989</v>
      </c>
      <c r="AJ48" s="13">
        <f t="shared" si="22"/>
        <v>952050.22999999986</v>
      </c>
      <c r="AK48" s="13">
        <f t="shared" si="22"/>
        <v>918748.21999999986</v>
      </c>
      <c r="AL48" s="13">
        <f t="shared" si="22"/>
        <v>906925.30999999982</v>
      </c>
      <c r="AM48" s="13">
        <f t="shared" si="22"/>
        <v>939622.26999999979</v>
      </c>
      <c r="AN48" s="13">
        <f t="shared" si="22"/>
        <v>854944.76999999979</v>
      </c>
      <c r="AO48" s="13">
        <f t="shared" si="22"/>
        <v>951902.62999999966</v>
      </c>
      <c r="AP48" s="13">
        <f t="shared" si="22"/>
        <v>951902.62999999966</v>
      </c>
      <c r="AQ48" s="13">
        <f t="shared" si="22"/>
        <v>951384.7999999997</v>
      </c>
      <c r="AR48" s="13">
        <f t="shared" si="22"/>
        <v>947654.48999999964</v>
      </c>
      <c r="AS48" s="13">
        <f t="shared" si="22"/>
        <v>835635.80999999959</v>
      </c>
      <c r="AT48" s="13">
        <f t="shared" si="22"/>
        <v>751338.0699999996</v>
      </c>
      <c r="AU48" s="13">
        <f t="shared" si="22"/>
        <v>721536.39999999967</v>
      </c>
      <c r="AV48" s="13">
        <f t="shared" si="22"/>
        <v>679514.64999999967</v>
      </c>
      <c r="AW48" s="13">
        <f t="shared" si="22"/>
        <v>823391.87999999966</v>
      </c>
      <c r="AX48" s="13">
        <f t="shared" si="22"/>
        <v>903840.1799999997</v>
      </c>
      <c r="AY48" s="13">
        <f t="shared" si="22"/>
        <v>922411.72999999975</v>
      </c>
      <c r="AZ48" s="13">
        <f t="shared" si="22"/>
        <v>934935.85999999975</v>
      </c>
      <c r="BA48" s="13">
        <f t="shared" si="22"/>
        <v>934935.85999999975</v>
      </c>
      <c r="BB48" s="13">
        <f t="shared" si="22"/>
        <v>925023.71999999974</v>
      </c>
      <c r="BC48" s="13">
        <f t="shared" si="22"/>
        <v>925023.71999999974</v>
      </c>
      <c r="BD48" s="13">
        <f t="shared" si="22"/>
        <v>925023.71999999974</v>
      </c>
      <c r="BE48" s="13">
        <f t="shared" si="22"/>
        <v>882169.73999999976</v>
      </c>
      <c r="BF48" s="13">
        <f t="shared" si="22"/>
        <v>904716.6599999998</v>
      </c>
      <c r="BG48" s="13">
        <f t="shared" si="22"/>
        <v>925557.2799999998</v>
      </c>
      <c r="BH48" s="13">
        <f t="shared" si="22"/>
        <v>916066.18999999983</v>
      </c>
      <c r="BI48" s="13">
        <f t="shared" si="22"/>
        <v>916066.18999999983</v>
      </c>
      <c r="BJ48" s="13">
        <f t="shared" si="22"/>
        <v>1202121.0899999999</v>
      </c>
      <c r="BK48" s="13">
        <f t="shared" si="22"/>
        <v>1199655.6799999997</v>
      </c>
      <c r="BL48" s="13">
        <f t="shared" si="22"/>
        <v>1199655.6799999997</v>
      </c>
      <c r="BM48" s="13">
        <f t="shared" si="22"/>
        <v>1325295.4599999997</v>
      </c>
      <c r="BN48" s="13">
        <f t="shared" ref="BN48:CS48" si="23">SUM(BN45:BN47)</f>
        <v>1325295.4599999997</v>
      </c>
      <c r="BO48" s="13">
        <f t="shared" si="23"/>
        <v>1444666.4799999995</v>
      </c>
      <c r="BP48" s="13">
        <f t="shared" si="23"/>
        <v>1409198.5399999996</v>
      </c>
      <c r="BQ48" s="13">
        <f t="shared" si="23"/>
        <v>1408453.5499999998</v>
      </c>
      <c r="BR48" s="13">
        <f t="shared" si="23"/>
        <v>1416495.0599999996</v>
      </c>
      <c r="BS48" s="13">
        <f t="shared" si="23"/>
        <v>2021289.0099999998</v>
      </c>
      <c r="BT48" s="13">
        <f t="shared" si="23"/>
        <v>2021506.9999999995</v>
      </c>
      <c r="BU48" s="13">
        <f t="shared" si="23"/>
        <v>2035754.6499999994</v>
      </c>
      <c r="BV48" s="13">
        <f t="shared" si="23"/>
        <v>2053228.8399999994</v>
      </c>
      <c r="BW48" s="13">
        <f t="shared" si="23"/>
        <v>2047597.6799999997</v>
      </c>
      <c r="BX48" s="13">
        <f t="shared" si="23"/>
        <v>2047597.6799999997</v>
      </c>
      <c r="BY48" s="13">
        <f t="shared" si="23"/>
        <v>2047597.6799999997</v>
      </c>
      <c r="BZ48" s="13">
        <f t="shared" si="23"/>
        <v>2047597.6799999997</v>
      </c>
      <c r="CA48" s="13">
        <f t="shared" si="23"/>
        <v>2010383.2599999993</v>
      </c>
      <c r="CB48" s="13">
        <f t="shared" si="23"/>
        <v>2010383.2599999993</v>
      </c>
      <c r="CC48" s="13">
        <f t="shared" si="23"/>
        <v>2002025.2499999995</v>
      </c>
      <c r="CD48" s="13">
        <f t="shared" si="23"/>
        <v>2002783.5799999996</v>
      </c>
      <c r="CE48" s="13">
        <f t="shared" si="23"/>
        <v>1985889.8499999996</v>
      </c>
      <c r="CF48" s="13">
        <f t="shared" si="23"/>
        <v>1992015.1599999997</v>
      </c>
      <c r="CG48" s="13">
        <f t="shared" si="23"/>
        <v>1998484.4499999997</v>
      </c>
      <c r="CH48" s="13">
        <f t="shared" si="23"/>
        <v>1998484.4499999997</v>
      </c>
      <c r="CI48" s="13">
        <f t="shared" si="23"/>
        <v>1371053.9999999995</v>
      </c>
      <c r="CJ48" s="13">
        <f t="shared" si="23"/>
        <v>1371053.9999999995</v>
      </c>
      <c r="CK48" s="13">
        <f t="shared" si="23"/>
        <v>1371053.9999999995</v>
      </c>
    </row>
    <row r="49" spans="1:89" x14ac:dyDescent="0.2">
      <c r="A49" s="9" t="s">
        <v>136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</row>
    <row r="50" spans="1:89" x14ac:dyDescent="0.2">
      <c r="A50" s="10" t="s">
        <v>137</v>
      </c>
      <c r="B50" s="11">
        <v>100</v>
      </c>
      <c r="C50" s="11">
        <v>100</v>
      </c>
      <c r="D50" s="11">
        <v>100</v>
      </c>
      <c r="E50" s="11">
        <v>100</v>
      </c>
      <c r="F50" s="11">
        <v>100</v>
      </c>
      <c r="G50" s="11">
        <v>100</v>
      </c>
      <c r="H50" s="11">
        <v>100</v>
      </c>
      <c r="I50" s="11">
        <v>100</v>
      </c>
      <c r="J50" s="11">
        <v>100</v>
      </c>
      <c r="K50" s="11">
        <v>100</v>
      </c>
      <c r="L50" s="11">
        <v>100</v>
      </c>
      <c r="M50" s="11">
        <v>100</v>
      </c>
      <c r="N50" s="11">
        <v>100</v>
      </c>
      <c r="O50" s="11">
        <v>100</v>
      </c>
      <c r="P50" s="11">
        <v>100</v>
      </c>
      <c r="Q50" s="11">
        <v>100</v>
      </c>
      <c r="R50" s="11">
        <v>100</v>
      </c>
      <c r="S50" s="11">
        <v>100</v>
      </c>
      <c r="T50" s="11">
        <v>100</v>
      </c>
      <c r="U50" s="11">
        <v>100</v>
      </c>
      <c r="V50" s="11">
        <v>100</v>
      </c>
      <c r="W50" s="11">
        <v>100</v>
      </c>
      <c r="X50" s="11">
        <v>100</v>
      </c>
      <c r="Y50" s="11">
        <v>100</v>
      </c>
      <c r="Z50" s="11">
        <v>100</v>
      </c>
      <c r="AA50" s="11">
        <v>100</v>
      </c>
      <c r="AB50" s="11">
        <v>100</v>
      </c>
      <c r="AC50" s="11">
        <v>100</v>
      </c>
      <c r="AD50" s="11">
        <v>100</v>
      </c>
      <c r="AE50" s="11">
        <v>100</v>
      </c>
      <c r="AF50" s="11">
        <v>100</v>
      </c>
      <c r="AG50" s="11">
        <v>100</v>
      </c>
      <c r="AH50" s="11">
        <v>100</v>
      </c>
      <c r="AI50" s="11">
        <v>100</v>
      </c>
      <c r="AJ50" s="11">
        <v>100</v>
      </c>
      <c r="AK50" s="11">
        <v>100</v>
      </c>
      <c r="AL50" s="11">
        <v>100</v>
      </c>
      <c r="AM50" s="11">
        <v>100</v>
      </c>
      <c r="AN50" s="11">
        <v>100</v>
      </c>
      <c r="AO50" s="11">
        <v>100</v>
      </c>
      <c r="AP50" s="11">
        <v>100</v>
      </c>
      <c r="AQ50" s="11">
        <v>100</v>
      </c>
      <c r="AR50" s="11">
        <v>100</v>
      </c>
      <c r="AS50" s="11">
        <v>100</v>
      </c>
      <c r="AT50" s="11">
        <v>100</v>
      </c>
      <c r="AU50" s="11">
        <v>100</v>
      </c>
      <c r="AV50" s="11">
        <v>100</v>
      </c>
      <c r="AW50" s="11">
        <v>100</v>
      </c>
      <c r="AX50" s="11">
        <v>100</v>
      </c>
      <c r="AY50" s="11">
        <v>100</v>
      </c>
      <c r="AZ50" s="11">
        <v>100</v>
      </c>
      <c r="BA50" s="11">
        <v>100</v>
      </c>
      <c r="BB50" s="11">
        <v>100</v>
      </c>
      <c r="BC50" s="11">
        <v>100</v>
      </c>
      <c r="BD50" s="11">
        <v>100</v>
      </c>
      <c r="BE50" s="11">
        <v>100</v>
      </c>
      <c r="BF50" s="11">
        <v>100</v>
      </c>
      <c r="BG50" s="11">
        <v>100</v>
      </c>
      <c r="BH50" s="11">
        <v>100</v>
      </c>
      <c r="BI50" s="11">
        <v>100</v>
      </c>
      <c r="BJ50" s="11">
        <v>100</v>
      </c>
      <c r="BK50" s="11">
        <v>100</v>
      </c>
      <c r="BL50" s="11">
        <v>100</v>
      </c>
      <c r="BM50" s="11">
        <v>100</v>
      </c>
      <c r="BN50" s="11">
        <v>100</v>
      </c>
      <c r="BO50" s="11">
        <v>100</v>
      </c>
      <c r="BP50" s="11">
        <v>100</v>
      </c>
      <c r="BQ50" s="11">
        <v>100</v>
      </c>
      <c r="BR50" s="11">
        <v>100</v>
      </c>
      <c r="BS50" s="11">
        <v>100</v>
      </c>
      <c r="BT50" s="11">
        <v>100</v>
      </c>
      <c r="BU50" s="11">
        <v>100</v>
      </c>
      <c r="BV50" s="11">
        <v>100</v>
      </c>
      <c r="BW50" s="11">
        <v>100</v>
      </c>
      <c r="BX50" s="11">
        <v>100</v>
      </c>
      <c r="BY50" s="11">
        <v>100</v>
      </c>
      <c r="BZ50" s="11">
        <v>100</v>
      </c>
      <c r="CA50" s="11">
        <v>100</v>
      </c>
      <c r="CB50" s="11">
        <v>100</v>
      </c>
      <c r="CC50" s="11">
        <v>100</v>
      </c>
      <c r="CD50" s="11">
        <v>100</v>
      </c>
      <c r="CE50" s="11">
        <v>100</v>
      </c>
      <c r="CF50" s="11">
        <v>100</v>
      </c>
      <c r="CG50" s="11">
        <v>100</v>
      </c>
      <c r="CH50" s="11">
        <v>100</v>
      </c>
      <c r="CI50" s="11">
        <v>100</v>
      </c>
      <c r="CJ50" s="11">
        <v>100</v>
      </c>
      <c r="CK50" s="11">
        <v>100</v>
      </c>
    </row>
    <row r="51" spans="1:89" x14ac:dyDescent="0.2">
      <c r="A51" s="12" t="s">
        <v>138</v>
      </c>
      <c r="B51" s="13">
        <f t="shared" ref="B51:AG51" si="24">SUM(B50)</f>
        <v>100</v>
      </c>
      <c r="C51" s="13">
        <f t="shared" si="24"/>
        <v>100</v>
      </c>
      <c r="D51" s="13">
        <f t="shared" si="24"/>
        <v>100</v>
      </c>
      <c r="E51" s="13">
        <f t="shared" si="24"/>
        <v>100</v>
      </c>
      <c r="F51" s="13">
        <f t="shared" si="24"/>
        <v>100</v>
      </c>
      <c r="G51" s="13">
        <f t="shared" si="24"/>
        <v>100</v>
      </c>
      <c r="H51" s="13">
        <f t="shared" si="24"/>
        <v>100</v>
      </c>
      <c r="I51" s="13">
        <f t="shared" si="24"/>
        <v>100</v>
      </c>
      <c r="J51" s="13">
        <f t="shared" si="24"/>
        <v>100</v>
      </c>
      <c r="K51" s="13">
        <f t="shared" si="24"/>
        <v>100</v>
      </c>
      <c r="L51" s="13">
        <f t="shared" si="24"/>
        <v>100</v>
      </c>
      <c r="M51" s="13">
        <f t="shared" si="24"/>
        <v>100</v>
      </c>
      <c r="N51" s="13">
        <f t="shared" si="24"/>
        <v>100</v>
      </c>
      <c r="O51" s="13">
        <f t="shared" si="24"/>
        <v>100</v>
      </c>
      <c r="P51" s="13">
        <f t="shared" si="24"/>
        <v>100</v>
      </c>
      <c r="Q51" s="13">
        <f t="shared" si="24"/>
        <v>100</v>
      </c>
      <c r="R51" s="13">
        <f t="shared" si="24"/>
        <v>100</v>
      </c>
      <c r="S51" s="13">
        <f t="shared" si="24"/>
        <v>100</v>
      </c>
      <c r="T51" s="13">
        <f t="shared" si="24"/>
        <v>100</v>
      </c>
      <c r="U51" s="13">
        <f t="shared" si="24"/>
        <v>100</v>
      </c>
      <c r="V51" s="13">
        <f t="shared" si="24"/>
        <v>100</v>
      </c>
      <c r="W51" s="13">
        <f t="shared" si="24"/>
        <v>100</v>
      </c>
      <c r="X51" s="13">
        <f t="shared" si="24"/>
        <v>100</v>
      </c>
      <c r="Y51" s="13">
        <f t="shared" si="24"/>
        <v>100</v>
      </c>
      <c r="Z51" s="13">
        <f t="shared" si="24"/>
        <v>100</v>
      </c>
      <c r="AA51" s="13">
        <f t="shared" si="24"/>
        <v>100</v>
      </c>
      <c r="AB51" s="13">
        <f t="shared" si="24"/>
        <v>100</v>
      </c>
      <c r="AC51" s="13">
        <f t="shared" si="24"/>
        <v>100</v>
      </c>
      <c r="AD51" s="13">
        <f t="shared" si="24"/>
        <v>100</v>
      </c>
      <c r="AE51" s="13">
        <f t="shared" si="24"/>
        <v>100</v>
      </c>
      <c r="AF51" s="13">
        <f t="shared" si="24"/>
        <v>100</v>
      </c>
      <c r="AG51" s="13">
        <f t="shared" si="24"/>
        <v>100</v>
      </c>
      <c r="AH51" s="13">
        <f t="shared" ref="AH51:BM51" si="25">SUM(AH50)</f>
        <v>100</v>
      </c>
      <c r="AI51" s="13">
        <f t="shared" si="25"/>
        <v>100</v>
      </c>
      <c r="AJ51" s="13">
        <f t="shared" si="25"/>
        <v>100</v>
      </c>
      <c r="AK51" s="13">
        <f t="shared" si="25"/>
        <v>100</v>
      </c>
      <c r="AL51" s="13">
        <f t="shared" si="25"/>
        <v>100</v>
      </c>
      <c r="AM51" s="13">
        <f t="shared" si="25"/>
        <v>100</v>
      </c>
      <c r="AN51" s="13">
        <f t="shared" si="25"/>
        <v>100</v>
      </c>
      <c r="AO51" s="13">
        <f t="shared" si="25"/>
        <v>100</v>
      </c>
      <c r="AP51" s="13">
        <f t="shared" si="25"/>
        <v>100</v>
      </c>
      <c r="AQ51" s="13">
        <f t="shared" si="25"/>
        <v>100</v>
      </c>
      <c r="AR51" s="13">
        <f t="shared" si="25"/>
        <v>100</v>
      </c>
      <c r="AS51" s="13">
        <f t="shared" si="25"/>
        <v>100</v>
      </c>
      <c r="AT51" s="13">
        <f t="shared" si="25"/>
        <v>100</v>
      </c>
      <c r="AU51" s="13">
        <f t="shared" si="25"/>
        <v>100</v>
      </c>
      <c r="AV51" s="13">
        <f t="shared" si="25"/>
        <v>100</v>
      </c>
      <c r="AW51" s="13">
        <f t="shared" si="25"/>
        <v>100</v>
      </c>
      <c r="AX51" s="13">
        <f t="shared" si="25"/>
        <v>100</v>
      </c>
      <c r="AY51" s="13">
        <f t="shared" si="25"/>
        <v>100</v>
      </c>
      <c r="AZ51" s="13">
        <f t="shared" si="25"/>
        <v>100</v>
      </c>
      <c r="BA51" s="13">
        <f t="shared" si="25"/>
        <v>100</v>
      </c>
      <c r="BB51" s="13">
        <f t="shared" si="25"/>
        <v>100</v>
      </c>
      <c r="BC51" s="13">
        <f t="shared" si="25"/>
        <v>100</v>
      </c>
      <c r="BD51" s="13">
        <f t="shared" si="25"/>
        <v>100</v>
      </c>
      <c r="BE51" s="13">
        <f t="shared" si="25"/>
        <v>100</v>
      </c>
      <c r="BF51" s="13">
        <f t="shared" si="25"/>
        <v>100</v>
      </c>
      <c r="BG51" s="13">
        <f t="shared" si="25"/>
        <v>100</v>
      </c>
      <c r="BH51" s="13">
        <f t="shared" si="25"/>
        <v>100</v>
      </c>
      <c r="BI51" s="13">
        <f t="shared" si="25"/>
        <v>100</v>
      </c>
      <c r="BJ51" s="13">
        <f t="shared" si="25"/>
        <v>100</v>
      </c>
      <c r="BK51" s="13">
        <f t="shared" si="25"/>
        <v>100</v>
      </c>
      <c r="BL51" s="13">
        <f t="shared" si="25"/>
        <v>100</v>
      </c>
      <c r="BM51" s="13">
        <f t="shared" si="25"/>
        <v>100</v>
      </c>
      <c r="BN51" s="13">
        <f t="shared" ref="BN51:CS51" si="26">SUM(BN50)</f>
        <v>100</v>
      </c>
      <c r="BO51" s="13">
        <f t="shared" si="26"/>
        <v>100</v>
      </c>
      <c r="BP51" s="13">
        <f t="shared" si="26"/>
        <v>100</v>
      </c>
      <c r="BQ51" s="13">
        <f t="shared" si="26"/>
        <v>100</v>
      </c>
      <c r="BR51" s="13">
        <f t="shared" si="26"/>
        <v>100</v>
      </c>
      <c r="BS51" s="13">
        <f t="shared" si="26"/>
        <v>100</v>
      </c>
      <c r="BT51" s="13">
        <f t="shared" si="26"/>
        <v>100</v>
      </c>
      <c r="BU51" s="13">
        <f t="shared" si="26"/>
        <v>100</v>
      </c>
      <c r="BV51" s="13">
        <f t="shared" si="26"/>
        <v>100</v>
      </c>
      <c r="BW51" s="13">
        <f t="shared" si="26"/>
        <v>100</v>
      </c>
      <c r="BX51" s="13">
        <f t="shared" si="26"/>
        <v>100</v>
      </c>
      <c r="BY51" s="13">
        <f t="shared" si="26"/>
        <v>100</v>
      </c>
      <c r="BZ51" s="13">
        <f t="shared" si="26"/>
        <v>100</v>
      </c>
      <c r="CA51" s="13">
        <f t="shared" si="26"/>
        <v>100</v>
      </c>
      <c r="CB51" s="13">
        <f t="shared" si="26"/>
        <v>100</v>
      </c>
      <c r="CC51" s="13">
        <f t="shared" si="26"/>
        <v>100</v>
      </c>
      <c r="CD51" s="13">
        <f t="shared" si="26"/>
        <v>100</v>
      </c>
      <c r="CE51" s="13">
        <f t="shared" si="26"/>
        <v>100</v>
      </c>
      <c r="CF51" s="13">
        <f t="shared" si="26"/>
        <v>100</v>
      </c>
      <c r="CG51" s="13">
        <f t="shared" si="26"/>
        <v>100</v>
      </c>
      <c r="CH51" s="13">
        <f t="shared" si="26"/>
        <v>100</v>
      </c>
      <c r="CI51" s="13">
        <f t="shared" si="26"/>
        <v>100</v>
      </c>
      <c r="CJ51" s="13">
        <f t="shared" si="26"/>
        <v>100</v>
      </c>
      <c r="CK51" s="13">
        <f t="shared" si="26"/>
        <v>100</v>
      </c>
    </row>
    <row r="52" spans="1:89" x14ac:dyDescent="0.2">
      <c r="A52" s="14" t="s">
        <v>139</v>
      </c>
      <c r="B52" s="15">
        <f t="shared" ref="B52:AG52" si="27">B43+0+0+0+B48+0+B51+0</f>
        <v>576640.73</v>
      </c>
      <c r="C52" s="15">
        <f t="shared" si="27"/>
        <v>576640.73</v>
      </c>
      <c r="D52" s="15">
        <f t="shared" si="27"/>
        <v>586640.73</v>
      </c>
      <c r="E52" s="15">
        <f t="shared" si="27"/>
        <v>596586.65</v>
      </c>
      <c r="F52" s="15">
        <f t="shared" si="27"/>
        <v>880746.19</v>
      </c>
      <c r="G52" s="15">
        <f t="shared" si="27"/>
        <v>879912.85999999987</v>
      </c>
      <c r="H52" s="15">
        <f t="shared" si="27"/>
        <v>878915.10999999987</v>
      </c>
      <c r="I52" s="15">
        <f t="shared" si="27"/>
        <v>878915.10999999987</v>
      </c>
      <c r="J52" s="15">
        <f t="shared" si="27"/>
        <v>878915.10999999987</v>
      </c>
      <c r="K52" s="15">
        <f t="shared" si="27"/>
        <v>861003.90999999992</v>
      </c>
      <c r="L52" s="15">
        <f t="shared" si="27"/>
        <v>861003.90999999992</v>
      </c>
      <c r="M52" s="15">
        <f t="shared" si="27"/>
        <v>881332.91999999993</v>
      </c>
      <c r="N52" s="15">
        <f t="shared" si="27"/>
        <v>881332.91999999993</v>
      </c>
      <c r="O52" s="15">
        <f t="shared" si="27"/>
        <v>905105.56999999983</v>
      </c>
      <c r="P52" s="15">
        <f t="shared" si="27"/>
        <v>905105.56999999983</v>
      </c>
      <c r="Q52" s="15">
        <f t="shared" si="27"/>
        <v>905105.56999999983</v>
      </c>
      <c r="R52" s="15">
        <f t="shared" si="27"/>
        <v>905105.56999999983</v>
      </c>
      <c r="S52" s="15">
        <f t="shared" si="27"/>
        <v>905105.56999999983</v>
      </c>
      <c r="T52" s="15">
        <f t="shared" si="27"/>
        <v>905105.56999999983</v>
      </c>
      <c r="U52" s="15">
        <f t="shared" si="27"/>
        <v>905105.56999999983</v>
      </c>
      <c r="V52" s="15">
        <f t="shared" si="27"/>
        <v>905105.56999999983</v>
      </c>
      <c r="W52" s="15">
        <f t="shared" si="27"/>
        <v>905105.56999999983</v>
      </c>
      <c r="X52" s="15">
        <f t="shared" si="27"/>
        <v>990449.06999999983</v>
      </c>
      <c r="Y52" s="15">
        <f t="shared" si="27"/>
        <v>1151842.8899999999</v>
      </c>
      <c r="Z52" s="15">
        <f t="shared" si="27"/>
        <v>1244319.7499999998</v>
      </c>
      <c r="AA52" s="15">
        <f t="shared" si="27"/>
        <v>1248335.6999999997</v>
      </c>
      <c r="AB52" s="15">
        <f t="shared" si="27"/>
        <v>1245970.0699999998</v>
      </c>
      <c r="AC52" s="15">
        <f t="shared" si="27"/>
        <v>1245970.0699999998</v>
      </c>
      <c r="AD52" s="15">
        <f t="shared" si="27"/>
        <v>1245970.0699999998</v>
      </c>
      <c r="AE52" s="15">
        <f t="shared" si="27"/>
        <v>1245970.0699999998</v>
      </c>
      <c r="AF52" s="15">
        <f t="shared" si="27"/>
        <v>1245970.0699999998</v>
      </c>
      <c r="AG52" s="15">
        <f t="shared" si="27"/>
        <v>1245970.0699999998</v>
      </c>
      <c r="AH52" s="15">
        <f t="shared" ref="AH52:BM52" si="28">AH43+0+0+0+AH48+0+AH51+0</f>
        <v>1245970.0699999998</v>
      </c>
      <c r="AI52" s="15">
        <f t="shared" si="28"/>
        <v>1193374.17</v>
      </c>
      <c r="AJ52" s="15">
        <f t="shared" si="28"/>
        <v>1231557.8899999999</v>
      </c>
      <c r="AK52" s="15">
        <f t="shared" si="28"/>
        <v>1198255.8799999999</v>
      </c>
      <c r="AL52" s="15">
        <f t="shared" si="28"/>
        <v>1186432.9699999997</v>
      </c>
      <c r="AM52" s="15">
        <f t="shared" si="28"/>
        <v>1219129.9299999997</v>
      </c>
      <c r="AN52" s="15">
        <f t="shared" si="28"/>
        <v>1134452.4299999997</v>
      </c>
      <c r="AO52" s="15">
        <f t="shared" si="28"/>
        <v>1231410.2899999996</v>
      </c>
      <c r="AP52" s="15">
        <f t="shared" si="28"/>
        <v>1231410.2899999996</v>
      </c>
      <c r="AQ52" s="15">
        <f t="shared" si="28"/>
        <v>1230892.4599999997</v>
      </c>
      <c r="AR52" s="15">
        <f t="shared" si="28"/>
        <v>1227162.1499999997</v>
      </c>
      <c r="AS52" s="15">
        <f t="shared" si="28"/>
        <v>1115143.4699999995</v>
      </c>
      <c r="AT52" s="15">
        <f t="shared" si="28"/>
        <v>1030845.7299999995</v>
      </c>
      <c r="AU52" s="15">
        <f t="shared" si="28"/>
        <v>1001044.0599999996</v>
      </c>
      <c r="AV52" s="15">
        <f t="shared" si="28"/>
        <v>959022.30999999959</v>
      </c>
      <c r="AW52" s="15">
        <f t="shared" si="28"/>
        <v>1102899.5399999996</v>
      </c>
      <c r="AX52" s="15">
        <f t="shared" si="28"/>
        <v>1183347.8399999996</v>
      </c>
      <c r="AY52" s="15">
        <f t="shared" si="28"/>
        <v>1201919.3899999997</v>
      </c>
      <c r="AZ52" s="15">
        <f t="shared" si="28"/>
        <v>1214443.5199999998</v>
      </c>
      <c r="BA52" s="15">
        <f t="shared" si="28"/>
        <v>1214443.5199999998</v>
      </c>
      <c r="BB52" s="15">
        <f t="shared" si="28"/>
        <v>1204531.3799999997</v>
      </c>
      <c r="BC52" s="15">
        <f t="shared" si="28"/>
        <v>1204531.3799999997</v>
      </c>
      <c r="BD52" s="15">
        <f t="shared" si="28"/>
        <v>1204531.3799999997</v>
      </c>
      <c r="BE52" s="15">
        <f t="shared" si="28"/>
        <v>1161677.3999999997</v>
      </c>
      <c r="BF52" s="15">
        <f t="shared" si="28"/>
        <v>1184224.3199999998</v>
      </c>
      <c r="BG52" s="15">
        <f t="shared" si="28"/>
        <v>1205064.9399999997</v>
      </c>
      <c r="BH52" s="15">
        <f t="shared" si="28"/>
        <v>1195573.8499999999</v>
      </c>
      <c r="BI52" s="15">
        <f t="shared" si="28"/>
        <v>1195573.8499999999</v>
      </c>
      <c r="BJ52" s="15">
        <f t="shared" si="28"/>
        <v>1481628.7499999998</v>
      </c>
      <c r="BK52" s="15">
        <f t="shared" si="28"/>
        <v>1479163.3399999996</v>
      </c>
      <c r="BL52" s="15">
        <f t="shared" si="28"/>
        <v>1479163.3399999996</v>
      </c>
      <c r="BM52" s="15">
        <f t="shared" si="28"/>
        <v>1604803.1199999996</v>
      </c>
      <c r="BN52" s="15">
        <f t="shared" ref="BN52:CS52" si="29">BN43+0+0+0+BN48+0+BN51+0</f>
        <v>1604803.1199999996</v>
      </c>
      <c r="BO52" s="15">
        <f t="shared" si="29"/>
        <v>1724174.1399999994</v>
      </c>
      <c r="BP52" s="15">
        <f t="shared" si="29"/>
        <v>1688706.1999999995</v>
      </c>
      <c r="BQ52" s="15">
        <f t="shared" si="29"/>
        <v>1687961.2099999997</v>
      </c>
      <c r="BR52" s="15">
        <f t="shared" si="29"/>
        <v>1696002.7199999995</v>
      </c>
      <c r="BS52" s="15">
        <f t="shared" si="29"/>
        <v>2300796.67</v>
      </c>
      <c r="BT52" s="15">
        <f t="shared" si="29"/>
        <v>2301014.6599999997</v>
      </c>
      <c r="BU52" s="15">
        <f t="shared" si="29"/>
        <v>2315262.3099999996</v>
      </c>
      <c r="BV52" s="15">
        <f t="shared" si="29"/>
        <v>2332736.4999999995</v>
      </c>
      <c r="BW52" s="15">
        <f t="shared" si="29"/>
        <v>2327105.34</v>
      </c>
      <c r="BX52" s="15">
        <f t="shared" si="29"/>
        <v>2327105.34</v>
      </c>
      <c r="BY52" s="15">
        <f t="shared" si="29"/>
        <v>2327105.34</v>
      </c>
      <c r="BZ52" s="15">
        <f t="shared" si="29"/>
        <v>2327105.34</v>
      </c>
      <c r="CA52" s="15">
        <f t="shared" si="29"/>
        <v>2289890.9199999995</v>
      </c>
      <c r="CB52" s="15">
        <f t="shared" si="29"/>
        <v>2289890.9199999995</v>
      </c>
      <c r="CC52" s="15">
        <f t="shared" si="29"/>
        <v>2281532.9099999997</v>
      </c>
      <c r="CD52" s="15">
        <f t="shared" si="29"/>
        <v>2282291.2399999998</v>
      </c>
      <c r="CE52" s="15">
        <f t="shared" si="29"/>
        <v>2265397.5099999998</v>
      </c>
      <c r="CF52" s="15">
        <f t="shared" si="29"/>
        <v>2274022.8199999998</v>
      </c>
      <c r="CG52" s="15">
        <f t="shared" si="29"/>
        <v>2280492.11</v>
      </c>
      <c r="CH52" s="15">
        <f t="shared" si="29"/>
        <v>2280492.11</v>
      </c>
      <c r="CI52" s="15">
        <f t="shared" si="29"/>
        <v>1653061.6599999995</v>
      </c>
      <c r="CJ52" s="15">
        <f t="shared" si="29"/>
        <v>1653061.6599999995</v>
      </c>
      <c r="CK52" s="15">
        <f t="shared" si="29"/>
        <v>1653061.6599999995</v>
      </c>
    </row>
    <row r="53" spans="1:89" x14ac:dyDescent="0.2">
      <c r="A53" s="17" t="s">
        <v>140</v>
      </c>
      <c r="B53" s="18">
        <f t="shared" ref="B53:AG53" si="30">B17+B39+B52</f>
        <v>590059.73</v>
      </c>
      <c r="C53" s="18">
        <f t="shared" si="30"/>
        <v>590059.73</v>
      </c>
      <c r="D53" s="18">
        <f t="shared" si="30"/>
        <v>599938.61</v>
      </c>
      <c r="E53" s="18">
        <f t="shared" si="30"/>
        <v>609511.91</v>
      </c>
      <c r="F53" s="18">
        <f t="shared" si="30"/>
        <v>892990.6399999999</v>
      </c>
      <c r="G53" s="18">
        <f t="shared" si="30"/>
        <v>891194.21999999986</v>
      </c>
      <c r="H53" s="18">
        <f t="shared" si="30"/>
        <v>889329.85999999987</v>
      </c>
      <c r="I53" s="18">
        <f t="shared" si="30"/>
        <v>905736.79999999981</v>
      </c>
      <c r="J53" s="18">
        <f t="shared" si="30"/>
        <v>904434.50999999989</v>
      </c>
      <c r="K53" s="18">
        <f t="shared" si="30"/>
        <v>885218.71</v>
      </c>
      <c r="L53" s="18">
        <f t="shared" si="30"/>
        <v>895416.8899999999</v>
      </c>
      <c r="M53" s="18">
        <f t="shared" si="30"/>
        <v>914571.52999999991</v>
      </c>
      <c r="N53" s="18">
        <f t="shared" si="30"/>
        <v>912728.73</v>
      </c>
      <c r="O53" s="18">
        <f t="shared" si="30"/>
        <v>936370.56999999983</v>
      </c>
      <c r="P53" s="18">
        <f t="shared" si="30"/>
        <v>936370.56999999983</v>
      </c>
      <c r="Q53" s="18">
        <f t="shared" si="30"/>
        <v>949036.93999999983</v>
      </c>
      <c r="R53" s="18">
        <f t="shared" si="30"/>
        <v>950653.98999999987</v>
      </c>
      <c r="S53" s="18">
        <f t="shared" si="30"/>
        <v>949099.96999999986</v>
      </c>
      <c r="T53" s="18">
        <f t="shared" si="30"/>
        <v>947296.01999999979</v>
      </c>
      <c r="U53" s="18">
        <f t="shared" si="30"/>
        <v>945140.11999999988</v>
      </c>
      <c r="V53" s="18">
        <f t="shared" si="30"/>
        <v>941766.57999999984</v>
      </c>
      <c r="W53" s="18">
        <f t="shared" si="30"/>
        <v>940075.26999999979</v>
      </c>
      <c r="X53" s="18">
        <f t="shared" si="30"/>
        <v>1022594.4199999998</v>
      </c>
      <c r="Y53" s="18">
        <f t="shared" si="30"/>
        <v>1196063.3199999998</v>
      </c>
      <c r="Z53" s="18">
        <f t="shared" si="30"/>
        <v>1279949.9499999997</v>
      </c>
      <c r="AA53" s="18">
        <f t="shared" si="30"/>
        <v>1275257.8899999997</v>
      </c>
      <c r="AB53" s="18">
        <f t="shared" si="30"/>
        <v>1262693.0699999998</v>
      </c>
      <c r="AC53" s="18">
        <f t="shared" si="30"/>
        <v>1262693.0699999998</v>
      </c>
      <c r="AD53" s="18">
        <f t="shared" si="30"/>
        <v>1261810.4499999997</v>
      </c>
      <c r="AE53" s="18">
        <f t="shared" si="30"/>
        <v>1260955.2599999998</v>
      </c>
      <c r="AF53" s="18">
        <f t="shared" si="30"/>
        <v>1315036.0699999998</v>
      </c>
      <c r="AG53" s="18">
        <f t="shared" si="30"/>
        <v>1313417.4699999997</v>
      </c>
      <c r="AH53" s="18">
        <f t="shared" ref="AH53:BM53" si="31">AH17+AH39+AH52</f>
        <v>1311651.6299999999</v>
      </c>
      <c r="AI53" s="18">
        <f t="shared" si="31"/>
        <v>1257388.1599999999</v>
      </c>
      <c r="AJ53" s="18">
        <f t="shared" si="31"/>
        <v>1298090.68</v>
      </c>
      <c r="AK53" s="18">
        <f t="shared" si="31"/>
        <v>1260802.22</v>
      </c>
      <c r="AL53" s="18">
        <f t="shared" si="31"/>
        <v>1246992.8699999996</v>
      </c>
      <c r="AM53" s="18">
        <f t="shared" si="31"/>
        <v>1278672.7199999997</v>
      </c>
      <c r="AN53" s="18">
        <f t="shared" si="31"/>
        <v>1191524.0699999996</v>
      </c>
      <c r="AO53" s="18">
        <f t="shared" si="31"/>
        <v>1286089.2899999996</v>
      </c>
      <c r="AP53" s="18">
        <f t="shared" si="31"/>
        <v>1286089.2899999996</v>
      </c>
      <c r="AQ53" s="18">
        <f t="shared" si="31"/>
        <v>1284006.6099999996</v>
      </c>
      <c r="AR53" s="18">
        <f t="shared" si="31"/>
        <v>1278711.4499999997</v>
      </c>
      <c r="AS53" s="18">
        <f t="shared" si="31"/>
        <v>1165127.9199999995</v>
      </c>
      <c r="AT53" s="18">
        <f t="shared" si="31"/>
        <v>1079265.3299999996</v>
      </c>
      <c r="AU53" s="18">
        <f t="shared" si="31"/>
        <v>1047898.8199999996</v>
      </c>
      <c r="AV53" s="18">
        <f t="shared" si="31"/>
        <v>1004652.4199999996</v>
      </c>
      <c r="AW53" s="18">
        <f t="shared" si="31"/>
        <v>1147305.0099999995</v>
      </c>
      <c r="AX53" s="18">
        <f t="shared" si="31"/>
        <v>1226539.6799999997</v>
      </c>
      <c r="AY53" s="18">
        <f t="shared" si="31"/>
        <v>1245037.8399999996</v>
      </c>
      <c r="AZ53" s="18">
        <f t="shared" si="31"/>
        <v>1255956.2999999998</v>
      </c>
      <c r="BA53" s="18">
        <f t="shared" si="31"/>
        <v>1255047.1799999997</v>
      </c>
      <c r="BB53" s="18">
        <f t="shared" si="31"/>
        <v>1244328.3799999997</v>
      </c>
      <c r="BC53" s="18">
        <f t="shared" si="31"/>
        <v>1244328.3799999997</v>
      </c>
      <c r="BD53" s="18">
        <f t="shared" si="31"/>
        <v>1243521.7699999996</v>
      </c>
      <c r="BE53" s="18">
        <f t="shared" si="31"/>
        <v>1199861.1799999997</v>
      </c>
      <c r="BF53" s="18">
        <f t="shared" si="31"/>
        <v>1221601.4899999998</v>
      </c>
      <c r="BG53" s="18">
        <f t="shared" si="31"/>
        <v>1241635.4999999998</v>
      </c>
      <c r="BH53" s="18">
        <f t="shared" si="31"/>
        <v>1231337.7999999998</v>
      </c>
      <c r="BI53" s="18">
        <f t="shared" si="31"/>
        <v>1231892.2999999998</v>
      </c>
      <c r="BJ53" s="18">
        <f t="shared" si="31"/>
        <v>1518023.0299999998</v>
      </c>
      <c r="BK53" s="18">
        <f t="shared" si="31"/>
        <v>1513790.7899999996</v>
      </c>
      <c r="BL53" s="18">
        <f t="shared" si="31"/>
        <v>1512945.2899999996</v>
      </c>
      <c r="BM53" s="18">
        <f t="shared" si="31"/>
        <v>1637739.5699999996</v>
      </c>
      <c r="BN53" s="18">
        <f t="shared" ref="BN53:CS53" si="32">BN17+BN39+BN52</f>
        <v>1636894.0699999996</v>
      </c>
      <c r="BO53" s="18">
        <f t="shared" si="32"/>
        <v>1755419.5899999994</v>
      </c>
      <c r="BP53" s="18">
        <f t="shared" si="32"/>
        <v>1719106.1499999994</v>
      </c>
      <c r="BQ53" s="18">
        <f t="shared" si="32"/>
        <v>1717498.8699999996</v>
      </c>
      <c r="BR53" s="18">
        <f t="shared" si="32"/>
        <v>1724694.8899999994</v>
      </c>
      <c r="BS53" s="18">
        <f t="shared" si="32"/>
        <v>2328643.34</v>
      </c>
      <c r="BT53" s="18">
        <f t="shared" si="32"/>
        <v>2328015.84</v>
      </c>
      <c r="BU53" s="18">
        <f t="shared" si="32"/>
        <v>2341417.9899999998</v>
      </c>
      <c r="BV53" s="18">
        <f t="shared" si="32"/>
        <v>2358063.4799999995</v>
      </c>
      <c r="BW53" s="18">
        <f t="shared" si="32"/>
        <v>2351586.83</v>
      </c>
      <c r="BX53" s="18">
        <f t="shared" si="32"/>
        <v>2351021.29</v>
      </c>
      <c r="BY53" s="18">
        <f t="shared" si="32"/>
        <v>2350175.7999999998</v>
      </c>
      <c r="BZ53" s="18">
        <f t="shared" si="32"/>
        <v>2349330.31</v>
      </c>
      <c r="CA53" s="18">
        <f t="shared" si="32"/>
        <v>2310990.4299999997</v>
      </c>
      <c r="CB53" s="18">
        <f t="shared" si="32"/>
        <v>2310990.4299999997</v>
      </c>
      <c r="CC53" s="18">
        <f t="shared" si="32"/>
        <v>2301786.92</v>
      </c>
      <c r="CD53" s="18">
        <f t="shared" si="32"/>
        <v>2301699.7599999998</v>
      </c>
      <c r="CE53" s="18">
        <f t="shared" si="32"/>
        <v>2283960.5299999998</v>
      </c>
      <c r="CF53" s="18">
        <f t="shared" si="32"/>
        <v>2291740.3499999996</v>
      </c>
      <c r="CG53" s="18">
        <f t="shared" si="32"/>
        <v>2297364.15</v>
      </c>
      <c r="CH53" s="18">
        <f t="shared" si="32"/>
        <v>2296518.65</v>
      </c>
      <c r="CI53" s="18">
        <f t="shared" si="32"/>
        <v>1668242.6999999995</v>
      </c>
      <c r="CJ53" s="18">
        <f t="shared" si="32"/>
        <v>1668242.6999999995</v>
      </c>
      <c r="CK53" s="18">
        <f t="shared" si="32"/>
        <v>1668242.6999999995</v>
      </c>
    </row>
    <row r="54" spans="1:89" x14ac:dyDescent="0.2">
      <c r="A54" s="19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</row>
    <row r="55" spans="1:89" ht="12" x14ac:dyDescent="0.2">
      <c r="A55" s="5" t="s">
        <v>141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</row>
    <row r="56" spans="1:89" x14ac:dyDescent="0.2">
      <c r="A56" s="7" t="s">
        <v>142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</row>
    <row r="57" spans="1:89" x14ac:dyDescent="0.2">
      <c r="A57" s="9" t="s">
        <v>143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</row>
    <row r="58" spans="1:89" x14ac:dyDescent="0.2">
      <c r="A58" s="10" t="s">
        <v>144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9645.41</v>
      </c>
      <c r="BT58" s="11">
        <v>0</v>
      </c>
      <c r="BU58" s="11">
        <v>0</v>
      </c>
      <c r="BV58" s="11">
        <v>0</v>
      </c>
      <c r="BW58" s="11">
        <v>30000</v>
      </c>
      <c r="BX58" s="11">
        <v>30302.07</v>
      </c>
      <c r="BY58" s="11">
        <v>0</v>
      </c>
      <c r="BZ58" s="11">
        <v>0</v>
      </c>
      <c r="CA58" s="11">
        <v>0</v>
      </c>
      <c r="CB58" s="11">
        <v>0</v>
      </c>
      <c r="CC58" s="11">
        <v>0</v>
      </c>
      <c r="CD58" s="11">
        <v>0</v>
      </c>
      <c r="CE58" s="11">
        <v>10513.65</v>
      </c>
      <c r="CF58" s="11">
        <v>10513.65</v>
      </c>
      <c r="CG58" s="11">
        <v>0</v>
      </c>
      <c r="CH58" s="11">
        <v>11304</v>
      </c>
      <c r="CI58" s="11">
        <v>11304</v>
      </c>
      <c r="CJ58" s="11">
        <v>11304</v>
      </c>
      <c r="CK58" s="11">
        <v>11304</v>
      </c>
    </row>
    <row r="59" spans="1:89" x14ac:dyDescent="0.2">
      <c r="A59" s="12" t="s">
        <v>145</v>
      </c>
      <c r="B59" s="13">
        <f t="shared" ref="B59:AG59" si="33">SUM(B58)</f>
        <v>0</v>
      </c>
      <c r="C59" s="13">
        <f t="shared" si="33"/>
        <v>0</v>
      </c>
      <c r="D59" s="13">
        <f t="shared" si="33"/>
        <v>0</v>
      </c>
      <c r="E59" s="13">
        <f t="shared" si="33"/>
        <v>0</v>
      </c>
      <c r="F59" s="13">
        <f t="shared" si="33"/>
        <v>0</v>
      </c>
      <c r="G59" s="13">
        <f t="shared" si="33"/>
        <v>0</v>
      </c>
      <c r="H59" s="13">
        <f t="shared" si="33"/>
        <v>0</v>
      </c>
      <c r="I59" s="13">
        <f t="shared" si="33"/>
        <v>0</v>
      </c>
      <c r="J59" s="13">
        <f t="shared" si="33"/>
        <v>0</v>
      </c>
      <c r="K59" s="13">
        <f t="shared" si="33"/>
        <v>0</v>
      </c>
      <c r="L59" s="13">
        <f t="shared" si="33"/>
        <v>0</v>
      </c>
      <c r="M59" s="13">
        <f t="shared" si="33"/>
        <v>0</v>
      </c>
      <c r="N59" s="13">
        <f t="shared" si="33"/>
        <v>0</v>
      </c>
      <c r="O59" s="13">
        <f t="shared" si="33"/>
        <v>0</v>
      </c>
      <c r="P59" s="13">
        <f t="shared" si="33"/>
        <v>0</v>
      </c>
      <c r="Q59" s="13">
        <f t="shared" si="33"/>
        <v>0</v>
      </c>
      <c r="R59" s="13">
        <f t="shared" si="33"/>
        <v>0</v>
      </c>
      <c r="S59" s="13">
        <f t="shared" si="33"/>
        <v>0</v>
      </c>
      <c r="T59" s="13">
        <f t="shared" si="33"/>
        <v>0</v>
      </c>
      <c r="U59" s="13">
        <f t="shared" si="33"/>
        <v>0</v>
      </c>
      <c r="V59" s="13">
        <f t="shared" si="33"/>
        <v>0</v>
      </c>
      <c r="W59" s="13">
        <f t="shared" si="33"/>
        <v>0</v>
      </c>
      <c r="X59" s="13">
        <f t="shared" si="33"/>
        <v>0</v>
      </c>
      <c r="Y59" s="13">
        <f t="shared" si="33"/>
        <v>0</v>
      </c>
      <c r="Z59" s="13">
        <f t="shared" si="33"/>
        <v>0</v>
      </c>
      <c r="AA59" s="13">
        <f t="shared" si="33"/>
        <v>0</v>
      </c>
      <c r="AB59" s="13">
        <f t="shared" si="33"/>
        <v>0</v>
      </c>
      <c r="AC59" s="13">
        <f t="shared" si="33"/>
        <v>0</v>
      </c>
      <c r="AD59" s="13">
        <f t="shared" si="33"/>
        <v>0</v>
      </c>
      <c r="AE59" s="13">
        <f t="shared" si="33"/>
        <v>0</v>
      </c>
      <c r="AF59" s="13">
        <f t="shared" si="33"/>
        <v>0</v>
      </c>
      <c r="AG59" s="13">
        <f t="shared" si="33"/>
        <v>0</v>
      </c>
      <c r="AH59" s="13">
        <f t="shared" ref="AH59:BM59" si="34">SUM(AH58)</f>
        <v>0</v>
      </c>
      <c r="AI59" s="13">
        <f t="shared" si="34"/>
        <v>0</v>
      </c>
      <c r="AJ59" s="13">
        <f t="shared" si="34"/>
        <v>0</v>
      </c>
      <c r="AK59" s="13">
        <f t="shared" si="34"/>
        <v>0</v>
      </c>
      <c r="AL59" s="13">
        <f t="shared" si="34"/>
        <v>0</v>
      </c>
      <c r="AM59" s="13">
        <f t="shared" si="34"/>
        <v>0</v>
      </c>
      <c r="AN59" s="13">
        <f t="shared" si="34"/>
        <v>0</v>
      </c>
      <c r="AO59" s="13">
        <f t="shared" si="34"/>
        <v>0</v>
      </c>
      <c r="AP59" s="13">
        <f t="shared" si="34"/>
        <v>0</v>
      </c>
      <c r="AQ59" s="13">
        <f t="shared" si="34"/>
        <v>0</v>
      </c>
      <c r="AR59" s="13">
        <f t="shared" si="34"/>
        <v>0</v>
      </c>
      <c r="AS59" s="13">
        <f t="shared" si="34"/>
        <v>0</v>
      </c>
      <c r="AT59" s="13">
        <f t="shared" si="34"/>
        <v>0</v>
      </c>
      <c r="AU59" s="13">
        <f t="shared" si="34"/>
        <v>0</v>
      </c>
      <c r="AV59" s="13">
        <f t="shared" si="34"/>
        <v>0</v>
      </c>
      <c r="AW59" s="13">
        <f t="shared" si="34"/>
        <v>0</v>
      </c>
      <c r="AX59" s="13">
        <f t="shared" si="34"/>
        <v>0</v>
      </c>
      <c r="AY59" s="13">
        <f t="shared" si="34"/>
        <v>0</v>
      </c>
      <c r="AZ59" s="13">
        <f t="shared" si="34"/>
        <v>0</v>
      </c>
      <c r="BA59" s="13">
        <f t="shared" si="34"/>
        <v>0</v>
      </c>
      <c r="BB59" s="13">
        <f t="shared" si="34"/>
        <v>0</v>
      </c>
      <c r="BC59" s="13">
        <f t="shared" si="34"/>
        <v>0</v>
      </c>
      <c r="BD59" s="13">
        <f t="shared" si="34"/>
        <v>0</v>
      </c>
      <c r="BE59" s="13">
        <f t="shared" si="34"/>
        <v>0</v>
      </c>
      <c r="BF59" s="13">
        <f t="shared" si="34"/>
        <v>0</v>
      </c>
      <c r="BG59" s="13">
        <f t="shared" si="34"/>
        <v>0</v>
      </c>
      <c r="BH59" s="13">
        <f t="shared" si="34"/>
        <v>0</v>
      </c>
      <c r="BI59" s="13">
        <f t="shared" si="34"/>
        <v>0</v>
      </c>
      <c r="BJ59" s="13">
        <f t="shared" si="34"/>
        <v>0</v>
      </c>
      <c r="BK59" s="13">
        <f t="shared" si="34"/>
        <v>0</v>
      </c>
      <c r="BL59" s="13">
        <f t="shared" si="34"/>
        <v>0</v>
      </c>
      <c r="BM59" s="13">
        <f t="shared" si="34"/>
        <v>0</v>
      </c>
      <c r="BN59" s="13">
        <f t="shared" ref="BN59:CS59" si="35">SUM(BN58)</f>
        <v>0</v>
      </c>
      <c r="BO59" s="13">
        <f t="shared" si="35"/>
        <v>0</v>
      </c>
      <c r="BP59" s="13">
        <f t="shared" si="35"/>
        <v>0</v>
      </c>
      <c r="BQ59" s="13">
        <f t="shared" si="35"/>
        <v>0</v>
      </c>
      <c r="BR59" s="13">
        <f t="shared" si="35"/>
        <v>0</v>
      </c>
      <c r="BS59" s="13">
        <f t="shared" si="35"/>
        <v>9645.41</v>
      </c>
      <c r="BT59" s="13">
        <f t="shared" si="35"/>
        <v>0</v>
      </c>
      <c r="BU59" s="13">
        <f t="shared" si="35"/>
        <v>0</v>
      </c>
      <c r="BV59" s="13">
        <f t="shared" si="35"/>
        <v>0</v>
      </c>
      <c r="BW59" s="13">
        <f t="shared" si="35"/>
        <v>30000</v>
      </c>
      <c r="BX59" s="13">
        <f t="shared" si="35"/>
        <v>30302.07</v>
      </c>
      <c r="BY59" s="13">
        <f t="shared" si="35"/>
        <v>0</v>
      </c>
      <c r="BZ59" s="13">
        <f t="shared" si="35"/>
        <v>0</v>
      </c>
      <c r="CA59" s="13">
        <f t="shared" si="35"/>
        <v>0</v>
      </c>
      <c r="CB59" s="13">
        <f t="shared" si="35"/>
        <v>0</v>
      </c>
      <c r="CC59" s="13">
        <f t="shared" si="35"/>
        <v>0</v>
      </c>
      <c r="CD59" s="13">
        <f t="shared" si="35"/>
        <v>0</v>
      </c>
      <c r="CE59" s="13">
        <f t="shared" si="35"/>
        <v>10513.65</v>
      </c>
      <c r="CF59" s="13">
        <f t="shared" si="35"/>
        <v>10513.65</v>
      </c>
      <c r="CG59" s="13">
        <f t="shared" si="35"/>
        <v>0</v>
      </c>
      <c r="CH59" s="13">
        <f t="shared" si="35"/>
        <v>11304</v>
      </c>
      <c r="CI59" s="13">
        <f t="shared" si="35"/>
        <v>11304</v>
      </c>
      <c r="CJ59" s="13">
        <f t="shared" si="35"/>
        <v>11304</v>
      </c>
      <c r="CK59" s="13">
        <f t="shared" si="35"/>
        <v>11304</v>
      </c>
    </row>
    <row r="60" spans="1:89" x14ac:dyDescent="0.2">
      <c r="A60" s="14" t="s">
        <v>146</v>
      </c>
      <c r="B60" s="15">
        <f t="shared" ref="B60:AG60" si="36">0+0+0+0+0+B59+0</f>
        <v>0</v>
      </c>
      <c r="C60" s="15">
        <f t="shared" si="36"/>
        <v>0</v>
      </c>
      <c r="D60" s="15">
        <f t="shared" si="36"/>
        <v>0</v>
      </c>
      <c r="E60" s="15">
        <f t="shared" si="36"/>
        <v>0</v>
      </c>
      <c r="F60" s="15">
        <f t="shared" si="36"/>
        <v>0</v>
      </c>
      <c r="G60" s="15">
        <f t="shared" si="36"/>
        <v>0</v>
      </c>
      <c r="H60" s="15">
        <f t="shared" si="36"/>
        <v>0</v>
      </c>
      <c r="I60" s="15">
        <f t="shared" si="36"/>
        <v>0</v>
      </c>
      <c r="J60" s="15">
        <f t="shared" si="36"/>
        <v>0</v>
      </c>
      <c r="K60" s="15">
        <f t="shared" si="36"/>
        <v>0</v>
      </c>
      <c r="L60" s="15">
        <f t="shared" si="36"/>
        <v>0</v>
      </c>
      <c r="M60" s="15">
        <f t="shared" si="36"/>
        <v>0</v>
      </c>
      <c r="N60" s="15">
        <f t="shared" si="36"/>
        <v>0</v>
      </c>
      <c r="O60" s="15">
        <f t="shared" si="36"/>
        <v>0</v>
      </c>
      <c r="P60" s="15">
        <f t="shared" si="36"/>
        <v>0</v>
      </c>
      <c r="Q60" s="15">
        <f t="shared" si="36"/>
        <v>0</v>
      </c>
      <c r="R60" s="15">
        <f t="shared" si="36"/>
        <v>0</v>
      </c>
      <c r="S60" s="15">
        <f t="shared" si="36"/>
        <v>0</v>
      </c>
      <c r="T60" s="15">
        <f t="shared" si="36"/>
        <v>0</v>
      </c>
      <c r="U60" s="15">
        <f t="shared" si="36"/>
        <v>0</v>
      </c>
      <c r="V60" s="15">
        <f t="shared" si="36"/>
        <v>0</v>
      </c>
      <c r="W60" s="15">
        <f t="shared" si="36"/>
        <v>0</v>
      </c>
      <c r="X60" s="15">
        <f t="shared" si="36"/>
        <v>0</v>
      </c>
      <c r="Y60" s="15">
        <f t="shared" si="36"/>
        <v>0</v>
      </c>
      <c r="Z60" s="15">
        <f t="shared" si="36"/>
        <v>0</v>
      </c>
      <c r="AA60" s="15">
        <f t="shared" si="36"/>
        <v>0</v>
      </c>
      <c r="AB60" s="15">
        <f t="shared" si="36"/>
        <v>0</v>
      </c>
      <c r="AC60" s="15">
        <f t="shared" si="36"/>
        <v>0</v>
      </c>
      <c r="AD60" s="15">
        <f t="shared" si="36"/>
        <v>0</v>
      </c>
      <c r="AE60" s="15">
        <f t="shared" si="36"/>
        <v>0</v>
      </c>
      <c r="AF60" s="15">
        <f t="shared" si="36"/>
        <v>0</v>
      </c>
      <c r="AG60" s="15">
        <f t="shared" si="36"/>
        <v>0</v>
      </c>
      <c r="AH60" s="15">
        <f t="shared" ref="AH60:BM60" si="37">0+0+0+0+0+AH59+0</f>
        <v>0</v>
      </c>
      <c r="AI60" s="15">
        <f t="shared" si="37"/>
        <v>0</v>
      </c>
      <c r="AJ60" s="15">
        <f t="shared" si="37"/>
        <v>0</v>
      </c>
      <c r="AK60" s="15">
        <f t="shared" si="37"/>
        <v>0</v>
      </c>
      <c r="AL60" s="15">
        <f t="shared" si="37"/>
        <v>0</v>
      </c>
      <c r="AM60" s="15">
        <f t="shared" si="37"/>
        <v>0</v>
      </c>
      <c r="AN60" s="15">
        <f t="shared" si="37"/>
        <v>0</v>
      </c>
      <c r="AO60" s="15">
        <f t="shared" si="37"/>
        <v>0</v>
      </c>
      <c r="AP60" s="15">
        <f t="shared" si="37"/>
        <v>0</v>
      </c>
      <c r="AQ60" s="15">
        <f t="shared" si="37"/>
        <v>0</v>
      </c>
      <c r="AR60" s="15">
        <f t="shared" si="37"/>
        <v>0</v>
      </c>
      <c r="AS60" s="15">
        <f t="shared" si="37"/>
        <v>0</v>
      </c>
      <c r="AT60" s="15">
        <f t="shared" si="37"/>
        <v>0</v>
      </c>
      <c r="AU60" s="15">
        <f t="shared" si="37"/>
        <v>0</v>
      </c>
      <c r="AV60" s="15">
        <f t="shared" si="37"/>
        <v>0</v>
      </c>
      <c r="AW60" s="15">
        <f t="shared" si="37"/>
        <v>0</v>
      </c>
      <c r="AX60" s="15">
        <f t="shared" si="37"/>
        <v>0</v>
      </c>
      <c r="AY60" s="15">
        <f t="shared" si="37"/>
        <v>0</v>
      </c>
      <c r="AZ60" s="15">
        <f t="shared" si="37"/>
        <v>0</v>
      </c>
      <c r="BA60" s="15">
        <f t="shared" si="37"/>
        <v>0</v>
      </c>
      <c r="BB60" s="15">
        <f t="shared" si="37"/>
        <v>0</v>
      </c>
      <c r="BC60" s="15">
        <f t="shared" si="37"/>
        <v>0</v>
      </c>
      <c r="BD60" s="15">
        <f t="shared" si="37"/>
        <v>0</v>
      </c>
      <c r="BE60" s="15">
        <f t="shared" si="37"/>
        <v>0</v>
      </c>
      <c r="BF60" s="15">
        <f t="shared" si="37"/>
        <v>0</v>
      </c>
      <c r="BG60" s="15">
        <f t="shared" si="37"/>
        <v>0</v>
      </c>
      <c r="BH60" s="15">
        <f t="shared" si="37"/>
        <v>0</v>
      </c>
      <c r="BI60" s="15">
        <f t="shared" si="37"/>
        <v>0</v>
      </c>
      <c r="BJ60" s="15">
        <f t="shared" si="37"/>
        <v>0</v>
      </c>
      <c r="BK60" s="15">
        <f t="shared" si="37"/>
        <v>0</v>
      </c>
      <c r="BL60" s="15">
        <f t="shared" si="37"/>
        <v>0</v>
      </c>
      <c r="BM60" s="15">
        <f t="shared" si="37"/>
        <v>0</v>
      </c>
      <c r="BN60" s="15">
        <f t="shared" ref="BN60:CS60" si="38">0+0+0+0+0+BN59+0</f>
        <v>0</v>
      </c>
      <c r="BO60" s="15">
        <f t="shared" si="38"/>
        <v>0</v>
      </c>
      <c r="BP60" s="15">
        <f t="shared" si="38"/>
        <v>0</v>
      </c>
      <c r="BQ60" s="15">
        <f t="shared" si="38"/>
        <v>0</v>
      </c>
      <c r="BR60" s="15">
        <f t="shared" si="38"/>
        <v>0</v>
      </c>
      <c r="BS60" s="15">
        <f t="shared" si="38"/>
        <v>9645.41</v>
      </c>
      <c r="BT60" s="15">
        <f t="shared" si="38"/>
        <v>0</v>
      </c>
      <c r="BU60" s="15">
        <f t="shared" si="38"/>
        <v>0</v>
      </c>
      <c r="BV60" s="15">
        <f t="shared" si="38"/>
        <v>0</v>
      </c>
      <c r="BW60" s="15">
        <f t="shared" si="38"/>
        <v>30000</v>
      </c>
      <c r="BX60" s="15">
        <f t="shared" si="38"/>
        <v>30302.07</v>
      </c>
      <c r="BY60" s="15">
        <f t="shared" si="38"/>
        <v>0</v>
      </c>
      <c r="BZ60" s="15">
        <f t="shared" si="38"/>
        <v>0</v>
      </c>
      <c r="CA60" s="15">
        <f t="shared" si="38"/>
        <v>0</v>
      </c>
      <c r="CB60" s="15">
        <f t="shared" si="38"/>
        <v>0</v>
      </c>
      <c r="CC60" s="15">
        <f t="shared" si="38"/>
        <v>0</v>
      </c>
      <c r="CD60" s="15">
        <f t="shared" si="38"/>
        <v>0</v>
      </c>
      <c r="CE60" s="15">
        <f t="shared" si="38"/>
        <v>10513.65</v>
      </c>
      <c r="CF60" s="15">
        <f t="shared" si="38"/>
        <v>10513.65</v>
      </c>
      <c r="CG60" s="15">
        <f t="shared" si="38"/>
        <v>0</v>
      </c>
      <c r="CH60" s="15">
        <f t="shared" si="38"/>
        <v>11304</v>
      </c>
      <c r="CI60" s="15">
        <f t="shared" si="38"/>
        <v>11304</v>
      </c>
      <c r="CJ60" s="15">
        <f t="shared" si="38"/>
        <v>11304</v>
      </c>
      <c r="CK60" s="15">
        <f t="shared" si="38"/>
        <v>11304</v>
      </c>
    </row>
    <row r="61" spans="1:89" x14ac:dyDescent="0.2">
      <c r="A61" s="7" t="s">
        <v>147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</row>
    <row r="62" spans="1:89" x14ac:dyDescent="0.2">
      <c r="A62" s="9" t="s">
        <v>148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</row>
    <row r="63" spans="1:89" x14ac:dyDescent="0.2">
      <c r="A63" s="10" t="s">
        <v>149</v>
      </c>
      <c r="B63" s="11">
        <v>3953835.53</v>
      </c>
      <c r="C63" s="11">
        <v>3953835.53</v>
      </c>
      <c r="D63" s="11">
        <v>1793907.67</v>
      </c>
      <c r="E63" s="11">
        <v>2395864.1799999997</v>
      </c>
      <c r="F63" s="11">
        <v>3505995.46</v>
      </c>
      <c r="G63" s="11">
        <v>3879298.64</v>
      </c>
      <c r="H63" s="11">
        <v>3648098.29</v>
      </c>
      <c r="I63" s="11">
        <v>3661426.36</v>
      </c>
      <c r="J63" s="11">
        <v>3126230.28</v>
      </c>
      <c r="K63" s="11">
        <v>3621755.9699999997</v>
      </c>
      <c r="L63" s="11">
        <v>3769582.19</v>
      </c>
      <c r="M63" s="11">
        <v>4163837.35</v>
      </c>
      <c r="N63" s="11">
        <v>4288906.59</v>
      </c>
      <c r="O63" s="11">
        <v>4151224.54</v>
      </c>
      <c r="P63" s="11">
        <v>4151224.54</v>
      </c>
      <c r="Q63" s="11">
        <v>3645154.3</v>
      </c>
      <c r="R63" s="11">
        <v>3552015.2399999998</v>
      </c>
      <c r="S63" s="11">
        <v>2673594.92</v>
      </c>
      <c r="T63" s="11">
        <v>2287280.4299999997</v>
      </c>
      <c r="U63" s="11">
        <v>2518947.5499999998</v>
      </c>
      <c r="V63" s="11">
        <v>2245455.2399999998</v>
      </c>
      <c r="W63" s="11">
        <v>3889281.4399999995</v>
      </c>
      <c r="X63" s="11">
        <v>3338365.9899999993</v>
      </c>
      <c r="Y63" s="11">
        <v>3494475.7299999995</v>
      </c>
      <c r="Z63" s="11">
        <v>2165123.8299999996</v>
      </c>
      <c r="AA63" s="11">
        <v>1963574.7299999995</v>
      </c>
      <c r="AB63" s="11">
        <v>1324673.0999999996</v>
      </c>
      <c r="AC63" s="11">
        <v>1397881.8999999997</v>
      </c>
      <c r="AD63" s="11">
        <v>1215170.8499999996</v>
      </c>
      <c r="AE63" s="11">
        <v>1731591.5899999996</v>
      </c>
      <c r="AF63" s="11">
        <v>1916714.7899999996</v>
      </c>
      <c r="AG63" s="11">
        <v>1888591.9199999995</v>
      </c>
      <c r="AH63" s="11">
        <v>1779905.6199999994</v>
      </c>
      <c r="AI63" s="11">
        <v>1845001.6099999994</v>
      </c>
      <c r="AJ63" s="11">
        <v>1892553.8199999994</v>
      </c>
      <c r="AK63" s="11">
        <v>1844983.8199999994</v>
      </c>
      <c r="AL63" s="11">
        <v>1542275.2099999995</v>
      </c>
      <c r="AM63" s="11">
        <v>1655691.4199999995</v>
      </c>
      <c r="AN63" s="11">
        <v>1469234.3399999994</v>
      </c>
      <c r="AO63" s="11">
        <v>1151821.0699999994</v>
      </c>
      <c r="AP63" s="11">
        <v>1151821.0699999994</v>
      </c>
      <c r="AQ63" s="11">
        <v>1014377.9499999994</v>
      </c>
      <c r="AR63" s="11">
        <v>1489149.5399999993</v>
      </c>
      <c r="AS63" s="11">
        <v>1564495.2899999993</v>
      </c>
      <c r="AT63" s="11">
        <v>1211557.3399999994</v>
      </c>
      <c r="AU63" s="11">
        <v>948532.92999999947</v>
      </c>
      <c r="AV63" s="11">
        <v>1014111.1399999994</v>
      </c>
      <c r="AW63" s="11">
        <v>1147182.4399999995</v>
      </c>
      <c r="AX63" s="11">
        <v>1735844.6099999994</v>
      </c>
      <c r="AY63" s="11">
        <v>1495907.5899999994</v>
      </c>
      <c r="AZ63" s="11">
        <v>1373594.8399999994</v>
      </c>
      <c r="BA63" s="11">
        <v>1289892.5099999993</v>
      </c>
      <c r="BB63" s="11">
        <v>1313673.1799999992</v>
      </c>
      <c r="BC63" s="11">
        <v>1313673.1799999992</v>
      </c>
      <c r="BD63" s="11">
        <v>1227017.6399999992</v>
      </c>
      <c r="BE63" s="11">
        <v>1444102.6699999992</v>
      </c>
      <c r="BF63" s="11">
        <v>1814255.2699999991</v>
      </c>
      <c r="BG63" s="11">
        <v>1839962.669999999</v>
      </c>
      <c r="BH63" s="11">
        <v>1812484.149999999</v>
      </c>
      <c r="BI63" s="11">
        <v>1511988.899999999</v>
      </c>
      <c r="BJ63" s="11">
        <v>1720803.149999999</v>
      </c>
      <c r="BK63" s="11">
        <v>1678809.899999999</v>
      </c>
      <c r="BL63" s="11">
        <v>1478596.699999999</v>
      </c>
      <c r="BM63" s="11">
        <v>1446072.949999999</v>
      </c>
      <c r="BN63" s="11">
        <v>1452945.659999999</v>
      </c>
      <c r="BO63" s="11">
        <v>1578296.939999999</v>
      </c>
      <c r="BP63" s="11">
        <v>1552794.3099999991</v>
      </c>
      <c r="BQ63" s="11">
        <v>1560183.189999999</v>
      </c>
      <c r="BR63" s="11">
        <v>1213496.0499999989</v>
      </c>
      <c r="BS63" s="11">
        <v>1169018.8299999989</v>
      </c>
      <c r="BT63" s="11">
        <v>1313360.6199999989</v>
      </c>
      <c r="BU63" s="11">
        <v>1462011.2399999988</v>
      </c>
      <c r="BV63" s="11">
        <v>1844830.2299999988</v>
      </c>
      <c r="BW63" s="11">
        <v>1372870.6999999988</v>
      </c>
      <c r="BX63" s="11">
        <v>1696548.0599999987</v>
      </c>
      <c r="BY63" s="11">
        <v>2010568.9099999988</v>
      </c>
      <c r="BZ63" s="11">
        <v>2238770.6599999988</v>
      </c>
      <c r="CA63" s="11">
        <v>1437398.4299999988</v>
      </c>
      <c r="CB63" s="11">
        <v>1437398.4299999988</v>
      </c>
      <c r="CC63" s="11">
        <v>1812426.1199999987</v>
      </c>
      <c r="CD63" s="11">
        <v>2070391.6299999987</v>
      </c>
      <c r="CE63" s="11">
        <v>2458173.3499999987</v>
      </c>
      <c r="CF63" s="11">
        <v>1859709.3399999987</v>
      </c>
      <c r="CG63" s="11">
        <v>1697848.6099999987</v>
      </c>
      <c r="CH63" s="11">
        <v>1581902.2799999986</v>
      </c>
      <c r="CI63" s="11">
        <v>1946706.6299999985</v>
      </c>
      <c r="CJ63" s="11">
        <v>1981930.6299999985</v>
      </c>
      <c r="CK63" s="11">
        <v>1981930.6299999985</v>
      </c>
    </row>
    <row r="64" spans="1:89" x14ac:dyDescent="0.2">
      <c r="A64" s="10" t="s">
        <v>150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1787.23</v>
      </c>
      <c r="BC64" s="11">
        <v>1787.23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</v>
      </c>
      <c r="BT64" s="11">
        <v>0</v>
      </c>
      <c r="BU64" s="11">
        <v>0</v>
      </c>
      <c r="BV64" s="11">
        <v>0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11">
        <v>0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  <c r="CK64" s="11">
        <v>0</v>
      </c>
    </row>
    <row r="65" spans="1:89" x14ac:dyDescent="0.2">
      <c r="A65" s="10" t="s">
        <v>151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-7200</v>
      </c>
      <c r="AX65" s="11">
        <v>-9600</v>
      </c>
      <c r="AY65" s="11">
        <v>-12000</v>
      </c>
      <c r="AZ65" s="11">
        <v>-14400</v>
      </c>
      <c r="BA65" s="11">
        <v>-16800</v>
      </c>
      <c r="BB65" s="11">
        <v>-22416</v>
      </c>
      <c r="BC65" s="11">
        <v>-22416</v>
      </c>
      <c r="BD65" s="11">
        <v>-24816</v>
      </c>
      <c r="BE65" s="11">
        <v>-27216</v>
      </c>
      <c r="BF65" s="11">
        <v>-29616</v>
      </c>
      <c r="BG65" s="11">
        <v>-32016</v>
      </c>
      <c r="BH65" s="11">
        <v>-34416</v>
      </c>
      <c r="BI65" s="11">
        <v>-36816</v>
      </c>
      <c r="BJ65" s="11">
        <v>-39216</v>
      </c>
      <c r="BK65" s="11">
        <v>-41616</v>
      </c>
      <c r="BL65" s="11">
        <v>-44016</v>
      </c>
      <c r="BM65" s="11">
        <v>-46416</v>
      </c>
      <c r="BN65" s="11">
        <v>-48816</v>
      </c>
      <c r="BO65" s="11">
        <v>-56688</v>
      </c>
      <c r="BP65" s="11">
        <v>-59088</v>
      </c>
      <c r="BQ65" s="11">
        <v>-61488</v>
      </c>
      <c r="BR65" s="11">
        <v>-63888</v>
      </c>
      <c r="BS65" s="11">
        <v>-65256</v>
      </c>
      <c r="BT65" s="11">
        <v>-65256</v>
      </c>
      <c r="BU65" s="11">
        <v>-65256</v>
      </c>
      <c r="BV65" s="11">
        <v>0</v>
      </c>
      <c r="BW65" s="11">
        <v>0</v>
      </c>
      <c r="BX65" s="11">
        <v>0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1">
        <v>0</v>
      </c>
      <c r="CH65" s="11">
        <v>0</v>
      </c>
      <c r="CI65" s="11">
        <v>0</v>
      </c>
      <c r="CJ65" s="11">
        <v>0</v>
      </c>
      <c r="CK65" s="11">
        <v>0</v>
      </c>
    </row>
    <row r="66" spans="1:89" x14ac:dyDescent="0.2">
      <c r="A66" s="10" t="s">
        <v>152</v>
      </c>
      <c r="B66" s="11">
        <v>-34735</v>
      </c>
      <c r="C66" s="11">
        <v>-34735</v>
      </c>
      <c r="D66" s="11">
        <v>-34735</v>
      </c>
      <c r="E66" s="11">
        <v>-34735</v>
      </c>
      <c r="F66" s="11">
        <v>-34735</v>
      </c>
      <c r="G66" s="11">
        <v>-34735</v>
      </c>
      <c r="H66" s="11">
        <v>-34735</v>
      </c>
      <c r="I66" s="11">
        <v>-34735</v>
      </c>
      <c r="J66" s="11">
        <v>-34735</v>
      </c>
      <c r="K66" s="11">
        <v>-34735</v>
      </c>
      <c r="L66" s="11">
        <v>-34735</v>
      </c>
      <c r="M66" s="11">
        <v>-34735</v>
      </c>
      <c r="N66" s="11">
        <v>-34735</v>
      </c>
      <c r="O66" s="11">
        <v>-36749</v>
      </c>
      <c r="P66" s="11">
        <v>-36749</v>
      </c>
      <c r="Q66" s="11">
        <v>-36749</v>
      </c>
      <c r="R66" s="11">
        <v>-36749</v>
      </c>
      <c r="S66" s="11">
        <v>-36749</v>
      </c>
      <c r="T66" s="11">
        <v>-36749</v>
      </c>
      <c r="U66" s="11">
        <v>-36749</v>
      </c>
      <c r="V66" s="11">
        <v>-36749</v>
      </c>
      <c r="W66" s="11">
        <v>-36749</v>
      </c>
      <c r="X66" s="11">
        <v>-36749</v>
      </c>
      <c r="Y66" s="11">
        <v>-36749</v>
      </c>
      <c r="Z66" s="11">
        <v>-36749</v>
      </c>
      <c r="AA66" s="11">
        <v>-36749</v>
      </c>
      <c r="AB66" s="11">
        <v>-11228</v>
      </c>
      <c r="AC66" s="11">
        <v>-11228</v>
      </c>
      <c r="AD66" s="11">
        <v>-11228</v>
      </c>
      <c r="AE66" s="11">
        <v>-11228</v>
      </c>
      <c r="AF66" s="11">
        <v>-11228</v>
      </c>
      <c r="AG66" s="11">
        <v>-11228</v>
      </c>
      <c r="AH66" s="11">
        <v>-11228</v>
      </c>
      <c r="AI66" s="11">
        <v>-11228</v>
      </c>
      <c r="AJ66" s="11">
        <v>-11228</v>
      </c>
      <c r="AK66" s="11">
        <v>-11228</v>
      </c>
      <c r="AL66" s="11">
        <v>-11228</v>
      </c>
      <c r="AM66" s="11">
        <v>-11228</v>
      </c>
      <c r="AN66" s="11">
        <v>-11228</v>
      </c>
      <c r="AO66" s="11">
        <v>-9829</v>
      </c>
      <c r="AP66" s="11">
        <v>-9829</v>
      </c>
      <c r="AQ66" s="11">
        <v>-9829</v>
      </c>
      <c r="AR66" s="11">
        <v>-9829</v>
      </c>
      <c r="AS66" s="11">
        <v>-9829</v>
      </c>
      <c r="AT66" s="11">
        <v>-9829</v>
      </c>
      <c r="AU66" s="11">
        <v>-9829</v>
      </c>
      <c r="AV66" s="11">
        <v>-9829</v>
      </c>
      <c r="AW66" s="11">
        <v>-9829</v>
      </c>
      <c r="AX66" s="11">
        <v>-9829</v>
      </c>
      <c r="AY66" s="11">
        <v>-9829</v>
      </c>
      <c r="AZ66" s="11">
        <v>-9829</v>
      </c>
      <c r="BA66" s="11">
        <v>-9829</v>
      </c>
      <c r="BB66" s="11">
        <v>-11134</v>
      </c>
      <c r="BC66" s="11">
        <v>-11134</v>
      </c>
      <c r="BD66" s="11">
        <v>-11134</v>
      </c>
      <c r="BE66" s="11">
        <v>-11134</v>
      </c>
      <c r="BF66" s="11">
        <v>-11134</v>
      </c>
      <c r="BG66" s="11">
        <v>-11134</v>
      </c>
      <c r="BH66" s="11">
        <v>-11134</v>
      </c>
      <c r="BI66" s="11">
        <v>-11134</v>
      </c>
      <c r="BJ66" s="11">
        <v>-11134</v>
      </c>
      <c r="BK66" s="11">
        <v>-11134</v>
      </c>
      <c r="BL66" s="11">
        <v>-11134</v>
      </c>
      <c r="BM66" s="11">
        <v>-11134</v>
      </c>
      <c r="BN66" s="11">
        <v>-11134</v>
      </c>
      <c r="BO66" s="11">
        <v>-12832</v>
      </c>
      <c r="BP66" s="11">
        <v>-12832</v>
      </c>
      <c r="BQ66" s="11">
        <v>-12832</v>
      </c>
      <c r="BR66" s="11">
        <v>-12832</v>
      </c>
      <c r="BS66" s="11">
        <v>-12832</v>
      </c>
      <c r="BT66" s="11">
        <v>-12832</v>
      </c>
      <c r="BU66" s="11">
        <v>-12832</v>
      </c>
      <c r="BV66" s="11">
        <v>-12832</v>
      </c>
      <c r="BW66" s="11">
        <v>-12832</v>
      </c>
      <c r="BX66" s="11">
        <v>-12832</v>
      </c>
      <c r="BY66" s="11">
        <v>-12832</v>
      </c>
      <c r="BZ66" s="11">
        <v>-12832</v>
      </c>
      <c r="CA66" s="11">
        <v>-12079</v>
      </c>
      <c r="CB66" s="11">
        <v>-12079</v>
      </c>
      <c r="CC66" s="11">
        <v>-12079</v>
      </c>
      <c r="CD66" s="11">
        <v>-12079</v>
      </c>
      <c r="CE66" s="11">
        <v>-12079</v>
      </c>
      <c r="CF66" s="11">
        <v>-12079</v>
      </c>
      <c r="CG66" s="11">
        <v>-12079</v>
      </c>
      <c r="CH66" s="11">
        <v>-12079</v>
      </c>
      <c r="CI66" s="11">
        <v>-12079</v>
      </c>
      <c r="CJ66" s="11">
        <v>-12079</v>
      </c>
      <c r="CK66" s="11">
        <v>-12079</v>
      </c>
    </row>
    <row r="67" spans="1:89" x14ac:dyDescent="0.2">
      <c r="A67" s="12" t="s">
        <v>153</v>
      </c>
      <c r="B67" s="13">
        <f t="shared" ref="B67:AG67" si="39">SUM(B63:B66)</f>
        <v>3919100.53</v>
      </c>
      <c r="C67" s="13">
        <f t="shared" si="39"/>
        <v>3919100.53</v>
      </c>
      <c r="D67" s="13">
        <f t="shared" si="39"/>
        <v>1759172.67</v>
      </c>
      <c r="E67" s="13">
        <f t="shared" si="39"/>
        <v>2361129.1799999997</v>
      </c>
      <c r="F67" s="13">
        <f t="shared" si="39"/>
        <v>3471260.46</v>
      </c>
      <c r="G67" s="13">
        <f t="shared" si="39"/>
        <v>3844563.64</v>
      </c>
      <c r="H67" s="13">
        <f t="shared" si="39"/>
        <v>3613363.29</v>
      </c>
      <c r="I67" s="13">
        <f t="shared" si="39"/>
        <v>3626691.36</v>
      </c>
      <c r="J67" s="13">
        <f t="shared" si="39"/>
        <v>3091495.28</v>
      </c>
      <c r="K67" s="13">
        <f t="shared" si="39"/>
        <v>3587020.9699999997</v>
      </c>
      <c r="L67" s="13">
        <f t="shared" si="39"/>
        <v>3734847.19</v>
      </c>
      <c r="M67" s="13">
        <f t="shared" si="39"/>
        <v>4129102.35</v>
      </c>
      <c r="N67" s="13">
        <f t="shared" si="39"/>
        <v>4254171.59</v>
      </c>
      <c r="O67" s="13">
        <f t="shared" si="39"/>
        <v>4114475.54</v>
      </c>
      <c r="P67" s="13">
        <f t="shared" si="39"/>
        <v>4114475.54</v>
      </c>
      <c r="Q67" s="13">
        <f t="shared" si="39"/>
        <v>3608405.3</v>
      </c>
      <c r="R67" s="13">
        <f t="shared" si="39"/>
        <v>3515266.2399999998</v>
      </c>
      <c r="S67" s="13">
        <f t="shared" si="39"/>
        <v>2636845.92</v>
      </c>
      <c r="T67" s="13">
        <f t="shared" si="39"/>
        <v>2250531.4299999997</v>
      </c>
      <c r="U67" s="13">
        <f t="shared" si="39"/>
        <v>2482198.5499999998</v>
      </c>
      <c r="V67" s="13">
        <f t="shared" si="39"/>
        <v>2208706.2399999998</v>
      </c>
      <c r="W67" s="13">
        <f t="shared" si="39"/>
        <v>3852532.4399999995</v>
      </c>
      <c r="X67" s="13">
        <f t="shared" si="39"/>
        <v>3301616.9899999993</v>
      </c>
      <c r="Y67" s="13">
        <f t="shared" si="39"/>
        <v>3457726.7299999995</v>
      </c>
      <c r="Z67" s="13">
        <f t="shared" si="39"/>
        <v>2128374.8299999996</v>
      </c>
      <c r="AA67" s="13">
        <f t="shared" si="39"/>
        <v>1926825.7299999995</v>
      </c>
      <c r="AB67" s="13">
        <f t="shared" si="39"/>
        <v>1313445.0999999996</v>
      </c>
      <c r="AC67" s="13">
        <f t="shared" si="39"/>
        <v>1386653.8999999997</v>
      </c>
      <c r="AD67" s="13">
        <f t="shared" si="39"/>
        <v>1203942.8499999996</v>
      </c>
      <c r="AE67" s="13">
        <f t="shared" si="39"/>
        <v>1720363.5899999996</v>
      </c>
      <c r="AF67" s="13">
        <f t="shared" si="39"/>
        <v>1905486.7899999996</v>
      </c>
      <c r="AG67" s="13">
        <f t="shared" si="39"/>
        <v>1877363.9199999995</v>
      </c>
      <c r="AH67" s="13">
        <f t="shared" ref="AH67:BM67" si="40">SUM(AH63:AH66)</f>
        <v>1768677.6199999994</v>
      </c>
      <c r="AI67" s="13">
        <f t="shared" si="40"/>
        <v>1833773.6099999994</v>
      </c>
      <c r="AJ67" s="13">
        <f t="shared" si="40"/>
        <v>1881325.8199999994</v>
      </c>
      <c r="AK67" s="13">
        <f t="shared" si="40"/>
        <v>1833755.8199999994</v>
      </c>
      <c r="AL67" s="13">
        <f t="shared" si="40"/>
        <v>1531047.2099999995</v>
      </c>
      <c r="AM67" s="13">
        <f t="shared" si="40"/>
        <v>1644463.4199999995</v>
      </c>
      <c r="AN67" s="13">
        <f t="shared" si="40"/>
        <v>1458006.3399999994</v>
      </c>
      <c r="AO67" s="13">
        <f t="shared" si="40"/>
        <v>1141992.0699999994</v>
      </c>
      <c r="AP67" s="13">
        <f t="shared" si="40"/>
        <v>1141992.0699999994</v>
      </c>
      <c r="AQ67" s="13">
        <f t="shared" si="40"/>
        <v>1004548.9499999994</v>
      </c>
      <c r="AR67" s="13">
        <f t="shared" si="40"/>
        <v>1479320.5399999993</v>
      </c>
      <c r="AS67" s="13">
        <f t="shared" si="40"/>
        <v>1554666.2899999993</v>
      </c>
      <c r="AT67" s="13">
        <f t="shared" si="40"/>
        <v>1201728.3399999994</v>
      </c>
      <c r="AU67" s="13">
        <f t="shared" si="40"/>
        <v>938703.92999999947</v>
      </c>
      <c r="AV67" s="13">
        <f t="shared" si="40"/>
        <v>1004282.1399999994</v>
      </c>
      <c r="AW67" s="13">
        <f t="shared" si="40"/>
        <v>1130153.4399999995</v>
      </c>
      <c r="AX67" s="13">
        <f t="shared" si="40"/>
        <v>1716415.6099999994</v>
      </c>
      <c r="AY67" s="13">
        <f t="shared" si="40"/>
        <v>1474078.5899999994</v>
      </c>
      <c r="AZ67" s="13">
        <f t="shared" si="40"/>
        <v>1349365.8399999994</v>
      </c>
      <c r="BA67" s="13">
        <f t="shared" si="40"/>
        <v>1263263.5099999993</v>
      </c>
      <c r="BB67" s="13">
        <f t="shared" si="40"/>
        <v>1281910.4099999992</v>
      </c>
      <c r="BC67" s="13">
        <f t="shared" si="40"/>
        <v>1281910.4099999992</v>
      </c>
      <c r="BD67" s="13">
        <f t="shared" si="40"/>
        <v>1191067.6399999992</v>
      </c>
      <c r="BE67" s="13">
        <f t="shared" si="40"/>
        <v>1405752.6699999992</v>
      </c>
      <c r="BF67" s="13">
        <f t="shared" si="40"/>
        <v>1773505.2699999991</v>
      </c>
      <c r="BG67" s="13">
        <f t="shared" si="40"/>
        <v>1796812.669999999</v>
      </c>
      <c r="BH67" s="13">
        <f t="shared" si="40"/>
        <v>1766934.149999999</v>
      </c>
      <c r="BI67" s="13">
        <f t="shared" si="40"/>
        <v>1464038.899999999</v>
      </c>
      <c r="BJ67" s="13">
        <f t="shared" si="40"/>
        <v>1670453.149999999</v>
      </c>
      <c r="BK67" s="13">
        <f t="shared" si="40"/>
        <v>1626059.899999999</v>
      </c>
      <c r="BL67" s="13">
        <f t="shared" si="40"/>
        <v>1423446.699999999</v>
      </c>
      <c r="BM67" s="13">
        <f t="shared" si="40"/>
        <v>1388522.949999999</v>
      </c>
      <c r="BN67" s="13">
        <f t="shared" ref="BN67:CS67" si="41">SUM(BN63:BN66)</f>
        <v>1392995.659999999</v>
      </c>
      <c r="BO67" s="13">
        <f t="shared" si="41"/>
        <v>1508776.939999999</v>
      </c>
      <c r="BP67" s="13">
        <f t="shared" si="41"/>
        <v>1480874.3099999991</v>
      </c>
      <c r="BQ67" s="13">
        <f t="shared" si="41"/>
        <v>1485863.189999999</v>
      </c>
      <c r="BR67" s="13">
        <f t="shared" si="41"/>
        <v>1136776.0499999989</v>
      </c>
      <c r="BS67" s="13">
        <f t="shared" si="41"/>
        <v>1090930.8299999989</v>
      </c>
      <c r="BT67" s="13">
        <f t="shared" si="41"/>
        <v>1235272.6199999989</v>
      </c>
      <c r="BU67" s="13">
        <f t="shared" si="41"/>
        <v>1383923.2399999988</v>
      </c>
      <c r="BV67" s="13">
        <f t="shared" si="41"/>
        <v>1831998.2299999988</v>
      </c>
      <c r="BW67" s="13">
        <f t="shared" si="41"/>
        <v>1360038.6999999988</v>
      </c>
      <c r="BX67" s="13">
        <f t="shared" si="41"/>
        <v>1683716.0599999987</v>
      </c>
      <c r="BY67" s="13">
        <f t="shared" si="41"/>
        <v>1997736.9099999988</v>
      </c>
      <c r="BZ67" s="13">
        <f t="shared" si="41"/>
        <v>2225938.6599999988</v>
      </c>
      <c r="CA67" s="13">
        <f t="shared" si="41"/>
        <v>1425319.4299999988</v>
      </c>
      <c r="CB67" s="13">
        <f t="shared" si="41"/>
        <v>1425319.4299999988</v>
      </c>
      <c r="CC67" s="13">
        <f t="shared" si="41"/>
        <v>1800347.1199999987</v>
      </c>
      <c r="CD67" s="13">
        <f t="shared" si="41"/>
        <v>2058312.6299999987</v>
      </c>
      <c r="CE67" s="13">
        <f t="shared" si="41"/>
        <v>2446094.3499999987</v>
      </c>
      <c r="CF67" s="13">
        <f t="shared" si="41"/>
        <v>1847630.3399999987</v>
      </c>
      <c r="CG67" s="13">
        <f t="shared" si="41"/>
        <v>1685769.6099999987</v>
      </c>
      <c r="CH67" s="13">
        <f t="shared" si="41"/>
        <v>1569823.2799999986</v>
      </c>
      <c r="CI67" s="13">
        <f t="shared" si="41"/>
        <v>1934627.6299999985</v>
      </c>
      <c r="CJ67" s="13">
        <f t="shared" si="41"/>
        <v>1969851.6299999985</v>
      </c>
      <c r="CK67" s="13">
        <f t="shared" si="41"/>
        <v>1969851.6299999985</v>
      </c>
    </row>
    <row r="68" spans="1:89" x14ac:dyDescent="0.2">
      <c r="A68" s="9" t="s">
        <v>154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</row>
    <row r="69" spans="1:89" x14ac:dyDescent="0.2">
      <c r="A69" s="10" t="s">
        <v>155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5012.28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 s="11">
        <v>0</v>
      </c>
      <c r="BW69" s="11">
        <v>1485.6</v>
      </c>
      <c r="BX69" s="11">
        <v>0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11">
        <v>0</v>
      </c>
    </row>
    <row r="70" spans="1:89" x14ac:dyDescent="0.2">
      <c r="A70" s="10" t="s">
        <v>156</v>
      </c>
      <c r="B70" s="11">
        <v>0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  <c r="BQ70" s="11">
        <v>0</v>
      </c>
      <c r="BR70" s="11">
        <v>0</v>
      </c>
      <c r="BS70" s="11">
        <v>0</v>
      </c>
      <c r="BT70" s="11">
        <v>0</v>
      </c>
      <c r="BU70" s="11">
        <v>0</v>
      </c>
      <c r="BV70" s="11">
        <v>0</v>
      </c>
      <c r="BW70" s="11">
        <v>0</v>
      </c>
      <c r="BX70" s="11">
        <v>2665.6</v>
      </c>
      <c r="BY70" s="11">
        <v>0</v>
      </c>
      <c r="BZ70" s="11">
        <v>0</v>
      </c>
      <c r="CA70" s="11">
        <v>0</v>
      </c>
      <c r="CB70" s="11">
        <v>0</v>
      </c>
      <c r="CC70" s="11">
        <v>0</v>
      </c>
      <c r="CD70" s="11">
        <v>0</v>
      </c>
      <c r="CE70" s="11">
        <v>142.80000000000001</v>
      </c>
      <c r="CF70" s="11">
        <v>142.80000000000001</v>
      </c>
      <c r="CG70" s="11">
        <v>0</v>
      </c>
      <c r="CH70" s="11">
        <v>0</v>
      </c>
      <c r="CI70" s="11">
        <v>0</v>
      </c>
      <c r="CJ70" s="11">
        <v>0</v>
      </c>
      <c r="CK70" s="11">
        <v>0</v>
      </c>
    </row>
    <row r="71" spans="1:89" x14ac:dyDescent="0.2">
      <c r="A71" s="10" t="s">
        <v>157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3204.92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</row>
    <row r="72" spans="1:89" x14ac:dyDescent="0.2">
      <c r="A72" s="10" t="s">
        <v>158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0</v>
      </c>
      <c r="BL72" s="11">
        <v>0</v>
      </c>
      <c r="BM72" s="11">
        <v>0</v>
      </c>
      <c r="BN72" s="11">
        <v>4760</v>
      </c>
      <c r="BO72" s="11">
        <v>0</v>
      </c>
      <c r="BP72" s="11">
        <v>0</v>
      </c>
      <c r="BQ72" s="11">
        <v>0</v>
      </c>
      <c r="BR72" s="11">
        <v>0</v>
      </c>
      <c r="BS72" s="11">
        <v>5593</v>
      </c>
      <c r="BT72" s="11">
        <v>0</v>
      </c>
      <c r="BU72" s="11">
        <v>0</v>
      </c>
      <c r="BV72" s="11">
        <v>0</v>
      </c>
      <c r="BW72" s="11">
        <v>0</v>
      </c>
      <c r="BX72" s="11">
        <v>0</v>
      </c>
      <c r="BY72" s="11">
        <v>7140</v>
      </c>
      <c r="BZ72" s="11">
        <v>15232</v>
      </c>
      <c r="CA72" s="11">
        <v>0</v>
      </c>
      <c r="CB72" s="11">
        <v>0</v>
      </c>
      <c r="CC72" s="11">
        <v>0</v>
      </c>
      <c r="CD72" s="11">
        <v>0</v>
      </c>
      <c r="CE72" s="11">
        <v>1999.2</v>
      </c>
      <c r="CF72" s="11">
        <v>1999.2</v>
      </c>
      <c r="CG72" s="11">
        <v>0</v>
      </c>
      <c r="CH72" s="11">
        <v>0</v>
      </c>
      <c r="CI72" s="11">
        <v>0</v>
      </c>
      <c r="CJ72" s="11">
        <v>0</v>
      </c>
      <c r="CK72" s="11">
        <v>0</v>
      </c>
    </row>
    <row r="73" spans="1:89" x14ac:dyDescent="0.2">
      <c r="A73" s="10" t="s">
        <v>159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138927.94</v>
      </c>
      <c r="BG73" s="11">
        <v>128942.88</v>
      </c>
      <c r="BH73" s="11">
        <v>198053.52000000002</v>
      </c>
      <c r="BI73" s="11">
        <v>307607.11</v>
      </c>
      <c r="BJ73" s="11">
        <v>415942.91</v>
      </c>
      <c r="BK73" s="11">
        <v>487476.41</v>
      </c>
      <c r="BL73" s="11">
        <v>614796.34</v>
      </c>
      <c r="BM73" s="11">
        <v>720483.79999999993</v>
      </c>
      <c r="BN73" s="11">
        <v>99595.159999999916</v>
      </c>
      <c r="BO73" s="11">
        <v>183632.52999999991</v>
      </c>
      <c r="BP73" s="11">
        <v>238422.1999999999</v>
      </c>
      <c r="BQ73" s="11">
        <v>323206.31999999989</v>
      </c>
      <c r="BR73" s="11">
        <v>467164.80999999988</v>
      </c>
      <c r="BS73" s="11">
        <v>581668.86999999988</v>
      </c>
      <c r="BT73" s="11">
        <v>680311.81999999983</v>
      </c>
      <c r="BU73" s="11">
        <v>784204.34999999986</v>
      </c>
      <c r="BV73" s="11">
        <v>800468.7699999999</v>
      </c>
      <c r="BW73" s="11">
        <v>245273.77999999991</v>
      </c>
      <c r="BX73" s="11">
        <v>385043.84999999992</v>
      </c>
      <c r="BY73" s="11">
        <v>474314.30999999994</v>
      </c>
      <c r="BZ73" s="11">
        <v>584494.66999999993</v>
      </c>
      <c r="CA73" s="11">
        <v>73663.219999999914</v>
      </c>
      <c r="CB73" s="11">
        <v>73663.219999999914</v>
      </c>
      <c r="CC73" s="11">
        <v>214316.66999999993</v>
      </c>
      <c r="CD73" s="11">
        <v>337093.53999999992</v>
      </c>
      <c r="CE73" s="11">
        <v>368663.61999999994</v>
      </c>
      <c r="CF73" s="11">
        <v>411108.18999999994</v>
      </c>
      <c r="CG73" s="11">
        <v>508603.33999999997</v>
      </c>
      <c r="CH73" s="11">
        <v>554689.78999999992</v>
      </c>
      <c r="CI73" s="11">
        <v>610163.18999999994</v>
      </c>
      <c r="CJ73" s="11">
        <v>619300.30999999994</v>
      </c>
      <c r="CK73" s="11">
        <v>619300.30999999994</v>
      </c>
    </row>
    <row r="74" spans="1:89" x14ac:dyDescent="0.2">
      <c r="A74" s="10" t="s">
        <v>160</v>
      </c>
      <c r="B74" s="11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13618.61</v>
      </c>
      <c r="BH74" s="11">
        <v>28867.21</v>
      </c>
      <c r="BI74" s="11">
        <v>62244.07</v>
      </c>
      <c r="BJ74" s="11">
        <v>65809.03</v>
      </c>
      <c r="BK74" s="11">
        <v>39047.660000000003</v>
      </c>
      <c r="BL74" s="11">
        <v>75252.58</v>
      </c>
      <c r="BM74" s="11">
        <v>119611.35</v>
      </c>
      <c r="BN74" s="11">
        <v>201224.34000000003</v>
      </c>
      <c r="BO74" s="11">
        <v>66189.590000000026</v>
      </c>
      <c r="BP74" s="11">
        <v>67251.750000000029</v>
      </c>
      <c r="BQ74" s="11">
        <v>162249.49000000005</v>
      </c>
      <c r="BR74" s="11">
        <v>380345.87000000005</v>
      </c>
      <c r="BS74" s="11">
        <v>305297.46000000008</v>
      </c>
      <c r="BT74" s="11">
        <v>264936.3600000001</v>
      </c>
      <c r="BU74" s="11">
        <v>483675.72000000009</v>
      </c>
      <c r="BV74" s="11">
        <v>216462.8000000001</v>
      </c>
      <c r="BW74" s="11">
        <v>192439.4500000001</v>
      </c>
      <c r="BX74" s="11">
        <v>406745.38000000012</v>
      </c>
      <c r="BY74" s="11">
        <v>690170.51000000013</v>
      </c>
      <c r="BZ74" s="11">
        <v>950734.34000000008</v>
      </c>
      <c r="CA74" s="11">
        <v>393226.28</v>
      </c>
      <c r="CB74" s="11">
        <v>393226.28</v>
      </c>
      <c r="CC74" s="11">
        <v>469661.11000000004</v>
      </c>
      <c r="CD74" s="11">
        <v>620838.40000000002</v>
      </c>
      <c r="CE74" s="11">
        <v>218056.15000000002</v>
      </c>
      <c r="CF74" s="11">
        <v>350923.67000000004</v>
      </c>
      <c r="CG74" s="11">
        <v>458928.4</v>
      </c>
      <c r="CH74" s="11">
        <v>108785.59000000003</v>
      </c>
      <c r="CI74" s="11">
        <v>293180.94000000006</v>
      </c>
      <c r="CJ74" s="11">
        <v>292826.58000000007</v>
      </c>
      <c r="CK74" s="11">
        <v>292826.58000000007</v>
      </c>
    </row>
    <row r="75" spans="1:89" x14ac:dyDescent="0.2">
      <c r="A75" s="10" t="s">
        <v>161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34946</v>
      </c>
      <c r="AZ75" s="11">
        <v>0</v>
      </c>
      <c r="BA75" s="11">
        <v>80048</v>
      </c>
      <c r="BB75" s="11">
        <v>159527</v>
      </c>
      <c r="BC75" s="11">
        <v>159527</v>
      </c>
      <c r="BD75" s="11">
        <v>159572</v>
      </c>
      <c r="BE75" s="11">
        <v>157884</v>
      </c>
      <c r="BF75" s="11">
        <v>20705</v>
      </c>
      <c r="BG75" s="11">
        <v>94178.2</v>
      </c>
      <c r="BH75" s="11">
        <v>86720</v>
      </c>
      <c r="BI75" s="11">
        <v>131177</v>
      </c>
      <c r="BJ75" s="11">
        <v>71604</v>
      </c>
      <c r="BK75" s="11">
        <v>89086</v>
      </c>
      <c r="BL75" s="11">
        <v>47338</v>
      </c>
      <c r="BM75" s="11">
        <v>148556.5</v>
      </c>
      <c r="BN75" s="11">
        <v>44266</v>
      </c>
      <c r="BO75" s="11">
        <v>70104</v>
      </c>
      <c r="BP75" s="11">
        <v>64127</v>
      </c>
      <c r="BQ75" s="11">
        <v>154588</v>
      </c>
      <c r="BR75" s="11">
        <v>177523</v>
      </c>
      <c r="BS75" s="11">
        <v>195661.19</v>
      </c>
      <c r="BT75" s="11">
        <v>69396</v>
      </c>
      <c r="BU75" s="11">
        <v>146512</v>
      </c>
      <c r="BV75" s="11">
        <v>77116</v>
      </c>
      <c r="BW75" s="11">
        <v>141566</v>
      </c>
      <c r="BX75" s="11">
        <v>198258</v>
      </c>
      <c r="BY75" s="11">
        <v>152.79999999998836</v>
      </c>
      <c r="BZ75" s="11">
        <v>161340</v>
      </c>
      <c r="CA75" s="11">
        <v>48425</v>
      </c>
      <c r="CB75" s="11">
        <v>48425</v>
      </c>
      <c r="CC75" s="11">
        <v>112271</v>
      </c>
      <c r="CD75" s="11">
        <v>50879</v>
      </c>
      <c r="CE75" s="11">
        <v>49224</v>
      </c>
      <c r="CF75" s="11">
        <v>43022</v>
      </c>
      <c r="CG75" s="11">
        <v>52588</v>
      </c>
      <c r="CH75" s="11">
        <v>94350.65</v>
      </c>
      <c r="CI75" s="11">
        <v>64853.999999999993</v>
      </c>
      <c r="CJ75" s="11">
        <v>64853.999999999993</v>
      </c>
      <c r="CK75" s="11">
        <v>64853.999999999993</v>
      </c>
    </row>
    <row r="76" spans="1:89" x14ac:dyDescent="0.2">
      <c r="A76" s="12" t="s">
        <v>162</v>
      </c>
      <c r="B76" s="13">
        <f t="shared" ref="B76:AG76" si="42">SUM(B69:B75)</f>
        <v>0</v>
      </c>
      <c r="C76" s="13">
        <f t="shared" si="42"/>
        <v>0</v>
      </c>
      <c r="D76" s="13">
        <f t="shared" si="42"/>
        <v>0</v>
      </c>
      <c r="E76" s="13">
        <f t="shared" si="42"/>
        <v>0</v>
      </c>
      <c r="F76" s="13">
        <f t="shared" si="42"/>
        <v>0</v>
      </c>
      <c r="G76" s="13">
        <f t="shared" si="42"/>
        <v>0</v>
      </c>
      <c r="H76" s="13">
        <f t="shared" si="42"/>
        <v>0</v>
      </c>
      <c r="I76" s="13">
        <f t="shared" si="42"/>
        <v>0</v>
      </c>
      <c r="J76" s="13">
        <f t="shared" si="42"/>
        <v>0</v>
      </c>
      <c r="K76" s="13">
        <f t="shared" si="42"/>
        <v>0</v>
      </c>
      <c r="L76" s="13">
        <f t="shared" si="42"/>
        <v>0</v>
      </c>
      <c r="M76" s="13">
        <f t="shared" si="42"/>
        <v>0</v>
      </c>
      <c r="N76" s="13">
        <f t="shared" si="42"/>
        <v>0</v>
      </c>
      <c r="O76" s="13">
        <f t="shared" si="42"/>
        <v>0</v>
      </c>
      <c r="P76" s="13">
        <f t="shared" si="42"/>
        <v>0</v>
      </c>
      <c r="Q76" s="13">
        <f t="shared" si="42"/>
        <v>0</v>
      </c>
      <c r="R76" s="13">
        <f t="shared" si="42"/>
        <v>0</v>
      </c>
      <c r="S76" s="13">
        <f t="shared" si="42"/>
        <v>0</v>
      </c>
      <c r="T76" s="13">
        <f t="shared" si="42"/>
        <v>0</v>
      </c>
      <c r="U76" s="13">
        <f t="shared" si="42"/>
        <v>0</v>
      </c>
      <c r="V76" s="13">
        <f t="shared" si="42"/>
        <v>0</v>
      </c>
      <c r="W76" s="13">
        <f t="shared" si="42"/>
        <v>0</v>
      </c>
      <c r="X76" s="13">
        <f t="shared" si="42"/>
        <v>0</v>
      </c>
      <c r="Y76" s="13">
        <f t="shared" si="42"/>
        <v>0</v>
      </c>
      <c r="Z76" s="13">
        <f t="shared" si="42"/>
        <v>0</v>
      </c>
      <c r="AA76" s="13">
        <f t="shared" si="42"/>
        <v>0</v>
      </c>
      <c r="AB76" s="13">
        <f t="shared" si="42"/>
        <v>0</v>
      </c>
      <c r="AC76" s="13">
        <f t="shared" si="42"/>
        <v>0</v>
      </c>
      <c r="AD76" s="13">
        <f t="shared" si="42"/>
        <v>0</v>
      </c>
      <c r="AE76" s="13">
        <f t="shared" si="42"/>
        <v>0</v>
      </c>
      <c r="AF76" s="13">
        <f t="shared" si="42"/>
        <v>0</v>
      </c>
      <c r="AG76" s="13">
        <f t="shared" si="42"/>
        <v>0</v>
      </c>
      <c r="AH76" s="13">
        <f t="shared" ref="AH76:BM76" si="43">SUM(AH69:AH75)</f>
        <v>0</v>
      </c>
      <c r="AI76" s="13">
        <f t="shared" si="43"/>
        <v>0</v>
      </c>
      <c r="AJ76" s="13">
        <f t="shared" si="43"/>
        <v>0</v>
      </c>
      <c r="AK76" s="13">
        <f t="shared" si="43"/>
        <v>0</v>
      </c>
      <c r="AL76" s="13">
        <f t="shared" si="43"/>
        <v>0</v>
      </c>
      <c r="AM76" s="13">
        <f t="shared" si="43"/>
        <v>0</v>
      </c>
      <c r="AN76" s="13">
        <f t="shared" si="43"/>
        <v>0</v>
      </c>
      <c r="AO76" s="13">
        <f t="shared" si="43"/>
        <v>0</v>
      </c>
      <c r="AP76" s="13">
        <f t="shared" si="43"/>
        <v>0</v>
      </c>
      <c r="AQ76" s="13">
        <f t="shared" si="43"/>
        <v>0</v>
      </c>
      <c r="AR76" s="13">
        <f t="shared" si="43"/>
        <v>0</v>
      </c>
      <c r="AS76" s="13">
        <f t="shared" si="43"/>
        <v>0</v>
      </c>
      <c r="AT76" s="13">
        <f t="shared" si="43"/>
        <v>0</v>
      </c>
      <c r="AU76" s="13">
        <f t="shared" si="43"/>
        <v>0</v>
      </c>
      <c r="AV76" s="13">
        <f t="shared" si="43"/>
        <v>0</v>
      </c>
      <c r="AW76" s="13">
        <f t="shared" si="43"/>
        <v>0</v>
      </c>
      <c r="AX76" s="13">
        <f t="shared" si="43"/>
        <v>0</v>
      </c>
      <c r="AY76" s="13">
        <f t="shared" si="43"/>
        <v>34946</v>
      </c>
      <c r="AZ76" s="13">
        <f t="shared" si="43"/>
        <v>0</v>
      </c>
      <c r="BA76" s="13">
        <f t="shared" si="43"/>
        <v>80048</v>
      </c>
      <c r="BB76" s="13">
        <f t="shared" si="43"/>
        <v>159527</v>
      </c>
      <c r="BC76" s="13">
        <f t="shared" si="43"/>
        <v>159527</v>
      </c>
      <c r="BD76" s="13">
        <f t="shared" si="43"/>
        <v>159572</v>
      </c>
      <c r="BE76" s="13">
        <f t="shared" si="43"/>
        <v>157884</v>
      </c>
      <c r="BF76" s="13">
        <f t="shared" si="43"/>
        <v>159632.94</v>
      </c>
      <c r="BG76" s="13">
        <f t="shared" si="43"/>
        <v>236739.69</v>
      </c>
      <c r="BH76" s="13">
        <f t="shared" si="43"/>
        <v>313640.73</v>
      </c>
      <c r="BI76" s="13">
        <f t="shared" si="43"/>
        <v>501028.18</v>
      </c>
      <c r="BJ76" s="13">
        <f t="shared" si="43"/>
        <v>553355.93999999994</v>
      </c>
      <c r="BK76" s="13">
        <f t="shared" si="43"/>
        <v>615610.06999999995</v>
      </c>
      <c r="BL76" s="13">
        <f t="shared" si="43"/>
        <v>737386.91999999993</v>
      </c>
      <c r="BM76" s="13">
        <f t="shared" si="43"/>
        <v>988651.64999999991</v>
      </c>
      <c r="BN76" s="13">
        <f t="shared" ref="BN76:CS76" si="44">SUM(BN69:BN75)</f>
        <v>354857.77999999991</v>
      </c>
      <c r="BO76" s="13">
        <f t="shared" si="44"/>
        <v>319926.11999999994</v>
      </c>
      <c r="BP76" s="13">
        <f t="shared" si="44"/>
        <v>369800.94999999995</v>
      </c>
      <c r="BQ76" s="13">
        <f t="shared" si="44"/>
        <v>640043.80999999994</v>
      </c>
      <c r="BR76" s="13">
        <f t="shared" si="44"/>
        <v>1025033.6799999999</v>
      </c>
      <c r="BS76" s="13">
        <f t="shared" si="44"/>
        <v>1088220.52</v>
      </c>
      <c r="BT76" s="13">
        <f t="shared" si="44"/>
        <v>1014644.1799999999</v>
      </c>
      <c r="BU76" s="13">
        <f t="shared" si="44"/>
        <v>1414392.0699999998</v>
      </c>
      <c r="BV76" s="13">
        <f t="shared" si="44"/>
        <v>1097252.49</v>
      </c>
      <c r="BW76" s="13">
        <f t="shared" si="44"/>
        <v>580764.83000000007</v>
      </c>
      <c r="BX76" s="13">
        <f t="shared" si="44"/>
        <v>992712.83000000007</v>
      </c>
      <c r="BY76" s="13">
        <f t="shared" si="44"/>
        <v>1171777.6200000001</v>
      </c>
      <c r="BZ76" s="13">
        <f t="shared" si="44"/>
        <v>1711801.01</v>
      </c>
      <c r="CA76" s="13">
        <f t="shared" si="44"/>
        <v>515314.49999999994</v>
      </c>
      <c r="CB76" s="13">
        <f t="shared" si="44"/>
        <v>515314.49999999994</v>
      </c>
      <c r="CC76" s="13">
        <f t="shared" si="44"/>
        <v>796248.78</v>
      </c>
      <c r="CD76" s="13">
        <f t="shared" si="44"/>
        <v>1008810.94</v>
      </c>
      <c r="CE76" s="13">
        <f t="shared" si="44"/>
        <v>638085.77</v>
      </c>
      <c r="CF76" s="13">
        <f t="shared" si="44"/>
        <v>807195.86</v>
      </c>
      <c r="CG76" s="13">
        <f t="shared" si="44"/>
        <v>1020119.74</v>
      </c>
      <c r="CH76" s="13">
        <f t="shared" si="44"/>
        <v>757826.02999999991</v>
      </c>
      <c r="CI76" s="13">
        <f t="shared" si="44"/>
        <v>968198.13</v>
      </c>
      <c r="CJ76" s="13">
        <f t="shared" si="44"/>
        <v>976980.89</v>
      </c>
      <c r="CK76" s="13">
        <f t="shared" si="44"/>
        <v>976980.89</v>
      </c>
    </row>
    <row r="77" spans="1:89" x14ac:dyDescent="0.2">
      <c r="A77" s="9" t="s">
        <v>163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</row>
    <row r="78" spans="1:89" x14ac:dyDescent="0.2">
      <c r="A78" s="10" t="s">
        <v>164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498.02</v>
      </c>
      <c r="AK78" s="11">
        <v>657.54</v>
      </c>
      <c r="AL78" s="11">
        <v>443.84</v>
      </c>
      <c r="AM78" s="11">
        <v>1025.8699999999999</v>
      </c>
      <c r="AN78" s="11">
        <v>1108.4699999999998</v>
      </c>
      <c r="AO78" s="11">
        <v>1181.2899999999997</v>
      </c>
      <c r="AP78" s="11">
        <v>1181.2899999999997</v>
      </c>
      <c r="AQ78" s="11">
        <v>971.66999999999973</v>
      </c>
      <c r="AR78" s="11">
        <v>859.18999999999971</v>
      </c>
      <c r="AS78" s="11">
        <v>562.79999999999973</v>
      </c>
      <c r="AT78" s="11">
        <v>265.91999999999973</v>
      </c>
      <c r="AU78" s="11">
        <v>270.79999999999973</v>
      </c>
      <c r="AV78" s="11">
        <v>61.079999999999728</v>
      </c>
      <c r="AW78" s="11">
        <v>196.70999999999972</v>
      </c>
      <c r="AX78" s="11">
        <v>267.52999999999975</v>
      </c>
      <c r="AY78" s="11">
        <v>267.52999999999975</v>
      </c>
      <c r="AZ78" s="11">
        <v>267.52999999999975</v>
      </c>
      <c r="BA78" s="11">
        <v>267.52999999999975</v>
      </c>
      <c r="BB78" s="11">
        <v>787.55999999999972</v>
      </c>
      <c r="BC78" s="11">
        <v>787.55999999999972</v>
      </c>
      <c r="BD78" s="11">
        <v>787.55999999999972</v>
      </c>
      <c r="BE78" s="11">
        <v>787.55999999999972</v>
      </c>
      <c r="BF78" s="11">
        <v>787.55999999999972</v>
      </c>
      <c r="BG78" s="11">
        <v>787.55999999999972</v>
      </c>
      <c r="BH78" s="11">
        <v>787.55999999999972</v>
      </c>
      <c r="BI78" s="11">
        <v>787.55999999999972</v>
      </c>
      <c r="BJ78" s="11">
        <v>787.55999999999972</v>
      </c>
      <c r="BK78" s="11">
        <v>787.55999999999972</v>
      </c>
      <c r="BL78" s="11">
        <v>787.55999999999972</v>
      </c>
      <c r="BM78" s="11">
        <v>787.55999999999972</v>
      </c>
      <c r="BN78" s="11">
        <v>787.55999999999972</v>
      </c>
      <c r="BO78" s="11">
        <v>2352.0999999999995</v>
      </c>
      <c r="BP78" s="11">
        <v>2352.0999999999995</v>
      </c>
      <c r="BQ78" s="11">
        <v>2352.0999999999995</v>
      </c>
      <c r="BR78" s="11">
        <v>2352.0999999999995</v>
      </c>
      <c r="BS78" s="11">
        <v>2352.0999999999995</v>
      </c>
      <c r="BT78" s="11">
        <v>2352.0999999999995</v>
      </c>
      <c r="BU78" s="11">
        <v>2352.0999999999995</v>
      </c>
      <c r="BV78" s="11">
        <v>2352.0999999999995</v>
      </c>
      <c r="BW78" s="11">
        <v>2352.0999999999995</v>
      </c>
      <c r="BX78" s="11">
        <v>2352.0999999999995</v>
      </c>
      <c r="BY78" s="11">
        <v>2352.0999999999995</v>
      </c>
      <c r="BZ78" s="11">
        <v>2352.0999999999995</v>
      </c>
      <c r="CA78" s="11">
        <v>-4.5474735088646412E-13</v>
      </c>
      <c r="CB78" s="11">
        <v>-4.5474735088646412E-13</v>
      </c>
      <c r="CC78" s="11">
        <v>-4.5474735088646412E-13</v>
      </c>
      <c r="CD78" s="11">
        <v>-4.5474735088646412E-13</v>
      </c>
      <c r="CE78" s="11">
        <v>-4.5474735088646412E-13</v>
      </c>
      <c r="CF78" s="11">
        <v>-4.5474735088646412E-13</v>
      </c>
      <c r="CG78" s="11">
        <v>-4.5474735088646412E-13</v>
      </c>
      <c r="CH78" s="11">
        <v>-4.5474735088646412E-13</v>
      </c>
      <c r="CI78" s="11">
        <v>848.00999999999954</v>
      </c>
      <c r="CJ78" s="11">
        <v>848.00999999999954</v>
      </c>
      <c r="CK78" s="11">
        <v>848.00999999999954</v>
      </c>
    </row>
    <row r="79" spans="1:89" x14ac:dyDescent="0.2">
      <c r="A79" s="10" t="s">
        <v>165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9273.42</v>
      </c>
      <c r="AP79" s="11">
        <v>9273.42</v>
      </c>
      <c r="AQ79" s="11">
        <v>1480.63</v>
      </c>
      <c r="AR79" s="11">
        <v>1480.63</v>
      </c>
      <c r="AS79" s="11">
        <v>1480.63</v>
      </c>
      <c r="AT79" s="11">
        <v>1480.63</v>
      </c>
      <c r="AU79" s="11">
        <v>1480.63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11">
        <v>0</v>
      </c>
      <c r="BR79" s="11">
        <v>0</v>
      </c>
      <c r="BS79" s="11">
        <v>0</v>
      </c>
      <c r="BT79" s="11">
        <v>0</v>
      </c>
      <c r="BU79" s="11">
        <v>0</v>
      </c>
      <c r="BV79" s="11">
        <v>0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1">
        <v>0</v>
      </c>
      <c r="CI79" s="11">
        <v>0</v>
      </c>
      <c r="CJ79" s="11">
        <v>0</v>
      </c>
      <c r="CK79" s="11">
        <v>0</v>
      </c>
    </row>
    <row r="80" spans="1:89" x14ac:dyDescent="0.2">
      <c r="A80" s="10" t="s">
        <v>166</v>
      </c>
      <c r="B80" s="11">
        <v>1006.86</v>
      </c>
      <c r="C80" s="11">
        <v>1006.86</v>
      </c>
      <c r="D80" s="11">
        <v>200</v>
      </c>
      <c r="E80" s="11">
        <v>0</v>
      </c>
      <c r="F80" s="11">
        <v>0</v>
      </c>
      <c r="G80" s="11">
        <v>0</v>
      </c>
      <c r="H80" s="11">
        <v>0</v>
      </c>
      <c r="I80" s="11">
        <v>202.5</v>
      </c>
      <c r="J80" s="11">
        <v>-297.5</v>
      </c>
      <c r="K80" s="11">
        <v>-297.5</v>
      </c>
      <c r="L80" s="11">
        <v>500</v>
      </c>
      <c r="M80" s="11">
        <v>0</v>
      </c>
      <c r="N80" s="11">
        <v>600</v>
      </c>
      <c r="O80" s="11">
        <v>1969.94</v>
      </c>
      <c r="P80" s="11">
        <v>1969.94</v>
      </c>
      <c r="Q80" s="11">
        <v>0</v>
      </c>
      <c r="R80" s="11">
        <v>0</v>
      </c>
      <c r="S80" s="11">
        <v>1495.65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1590.98</v>
      </c>
      <c r="AC80" s="11">
        <v>1590.98</v>
      </c>
      <c r="AD80" s="11">
        <v>0</v>
      </c>
      <c r="AE80" s="11">
        <v>0</v>
      </c>
      <c r="AF80" s="11">
        <v>1150</v>
      </c>
      <c r="AG80" s="11">
        <v>-862.99</v>
      </c>
      <c r="AH80" s="11">
        <v>-2000</v>
      </c>
      <c r="AI80" s="11">
        <v>0</v>
      </c>
      <c r="AJ80" s="11">
        <v>0</v>
      </c>
      <c r="AK80" s="11">
        <v>0</v>
      </c>
      <c r="AL80" s="11">
        <v>2000</v>
      </c>
      <c r="AM80" s="11">
        <v>1970</v>
      </c>
      <c r="AN80" s="11">
        <v>0</v>
      </c>
      <c r="AO80" s="11">
        <v>2886.72</v>
      </c>
      <c r="AP80" s="11">
        <v>2886.72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830</v>
      </c>
      <c r="AW80" s="11">
        <v>-20</v>
      </c>
      <c r="AX80" s="11">
        <v>0</v>
      </c>
      <c r="AY80" s="11">
        <v>0</v>
      </c>
      <c r="AZ80" s="11">
        <v>0</v>
      </c>
      <c r="BA80" s="11">
        <v>0</v>
      </c>
      <c r="BB80" s="11">
        <v>4670.75</v>
      </c>
      <c r="BC80" s="11">
        <v>4670.75</v>
      </c>
      <c r="BD80" s="11">
        <v>4670.75</v>
      </c>
      <c r="BE80" s="11">
        <v>3238.74</v>
      </c>
      <c r="BF80" s="11">
        <v>0</v>
      </c>
      <c r="BG80" s="11">
        <v>-300</v>
      </c>
      <c r="BH80" s="11">
        <v>0</v>
      </c>
      <c r="BI80" s="11">
        <v>0</v>
      </c>
      <c r="BJ80" s="11">
        <v>0</v>
      </c>
      <c r="BK80" s="11">
        <v>0</v>
      </c>
      <c r="BL80" s="11">
        <v>-200.81</v>
      </c>
      <c r="BM80" s="11">
        <v>0</v>
      </c>
      <c r="BN80" s="11">
        <v>0</v>
      </c>
      <c r="BO80" s="11">
        <v>418.38</v>
      </c>
      <c r="BP80" s="11">
        <v>0</v>
      </c>
      <c r="BQ80" s="11">
        <v>0</v>
      </c>
      <c r="BR80" s="11">
        <v>0</v>
      </c>
      <c r="BS80" s="11">
        <v>0</v>
      </c>
      <c r="BT80" s="11">
        <v>0</v>
      </c>
      <c r="BU80" s="11">
        <v>0</v>
      </c>
      <c r="BV80" s="11">
        <v>0</v>
      </c>
      <c r="BW80" s="11">
        <v>0</v>
      </c>
      <c r="BX80" s="11">
        <v>0</v>
      </c>
      <c r="BY80" s="11">
        <v>0</v>
      </c>
      <c r="BZ80" s="11">
        <v>0</v>
      </c>
      <c r="CA80" s="11">
        <v>3126.72</v>
      </c>
      <c r="CB80" s="11">
        <v>3126.72</v>
      </c>
      <c r="CC80" s="11">
        <v>0</v>
      </c>
      <c r="CD80" s="11">
        <v>0</v>
      </c>
      <c r="CE80" s="11">
        <v>0</v>
      </c>
      <c r="CF80" s="11">
        <v>0</v>
      </c>
      <c r="CG80" s="11">
        <v>0</v>
      </c>
      <c r="CH80" s="11">
        <v>0</v>
      </c>
      <c r="CI80" s="11">
        <v>93.4</v>
      </c>
      <c r="CJ80" s="11">
        <v>93.4</v>
      </c>
      <c r="CK80" s="11">
        <v>93.4</v>
      </c>
    </row>
    <row r="81" spans="1:89" x14ac:dyDescent="0.2">
      <c r="A81" s="10" t="s">
        <v>167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2400</v>
      </c>
      <c r="AJ81" s="11">
        <v>1800</v>
      </c>
      <c r="AK81" s="11">
        <v>1200</v>
      </c>
      <c r="AL81" s="11">
        <v>600</v>
      </c>
      <c r="AM81" s="11">
        <v>600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  <c r="BP81" s="11">
        <v>0</v>
      </c>
      <c r="BQ81" s="11">
        <v>0</v>
      </c>
      <c r="BR81" s="11">
        <v>0</v>
      </c>
      <c r="BS81" s="11">
        <v>0</v>
      </c>
      <c r="BT81" s="11">
        <v>0</v>
      </c>
      <c r="BU81" s="11">
        <v>0</v>
      </c>
      <c r="BV81" s="11">
        <v>0</v>
      </c>
      <c r="BW81" s="11">
        <v>0</v>
      </c>
      <c r="BX81" s="11">
        <v>0</v>
      </c>
      <c r="BY81" s="11">
        <v>0</v>
      </c>
      <c r="BZ81" s="11">
        <v>0</v>
      </c>
      <c r="CA81" s="11">
        <v>0</v>
      </c>
      <c r="CB81" s="11">
        <v>0</v>
      </c>
      <c r="CC81" s="11">
        <v>0</v>
      </c>
      <c r="CD81" s="11">
        <v>0</v>
      </c>
      <c r="CE81" s="11">
        <v>0</v>
      </c>
      <c r="CF81" s="11">
        <v>0</v>
      </c>
      <c r="CG81" s="11">
        <v>0</v>
      </c>
      <c r="CH81" s="11">
        <v>0</v>
      </c>
      <c r="CI81" s="11">
        <v>0</v>
      </c>
      <c r="CJ81" s="11">
        <v>0</v>
      </c>
      <c r="CK81" s="11">
        <v>0</v>
      </c>
    </row>
    <row r="82" spans="1:89" x14ac:dyDescent="0.2">
      <c r="A82" s="10" t="s">
        <v>168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74700</v>
      </c>
      <c r="AC82" s="11">
        <v>74700</v>
      </c>
      <c r="AD82" s="11">
        <v>74700</v>
      </c>
      <c r="AE82" s="11">
        <v>74700</v>
      </c>
      <c r="AF82" s="11">
        <v>74700</v>
      </c>
      <c r="AG82" s="11">
        <v>74700</v>
      </c>
      <c r="AH82" s="11">
        <v>74700</v>
      </c>
      <c r="AI82" s="11">
        <v>74700</v>
      </c>
      <c r="AJ82" s="11">
        <v>74700</v>
      </c>
      <c r="AK82" s="11">
        <v>74700</v>
      </c>
      <c r="AL82" s="11">
        <v>74700</v>
      </c>
      <c r="AM82" s="11">
        <v>74700</v>
      </c>
      <c r="AN82" s="11">
        <v>74700</v>
      </c>
      <c r="AO82" s="11">
        <v>75980</v>
      </c>
      <c r="AP82" s="11">
        <v>75980</v>
      </c>
      <c r="AQ82" s="11">
        <v>75980</v>
      </c>
      <c r="AR82" s="11">
        <v>75980</v>
      </c>
      <c r="AS82" s="11">
        <v>75980</v>
      </c>
      <c r="AT82" s="11">
        <v>75980</v>
      </c>
      <c r="AU82" s="11">
        <v>75980</v>
      </c>
      <c r="AV82" s="11">
        <v>74700</v>
      </c>
      <c r="AW82" s="11">
        <v>74700</v>
      </c>
      <c r="AX82" s="11">
        <v>74700</v>
      </c>
      <c r="AY82" s="11">
        <v>74700</v>
      </c>
      <c r="AZ82" s="11">
        <v>74700</v>
      </c>
      <c r="BA82" s="11">
        <v>74700</v>
      </c>
      <c r="BB82" s="11">
        <v>74700</v>
      </c>
      <c r="BC82" s="11">
        <v>74700</v>
      </c>
      <c r="BD82" s="11">
        <v>74700</v>
      </c>
      <c r="BE82" s="11">
        <v>74700</v>
      </c>
      <c r="BF82" s="11">
        <v>74700</v>
      </c>
      <c r="BG82" s="11">
        <v>74700</v>
      </c>
      <c r="BH82" s="11">
        <v>74700</v>
      </c>
      <c r="BI82" s="11">
        <v>74700</v>
      </c>
      <c r="BJ82" s="11">
        <v>74700</v>
      </c>
      <c r="BK82" s="11">
        <v>74700</v>
      </c>
      <c r="BL82" s="11">
        <v>74700</v>
      </c>
      <c r="BM82" s="11">
        <v>74700</v>
      </c>
      <c r="BN82" s="11">
        <v>74700</v>
      </c>
      <c r="BO82" s="11">
        <v>74700</v>
      </c>
      <c r="BP82" s="11">
        <v>74700</v>
      </c>
      <c r="BQ82" s="11">
        <v>74700</v>
      </c>
      <c r="BR82" s="11">
        <v>74700</v>
      </c>
      <c r="BS82" s="11">
        <v>74700</v>
      </c>
      <c r="BT82" s="11">
        <v>74700</v>
      </c>
      <c r="BU82" s="11">
        <v>74700</v>
      </c>
      <c r="BV82" s="11">
        <v>74700</v>
      </c>
      <c r="BW82" s="11">
        <v>107541.15</v>
      </c>
      <c r="BX82" s="11">
        <v>107541.15</v>
      </c>
      <c r="BY82" s="11">
        <v>107541.15</v>
      </c>
      <c r="BZ82" s="11">
        <v>107541.15</v>
      </c>
      <c r="CA82" s="11">
        <v>107541.15</v>
      </c>
      <c r="CB82" s="11">
        <v>107541.15</v>
      </c>
      <c r="CC82" s="11">
        <v>107541.15</v>
      </c>
      <c r="CD82" s="11">
        <v>107541.15</v>
      </c>
      <c r="CE82" s="11">
        <v>107541.15</v>
      </c>
      <c r="CF82" s="11">
        <v>108927.15</v>
      </c>
      <c r="CG82" s="11">
        <v>108927.15</v>
      </c>
      <c r="CH82" s="11">
        <v>108927.15</v>
      </c>
      <c r="CI82" s="11">
        <v>108927.15</v>
      </c>
      <c r="CJ82" s="11">
        <v>108927.15</v>
      </c>
      <c r="CK82" s="11">
        <v>108927.15</v>
      </c>
    </row>
    <row r="83" spans="1:89" x14ac:dyDescent="0.2">
      <c r="A83" s="10" t="s">
        <v>169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0</v>
      </c>
      <c r="BP83" s="11">
        <v>0</v>
      </c>
      <c r="BQ83" s="11">
        <v>0</v>
      </c>
      <c r="BR83" s="11">
        <v>0</v>
      </c>
      <c r="BS83" s="11">
        <v>0</v>
      </c>
      <c r="BT83" s="11">
        <v>0</v>
      </c>
      <c r="BU83" s="11">
        <v>0</v>
      </c>
      <c r="BV83" s="11">
        <v>0</v>
      </c>
      <c r="BW83" s="11">
        <v>0</v>
      </c>
      <c r="BX83" s="11">
        <v>0</v>
      </c>
      <c r="BY83" s="11">
        <v>-0.02</v>
      </c>
      <c r="BZ83" s="11">
        <v>0</v>
      </c>
      <c r="CA83" s="11">
        <v>0</v>
      </c>
      <c r="CB83" s="11">
        <v>0</v>
      </c>
      <c r="CC83" s="11">
        <v>0</v>
      </c>
      <c r="CD83" s="11">
        <v>0</v>
      </c>
      <c r="CE83" s="11">
        <v>0</v>
      </c>
      <c r="CF83" s="11">
        <v>0</v>
      </c>
      <c r="CG83" s="11">
        <v>0</v>
      </c>
      <c r="CH83" s="11">
        <v>0</v>
      </c>
      <c r="CI83" s="11">
        <v>0</v>
      </c>
      <c r="CJ83" s="11">
        <v>0</v>
      </c>
      <c r="CK83" s="11">
        <v>0</v>
      </c>
    </row>
    <row r="84" spans="1:89" x14ac:dyDescent="0.2">
      <c r="A84" s="10" t="s">
        <v>170</v>
      </c>
      <c r="B84" s="11">
        <v>757.05</v>
      </c>
      <c r="C84" s="11">
        <v>751.92</v>
      </c>
      <c r="D84" s="11">
        <v>751.92</v>
      </c>
      <c r="E84" s="11">
        <v>751.92</v>
      </c>
      <c r="F84" s="11">
        <v>751.92</v>
      </c>
      <c r="G84" s="11">
        <v>751.92</v>
      </c>
      <c r="H84" s="11">
        <v>751.92</v>
      </c>
      <c r="I84" s="11">
        <v>751.92</v>
      </c>
      <c r="J84" s="11">
        <v>751.92</v>
      </c>
      <c r="K84" s="11">
        <v>751.92</v>
      </c>
      <c r="L84" s="11">
        <v>751.92</v>
      </c>
      <c r="M84" s="11">
        <v>751.92</v>
      </c>
      <c r="N84" s="11">
        <v>751.92</v>
      </c>
      <c r="O84" s="11">
        <v>-5.1299999999999955</v>
      </c>
      <c r="P84" s="11">
        <v>4.4408920985006262E-15</v>
      </c>
      <c r="Q84" s="11">
        <v>4.4408920985006262E-15</v>
      </c>
      <c r="R84" s="11">
        <v>4.4408920985006262E-15</v>
      </c>
      <c r="S84" s="11">
        <v>4.4408920985006262E-15</v>
      </c>
      <c r="T84" s="11">
        <v>4.4408920985006262E-15</v>
      </c>
      <c r="U84" s="11">
        <v>4.4408920985006262E-15</v>
      </c>
      <c r="V84" s="11">
        <v>4.4408920985006262E-15</v>
      </c>
      <c r="W84" s="11">
        <v>4.4408920985006262E-15</v>
      </c>
      <c r="X84" s="11">
        <v>4.4408920985006262E-15</v>
      </c>
      <c r="Y84" s="11">
        <v>4.4408920985006262E-15</v>
      </c>
      <c r="Z84" s="11">
        <v>4.4408920985006262E-15</v>
      </c>
      <c r="AA84" s="11">
        <v>4.4408920985006262E-15</v>
      </c>
      <c r="AB84" s="11">
        <v>3724.3</v>
      </c>
      <c r="AC84" s="11">
        <v>3724.3</v>
      </c>
      <c r="AD84" s="11">
        <v>3724.3</v>
      </c>
      <c r="AE84" s="11">
        <v>3724.3</v>
      </c>
      <c r="AF84" s="11">
        <v>3724.3</v>
      </c>
      <c r="AG84" s="11">
        <v>3724.3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3535.82</v>
      </c>
      <c r="BC84" s="11">
        <v>3535.82</v>
      </c>
      <c r="BD84" s="11">
        <v>3535.82</v>
      </c>
      <c r="BE84" s="11">
        <v>3535.82</v>
      </c>
      <c r="BF84" s="11">
        <v>3535.82</v>
      </c>
      <c r="BG84" s="11">
        <v>3535.82</v>
      </c>
      <c r="BH84" s="11">
        <v>3535.82</v>
      </c>
      <c r="BI84" s="11">
        <v>3535.82</v>
      </c>
      <c r="BJ84" s="11">
        <v>3535.82</v>
      </c>
      <c r="BK84" s="11">
        <v>3535.82</v>
      </c>
      <c r="BL84" s="11">
        <v>3535.82</v>
      </c>
      <c r="BM84" s="11">
        <v>0</v>
      </c>
      <c r="BN84" s="11">
        <v>0</v>
      </c>
      <c r="BO84" s="11">
        <v>5893.76</v>
      </c>
      <c r="BP84" s="11">
        <v>5893.76</v>
      </c>
      <c r="BQ84" s="11">
        <v>5893.76</v>
      </c>
      <c r="BR84" s="11">
        <v>5893.76</v>
      </c>
      <c r="BS84" s="11">
        <v>5893.76</v>
      </c>
      <c r="BT84" s="11">
        <v>5893.76</v>
      </c>
      <c r="BU84" s="11">
        <v>5893.76</v>
      </c>
      <c r="BV84" s="11">
        <v>5893.76</v>
      </c>
      <c r="BW84" s="11">
        <v>5893.76</v>
      </c>
      <c r="BX84" s="11">
        <v>5893.76</v>
      </c>
      <c r="BY84" s="11">
        <v>5893.76</v>
      </c>
      <c r="BZ84" s="11">
        <v>5893.76</v>
      </c>
      <c r="CA84" s="11">
        <v>0</v>
      </c>
      <c r="CB84" s="11">
        <v>0</v>
      </c>
      <c r="CC84" s="11">
        <v>0</v>
      </c>
      <c r="CD84" s="11">
        <v>0</v>
      </c>
      <c r="CE84" s="11">
        <v>0</v>
      </c>
      <c r="CF84" s="11">
        <v>0</v>
      </c>
      <c r="CG84" s="11">
        <v>0</v>
      </c>
      <c r="CH84" s="11">
        <v>0</v>
      </c>
      <c r="CI84" s="11">
        <v>0</v>
      </c>
      <c r="CJ84" s="11">
        <v>0</v>
      </c>
      <c r="CK84" s="11">
        <v>0</v>
      </c>
    </row>
    <row r="85" spans="1:89" x14ac:dyDescent="0.2">
      <c r="A85" s="10" t="s">
        <v>171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688.09</v>
      </c>
      <c r="AD85" s="11">
        <v>-3036.21</v>
      </c>
      <c r="AE85" s="11">
        <v>-3036.21</v>
      </c>
      <c r="AF85" s="11">
        <v>-3036.21</v>
      </c>
      <c r="AG85" s="11">
        <v>-3036.21</v>
      </c>
      <c r="AH85" s="11">
        <v>688.09000000000015</v>
      </c>
      <c r="AI85" s="11">
        <v>688.09000000000015</v>
      </c>
      <c r="AJ85" s="11">
        <v>1.1368683772161603E-13</v>
      </c>
      <c r="AK85" s="11">
        <v>1.1368683772161603E-13</v>
      </c>
      <c r="AL85" s="11">
        <v>1.1368683772161603E-13</v>
      </c>
      <c r="AM85" s="11">
        <v>1.1368683772161603E-13</v>
      </c>
      <c r="AN85" s="11">
        <v>1.1368683772161603E-13</v>
      </c>
      <c r="AO85" s="11">
        <v>1.1368683772161603E-13</v>
      </c>
      <c r="AP85" s="11">
        <v>1.1368683772161603E-13</v>
      </c>
      <c r="AQ85" s="11">
        <v>1.1368683772161603E-13</v>
      </c>
      <c r="AR85" s="11">
        <v>1.1368683772161603E-13</v>
      </c>
      <c r="AS85" s="11">
        <v>1.1368683772161603E-13</v>
      </c>
      <c r="AT85" s="11">
        <v>1.1368683772161603E-13</v>
      </c>
      <c r="AU85" s="11">
        <v>1.1368683772161603E-13</v>
      </c>
      <c r="AV85" s="11">
        <v>1.1368683772161603E-13</v>
      </c>
      <c r="AW85" s="11">
        <v>1.1368683772161603E-13</v>
      </c>
      <c r="AX85" s="11">
        <v>1.1368683772161603E-13</v>
      </c>
      <c r="AY85" s="11">
        <v>1.1368683772161603E-13</v>
      </c>
      <c r="AZ85" s="11">
        <v>1.1368683772161603E-13</v>
      </c>
      <c r="BA85" s="11">
        <v>1.1368683772161603E-13</v>
      </c>
      <c r="BB85" s="11">
        <v>1.1368683772161603E-13</v>
      </c>
      <c r="BC85" s="11">
        <v>1.1368683772161603E-13</v>
      </c>
      <c r="BD85" s="11">
        <v>1.1368683772161603E-13</v>
      </c>
      <c r="BE85" s="11">
        <v>1.1368683772161603E-13</v>
      </c>
      <c r="BF85" s="11">
        <v>1.1368683772161603E-13</v>
      </c>
      <c r="BG85" s="11">
        <v>1.1368683772161603E-13</v>
      </c>
      <c r="BH85" s="11">
        <v>1.1368683772161603E-13</v>
      </c>
      <c r="BI85" s="11">
        <v>1.1368683772161603E-13</v>
      </c>
      <c r="BJ85" s="11">
        <v>1.1368683772161603E-13</v>
      </c>
      <c r="BK85" s="11">
        <v>1.1368683772161603E-13</v>
      </c>
      <c r="BL85" s="11">
        <v>1.1368683772161603E-13</v>
      </c>
      <c r="BM85" s="11">
        <v>1.1368683772161603E-13</v>
      </c>
      <c r="BN85" s="11">
        <v>1.1368683772161603E-13</v>
      </c>
      <c r="BO85" s="11">
        <v>1.1368683772161603E-13</v>
      </c>
      <c r="BP85" s="11">
        <v>1.1368683772161603E-13</v>
      </c>
      <c r="BQ85" s="11">
        <v>1.1368683772161603E-13</v>
      </c>
      <c r="BR85" s="11">
        <v>1.1368683772161603E-13</v>
      </c>
      <c r="BS85" s="11">
        <v>1.1368683772161603E-13</v>
      </c>
      <c r="BT85" s="11">
        <v>1.1368683772161603E-13</v>
      </c>
      <c r="BU85" s="11">
        <v>1.1368683772161603E-13</v>
      </c>
      <c r="BV85" s="11">
        <v>1.1368683772161603E-13</v>
      </c>
      <c r="BW85" s="11">
        <v>1.1368683772161603E-13</v>
      </c>
      <c r="BX85" s="11">
        <v>1.1368683772161603E-13</v>
      </c>
      <c r="BY85" s="11">
        <v>1.1368683772161603E-13</v>
      </c>
      <c r="BZ85" s="11">
        <v>1.1368683772161603E-13</v>
      </c>
      <c r="CA85" s="11">
        <v>5893.76</v>
      </c>
      <c r="CB85" s="11">
        <v>5893.76</v>
      </c>
      <c r="CC85" s="11">
        <v>5893.76</v>
      </c>
      <c r="CD85" s="11">
        <v>5893.76</v>
      </c>
      <c r="CE85" s="11">
        <v>5893.76</v>
      </c>
      <c r="CF85" s="11">
        <v>5893.76</v>
      </c>
      <c r="CG85" s="11">
        <v>5893.76</v>
      </c>
      <c r="CH85" s="11">
        <v>5893.76</v>
      </c>
      <c r="CI85" s="11">
        <v>-1.3000000000001819</v>
      </c>
      <c r="CJ85" s="11">
        <v>-1.3000000000001819</v>
      </c>
      <c r="CK85" s="11">
        <v>-1.3000000000001819</v>
      </c>
    </row>
    <row r="86" spans="1:89" x14ac:dyDescent="0.2">
      <c r="A86" s="10" t="s">
        <v>172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83263</v>
      </c>
      <c r="AC86" s="11">
        <v>83263</v>
      </c>
      <c r="AD86" s="11">
        <v>83263</v>
      </c>
      <c r="AE86" s="11">
        <v>83263</v>
      </c>
      <c r="AF86" s="11">
        <v>83263</v>
      </c>
      <c r="AG86" s="11">
        <v>5813</v>
      </c>
      <c r="AH86" s="11">
        <v>5813</v>
      </c>
      <c r="AI86" s="11">
        <v>5813</v>
      </c>
      <c r="AJ86" s="11">
        <v>4856.6000000000004</v>
      </c>
      <c r="AK86" s="11">
        <v>4856.6000000000004</v>
      </c>
      <c r="AL86" s="11">
        <v>4856.6000000000004</v>
      </c>
      <c r="AM86" s="11">
        <v>0</v>
      </c>
      <c r="AN86" s="11">
        <v>0</v>
      </c>
      <c r="AO86" s="11">
        <v>13112</v>
      </c>
      <c r="AP86" s="11">
        <v>13112</v>
      </c>
      <c r="AQ86" s="11">
        <v>13112</v>
      </c>
      <c r="AR86" s="11">
        <v>13112</v>
      </c>
      <c r="AS86" s="11">
        <v>13112</v>
      </c>
      <c r="AT86" s="11">
        <v>13112</v>
      </c>
      <c r="AU86" s="11">
        <v>13112</v>
      </c>
      <c r="AV86" s="11">
        <v>13112</v>
      </c>
      <c r="AW86" s="11">
        <v>13112</v>
      </c>
      <c r="AX86" s="11">
        <v>1968.3199999999997</v>
      </c>
      <c r="AY86" s="11">
        <v>-2.2737367544323206E-13</v>
      </c>
      <c r="AZ86" s="11">
        <v>-2.2737367544323206E-13</v>
      </c>
      <c r="BA86" s="11">
        <v>-2.2737367544323206E-13</v>
      </c>
      <c r="BB86" s="11">
        <v>-2.2737367544323206E-13</v>
      </c>
      <c r="BC86" s="11">
        <v>-2.2737367544323206E-13</v>
      </c>
      <c r="BD86" s="11">
        <v>-2.2737367544323206E-13</v>
      </c>
      <c r="BE86" s="11">
        <v>-2.2737367544323206E-13</v>
      </c>
      <c r="BF86" s="11">
        <v>-2.2737367544323206E-13</v>
      </c>
      <c r="BG86" s="11">
        <v>-2.2737367544323206E-13</v>
      </c>
      <c r="BH86" s="11">
        <v>-2.2737367544323206E-13</v>
      </c>
      <c r="BI86" s="11">
        <v>-2.2737367544323206E-13</v>
      </c>
      <c r="BJ86" s="11">
        <v>-2.2737367544323206E-13</v>
      </c>
      <c r="BK86" s="11">
        <v>-2.2737367544323206E-13</v>
      </c>
      <c r="BL86" s="11">
        <v>-2.2737367544323206E-13</v>
      </c>
      <c r="BM86" s="11">
        <v>-2.2737367544323206E-13</v>
      </c>
      <c r="BN86" s="11">
        <v>-2.2737367544323206E-13</v>
      </c>
      <c r="BO86" s="11">
        <v>-2.2737367544323206E-13</v>
      </c>
      <c r="BP86" s="11">
        <v>-2.2737367544323206E-13</v>
      </c>
      <c r="BQ86" s="11">
        <v>-2.2737367544323206E-13</v>
      </c>
      <c r="BR86" s="11">
        <v>-2.2737367544323206E-13</v>
      </c>
      <c r="BS86" s="11">
        <v>-2.2737367544323206E-13</v>
      </c>
      <c r="BT86" s="11">
        <v>-2.2737367544323206E-13</v>
      </c>
      <c r="BU86" s="11">
        <v>-2.2737367544323206E-13</v>
      </c>
      <c r="BV86" s="11">
        <v>-2.2737367544323206E-13</v>
      </c>
      <c r="BW86" s="11">
        <v>-2.2737367544323206E-13</v>
      </c>
      <c r="BX86" s="11">
        <v>-2.2737367544323206E-13</v>
      </c>
      <c r="BY86" s="11">
        <v>-2.2737367544323206E-13</v>
      </c>
      <c r="BZ86" s="11">
        <v>-2.2737367544323206E-13</v>
      </c>
      <c r="CA86" s="11">
        <v>-2.2737367544323206E-13</v>
      </c>
      <c r="CB86" s="11">
        <v>-2.2737367544323206E-13</v>
      </c>
      <c r="CC86" s="11">
        <v>-2.2737367544323206E-13</v>
      </c>
      <c r="CD86" s="11">
        <v>-2.2737367544323206E-13</v>
      </c>
      <c r="CE86" s="11">
        <v>-2.2737367544323206E-13</v>
      </c>
      <c r="CF86" s="11">
        <v>-2.2737367544323206E-13</v>
      </c>
      <c r="CG86" s="11">
        <v>-2.2737367544323206E-13</v>
      </c>
      <c r="CH86" s="11">
        <v>-2.2737367544323206E-13</v>
      </c>
      <c r="CI86" s="11">
        <v>-2.2737367544323206E-13</v>
      </c>
      <c r="CJ86" s="11">
        <v>-2.2737367544323206E-13</v>
      </c>
      <c r="CK86" s="11">
        <v>-2.2737367544323206E-13</v>
      </c>
    </row>
    <row r="87" spans="1:89" x14ac:dyDescent="0.2">
      <c r="A87" s="10" t="s">
        <v>173</v>
      </c>
      <c r="B87" s="11">
        <v>772.12</v>
      </c>
      <c r="C87" s="11">
        <v>772.12</v>
      </c>
      <c r="D87" s="11">
        <v>772.12</v>
      </c>
      <c r="E87" s="11">
        <v>772.12</v>
      </c>
      <c r="F87" s="11">
        <v>772.12</v>
      </c>
      <c r="G87" s="11">
        <v>772.12</v>
      </c>
      <c r="H87" s="11">
        <v>772.12</v>
      </c>
      <c r="I87" s="11">
        <v>772.12</v>
      </c>
      <c r="J87" s="11">
        <v>772.12</v>
      </c>
      <c r="K87" s="11">
        <v>772.12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101192.41</v>
      </c>
      <c r="AC87" s="11">
        <v>101192.41</v>
      </c>
      <c r="AD87" s="11">
        <v>101192.41</v>
      </c>
      <c r="AE87" s="11">
        <v>101192.41</v>
      </c>
      <c r="AF87" s="11">
        <v>101192.41</v>
      </c>
      <c r="AG87" s="11">
        <v>101192.41</v>
      </c>
      <c r="AH87" s="11">
        <v>101192.41</v>
      </c>
      <c r="AI87" s="11">
        <v>101192.41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140337.04</v>
      </c>
      <c r="AP87" s="11">
        <v>140337.04</v>
      </c>
      <c r="AQ87" s="11">
        <v>140337.04</v>
      </c>
      <c r="AR87" s="11">
        <v>140337.04</v>
      </c>
      <c r="AS87" s="11">
        <v>140337.04</v>
      </c>
      <c r="AT87" s="11">
        <v>140337.04</v>
      </c>
      <c r="AU87" s="11">
        <v>140337.04</v>
      </c>
      <c r="AV87" s="11">
        <v>140337.04</v>
      </c>
      <c r="AW87" s="11">
        <v>140337.04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411145.71</v>
      </c>
      <c r="CB87" s="11">
        <v>411145.71</v>
      </c>
      <c r="CC87" s="11">
        <v>411145.71</v>
      </c>
      <c r="CD87" s="11">
        <v>411145.71</v>
      </c>
      <c r="CE87" s="11">
        <v>411145.71</v>
      </c>
      <c r="CF87" s="11">
        <v>411145.71</v>
      </c>
      <c r="CG87" s="11">
        <v>411145.71</v>
      </c>
      <c r="CH87" s="11">
        <v>411145.71</v>
      </c>
      <c r="CI87" s="11">
        <v>411145.71</v>
      </c>
      <c r="CJ87" s="11">
        <v>411145.71</v>
      </c>
      <c r="CK87" s="11">
        <v>411145.71</v>
      </c>
    </row>
    <row r="88" spans="1:89" x14ac:dyDescent="0.2">
      <c r="A88" s="10" t="s">
        <v>174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57546.78</v>
      </c>
      <c r="AU88" s="11">
        <v>58937.409999999996</v>
      </c>
      <c r="AV88" s="11">
        <v>35402.5</v>
      </c>
      <c r="AW88" s="11">
        <v>18759.87</v>
      </c>
      <c r="AX88" s="11">
        <v>-776.86000000000058</v>
      </c>
      <c r="AY88" s="11">
        <v>-5.6843418860808015E-13</v>
      </c>
      <c r="AZ88" s="11">
        <v>-5.6843418860808015E-13</v>
      </c>
      <c r="BA88" s="11">
        <v>-5.6843418860808015E-13</v>
      </c>
      <c r="BB88" s="11">
        <v>-5.6843418860808015E-13</v>
      </c>
      <c r="BC88" s="11">
        <v>-5.6843418860808015E-13</v>
      </c>
      <c r="BD88" s="11">
        <v>-5.6843418860808015E-13</v>
      </c>
      <c r="BE88" s="11">
        <v>-5.6843418860808015E-13</v>
      </c>
      <c r="BF88" s="11">
        <v>-5.6843418860808015E-13</v>
      </c>
      <c r="BG88" s="11">
        <v>-5.6843418860808015E-13</v>
      </c>
      <c r="BH88" s="11">
        <v>-5.6843418860808015E-13</v>
      </c>
      <c r="BI88" s="11">
        <v>-5.6843418860808015E-13</v>
      </c>
      <c r="BJ88" s="11">
        <v>-5.6843418860808015E-13</v>
      </c>
      <c r="BK88" s="11">
        <v>-5.6843418860808015E-13</v>
      </c>
      <c r="BL88" s="11">
        <v>-5.6843418860808015E-13</v>
      </c>
      <c r="BM88" s="11">
        <v>-5.6843418860808015E-13</v>
      </c>
      <c r="BN88" s="11">
        <v>-5.6843418860808015E-13</v>
      </c>
      <c r="BO88" s="11">
        <v>-5.6843418860808015E-13</v>
      </c>
      <c r="BP88" s="11">
        <v>-5.6843418860808015E-13</v>
      </c>
      <c r="BQ88" s="11">
        <v>-5.6843418860808015E-13</v>
      </c>
      <c r="BR88" s="11">
        <v>-5.6843418860808015E-13</v>
      </c>
      <c r="BS88" s="11">
        <v>-5.6843418860808015E-13</v>
      </c>
      <c r="BT88" s="11">
        <v>-5.6843418860808015E-13</v>
      </c>
      <c r="BU88" s="11">
        <v>-5.6843418860808015E-13</v>
      </c>
      <c r="BV88" s="11">
        <v>-5.6843418860808015E-13</v>
      </c>
      <c r="BW88" s="11">
        <v>-5.6843418860808015E-13</v>
      </c>
      <c r="BX88" s="11">
        <v>-5.6843418860808015E-13</v>
      </c>
      <c r="BY88" s="11">
        <v>-5.6843418860808015E-13</v>
      </c>
      <c r="BZ88" s="11">
        <v>-5.6843418860808015E-13</v>
      </c>
      <c r="CA88" s="11">
        <v>-5.6843418860808015E-13</v>
      </c>
      <c r="CB88" s="11">
        <v>-5.6843418860808015E-13</v>
      </c>
      <c r="CC88" s="11">
        <v>-5.6843418860808015E-13</v>
      </c>
      <c r="CD88" s="11">
        <v>-5.6843418860808015E-13</v>
      </c>
      <c r="CE88" s="11">
        <v>-5.6843418860808015E-13</v>
      </c>
      <c r="CF88" s="11">
        <v>-5.6843418860808015E-13</v>
      </c>
      <c r="CG88" s="11">
        <v>-5.6843418860808015E-13</v>
      </c>
      <c r="CH88" s="11">
        <v>-5.6843418860808015E-13</v>
      </c>
      <c r="CI88" s="11">
        <v>-5.6843418860808015E-13</v>
      </c>
      <c r="CJ88" s="11">
        <v>-5.6843418860808015E-13</v>
      </c>
      <c r="CK88" s="11">
        <v>-5.6843418860808015E-13</v>
      </c>
    </row>
    <row r="89" spans="1:89" x14ac:dyDescent="0.2">
      <c r="A89" s="12" t="s">
        <v>175</v>
      </c>
      <c r="B89" s="13">
        <f t="shared" ref="B89:AG89" si="45">SUM(B78:B88)</f>
        <v>2536.0299999999997</v>
      </c>
      <c r="C89" s="13">
        <f t="shared" si="45"/>
        <v>2530.9</v>
      </c>
      <c r="D89" s="13">
        <f t="shared" si="45"/>
        <v>1724.04</v>
      </c>
      <c r="E89" s="13">
        <f t="shared" si="45"/>
        <v>1524.04</v>
      </c>
      <c r="F89" s="13">
        <f t="shared" si="45"/>
        <v>1524.04</v>
      </c>
      <c r="G89" s="13">
        <f t="shared" si="45"/>
        <v>1524.04</v>
      </c>
      <c r="H89" s="13">
        <f t="shared" si="45"/>
        <v>1524.04</v>
      </c>
      <c r="I89" s="13">
        <f t="shared" si="45"/>
        <v>1726.54</v>
      </c>
      <c r="J89" s="13">
        <f t="shared" si="45"/>
        <v>1226.54</v>
      </c>
      <c r="K89" s="13">
        <f t="shared" si="45"/>
        <v>1226.54</v>
      </c>
      <c r="L89" s="13">
        <f t="shared" si="45"/>
        <v>1251.92</v>
      </c>
      <c r="M89" s="13">
        <f t="shared" si="45"/>
        <v>751.92</v>
      </c>
      <c r="N89" s="13">
        <f t="shared" si="45"/>
        <v>1351.92</v>
      </c>
      <c r="O89" s="13">
        <f t="shared" si="45"/>
        <v>1964.81</v>
      </c>
      <c r="P89" s="13">
        <f t="shared" si="45"/>
        <v>1969.94</v>
      </c>
      <c r="Q89" s="13">
        <f t="shared" si="45"/>
        <v>4.4408920985006262E-15</v>
      </c>
      <c r="R89" s="13">
        <f t="shared" si="45"/>
        <v>4.4408920985006262E-15</v>
      </c>
      <c r="S89" s="13">
        <f t="shared" si="45"/>
        <v>1495.65</v>
      </c>
      <c r="T89" s="13">
        <f t="shared" si="45"/>
        <v>4.4408920985006262E-15</v>
      </c>
      <c r="U89" s="13">
        <f t="shared" si="45"/>
        <v>4.4408920985006262E-15</v>
      </c>
      <c r="V89" s="13">
        <f t="shared" si="45"/>
        <v>4.4408920985006262E-15</v>
      </c>
      <c r="W89" s="13">
        <f t="shared" si="45"/>
        <v>4.4408920985006262E-15</v>
      </c>
      <c r="X89" s="13">
        <f t="shared" si="45"/>
        <v>4.4408920985006262E-15</v>
      </c>
      <c r="Y89" s="13">
        <f t="shared" si="45"/>
        <v>4.4408920985006262E-15</v>
      </c>
      <c r="Z89" s="13">
        <f t="shared" si="45"/>
        <v>4.4408920985006262E-15</v>
      </c>
      <c r="AA89" s="13">
        <f t="shared" si="45"/>
        <v>4.4408920985006262E-15</v>
      </c>
      <c r="AB89" s="13">
        <f t="shared" si="45"/>
        <v>264470.69</v>
      </c>
      <c r="AC89" s="13">
        <f t="shared" si="45"/>
        <v>265158.78000000003</v>
      </c>
      <c r="AD89" s="13">
        <f t="shared" si="45"/>
        <v>259843.5</v>
      </c>
      <c r="AE89" s="13">
        <f t="shared" si="45"/>
        <v>259843.5</v>
      </c>
      <c r="AF89" s="13">
        <f t="shared" si="45"/>
        <v>260993.5</v>
      </c>
      <c r="AG89" s="13">
        <f t="shared" si="45"/>
        <v>181530.51</v>
      </c>
      <c r="AH89" s="13">
        <f t="shared" ref="AH89:BM89" si="46">SUM(AH78:AH88)</f>
        <v>180393.5</v>
      </c>
      <c r="AI89" s="13">
        <f t="shared" si="46"/>
        <v>184793.5</v>
      </c>
      <c r="AJ89" s="13">
        <f t="shared" si="46"/>
        <v>81854.62000000001</v>
      </c>
      <c r="AK89" s="13">
        <f t="shared" si="46"/>
        <v>81414.14</v>
      </c>
      <c r="AL89" s="13">
        <f t="shared" si="46"/>
        <v>82600.44</v>
      </c>
      <c r="AM89" s="13">
        <f t="shared" si="46"/>
        <v>78295.87</v>
      </c>
      <c r="AN89" s="13">
        <f t="shared" si="46"/>
        <v>75808.47</v>
      </c>
      <c r="AO89" s="13">
        <f t="shared" si="46"/>
        <v>242770.47</v>
      </c>
      <c r="AP89" s="13">
        <f t="shared" si="46"/>
        <v>242770.47</v>
      </c>
      <c r="AQ89" s="13">
        <f t="shared" si="46"/>
        <v>231881.34000000003</v>
      </c>
      <c r="AR89" s="13">
        <f t="shared" si="46"/>
        <v>231768.86000000002</v>
      </c>
      <c r="AS89" s="13">
        <f t="shared" si="46"/>
        <v>231472.47</v>
      </c>
      <c r="AT89" s="13">
        <f t="shared" si="46"/>
        <v>288722.37</v>
      </c>
      <c r="AU89" s="13">
        <f t="shared" si="46"/>
        <v>290117.88</v>
      </c>
      <c r="AV89" s="13">
        <f t="shared" si="46"/>
        <v>264442.62</v>
      </c>
      <c r="AW89" s="13">
        <f t="shared" si="46"/>
        <v>247085.62</v>
      </c>
      <c r="AX89" s="13">
        <f t="shared" si="46"/>
        <v>76158.990000000005</v>
      </c>
      <c r="AY89" s="13">
        <f t="shared" si="46"/>
        <v>74967.53</v>
      </c>
      <c r="AZ89" s="13">
        <f t="shared" si="46"/>
        <v>74967.53</v>
      </c>
      <c r="BA89" s="13">
        <f t="shared" si="46"/>
        <v>74967.53</v>
      </c>
      <c r="BB89" s="13">
        <f t="shared" si="46"/>
        <v>83694.13</v>
      </c>
      <c r="BC89" s="13">
        <f t="shared" si="46"/>
        <v>83694.13</v>
      </c>
      <c r="BD89" s="13">
        <f t="shared" si="46"/>
        <v>83694.13</v>
      </c>
      <c r="BE89" s="13">
        <f t="shared" si="46"/>
        <v>82262.12000000001</v>
      </c>
      <c r="BF89" s="13">
        <f t="shared" si="46"/>
        <v>79023.38</v>
      </c>
      <c r="BG89" s="13">
        <f t="shared" si="46"/>
        <v>78723.38</v>
      </c>
      <c r="BH89" s="13">
        <f t="shared" si="46"/>
        <v>79023.38</v>
      </c>
      <c r="BI89" s="13">
        <f t="shared" si="46"/>
        <v>79023.38</v>
      </c>
      <c r="BJ89" s="13">
        <f t="shared" si="46"/>
        <v>79023.38</v>
      </c>
      <c r="BK89" s="13">
        <f t="shared" si="46"/>
        <v>79023.38</v>
      </c>
      <c r="BL89" s="13">
        <f t="shared" si="46"/>
        <v>78822.570000000007</v>
      </c>
      <c r="BM89" s="13">
        <f t="shared" si="46"/>
        <v>75487.56</v>
      </c>
      <c r="BN89" s="13">
        <f t="shared" ref="BN89:CS89" si="47">SUM(BN78:BN88)</f>
        <v>75487.56</v>
      </c>
      <c r="BO89" s="13">
        <f t="shared" si="47"/>
        <v>83364.239999999991</v>
      </c>
      <c r="BP89" s="13">
        <f t="shared" si="47"/>
        <v>82945.86</v>
      </c>
      <c r="BQ89" s="13">
        <f t="shared" si="47"/>
        <v>82945.86</v>
      </c>
      <c r="BR89" s="13">
        <f t="shared" si="47"/>
        <v>82945.86</v>
      </c>
      <c r="BS89" s="13">
        <f t="shared" si="47"/>
        <v>82945.86</v>
      </c>
      <c r="BT89" s="13">
        <f t="shared" si="47"/>
        <v>82945.86</v>
      </c>
      <c r="BU89" s="13">
        <f t="shared" si="47"/>
        <v>82945.86</v>
      </c>
      <c r="BV89" s="13">
        <f t="shared" si="47"/>
        <v>82945.86</v>
      </c>
      <c r="BW89" s="13">
        <f t="shared" si="47"/>
        <v>115787.01</v>
      </c>
      <c r="BX89" s="13">
        <f t="shared" si="47"/>
        <v>115787.01</v>
      </c>
      <c r="BY89" s="13">
        <f t="shared" si="47"/>
        <v>115786.98999999999</v>
      </c>
      <c r="BZ89" s="13">
        <f t="shared" si="47"/>
        <v>115787.01</v>
      </c>
      <c r="CA89" s="13">
        <f t="shared" si="47"/>
        <v>527707.34</v>
      </c>
      <c r="CB89" s="13">
        <f t="shared" si="47"/>
        <v>527707.34</v>
      </c>
      <c r="CC89" s="13">
        <f t="shared" si="47"/>
        <v>524580.62</v>
      </c>
      <c r="CD89" s="13">
        <f t="shared" si="47"/>
        <v>524580.62</v>
      </c>
      <c r="CE89" s="13">
        <f t="shared" si="47"/>
        <v>524580.62</v>
      </c>
      <c r="CF89" s="13">
        <f t="shared" si="47"/>
        <v>525966.62</v>
      </c>
      <c r="CG89" s="13">
        <f t="shared" si="47"/>
        <v>525966.62</v>
      </c>
      <c r="CH89" s="13">
        <f t="shared" si="47"/>
        <v>525966.62</v>
      </c>
      <c r="CI89" s="13">
        <f t="shared" si="47"/>
        <v>521012.97000000003</v>
      </c>
      <c r="CJ89" s="13">
        <f t="shared" si="47"/>
        <v>521012.97000000003</v>
      </c>
      <c r="CK89" s="13">
        <f t="shared" si="47"/>
        <v>521012.97000000003</v>
      </c>
    </row>
    <row r="90" spans="1:89" x14ac:dyDescent="0.2">
      <c r="A90" s="14" t="s">
        <v>176</v>
      </c>
      <c r="B90" s="15">
        <f t="shared" ref="B90:AG90" si="48">B67+B76+0+0+0+B89</f>
        <v>3921636.5599999996</v>
      </c>
      <c r="C90" s="15">
        <f t="shared" si="48"/>
        <v>3921631.4299999997</v>
      </c>
      <c r="D90" s="15">
        <f t="shared" si="48"/>
        <v>1760896.71</v>
      </c>
      <c r="E90" s="15">
        <f t="shared" si="48"/>
        <v>2362653.2199999997</v>
      </c>
      <c r="F90" s="15">
        <f t="shared" si="48"/>
        <v>3472784.5</v>
      </c>
      <c r="G90" s="15">
        <f t="shared" si="48"/>
        <v>3846087.68</v>
      </c>
      <c r="H90" s="15">
        <f t="shared" si="48"/>
        <v>3614887.33</v>
      </c>
      <c r="I90" s="15">
        <f t="shared" si="48"/>
        <v>3628417.9</v>
      </c>
      <c r="J90" s="15">
        <f t="shared" si="48"/>
        <v>3092721.82</v>
      </c>
      <c r="K90" s="15">
        <f t="shared" si="48"/>
        <v>3588247.51</v>
      </c>
      <c r="L90" s="15">
        <f t="shared" si="48"/>
        <v>3736099.11</v>
      </c>
      <c r="M90" s="15">
        <f t="shared" si="48"/>
        <v>4129854.27</v>
      </c>
      <c r="N90" s="15">
        <f t="shared" si="48"/>
        <v>4255523.51</v>
      </c>
      <c r="O90" s="15">
        <f t="shared" si="48"/>
        <v>4116440.35</v>
      </c>
      <c r="P90" s="15">
        <f t="shared" si="48"/>
        <v>4116445.48</v>
      </c>
      <c r="Q90" s="15">
        <f t="shared" si="48"/>
        <v>3608405.3</v>
      </c>
      <c r="R90" s="15">
        <f t="shared" si="48"/>
        <v>3515266.2399999998</v>
      </c>
      <c r="S90" s="15">
        <f t="shared" si="48"/>
        <v>2638341.5699999998</v>
      </c>
      <c r="T90" s="15">
        <f t="shared" si="48"/>
        <v>2250531.4299999997</v>
      </c>
      <c r="U90" s="15">
        <f t="shared" si="48"/>
        <v>2482198.5499999998</v>
      </c>
      <c r="V90" s="15">
        <f t="shared" si="48"/>
        <v>2208706.2399999998</v>
      </c>
      <c r="W90" s="15">
        <f t="shared" si="48"/>
        <v>3852532.4399999995</v>
      </c>
      <c r="X90" s="15">
        <f t="shared" si="48"/>
        <v>3301616.9899999993</v>
      </c>
      <c r="Y90" s="15">
        <f t="shared" si="48"/>
        <v>3457726.7299999995</v>
      </c>
      <c r="Z90" s="15">
        <f t="shared" si="48"/>
        <v>2128374.8299999996</v>
      </c>
      <c r="AA90" s="15">
        <f t="shared" si="48"/>
        <v>1926825.7299999995</v>
      </c>
      <c r="AB90" s="15">
        <f t="shared" si="48"/>
        <v>1577915.7899999996</v>
      </c>
      <c r="AC90" s="15">
        <f t="shared" si="48"/>
        <v>1651812.6799999997</v>
      </c>
      <c r="AD90" s="15">
        <f t="shared" si="48"/>
        <v>1463786.3499999996</v>
      </c>
      <c r="AE90" s="15">
        <f t="shared" si="48"/>
        <v>1980207.0899999996</v>
      </c>
      <c r="AF90" s="15">
        <f t="shared" si="48"/>
        <v>2166480.2899999996</v>
      </c>
      <c r="AG90" s="15">
        <f t="shared" si="48"/>
        <v>2058894.4299999995</v>
      </c>
      <c r="AH90" s="15">
        <f t="shared" ref="AH90:BM90" si="49">AH67+AH76+0+0+0+AH89</f>
        <v>1949071.1199999994</v>
      </c>
      <c r="AI90" s="15">
        <f t="shared" si="49"/>
        <v>2018567.1099999994</v>
      </c>
      <c r="AJ90" s="15">
        <f t="shared" si="49"/>
        <v>1963180.4399999995</v>
      </c>
      <c r="AK90" s="15">
        <f t="shared" si="49"/>
        <v>1915169.9599999993</v>
      </c>
      <c r="AL90" s="15">
        <f t="shared" si="49"/>
        <v>1613647.6499999994</v>
      </c>
      <c r="AM90" s="15">
        <f t="shared" si="49"/>
        <v>1722759.2899999996</v>
      </c>
      <c r="AN90" s="15">
        <f t="shared" si="49"/>
        <v>1533814.8099999994</v>
      </c>
      <c r="AO90" s="15">
        <f t="shared" si="49"/>
        <v>1384762.5399999993</v>
      </c>
      <c r="AP90" s="15">
        <f t="shared" si="49"/>
        <v>1384762.5399999993</v>
      </c>
      <c r="AQ90" s="15">
        <f t="shared" si="49"/>
        <v>1236430.2899999993</v>
      </c>
      <c r="AR90" s="15">
        <f t="shared" si="49"/>
        <v>1711089.3999999994</v>
      </c>
      <c r="AS90" s="15">
        <f t="shared" si="49"/>
        <v>1786138.7599999993</v>
      </c>
      <c r="AT90" s="15">
        <f t="shared" si="49"/>
        <v>1490450.7099999995</v>
      </c>
      <c r="AU90" s="15">
        <f t="shared" si="49"/>
        <v>1228821.8099999996</v>
      </c>
      <c r="AV90" s="15">
        <f t="shared" si="49"/>
        <v>1268724.7599999993</v>
      </c>
      <c r="AW90" s="15">
        <f t="shared" si="49"/>
        <v>1377239.0599999996</v>
      </c>
      <c r="AX90" s="15">
        <f t="shared" si="49"/>
        <v>1792574.5999999994</v>
      </c>
      <c r="AY90" s="15">
        <f t="shared" si="49"/>
        <v>1583992.1199999994</v>
      </c>
      <c r="AZ90" s="15">
        <f t="shared" si="49"/>
        <v>1424333.3699999994</v>
      </c>
      <c r="BA90" s="15">
        <f t="shared" si="49"/>
        <v>1418279.0399999993</v>
      </c>
      <c r="BB90" s="15">
        <f t="shared" si="49"/>
        <v>1525131.5399999991</v>
      </c>
      <c r="BC90" s="15">
        <f t="shared" si="49"/>
        <v>1525131.5399999991</v>
      </c>
      <c r="BD90" s="15">
        <f t="shared" si="49"/>
        <v>1434333.7699999991</v>
      </c>
      <c r="BE90" s="15">
        <f t="shared" si="49"/>
        <v>1645898.7899999993</v>
      </c>
      <c r="BF90" s="15">
        <f t="shared" si="49"/>
        <v>2012161.5899999989</v>
      </c>
      <c r="BG90" s="15">
        <f t="shared" si="49"/>
        <v>2112275.7399999988</v>
      </c>
      <c r="BH90" s="15">
        <f t="shared" si="49"/>
        <v>2159598.2599999988</v>
      </c>
      <c r="BI90" s="15">
        <f t="shared" si="49"/>
        <v>2044090.459999999</v>
      </c>
      <c r="BJ90" s="15">
        <f t="shared" si="49"/>
        <v>2302832.4699999988</v>
      </c>
      <c r="BK90" s="15">
        <f t="shared" si="49"/>
        <v>2320693.3499999987</v>
      </c>
      <c r="BL90" s="15">
        <f t="shared" si="49"/>
        <v>2239656.189999999</v>
      </c>
      <c r="BM90" s="15">
        <f t="shared" si="49"/>
        <v>2452662.1599999988</v>
      </c>
      <c r="BN90" s="15">
        <f t="shared" ref="BN90:CS90" si="50">BN67+BN76+0+0+0+BN89</f>
        <v>1823340.9999999991</v>
      </c>
      <c r="BO90" s="15">
        <f t="shared" si="50"/>
        <v>1912067.2999999989</v>
      </c>
      <c r="BP90" s="15">
        <f t="shared" si="50"/>
        <v>1933621.1199999992</v>
      </c>
      <c r="BQ90" s="15">
        <f t="shared" si="50"/>
        <v>2208852.8599999989</v>
      </c>
      <c r="BR90" s="15">
        <f t="shared" si="50"/>
        <v>2244755.5899999985</v>
      </c>
      <c r="BS90" s="15">
        <f t="shared" si="50"/>
        <v>2262097.2099999986</v>
      </c>
      <c r="BT90" s="15">
        <f t="shared" si="50"/>
        <v>2332862.6599999988</v>
      </c>
      <c r="BU90" s="15">
        <f t="shared" si="50"/>
        <v>2881261.1699999985</v>
      </c>
      <c r="BV90" s="15">
        <f t="shared" si="50"/>
        <v>3012196.5799999987</v>
      </c>
      <c r="BW90" s="15">
        <f t="shared" si="50"/>
        <v>2056590.5399999989</v>
      </c>
      <c r="BX90" s="15">
        <f t="shared" si="50"/>
        <v>2792215.8999999985</v>
      </c>
      <c r="BY90" s="15">
        <f t="shared" si="50"/>
        <v>3285301.5199999986</v>
      </c>
      <c r="BZ90" s="15">
        <f t="shared" si="50"/>
        <v>4053526.6799999988</v>
      </c>
      <c r="CA90" s="15">
        <f t="shared" si="50"/>
        <v>2468341.2699999986</v>
      </c>
      <c r="CB90" s="15">
        <f t="shared" si="50"/>
        <v>2468341.2699999986</v>
      </c>
      <c r="CC90" s="15">
        <f t="shared" si="50"/>
        <v>3121176.5199999986</v>
      </c>
      <c r="CD90" s="15">
        <f t="shared" si="50"/>
        <v>3591704.1899999985</v>
      </c>
      <c r="CE90" s="15">
        <f t="shared" si="50"/>
        <v>3608760.7399999988</v>
      </c>
      <c r="CF90" s="15">
        <f t="shared" si="50"/>
        <v>3180792.8199999989</v>
      </c>
      <c r="CG90" s="15">
        <f t="shared" si="50"/>
        <v>3231855.9699999988</v>
      </c>
      <c r="CH90" s="15">
        <f t="shared" si="50"/>
        <v>2853615.9299999988</v>
      </c>
      <c r="CI90" s="15">
        <f t="shared" si="50"/>
        <v>3423838.7299999986</v>
      </c>
      <c r="CJ90" s="15">
        <f t="shared" si="50"/>
        <v>3467845.4899999988</v>
      </c>
      <c r="CK90" s="15">
        <f t="shared" si="50"/>
        <v>3467845.4899999988</v>
      </c>
    </row>
    <row r="91" spans="1:89" x14ac:dyDescent="0.2">
      <c r="A91" s="7" t="s">
        <v>177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</row>
    <row r="92" spans="1:89" x14ac:dyDescent="0.2">
      <c r="A92" s="9" t="s">
        <v>178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</row>
    <row r="93" spans="1:89" x14ac:dyDescent="0.2">
      <c r="A93" s="10" t="s">
        <v>179</v>
      </c>
      <c r="B93" s="11">
        <v>41.37</v>
      </c>
      <c r="C93" s="11">
        <v>41.37</v>
      </c>
      <c r="D93" s="11">
        <v>137.37</v>
      </c>
      <c r="E93" s="11">
        <v>124.22</v>
      </c>
      <c r="F93" s="11">
        <v>36.090000000000003</v>
      </c>
      <c r="G93" s="11">
        <v>96.830000000000013</v>
      </c>
      <c r="H93" s="11">
        <v>100.08000000000001</v>
      </c>
      <c r="I93" s="11">
        <v>66.640000000000015</v>
      </c>
      <c r="J93" s="11">
        <v>26.630000000000017</v>
      </c>
      <c r="K93" s="11">
        <v>39.930000000000021</v>
      </c>
      <c r="L93" s="11">
        <v>39.930000000000021</v>
      </c>
      <c r="M93" s="11">
        <v>13.230000000000022</v>
      </c>
      <c r="N93" s="11">
        <v>81.750000000000014</v>
      </c>
      <c r="O93" s="11">
        <v>18.230000000000011</v>
      </c>
      <c r="P93" s="11">
        <v>18.230000000000011</v>
      </c>
      <c r="Q93" s="11">
        <v>93.360000000000014</v>
      </c>
      <c r="R93" s="11">
        <v>73.900000000000006</v>
      </c>
      <c r="S93" s="11">
        <v>52.360000000000007</v>
      </c>
      <c r="T93" s="11">
        <v>32.370000000000005</v>
      </c>
      <c r="U93" s="11">
        <v>93.77000000000001</v>
      </c>
      <c r="V93" s="11">
        <v>85.570000000000007</v>
      </c>
      <c r="W93" s="11">
        <v>50.120000000000005</v>
      </c>
      <c r="X93" s="11">
        <v>4.3800000000000026</v>
      </c>
      <c r="Y93" s="11">
        <v>183.53</v>
      </c>
      <c r="Z93" s="11">
        <v>142.37</v>
      </c>
      <c r="AA93" s="11">
        <v>113.12</v>
      </c>
      <c r="AB93" s="11">
        <v>34.710000000000008</v>
      </c>
      <c r="AC93" s="11">
        <v>34.710000000000008</v>
      </c>
      <c r="AD93" s="11">
        <v>20.010000000000009</v>
      </c>
      <c r="AE93" s="11">
        <v>68.23</v>
      </c>
      <c r="AF93" s="11">
        <v>12.670000000000002</v>
      </c>
      <c r="AG93" s="11">
        <v>72.53</v>
      </c>
      <c r="AH93" s="11">
        <v>160.93</v>
      </c>
      <c r="AI93" s="11">
        <v>111.98</v>
      </c>
      <c r="AJ93" s="11">
        <v>65.099999999999994</v>
      </c>
      <c r="AK93" s="11">
        <v>51.129999999999995</v>
      </c>
      <c r="AL93" s="11">
        <v>48.429999999999993</v>
      </c>
      <c r="AM93" s="11">
        <v>18.029999999999994</v>
      </c>
      <c r="AN93" s="11">
        <v>103.22999999999999</v>
      </c>
      <c r="AO93" s="11">
        <v>72.819999999999993</v>
      </c>
      <c r="AP93" s="11">
        <v>72.819999999999993</v>
      </c>
      <c r="AQ93" s="11">
        <v>46.55</v>
      </c>
      <c r="AR93" s="11">
        <v>18.97</v>
      </c>
      <c r="AS93" s="11">
        <v>31.95</v>
      </c>
      <c r="AT93" s="11">
        <v>82.25</v>
      </c>
      <c r="AU93" s="11">
        <v>196.12</v>
      </c>
      <c r="AV93" s="11">
        <v>143.77000000000001</v>
      </c>
      <c r="AW93" s="11">
        <v>61.88000000000001</v>
      </c>
      <c r="AX93" s="11">
        <v>23.20000000000001</v>
      </c>
      <c r="AY93" s="11">
        <v>116.08000000000001</v>
      </c>
      <c r="AZ93" s="11">
        <v>65.410000000000011</v>
      </c>
      <c r="BA93" s="11">
        <v>44.300000000000011</v>
      </c>
      <c r="BB93" s="11">
        <v>139.44</v>
      </c>
      <c r="BC93" s="11">
        <v>139.44</v>
      </c>
      <c r="BD93" s="11">
        <v>108.03999999999999</v>
      </c>
      <c r="BE93" s="11">
        <v>109.08</v>
      </c>
      <c r="BF93" s="11">
        <v>52.57</v>
      </c>
      <c r="BG93" s="11">
        <v>42.57</v>
      </c>
      <c r="BH93" s="11">
        <v>42.57</v>
      </c>
      <c r="BI93" s="11">
        <v>42.57</v>
      </c>
      <c r="BJ93" s="11">
        <v>35.020000000000003</v>
      </c>
      <c r="BK93" s="11">
        <v>53.760000000000005</v>
      </c>
      <c r="BL93" s="11">
        <v>51.56</v>
      </c>
      <c r="BM93" s="11">
        <v>38.11</v>
      </c>
      <c r="BN93" s="11">
        <v>14.34</v>
      </c>
      <c r="BO93" s="11">
        <v>14.34</v>
      </c>
      <c r="BP93" s="11">
        <v>50.930000000000007</v>
      </c>
      <c r="BQ93" s="11">
        <v>7.9000000000000057</v>
      </c>
      <c r="BR93" s="11">
        <v>77.34</v>
      </c>
      <c r="BS93" s="11">
        <v>61.940000000000005</v>
      </c>
      <c r="BT93" s="11">
        <v>59.960000000000008</v>
      </c>
      <c r="BU93" s="11">
        <v>10.370000000000005</v>
      </c>
      <c r="BV93" s="11">
        <v>53.500000000000007</v>
      </c>
      <c r="BW93" s="11">
        <v>32.250000000000007</v>
      </c>
      <c r="BX93" s="11">
        <v>106.39000000000001</v>
      </c>
      <c r="BY93" s="11">
        <v>65.230000000000018</v>
      </c>
      <c r="BZ93" s="11">
        <v>59.370000000000019</v>
      </c>
      <c r="CA93" s="11">
        <v>30.230000000000018</v>
      </c>
      <c r="CB93" s="11">
        <v>30.230000000000018</v>
      </c>
      <c r="CC93" s="11">
        <v>26.850000000000019</v>
      </c>
      <c r="CD93" s="11">
        <v>93.080000000000027</v>
      </c>
      <c r="CE93" s="11">
        <v>75.820000000000022</v>
      </c>
      <c r="CF93" s="11">
        <v>82.500000000000028</v>
      </c>
      <c r="CG93" s="11">
        <v>41.560000000000031</v>
      </c>
      <c r="CH93" s="11">
        <v>41.560000000000031</v>
      </c>
      <c r="CI93" s="11">
        <v>41.560000000000031</v>
      </c>
      <c r="CJ93" s="11">
        <v>41.560000000000031</v>
      </c>
      <c r="CK93" s="11">
        <v>41.560000000000031</v>
      </c>
    </row>
    <row r="94" spans="1:89" x14ac:dyDescent="0.2">
      <c r="A94" s="12" t="s">
        <v>180</v>
      </c>
      <c r="B94" s="15">
        <f t="shared" ref="B94:AG94" si="51">SUM(B93)</f>
        <v>41.37</v>
      </c>
      <c r="C94" s="15">
        <f t="shared" si="51"/>
        <v>41.37</v>
      </c>
      <c r="D94" s="15">
        <f t="shared" si="51"/>
        <v>137.37</v>
      </c>
      <c r="E94" s="15">
        <f t="shared" si="51"/>
        <v>124.22</v>
      </c>
      <c r="F94" s="15">
        <f t="shared" si="51"/>
        <v>36.090000000000003</v>
      </c>
      <c r="G94" s="15">
        <f t="shared" si="51"/>
        <v>96.830000000000013</v>
      </c>
      <c r="H94" s="15">
        <f t="shared" si="51"/>
        <v>100.08000000000001</v>
      </c>
      <c r="I94" s="15">
        <f t="shared" si="51"/>
        <v>66.640000000000015</v>
      </c>
      <c r="J94" s="15">
        <f t="shared" si="51"/>
        <v>26.630000000000017</v>
      </c>
      <c r="K94" s="15">
        <f t="shared" si="51"/>
        <v>39.930000000000021</v>
      </c>
      <c r="L94" s="15">
        <f t="shared" si="51"/>
        <v>39.930000000000021</v>
      </c>
      <c r="M94" s="15">
        <f t="shared" si="51"/>
        <v>13.230000000000022</v>
      </c>
      <c r="N94" s="15">
        <f t="shared" si="51"/>
        <v>81.750000000000014</v>
      </c>
      <c r="O94" s="15">
        <f t="shared" si="51"/>
        <v>18.230000000000011</v>
      </c>
      <c r="P94" s="15">
        <f t="shared" si="51"/>
        <v>18.230000000000011</v>
      </c>
      <c r="Q94" s="15">
        <f t="shared" si="51"/>
        <v>93.360000000000014</v>
      </c>
      <c r="R94" s="15">
        <f t="shared" si="51"/>
        <v>73.900000000000006</v>
      </c>
      <c r="S94" s="15">
        <f t="shared" si="51"/>
        <v>52.360000000000007</v>
      </c>
      <c r="T94" s="15">
        <f t="shared" si="51"/>
        <v>32.370000000000005</v>
      </c>
      <c r="U94" s="15">
        <f t="shared" si="51"/>
        <v>93.77000000000001</v>
      </c>
      <c r="V94" s="15">
        <f t="shared" si="51"/>
        <v>85.570000000000007</v>
      </c>
      <c r="W94" s="15">
        <f t="shared" si="51"/>
        <v>50.120000000000005</v>
      </c>
      <c r="X94" s="15">
        <f t="shared" si="51"/>
        <v>4.3800000000000026</v>
      </c>
      <c r="Y94" s="15">
        <f t="shared" si="51"/>
        <v>183.53</v>
      </c>
      <c r="Z94" s="15">
        <f t="shared" si="51"/>
        <v>142.37</v>
      </c>
      <c r="AA94" s="15">
        <f t="shared" si="51"/>
        <v>113.12</v>
      </c>
      <c r="AB94" s="15">
        <f t="shared" si="51"/>
        <v>34.710000000000008</v>
      </c>
      <c r="AC94" s="15">
        <f t="shared" si="51"/>
        <v>34.710000000000008</v>
      </c>
      <c r="AD94" s="15">
        <f t="shared" si="51"/>
        <v>20.010000000000009</v>
      </c>
      <c r="AE94" s="15">
        <f t="shared" si="51"/>
        <v>68.23</v>
      </c>
      <c r="AF94" s="15">
        <f t="shared" si="51"/>
        <v>12.670000000000002</v>
      </c>
      <c r="AG94" s="15">
        <f t="shared" si="51"/>
        <v>72.53</v>
      </c>
      <c r="AH94" s="15">
        <f t="shared" ref="AH94:BM94" si="52">SUM(AH93)</f>
        <v>160.93</v>
      </c>
      <c r="AI94" s="15">
        <f t="shared" si="52"/>
        <v>111.98</v>
      </c>
      <c r="AJ94" s="15">
        <f t="shared" si="52"/>
        <v>65.099999999999994</v>
      </c>
      <c r="AK94" s="15">
        <f t="shared" si="52"/>
        <v>51.129999999999995</v>
      </c>
      <c r="AL94" s="15">
        <f t="shared" si="52"/>
        <v>48.429999999999993</v>
      </c>
      <c r="AM94" s="15">
        <f t="shared" si="52"/>
        <v>18.029999999999994</v>
      </c>
      <c r="AN94" s="15">
        <f t="shared" si="52"/>
        <v>103.22999999999999</v>
      </c>
      <c r="AO94" s="15">
        <f t="shared" si="52"/>
        <v>72.819999999999993</v>
      </c>
      <c r="AP94" s="15">
        <f t="shared" si="52"/>
        <v>72.819999999999993</v>
      </c>
      <c r="AQ94" s="15">
        <f t="shared" si="52"/>
        <v>46.55</v>
      </c>
      <c r="AR94" s="15">
        <f t="shared" si="52"/>
        <v>18.97</v>
      </c>
      <c r="AS94" s="15">
        <f t="shared" si="52"/>
        <v>31.95</v>
      </c>
      <c r="AT94" s="15">
        <f t="shared" si="52"/>
        <v>82.25</v>
      </c>
      <c r="AU94" s="15">
        <f t="shared" si="52"/>
        <v>196.12</v>
      </c>
      <c r="AV94" s="15">
        <f t="shared" si="52"/>
        <v>143.77000000000001</v>
      </c>
      <c r="AW94" s="15">
        <f t="shared" si="52"/>
        <v>61.88000000000001</v>
      </c>
      <c r="AX94" s="15">
        <f t="shared" si="52"/>
        <v>23.20000000000001</v>
      </c>
      <c r="AY94" s="15">
        <f t="shared" si="52"/>
        <v>116.08000000000001</v>
      </c>
      <c r="AZ94" s="15">
        <f t="shared" si="52"/>
        <v>65.410000000000011</v>
      </c>
      <c r="BA94" s="15">
        <f t="shared" si="52"/>
        <v>44.300000000000011</v>
      </c>
      <c r="BB94" s="15">
        <f t="shared" si="52"/>
        <v>139.44</v>
      </c>
      <c r="BC94" s="15">
        <f t="shared" si="52"/>
        <v>139.44</v>
      </c>
      <c r="BD94" s="15">
        <f t="shared" si="52"/>
        <v>108.03999999999999</v>
      </c>
      <c r="BE94" s="15">
        <f t="shared" si="52"/>
        <v>109.08</v>
      </c>
      <c r="BF94" s="15">
        <f t="shared" si="52"/>
        <v>52.57</v>
      </c>
      <c r="BG94" s="15">
        <f t="shared" si="52"/>
        <v>42.57</v>
      </c>
      <c r="BH94" s="15">
        <f t="shared" si="52"/>
        <v>42.57</v>
      </c>
      <c r="BI94" s="15">
        <f t="shared" si="52"/>
        <v>42.57</v>
      </c>
      <c r="BJ94" s="15">
        <f t="shared" si="52"/>
        <v>35.020000000000003</v>
      </c>
      <c r="BK94" s="15">
        <f t="shared" si="52"/>
        <v>53.760000000000005</v>
      </c>
      <c r="BL94" s="15">
        <f t="shared" si="52"/>
        <v>51.56</v>
      </c>
      <c r="BM94" s="15">
        <f t="shared" si="52"/>
        <v>38.11</v>
      </c>
      <c r="BN94" s="15">
        <f t="shared" ref="BN94:CS94" si="53">SUM(BN93)</f>
        <v>14.34</v>
      </c>
      <c r="BO94" s="15">
        <f t="shared" si="53"/>
        <v>14.34</v>
      </c>
      <c r="BP94" s="15">
        <f t="shared" si="53"/>
        <v>50.930000000000007</v>
      </c>
      <c r="BQ94" s="15">
        <f t="shared" si="53"/>
        <v>7.9000000000000057</v>
      </c>
      <c r="BR94" s="15">
        <f t="shared" si="53"/>
        <v>77.34</v>
      </c>
      <c r="BS94" s="15">
        <f t="shared" si="53"/>
        <v>61.940000000000005</v>
      </c>
      <c r="BT94" s="15">
        <f t="shared" si="53"/>
        <v>59.960000000000008</v>
      </c>
      <c r="BU94" s="15">
        <f t="shared" si="53"/>
        <v>10.370000000000005</v>
      </c>
      <c r="BV94" s="15">
        <f t="shared" si="53"/>
        <v>53.500000000000007</v>
      </c>
      <c r="BW94" s="15">
        <f t="shared" si="53"/>
        <v>32.250000000000007</v>
      </c>
      <c r="BX94" s="15">
        <f t="shared" si="53"/>
        <v>106.39000000000001</v>
      </c>
      <c r="BY94" s="15">
        <f t="shared" si="53"/>
        <v>65.230000000000018</v>
      </c>
      <c r="BZ94" s="15">
        <f t="shared" si="53"/>
        <v>59.370000000000019</v>
      </c>
      <c r="CA94" s="15">
        <f t="shared" si="53"/>
        <v>30.230000000000018</v>
      </c>
      <c r="CB94" s="15">
        <f t="shared" si="53"/>
        <v>30.230000000000018</v>
      </c>
      <c r="CC94" s="15">
        <f t="shared" si="53"/>
        <v>26.850000000000019</v>
      </c>
      <c r="CD94" s="15">
        <f t="shared" si="53"/>
        <v>93.080000000000027</v>
      </c>
      <c r="CE94" s="15">
        <f t="shared" si="53"/>
        <v>75.820000000000022</v>
      </c>
      <c r="CF94" s="15">
        <f t="shared" si="53"/>
        <v>82.500000000000028</v>
      </c>
      <c r="CG94" s="15">
        <f t="shared" si="53"/>
        <v>41.560000000000031</v>
      </c>
      <c r="CH94" s="15">
        <f t="shared" si="53"/>
        <v>41.560000000000031</v>
      </c>
      <c r="CI94" s="15">
        <f t="shared" si="53"/>
        <v>41.560000000000031</v>
      </c>
      <c r="CJ94" s="15">
        <f t="shared" si="53"/>
        <v>41.560000000000031</v>
      </c>
      <c r="CK94" s="15">
        <f t="shared" si="53"/>
        <v>41.560000000000031</v>
      </c>
    </row>
    <row r="95" spans="1:89" x14ac:dyDescent="0.2">
      <c r="A95" s="9" t="s">
        <v>181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</row>
    <row r="96" spans="1:89" x14ac:dyDescent="0.2">
      <c r="A96" s="10" t="s">
        <v>182</v>
      </c>
      <c r="B96" s="11">
        <v>91145.14</v>
      </c>
      <c r="C96" s="11">
        <v>91145.14</v>
      </c>
      <c r="D96" s="11">
        <v>101011.33</v>
      </c>
      <c r="E96" s="11">
        <v>354495.13</v>
      </c>
      <c r="F96" s="11">
        <v>221388.5</v>
      </c>
      <c r="G96" s="11">
        <v>190404.54</v>
      </c>
      <c r="H96" s="11">
        <v>125639.97</v>
      </c>
      <c r="I96" s="11">
        <v>169671.04000000001</v>
      </c>
      <c r="J96" s="11">
        <v>385173.80000000005</v>
      </c>
      <c r="K96" s="11">
        <v>89560.390000000072</v>
      </c>
      <c r="L96" s="11">
        <v>281635.16000000003</v>
      </c>
      <c r="M96" s="11">
        <v>64573.070000000036</v>
      </c>
      <c r="N96" s="11">
        <v>127293.84000000003</v>
      </c>
      <c r="O96" s="11">
        <v>91549.100000000035</v>
      </c>
      <c r="P96" s="11">
        <v>91549.100000000035</v>
      </c>
      <c r="Q96" s="11">
        <v>219650.12000000005</v>
      </c>
      <c r="R96" s="11">
        <v>210047.97000000006</v>
      </c>
      <c r="S96" s="11">
        <v>200087.38000000006</v>
      </c>
      <c r="T96" s="11">
        <v>356931.99000000005</v>
      </c>
      <c r="U96" s="11">
        <v>422704.19000000006</v>
      </c>
      <c r="V96" s="11">
        <v>376260.16000000003</v>
      </c>
      <c r="W96" s="11">
        <v>124661.45000000004</v>
      </c>
      <c r="X96" s="11">
        <v>116186.94000000005</v>
      </c>
      <c r="Y96" s="11">
        <v>130374.50000000004</v>
      </c>
      <c r="Z96" s="11">
        <v>133738.84000000005</v>
      </c>
      <c r="AA96" s="11">
        <v>239309.17000000004</v>
      </c>
      <c r="AB96" s="11">
        <v>142198.50000000006</v>
      </c>
      <c r="AC96" s="11">
        <v>142198.50000000006</v>
      </c>
      <c r="AD96" s="11">
        <v>122861.94000000006</v>
      </c>
      <c r="AE96" s="11">
        <v>202563.13000000006</v>
      </c>
      <c r="AF96" s="11">
        <v>443744.47000000009</v>
      </c>
      <c r="AG96" s="11">
        <v>83482.720000000088</v>
      </c>
      <c r="AH96" s="11">
        <v>158783.62000000008</v>
      </c>
      <c r="AI96" s="11">
        <v>144082.42000000007</v>
      </c>
      <c r="AJ96" s="11">
        <v>184121.38000000006</v>
      </c>
      <c r="AK96" s="11">
        <v>194598.17000000007</v>
      </c>
      <c r="AL96" s="11">
        <v>241295.87000000005</v>
      </c>
      <c r="AM96" s="11">
        <v>192657.54000000004</v>
      </c>
      <c r="AN96" s="11">
        <v>170883.11000000004</v>
      </c>
      <c r="AO96" s="11">
        <v>20400.97000000003</v>
      </c>
      <c r="AP96" s="11">
        <v>20400.97000000003</v>
      </c>
      <c r="AQ96" s="11">
        <v>38046.200000000026</v>
      </c>
      <c r="AR96" s="11">
        <v>82711.480000000025</v>
      </c>
      <c r="AS96" s="11">
        <v>10385.690000000031</v>
      </c>
      <c r="AT96" s="11">
        <v>157650.37000000002</v>
      </c>
      <c r="AU96" s="11">
        <v>159382.95000000001</v>
      </c>
      <c r="AV96" s="11">
        <v>70163.260000000009</v>
      </c>
      <c r="AW96" s="11">
        <v>178385.77000000002</v>
      </c>
      <c r="AX96" s="11">
        <v>106605.23000000003</v>
      </c>
      <c r="AY96" s="11">
        <v>110471.14000000003</v>
      </c>
      <c r="AZ96" s="11">
        <v>191619.17000000004</v>
      </c>
      <c r="BA96" s="11">
        <v>91317.280000000042</v>
      </c>
      <c r="BB96" s="11">
        <v>126102.59000000004</v>
      </c>
      <c r="BC96" s="11">
        <v>126102.59000000004</v>
      </c>
      <c r="BD96" s="11">
        <v>143839.41000000003</v>
      </c>
      <c r="BE96" s="11">
        <v>137092.90000000002</v>
      </c>
      <c r="BF96" s="11">
        <v>103791.82000000002</v>
      </c>
      <c r="BG96" s="11">
        <v>158245.98000000004</v>
      </c>
      <c r="BH96" s="11">
        <v>94007.250000000029</v>
      </c>
      <c r="BI96" s="11">
        <v>52284.090000000026</v>
      </c>
      <c r="BJ96" s="11">
        <v>221442.65000000002</v>
      </c>
      <c r="BK96" s="11">
        <v>182677.00000000003</v>
      </c>
      <c r="BL96" s="11">
        <v>121070.09000000003</v>
      </c>
      <c r="BM96" s="11">
        <v>125455.34000000003</v>
      </c>
      <c r="BN96" s="11">
        <v>108980.90000000002</v>
      </c>
      <c r="BO96" s="11">
        <v>218362.97000000003</v>
      </c>
      <c r="BP96" s="11">
        <v>142521.29000000004</v>
      </c>
      <c r="BQ96" s="11">
        <v>105590.43000000004</v>
      </c>
      <c r="BR96" s="11">
        <v>190486.67000000004</v>
      </c>
      <c r="BS96" s="11">
        <v>338807.14</v>
      </c>
      <c r="BT96" s="11">
        <v>312068.75</v>
      </c>
      <c r="BU96" s="11">
        <v>336459.56</v>
      </c>
      <c r="BV96" s="11">
        <v>122943.32</v>
      </c>
      <c r="BW96" s="11">
        <v>633282.35000000009</v>
      </c>
      <c r="BX96" s="11">
        <v>381696.40000000008</v>
      </c>
      <c r="BY96" s="11">
        <v>262719.16000000009</v>
      </c>
      <c r="BZ96" s="11">
        <v>87373.020000000077</v>
      </c>
      <c r="CA96" s="11">
        <v>643047.20000000019</v>
      </c>
      <c r="CB96" s="11">
        <v>643047.20000000019</v>
      </c>
      <c r="CC96" s="11">
        <v>300998.61000000016</v>
      </c>
      <c r="CD96" s="11">
        <v>560975.48000000021</v>
      </c>
      <c r="CE96" s="11">
        <v>893894.00000000023</v>
      </c>
      <c r="CF96" s="11">
        <v>518445.38000000024</v>
      </c>
      <c r="CG96" s="11">
        <v>187141.80000000022</v>
      </c>
      <c r="CH96" s="11">
        <v>588106.61000000022</v>
      </c>
      <c r="CI96" s="11">
        <v>212870.08000000019</v>
      </c>
      <c r="CJ96" s="11">
        <v>212870.08000000019</v>
      </c>
      <c r="CK96" s="11">
        <v>212870.08000000019</v>
      </c>
    </row>
    <row r="97" spans="1:89" x14ac:dyDescent="0.2">
      <c r="A97" s="10" t="s">
        <v>183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0</v>
      </c>
      <c r="BG97" s="11">
        <v>10153.030000000001</v>
      </c>
      <c r="BH97" s="11">
        <v>0</v>
      </c>
      <c r="BI97" s="11">
        <v>0</v>
      </c>
      <c r="BJ97" s="11">
        <v>0</v>
      </c>
      <c r="BK97" s="11">
        <v>0</v>
      </c>
      <c r="BL97" s="11">
        <v>0</v>
      </c>
      <c r="BM97" s="11">
        <v>0</v>
      </c>
      <c r="BN97" s="11">
        <v>0</v>
      </c>
      <c r="BO97" s="11">
        <v>0</v>
      </c>
      <c r="BP97" s="11">
        <v>0</v>
      </c>
      <c r="BQ97" s="11">
        <v>0</v>
      </c>
      <c r="BR97" s="11">
        <v>0</v>
      </c>
      <c r="BS97" s="11">
        <v>0</v>
      </c>
      <c r="BT97" s="11">
        <v>0</v>
      </c>
      <c r="BU97" s="11">
        <v>0</v>
      </c>
      <c r="BV97" s="11">
        <v>0</v>
      </c>
      <c r="BW97" s="11">
        <v>-30000</v>
      </c>
      <c r="BX97" s="11">
        <v>0</v>
      </c>
      <c r="BY97" s="11">
        <v>0</v>
      </c>
      <c r="BZ97" s="11">
        <v>0</v>
      </c>
      <c r="CA97" s="11">
        <v>1892.1</v>
      </c>
      <c r="CB97" s="11">
        <v>1892.1</v>
      </c>
      <c r="CC97" s="11">
        <v>0</v>
      </c>
      <c r="CD97" s="11">
        <v>0</v>
      </c>
      <c r="CE97" s="11">
        <v>0</v>
      </c>
      <c r="CF97" s="11">
        <v>0</v>
      </c>
      <c r="CG97" s="11">
        <v>0</v>
      </c>
      <c r="CH97" s="11">
        <v>0</v>
      </c>
      <c r="CI97" s="11">
        <v>486298.6</v>
      </c>
      <c r="CJ97" s="11">
        <v>405571.87</v>
      </c>
      <c r="CK97" s="11">
        <v>405571.87</v>
      </c>
    </row>
    <row r="98" spans="1:89" x14ac:dyDescent="0.2">
      <c r="A98" s="10" t="s">
        <v>184</v>
      </c>
      <c r="B98" s="11">
        <v>150000</v>
      </c>
      <c r="C98" s="11">
        <v>150000</v>
      </c>
      <c r="D98" s="11">
        <v>140000</v>
      </c>
      <c r="E98" s="11">
        <v>40000</v>
      </c>
      <c r="F98" s="11">
        <v>140000</v>
      </c>
      <c r="G98" s="11">
        <v>0</v>
      </c>
      <c r="H98" s="11">
        <v>499000</v>
      </c>
      <c r="I98" s="11">
        <v>0</v>
      </c>
      <c r="J98" s="11">
        <v>200000</v>
      </c>
      <c r="K98" s="11">
        <v>240000</v>
      </c>
      <c r="L98" s="11">
        <v>400000</v>
      </c>
      <c r="M98" s="11">
        <v>100000</v>
      </c>
      <c r="N98" s="11">
        <v>400000</v>
      </c>
      <c r="O98" s="11">
        <v>499000</v>
      </c>
      <c r="P98" s="11">
        <v>499000</v>
      </c>
      <c r="Q98" s="11">
        <v>499000</v>
      </c>
      <c r="R98" s="11">
        <v>299000</v>
      </c>
      <c r="S98" s="11">
        <v>299000</v>
      </c>
      <c r="T98" s="11">
        <v>299000</v>
      </c>
      <c r="U98" s="11">
        <v>159000</v>
      </c>
      <c r="V98" s="11">
        <v>459000</v>
      </c>
      <c r="W98" s="11">
        <v>459000</v>
      </c>
      <c r="X98" s="11">
        <v>499000</v>
      </c>
      <c r="Y98" s="11">
        <v>0</v>
      </c>
      <c r="Z98" s="11">
        <v>199000</v>
      </c>
      <c r="AA98" s="11">
        <v>399000</v>
      </c>
      <c r="AB98" s="11">
        <v>49000</v>
      </c>
      <c r="AC98" s="11">
        <v>49000</v>
      </c>
      <c r="AD98" s="11">
        <v>249000</v>
      </c>
      <c r="AE98" s="11">
        <v>99000</v>
      </c>
      <c r="AF98" s="11">
        <v>49000</v>
      </c>
      <c r="AG98" s="11">
        <v>49000</v>
      </c>
      <c r="AH98" s="11">
        <v>99000</v>
      </c>
      <c r="AI98" s="11">
        <v>99000</v>
      </c>
      <c r="AJ98" s="11">
        <v>199000</v>
      </c>
      <c r="AK98" s="11">
        <v>49000</v>
      </c>
      <c r="AL98" s="11">
        <v>499000</v>
      </c>
      <c r="AM98" s="11">
        <v>399000</v>
      </c>
      <c r="AN98" s="11">
        <v>399000</v>
      </c>
      <c r="AO98" s="11">
        <v>49000</v>
      </c>
      <c r="AP98" s="11">
        <v>49000</v>
      </c>
      <c r="AQ98" s="11">
        <v>49000</v>
      </c>
      <c r="AR98" s="11">
        <v>49000</v>
      </c>
      <c r="AS98" s="11">
        <v>1000</v>
      </c>
      <c r="AT98" s="11">
        <v>49000</v>
      </c>
      <c r="AU98" s="11">
        <v>49000</v>
      </c>
      <c r="AV98" s="11">
        <v>49000</v>
      </c>
      <c r="AW98" s="11">
        <v>49000</v>
      </c>
      <c r="AX98" s="11">
        <v>5000</v>
      </c>
      <c r="AY98" s="11">
        <v>5000</v>
      </c>
      <c r="AZ98" s="11">
        <v>5000</v>
      </c>
      <c r="BA98" s="11">
        <v>5000</v>
      </c>
      <c r="BB98" s="11">
        <v>5000</v>
      </c>
      <c r="BC98" s="11">
        <v>5000</v>
      </c>
      <c r="BD98" s="11">
        <v>5000</v>
      </c>
      <c r="BE98" s="11">
        <v>5000</v>
      </c>
      <c r="BF98" s="11">
        <v>5000</v>
      </c>
      <c r="BG98" s="11">
        <v>5000</v>
      </c>
      <c r="BH98" s="11">
        <v>5000</v>
      </c>
      <c r="BI98" s="11">
        <v>5000</v>
      </c>
      <c r="BJ98" s="11">
        <v>5000</v>
      </c>
      <c r="BK98" s="11">
        <v>49000</v>
      </c>
      <c r="BL98" s="11">
        <v>49000</v>
      </c>
      <c r="BM98" s="11">
        <v>100</v>
      </c>
      <c r="BN98" s="11">
        <v>49900</v>
      </c>
      <c r="BO98" s="11">
        <v>34900</v>
      </c>
      <c r="BP98" s="11">
        <v>34900</v>
      </c>
      <c r="BQ98" s="11">
        <v>26900</v>
      </c>
      <c r="BR98" s="11">
        <v>49900</v>
      </c>
      <c r="BS98" s="11">
        <v>49900</v>
      </c>
      <c r="BT98" s="11">
        <v>49900</v>
      </c>
      <c r="BU98" s="11">
        <v>49900</v>
      </c>
      <c r="BV98" s="11">
        <v>49900</v>
      </c>
      <c r="BW98" s="11">
        <v>49900</v>
      </c>
      <c r="BX98" s="11">
        <v>49900</v>
      </c>
      <c r="BY98" s="11">
        <v>49900</v>
      </c>
      <c r="BZ98" s="11">
        <v>49900</v>
      </c>
      <c r="CA98" s="11">
        <v>49900</v>
      </c>
      <c r="CB98" s="11">
        <v>49900</v>
      </c>
      <c r="CC98" s="11">
        <v>49900</v>
      </c>
      <c r="CD98" s="11">
        <v>49900</v>
      </c>
      <c r="CE98" s="11">
        <v>49909.19</v>
      </c>
      <c r="CF98" s="11">
        <v>49909.19</v>
      </c>
      <c r="CG98" s="11">
        <v>4909.1900000000023</v>
      </c>
      <c r="CH98" s="11">
        <v>4909.1900000000023</v>
      </c>
      <c r="CI98" s="11">
        <v>4909.1900000000023</v>
      </c>
      <c r="CJ98" s="11">
        <v>4909.1900000000023</v>
      </c>
      <c r="CK98" s="11">
        <v>4909.1900000000023</v>
      </c>
    </row>
    <row r="99" spans="1:89" x14ac:dyDescent="0.2">
      <c r="A99" s="10" t="s">
        <v>185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219631.68</v>
      </c>
      <c r="Q99" s="11">
        <v>219631.68</v>
      </c>
      <c r="R99" s="11">
        <v>219631.68</v>
      </c>
      <c r="S99" s="11">
        <v>219631.68</v>
      </c>
      <c r="T99" s="11">
        <v>219631.68</v>
      </c>
      <c r="U99" s="11">
        <v>219631.68</v>
      </c>
      <c r="V99" s="11">
        <v>219631.68</v>
      </c>
      <c r="W99" s="11">
        <v>219631.68</v>
      </c>
      <c r="X99" s="11">
        <v>219631.68</v>
      </c>
      <c r="Y99" s="11">
        <v>219631.68</v>
      </c>
      <c r="Z99" s="11">
        <v>219631.68</v>
      </c>
      <c r="AA99" s="11">
        <v>219631.68</v>
      </c>
      <c r="AB99" s="11">
        <v>219631.68</v>
      </c>
      <c r="AC99" s="11">
        <v>149610.78999999998</v>
      </c>
      <c r="AD99" s="11">
        <v>149610.78999999998</v>
      </c>
      <c r="AE99" s="11">
        <v>149610.78999999998</v>
      </c>
      <c r="AF99" s="11">
        <v>149610.78999999998</v>
      </c>
      <c r="AG99" s="11">
        <v>149610.78999999998</v>
      </c>
      <c r="AH99" s="11">
        <v>149610.78999999998</v>
      </c>
      <c r="AI99" s="11">
        <v>149610.78999999998</v>
      </c>
      <c r="AJ99" s="11">
        <v>149610.78999999998</v>
      </c>
      <c r="AK99" s="11">
        <v>149610.78999999998</v>
      </c>
      <c r="AL99" s="11">
        <v>149610.78999999998</v>
      </c>
      <c r="AM99" s="11">
        <v>149610.78999999998</v>
      </c>
      <c r="AN99" s="11">
        <v>149610.78999999998</v>
      </c>
      <c r="AO99" s="11">
        <v>174502.86</v>
      </c>
      <c r="AP99" s="11">
        <v>174502.86</v>
      </c>
      <c r="AQ99" s="11">
        <v>174502.86</v>
      </c>
      <c r="AR99" s="11">
        <v>174502.86</v>
      </c>
      <c r="AS99" s="11">
        <v>174502.86</v>
      </c>
      <c r="AT99" s="11">
        <v>174502.86</v>
      </c>
      <c r="AU99" s="11">
        <v>174502.86</v>
      </c>
      <c r="AV99" s="11">
        <v>174502.86</v>
      </c>
      <c r="AW99" s="11">
        <v>174502.86</v>
      </c>
      <c r="AX99" s="11">
        <v>174502.86</v>
      </c>
      <c r="AY99" s="11">
        <v>167349.63999999998</v>
      </c>
      <c r="AZ99" s="11">
        <v>167349.63999999998</v>
      </c>
      <c r="BA99" s="11">
        <v>167349.63999999998</v>
      </c>
      <c r="BB99" s="11">
        <v>159670.60999999999</v>
      </c>
      <c r="BC99" s="11">
        <v>159670.60999999999</v>
      </c>
      <c r="BD99" s="11">
        <v>161590.74</v>
      </c>
      <c r="BE99" s="11">
        <v>162394.06</v>
      </c>
      <c r="BF99" s="11">
        <v>167253.16999999998</v>
      </c>
      <c r="BG99" s="11">
        <v>296778.19</v>
      </c>
      <c r="BH99" s="11">
        <v>294553.65999999997</v>
      </c>
      <c r="BI99" s="11">
        <v>301908.95999999996</v>
      </c>
      <c r="BJ99" s="11">
        <v>302212.86999999994</v>
      </c>
      <c r="BK99" s="11">
        <v>303361.00999999995</v>
      </c>
      <c r="BL99" s="11">
        <v>309424.63999999996</v>
      </c>
      <c r="BM99" s="11">
        <v>310536.18999999994</v>
      </c>
      <c r="BN99" s="11">
        <v>315771.00999999995</v>
      </c>
      <c r="BO99" s="11">
        <v>316788.63999999996</v>
      </c>
      <c r="BP99" s="11">
        <v>321276.34999999998</v>
      </c>
      <c r="BQ99" s="11">
        <v>319519.33999999997</v>
      </c>
      <c r="BR99" s="11">
        <v>322896.67</v>
      </c>
      <c r="BS99" s="11">
        <v>340293.19999999995</v>
      </c>
      <c r="BT99" s="11">
        <v>314942.43999999994</v>
      </c>
      <c r="BU99" s="11">
        <v>323824.85999999993</v>
      </c>
      <c r="BV99" s="11">
        <v>330248.23999999993</v>
      </c>
      <c r="BW99" s="11">
        <v>338398.11999999994</v>
      </c>
      <c r="BX99" s="11">
        <v>344720.51999999996</v>
      </c>
      <c r="BY99" s="11">
        <v>339544.73</v>
      </c>
      <c r="BZ99" s="11">
        <v>326187.65999999997</v>
      </c>
      <c r="CA99" s="11">
        <v>316646.18</v>
      </c>
      <c r="CB99" s="11">
        <v>316646.18</v>
      </c>
      <c r="CC99" s="11">
        <v>312052.77999999997</v>
      </c>
      <c r="CD99" s="11">
        <v>318129.98</v>
      </c>
      <c r="CE99" s="11">
        <v>310309.73</v>
      </c>
      <c r="CF99" s="11">
        <v>298101.81</v>
      </c>
      <c r="CG99" s="11">
        <v>307857.52999999997</v>
      </c>
      <c r="CH99" s="11">
        <v>303042.12</v>
      </c>
      <c r="CI99" s="11">
        <v>299830.96999999997</v>
      </c>
      <c r="CJ99" s="11">
        <v>270486.40999999997</v>
      </c>
      <c r="CK99" s="11">
        <v>270486.40999999997</v>
      </c>
    </row>
    <row r="100" spans="1:89" x14ac:dyDescent="0.2">
      <c r="A100" s="10" t="s">
        <v>186</v>
      </c>
      <c r="B100" s="11">
        <v>1245301.27</v>
      </c>
      <c r="C100" s="11">
        <v>1245301.27</v>
      </c>
      <c r="D100" s="11">
        <v>2145301.27</v>
      </c>
      <c r="E100" s="11">
        <v>2145301.27</v>
      </c>
      <c r="F100" s="11">
        <v>2145301.27</v>
      </c>
      <c r="G100" s="11">
        <v>1545301.27</v>
      </c>
      <c r="H100" s="11">
        <v>1545301.27</v>
      </c>
      <c r="I100" s="11">
        <v>1545301.27</v>
      </c>
      <c r="J100" s="11">
        <v>1245301.27</v>
      </c>
      <c r="K100" s="11">
        <v>1645301.27</v>
      </c>
      <c r="L100" s="11">
        <v>1645301.27</v>
      </c>
      <c r="M100" s="11">
        <v>1645301.27</v>
      </c>
      <c r="N100" s="11">
        <v>1645301.27</v>
      </c>
      <c r="O100" s="11">
        <v>2047802.51</v>
      </c>
      <c r="P100" s="11">
        <v>2047802.51</v>
      </c>
      <c r="Q100" s="11">
        <v>2634915.56</v>
      </c>
      <c r="R100" s="11">
        <v>2634915.56</v>
      </c>
      <c r="S100" s="11">
        <v>2634915.56</v>
      </c>
      <c r="T100" s="11">
        <v>2634915.56</v>
      </c>
      <c r="U100" s="11">
        <v>2634915.56</v>
      </c>
      <c r="V100" s="11">
        <v>2634915.56</v>
      </c>
      <c r="W100" s="11">
        <v>2634915.56</v>
      </c>
      <c r="X100" s="11">
        <v>1834915.56</v>
      </c>
      <c r="Y100" s="11">
        <v>1834915.56</v>
      </c>
      <c r="Z100" s="11">
        <v>2734915.56</v>
      </c>
      <c r="AA100" s="11">
        <v>2734915.56</v>
      </c>
      <c r="AB100" s="11">
        <v>2737217.36</v>
      </c>
      <c r="AC100" s="11">
        <v>2737217.36</v>
      </c>
      <c r="AD100" s="11">
        <v>2737217.36</v>
      </c>
      <c r="AE100" s="11">
        <v>2737217.36</v>
      </c>
      <c r="AF100" s="11">
        <v>2137217.36</v>
      </c>
      <c r="AG100" s="11">
        <v>2137217.36</v>
      </c>
      <c r="AH100" s="11">
        <v>2137217.36</v>
      </c>
      <c r="AI100" s="11">
        <v>1737217.3599999999</v>
      </c>
      <c r="AJ100" s="11">
        <v>1737217.3599999999</v>
      </c>
      <c r="AK100" s="11">
        <v>1237217.3599999999</v>
      </c>
      <c r="AL100" s="11">
        <v>1237217.3599999999</v>
      </c>
      <c r="AM100" s="11">
        <v>1237217.3599999999</v>
      </c>
      <c r="AN100" s="11">
        <v>1237217.3599999999</v>
      </c>
      <c r="AO100" s="11">
        <v>1538341.67</v>
      </c>
      <c r="AP100" s="11">
        <v>1538341.67</v>
      </c>
      <c r="AQ100" s="11">
        <v>1638341.67</v>
      </c>
      <c r="AR100" s="11">
        <v>1638341.67</v>
      </c>
      <c r="AS100" s="11">
        <v>1638341.67</v>
      </c>
      <c r="AT100" s="11">
        <v>1638341.67</v>
      </c>
      <c r="AU100" s="11">
        <v>1638341.67</v>
      </c>
      <c r="AV100" s="11">
        <v>1638341.67</v>
      </c>
      <c r="AW100" s="11">
        <v>1638341.67</v>
      </c>
      <c r="AX100" s="11">
        <v>1638341.67</v>
      </c>
      <c r="AY100" s="11">
        <v>1638341.67</v>
      </c>
      <c r="AZ100" s="11">
        <v>1638341.67</v>
      </c>
      <c r="BA100" s="11">
        <v>1988341.67</v>
      </c>
      <c r="BB100" s="11">
        <v>1988709.5799999998</v>
      </c>
      <c r="BC100" s="11">
        <v>1988709.5799999998</v>
      </c>
      <c r="BD100" s="11">
        <v>1988709.5799999998</v>
      </c>
      <c r="BE100" s="11">
        <v>1988709.5799999998</v>
      </c>
      <c r="BF100" s="11">
        <v>1988709.5799999998</v>
      </c>
      <c r="BG100" s="11">
        <v>1988709.5799999998</v>
      </c>
      <c r="BH100" s="11">
        <v>1988709.5799999998</v>
      </c>
      <c r="BI100" s="11">
        <v>2378820.6999999997</v>
      </c>
      <c r="BJ100" s="11">
        <v>2169999.9999999995</v>
      </c>
      <c r="BK100" s="11">
        <v>2169999.9999999995</v>
      </c>
      <c r="BL100" s="11">
        <v>2369999.9999999995</v>
      </c>
      <c r="BM100" s="11">
        <v>1799999.9999999995</v>
      </c>
      <c r="BN100" s="11">
        <v>2616999.9999999995</v>
      </c>
      <c r="BO100" s="11">
        <v>2400250.9899999993</v>
      </c>
      <c r="BP100" s="11">
        <v>2689999.9999999991</v>
      </c>
      <c r="BQ100" s="11">
        <v>2659999.9999999991</v>
      </c>
      <c r="BR100" s="11">
        <v>2399999.9999999991</v>
      </c>
      <c r="BS100" s="11">
        <v>1749999.9999999991</v>
      </c>
      <c r="BT100" s="11">
        <v>1849999.9999999991</v>
      </c>
      <c r="BU100" s="11">
        <v>1599999.9999999991</v>
      </c>
      <c r="BV100" s="11">
        <v>1499999.9999999991</v>
      </c>
      <c r="BW100" s="11">
        <v>1499999.9999999991</v>
      </c>
      <c r="BX100" s="11">
        <v>1499999.9999999991</v>
      </c>
      <c r="BY100" s="11">
        <v>1199999.9999999991</v>
      </c>
      <c r="BZ100" s="11">
        <v>1199999.9999999991</v>
      </c>
      <c r="CA100" s="11">
        <v>1700143.2699999991</v>
      </c>
      <c r="CB100" s="11">
        <v>1700143.2699999991</v>
      </c>
      <c r="CC100" s="11">
        <v>1700143.2699999991</v>
      </c>
      <c r="CD100" s="11">
        <v>1700143.2699999991</v>
      </c>
      <c r="CE100" s="11">
        <v>1700143.2699999991</v>
      </c>
      <c r="CF100" s="11">
        <v>2000143.2699999991</v>
      </c>
      <c r="CG100" s="11">
        <v>2280143.2699999991</v>
      </c>
      <c r="CH100" s="11">
        <v>2280143.2699999991</v>
      </c>
      <c r="CI100" s="11">
        <v>2680143.2699999991</v>
      </c>
      <c r="CJ100" s="11">
        <v>2680143.2699999991</v>
      </c>
      <c r="CK100" s="11">
        <v>2680143.2699999991</v>
      </c>
    </row>
    <row r="101" spans="1:89" x14ac:dyDescent="0.2">
      <c r="A101" s="10" t="s">
        <v>187</v>
      </c>
      <c r="B101" s="11">
        <v>420238.41</v>
      </c>
      <c r="C101" s="11">
        <v>420238.41</v>
      </c>
      <c r="D101" s="11">
        <v>694264.55</v>
      </c>
      <c r="E101" s="11">
        <v>172487.39000000007</v>
      </c>
      <c r="F101" s="11">
        <v>188483.68000000008</v>
      </c>
      <c r="G101" s="11">
        <v>323353.59000000008</v>
      </c>
      <c r="H101" s="11">
        <v>1511764.1800000002</v>
      </c>
      <c r="I101" s="11">
        <v>280630.02000000025</v>
      </c>
      <c r="J101" s="11">
        <v>403282.54000000027</v>
      </c>
      <c r="K101" s="11">
        <v>796741.42000000027</v>
      </c>
      <c r="L101" s="11">
        <v>555508.25000000023</v>
      </c>
      <c r="M101" s="11">
        <v>572495.4700000002</v>
      </c>
      <c r="N101" s="11">
        <v>509666.86000000022</v>
      </c>
      <c r="O101" s="11">
        <v>519228.41000000021</v>
      </c>
      <c r="P101" s="11">
        <v>519228.41000000021</v>
      </c>
      <c r="Q101" s="11">
        <v>762611.7200000002</v>
      </c>
      <c r="R101" s="11">
        <v>378813.27000000019</v>
      </c>
      <c r="S101" s="11">
        <v>805702.31000000017</v>
      </c>
      <c r="T101" s="11">
        <v>987536.68000000017</v>
      </c>
      <c r="U101" s="11">
        <v>865732.58000000019</v>
      </c>
      <c r="V101" s="11">
        <v>919058.87000000023</v>
      </c>
      <c r="W101" s="11">
        <v>699801.10000000021</v>
      </c>
      <c r="X101" s="11">
        <v>773514.85000000021</v>
      </c>
      <c r="Y101" s="11">
        <v>1082017.8000000003</v>
      </c>
      <c r="Z101" s="11">
        <v>979354.46000000031</v>
      </c>
      <c r="AA101" s="11">
        <v>1122238.8600000003</v>
      </c>
      <c r="AB101" s="11">
        <v>892160.38000000035</v>
      </c>
      <c r="AC101" s="11">
        <v>892160.38000000035</v>
      </c>
      <c r="AD101" s="11">
        <v>760598.48000000033</v>
      </c>
      <c r="AE101" s="11">
        <v>422614.47000000032</v>
      </c>
      <c r="AF101" s="11">
        <v>499745.08000000031</v>
      </c>
      <c r="AG101" s="11">
        <v>275895.19000000029</v>
      </c>
      <c r="AH101" s="11">
        <v>286446.29000000027</v>
      </c>
      <c r="AI101" s="11">
        <v>393714.55000000028</v>
      </c>
      <c r="AJ101" s="11">
        <v>546437.03000000026</v>
      </c>
      <c r="AK101" s="11">
        <v>667571.62000000023</v>
      </c>
      <c r="AL101" s="11">
        <v>320120.06000000023</v>
      </c>
      <c r="AM101" s="11">
        <v>430349.65000000026</v>
      </c>
      <c r="AN101" s="11">
        <v>599253.91000000027</v>
      </c>
      <c r="AO101" s="11">
        <v>537871.78000000026</v>
      </c>
      <c r="AP101" s="11">
        <v>537871.78000000026</v>
      </c>
      <c r="AQ101" s="11">
        <v>510354.89000000025</v>
      </c>
      <c r="AR101" s="11">
        <v>233955.84000000026</v>
      </c>
      <c r="AS101" s="11">
        <v>150204.87000000026</v>
      </c>
      <c r="AT101" s="11">
        <v>255832.22000000026</v>
      </c>
      <c r="AU101" s="11">
        <v>524473.49000000022</v>
      </c>
      <c r="AV101" s="11">
        <v>705668.98000000021</v>
      </c>
      <c r="AW101" s="11">
        <v>783749.05000000028</v>
      </c>
      <c r="AX101" s="11">
        <v>887148.54000000027</v>
      </c>
      <c r="AY101" s="11">
        <v>636180.29000000027</v>
      </c>
      <c r="AZ101" s="11">
        <v>683713.50000000023</v>
      </c>
      <c r="BA101" s="11">
        <v>522880.41000000027</v>
      </c>
      <c r="BB101" s="11">
        <v>498513.24000000028</v>
      </c>
      <c r="BC101" s="11">
        <v>498513.24000000028</v>
      </c>
      <c r="BD101" s="11">
        <v>704271.75000000023</v>
      </c>
      <c r="BE101" s="11">
        <v>447310.52000000025</v>
      </c>
      <c r="BF101" s="11">
        <v>583890.51000000024</v>
      </c>
      <c r="BG101" s="11">
        <v>619358.44000000029</v>
      </c>
      <c r="BH101" s="11">
        <v>792760.50000000023</v>
      </c>
      <c r="BI101" s="11">
        <v>198559.4700000002</v>
      </c>
      <c r="BJ101" s="11">
        <v>57101.5900000002</v>
      </c>
      <c r="BK101" s="11">
        <v>52820.350000000202</v>
      </c>
      <c r="BL101" s="11">
        <v>85046.610000000204</v>
      </c>
      <c r="BM101" s="11">
        <v>64197.530000000203</v>
      </c>
      <c r="BN101" s="11">
        <v>19043.8400000002</v>
      </c>
      <c r="BO101" s="11">
        <v>47544.010000000198</v>
      </c>
      <c r="BP101" s="11">
        <v>36780.690000000199</v>
      </c>
      <c r="BQ101" s="11">
        <v>81044.130000000208</v>
      </c>
      <c r="BR101" s="11">
        <v>56944.110000000204</v>
      </c>
      <c r="BS101" s="11">
        <v>67647.950000000201</v>
      </c>
      <c r="BT101" s="11">
        <v>77671.130000000208</v>
      </c>
      <c r="BU101" s="11">
        <v>87619.870000000214</v>
      </c>
      <c r="BV101" s="11">
        <v>37907.090000000215</v>
      </c>
      <c r="BW101" s="11">
        <v>738304.48000000021</v>
      </c>
      <c r="BX101" s="11">
        <v>249715.11000000022</v>
      </c>
      <c r="BY101" s="11">
        <v>137808.01000000021</v>
      </c>
      <c r="BZ101" s="11">
        <v>52939.740000000209</v>
      </c>
      <c r="CA101" s="11">
        <v>459094.45000000024</v>
      </c>
      <c r="CB101" s="11">
        <v>459094.45000000024</v>
      </c>
      <c r="CC101" s="11">
        <v>413917.80000000022</v>
      </c>
      <c r="CD101" s="11">
        <v>332183.30000000022</v>
      </c>
      <c r="CE101" s="11">
        <v>223400.17000000022</v>
      </c>
      <c r="CF101" s="11">
        <v>165962.61000000022</v>
      </c>
      <c r="CG101" s="11">
        <v>236640.14000000022</v>
      </c>
      <c r="CH101" s="11">
        <v>162598.30000000022</v>
      </c>
      <c r="CI101" s="11">
        <v>196441.64000000022</v>
      </c>
      <c r="CJ101" s="11">
        <v>196441.64000000022</v>
      </c>
      <c r="CK101" s="11">
        <v>196441.64000000022</v>
      </c>
    </row>
    <row r="102" spans="1:89" x14ac:dyDescent="0.2">
      <c r="A102" s="10" t="s">
        <v>188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-368.91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>
        <v>0</v>
      </c>
      <c r="CF102" s="11">
        <v>0</v>
      </c>
      <c r="CG102" s="11">
        <v>0</v>
      </c>
      <c r="CH102" s="11">
        <v>0</v>
      </c>
      <c r="CI102" s="11">
        <v>0</v>
      </c>
      <c r="CJ102" s="11">
        <v>0</v>
      </c>
      <c r="CK102" s="11">
        <v>0</v>
      </c>
    </row>
    <row r="103" spans="1:89" x14ac:dyDescent="0.2">
      <c r="A103" s="10" t="s">
        <v>189</v>
      </c>
      <c r="B103" s="11">
        <v>547943.93000000005</v>
      </c>
      <c r="C103" s="11">
        <v>547943.93000000005</v>
      </c>
      <c r="D103" s="11">
        <v>547943.93000000005</v>
      </c>
      <c r="E103" s="11">
        <v>547943.93000000005</v>
      </c>
      <c r="F103" s="11">
        <v>27943.930000000051</v>
      </c>
      <c r="G103" s="11">
        <v>5.0931703299283981E-11</v>
      </c>
      <c r="H103" s="11">
        <v>5.0931703299283981E-11</v>
      </c>
      <c r="I103" s="11">
        <v>5.0931703299283981E-11</v>
      </c>
      <c r="J103" s="11">
        <v>5.0931703299283981E-11</v>
      </c>
      <c r="K103" s="11">
        <v>5.0931703299283981E-11</v>
      </c>
      <c r="L103" s="11">
        <v>5.0931703299283981E-11</v>
      </c>
      <c r="M103" s="11">
        <v>5.0931703299283981E-11</v>
      </c>
      <c r="N103" s="11">
        <v>5.0931703299283981E-11</v>
      </c>
      <c r="O103" s="11">
        <v>5.0931703299283981E-11</v>
      </c>
      <c r="P103" s="11">
        <v>5.0931703299283981E-11</v>
      </c>
      <c r="Q103" s="11">
        <v>5.0931703299283981E-11</v>
      </c>
      <c r="R103" s="11">
        <v>5.0931703299283981E-11</v>
      </c>
      <c r="S103" s="11">
        <v>5.0931703299283981E-11</v>
      </c>
      <c r="T103" s="11">
        <v>5.0931703299283981E-11</v>
      </c>
      <c r="U103" s="11">
        <v>5.0931703299283981E-11</v>
      </c>
      <c r="V103" s="11">
        <v>5.0931703299283981E-11</v>
      </c>
      <c r="W103" s="11">
        <v>5.0931703299283981E-11</v>
      </c>
      <c r="X103" s="11">
        <v>5.0931703299283981E-11</v>
      </c>
      <c r="Y103" s="11">
        <v>5.0931703299283981E-11</v>
      </c>
      <c r="Z103" s="11">
        <v>5.0931703299283981E-11</v>
      </c>
      <c r="AA103" s="11">
        <v>5.0931703299283981E-11</v>
      </c>
      <c r="AB103" s="11">
        <v>5.0931703299283981E-11</v>
      </c>
      <c r="AC103" s="11">
        <v>5.0931703299283981E-11</v>
      </c>
      <c r="AD103" s="11">
        <v>5.0931703299283981E-11</v>
      </c>
      <c r="AE103" s="11">
        <v>5.0931703299283981E-11</v>
      </c>
      <c r="AF103" s="11">
        <v>5.0931703299283981E-11</v>
      </c>
      <c r="AG103" s="11">
        <v>5.0931703299283981E-11</v>
      </c>
      <c r="AH103" s="11">
        <v>5.0931703299283981E-11</v>
      </c>
      <c r="AI103" s="11">
        <v>5.0931703299283981E-11</v>
      </c>
      <c r="AJ103" s="11">
        <v>5.0931703299283981E-11</v>
      </c>
      <c r="AK103" s="11">
        <v>5.0931703299283981E-11</v>
      </c>
      <c r="AL103" s="11">
        <v>5.0931703299283981E-11</v>
      </c>
      <c r="AM103" s="11">
        <v>5.0931703299283981E-11</v>
      </c>
      <c r="AN103" s="11">
        <v>200000.00000000006</v>
      </c>
      <c r="AO103" s="11">
        <v>435000.00000000006</v>
      </c>
      <c r="AP103" s="11">
        <v>435000.00000000006</v>
      </c>
      <c r="AQ103" s="11">
        <v>435000.00000000006</v>
      </c>
      <c r="AR103" s="11">
        <v>460000.00000000006</v>
      </c>
      <c r="AS103" s="11">
        <v>260000.00000000006</v>
      </c>
      <c r="AT103" s="11">
        <v>160000.00000000006</v>
      </c>
      <c r="AU103" s="11">
        <v>290000.00000000006</v>
      </c>
      <c r="AV103" s="11">
        <v>290000.00000000006</v>
      </c>
      <c r="AW103" s="11">
        <v>290000.00000000006</v>
      </c>
      <c r="AX103" s="11">
        <v>290000.00000000006</v>
      </c>
      <c r="AY103" s="11">
        <v>290000.00000000006</v>
      </c>
      <c r="AZ103" s="11">
        <v>290111.12000000005</v>
      </c>
      <c r="BA103" s="11">
        <v>290111.12000000005</v>
      </c>
      <c r="BB103" s="11">
        <v>290111.12000000005</v>
      </c>
      <c r="BC103" s="11">
        <v>290111.12000000005</v>
      </c>
      <c r="BD103" s="11">
        <v>290111.12000000005</v>
      </c>
      <c r="BE103" s="11">
        <v>290111.12000000005</v>
      </c>
      <c r="BF103" s="11">
        <v>290111.12000000005</v>
      </c>
      <c r="BG103" s="11">
        <v>290111.12000000005</v>
      </c>
      <c r="BH103" s="11">
        <v>290111.12000000005</v>
      </c>
      <c r="BI103" s="11">
        <v>5.8207660913467407E-11</v>
      </c>
      <c r="BJ103" s="11">
        <v>5.8207660913467407E-11</v>
      </c>
      <c r="BK103" s="11">
        <v>5.8207660913467407E-11</v>
      </c>
      <c r="BL103" s="11">
        <v>5.8207660913467407E-11</v>
      </c>
      <c r="BM103" s="11">
        <v>5.8207660913467407E-11</v>
      </c>
      <c r="BN103" s="11">
        <v>5.8207660913467407E-11</v>
      </c>
      <c r="BO103" s="11">
        <v>5.8207660913467407E-11</v>
      </c>
      <c r="BP103" s="11">
        <v>5.8207660913467407E-11</v>
      </c>
      <c r="BQ103" s="11">
        <v>5.8207660913467407E-11</v>
      </c>
      <c r="BR103" s="11">
        <v>5.8207660913467407E-11</v>
      </c>
      <c r="BS103" s="11">
        <v>5.8207660913467407E-11</v>
      </c>
      <c r="BT103" s="11">
        <v>5.8207660913467407E-11</v>
      </c>
      <c r="BU103" s="11">
        <v>5.8207660913467407E-11</v>
      </c>
      <c r="BV103" s="11">
        <v>5.8207660913467407E-11</v>
      </c>
      <c r="BW103" s="11">
        <v>50000.000000000058</v>
      </c>
      <c r="BX103" s="11">
        <v>50000.000000000058</v>
      </c>
      <c r="BY103" s="11">
        <v>50000.000000000058</v>
      </c>
      <c r="BZ103" s="11">
        <v>50000.000000000058</v>
      </c>
      <c r="CA103" s="11">
        <v>5.8207660913467407E-11</v>
      </c>
      <c r="CB103" s="11">
        <v>5.8207660913467407E-11</v>
      </c>
      <c r="CC103" s="11">
        <v>5.8207660913467407E-11</v>
      </c>
      <c r="CD103" s="11">
        <v>5.8207660913467407E-11</v>
      </c>
      <c r="CE103" s="11">
        <v>5.8207660913467407E-11</v>
      </c>
      <c r="CF103" s="11">
        <v>5.8207660913467407E-11</v>
      </c>
      <c r="CG103" s="11">
        <v>5.8207660913467407E-11</v>
      </c>
      <c r="CH103" s="11">
        <v>5.8207660913467407E-11</v>
      </c>
      <c r="CI103" s="11">
        <v>5.8207660913467407E-11</v>
      </c>
      <c r="CJ103" s="11">
        <v>5.8207660913467407E-11</v>
      </c>
      <c r="CK103" s="11">
        <v>5.8207660913467407E-11</v>
      </c>
    </row>
    <row r="104" spans="1:89" x14ac:dyDescent="0.2">
      <c r="A104" s="10" t="s">
        <v>190</v>
      </c>
      <c r="B104" s="11">
        <v>20311.580000000002</v>
      </c>
      <c r="C104" s="11">
        <v>20311.580000000002</v>
      </c>
      <c r="D104" s="11">
        <v>20311.580000000002</v>
      </c>
      <c r="E104" s="11">
        <v>18325.420000000002</v>
      </c>
      <c r="F104" s="11">
        <v>25511.22</v>
      </c>
      <c r="G104" s="11">
        <v>25340.870000000003</v>
      </c>
      <c r="H104" s="11">
        <v>27110.000000000004</v>
      </c>
      <c r="I104" s="11">
        <v>28378.980000000003</v>
      </c>
      <c r="J104" s="11">
        <v>27389.890000000003</v>
      </c>
      <c r="K104" s="11">
        <v>45472.26</v>
      </c>
      <c r="L104" s="11">
        <v>45472.26</v>
      </c>
      <c r="M104" s="11">
        <v>23896.11</v>
      </c>
      <c r="N104" s="11">
        <v>25464.41</v>
      </c>
      <c r="O104" s="11">
        <v>5380.5600000000013</v>
      </c>
      <c r="P104" s="11">
        <v>5380.5600000000013</v>
      </c>
      <c r="Q104" s="11">
        <v>5380.5600000000013</v>
      </c>
      <c r="R104" s="11">
        <v>2701.8100000000013</v>
      </c>
      <c r="S104" s="11">
        <v>2701.8100000000013</v>
      </c>
      <c r="T104" s="11">
        <v>2701.8100000000013</v>
      </c>
      <c r="U104" s="11">
        <v>2701.8100000000013</v>
      </c>
      <c r="V104" s="11">
        <v>2701.8100000000013</v>
      </c>
      <c r="W104" s="11">
        <v>402701.81</v>
      </c>
      <c r="X104" s="11">
        <v>318198.33999999997</v>
      </c>
      <c r="Y104" s="11">
        <v>156804.51999999996</v>
      </c>
      <c r="Z104" s="11">
        <v>61908.389999999956</v>
      </c>
      <c r="AA104" s="11">
        <v>60850.759999999958</v>
      </c>
      <c r="AB104" s="11">
        <v>60841.489999999962</v>
      </c>
      <c r="AC104" s="11">
        <v>60841.489999999962</v>
      </c>
      <c r="AD104" s="11">
        <v>58707.669999999962</v>
      </c>
      <c r="AE104" s="11">
        <v>59038.989999999962</v>
      </c>
      <c r="AF104" s="11">
        <v>61016.679999999964</v>
      </c>
      <c r="AG104" s="11">
        <v>59410.729999999967</v>
      </c>
      <c r="AH104" s="11">
        <v>-3.637978807091713E-11</v>
      </c>
      <c r="AI104" s="11">
        <v>-3.637978807091713E-11</v>
      </c>
      <c r="AJ104" s="11">
        <v>-3.637978807091713E-11</v>
      </c>
      <c r="AK104" s="11">
        <v>-3.637978807091713E-11</v>
      </c>
      <c r="AL104" s="11">
        <v>-3.637978807091713E-11</v>
      </c>
      <c r="AM104" s="11">
        <v>-3.637978807091713E-11</v>
      </c>
      <c r="AN104" s="11">
        <v>-3.637978807091713E-11</v>
      </c>
      <c r="AO104" s="11">
        <v>-3.637978807091713E-11</v>
      </c>
      <c r="AP104" s="11">
        <v>-3.637978807091713E-11</v>
      </c>
      <c r="AQ104" s="11">
        <v>-3.637978807091713E-11</v>
      </c>
      <c r="AR104" s="11">
        <v>-3.637978807091713E-11</v>
      </c>
      <c r="AS104" s="11">
        <v>-3.637978807091713E-11</v>
      </c>
      <c r="AT104" s="11">
        <v>-3.637978807091713E-11</v>
      </c>
      <c r="AU104" s="11">
        <v>-3.637978807091713E-11</v>
      </c>
      <c r="AV104" s="11">
        <v>-3.637978807091713E-11</v>
      </c>
      <c r="AW104" s="11">
        <v>-3.637978807091713E-11</v>
      </c>
      <c r="AX104" s="11">
        <v>-3.637978807091713E-11</v>
      </c>
      <c r="AY104" s="11">
        <v>-3.637978807091713E-11</v>
      </c>
      <c r="AZ104" s="11">
        <v>-3.637978807091713E-11</v>
      </c>
      <c r="BA104" s="11">
        <v>-3.637978807091713E-11</v>
      </c>
      <c r="BB104" s="11">
        <v>-3.637978807091713E-11</v>
      </c>
      <c r="BC104" s="11">
        <v>-3.637978807091713E-11</v>
      </c>
      <c r="BD104" s="11">
        <v>-3.637978807091713E-11</v>
      </c>
      <c r="BE104" s="11">
        <v>-3.637978807091713E-11</v>
      </c>
      <c r="BF104" s="11">
        <v>-3.637978807091713E-11</v>
      </c>
      <c r="BG104" s="11">
        <v>-3.637978807091713E-11</v>
      </c>
      <c r="BH104" s="11">
        <v>-3.637978807091713E-11</v>
      </c>
      <c r="BI104" s="11">
        <v>-3.637978807091713E-11</v>
      </c>
      <c r="BJ104" s="11">
        <v>-3.637978807091713E-11</v>
      </c>
      <c r="BK104" s="11">
        <v>-3.637978807091713E-11</v>
      </c>
      <c r="BL104" s="11">
        <v>-3.637978807091713E-11</v>
      </c>
      <c r="BM104" s="11">
        <v>-3.637978807091713E-11</v>
      </c>
      <c r="BN104" s="11">
        <v>-3.637978807091713E-11</v>
      </c>
      <c r="BO104" s="11">
        <v>-3.637978807091713E-11</v>
      </c>
      <c r="BP104" s="11">
        <v>-3.637978807091713E-11</v>
      </c>
      <c r="BQ104" s="11">
        <v>-3.637978807091713E-11</v>
      </c>
      <c r="BR104" s="11">
        <v>-3.637978807091713E-11</v>
      </c>
      <c r="BS104" s="11">
        <v>-3.637978807091713E-11</v>
      </c>
      <c r="BT104" s="11">
        <v>-3.637978807091713E-11</v>
      </c>
      <c r="BU104" s="11">
        <v>-3.637978807091713E-11</v>
      </c>
      <c r="BV104" s="11">
        <v>-3.637978807091713E-11</v>
      </c>
      <c r="BW104" s="11">
        <v>-3.637978807091713E-11</v>
      </c>
      <c r="BX104" s="11">
        <v>-3.637978807091713E-11</v>
      </c>
      <c r="BY104" s="11">
        <v>-3.637978807091713E-11</v>
      </c>
      <c r="BZ104" s="11">
        <v>-3.637978807091713E-11</v>
      </c>
      <c r="CA104" s="11">
        <v>-3.637978807091713E-11</v>
      </c>
      <c r="CB104" s="11">
        <v>-3.637978807091713E-11</v>
      </c>
      <c r="CC104" s="11">
        <v>-3.637978807091713E-11</v>
      </c>
      <c r="CD104" s="11">
        <v>-3.637978807091713E-11</v>
      </c>
      <c r="CE104" s="11">
        <v>-3.637978807091713E-11</v>
      </c>
      <c r="CF104" s="11">
        <v>-3.637978807091713E-11</v>
      </c>
      <c r="CG104" s="11">
        <v>-3.637978807091713E-11</v>
      </c>
      <c r="CH104" s="11">
        <v>-3.637978807091713E-11</v>
      </c>
      <c r="CI104" s="11">
        <v>-3.637978807091713E-11</v>
      </c>
      <c r="CJ104" s="11">
        <v>-3.637978807091713E-11</v>
      </c>
      <c r="CK104" s="11">
        <v>-3.637978807091713E-11</v>
      </c>
    </row>
    <row r="105" spans="1:89" x14ac:dyDescent="0.2">
      <c r="A105" s="10" t="s">
        <v>191</v>
      </c>
      <c r="B105" s="11">
        <v>150479.67999999999</v>
      </c>
      <c r="C105" s="11">
        <v>150479.67999999999</v>
      </c>
      <c r="D105" s="11">
        <v>789971.15999999992</v>
      </c>
      <c r="E105" s="11">
        <v>431125.24999999994</v>
      </c>
      <c r="F105" s="11">
        <v>63064.589999999967</v>
      </c>
      <c r="G105" s="11">
        <v>30171.849999999969</v>
      </c>
      <c r="H105" s="11">
        <v>355251.94</v>
      </c>
      <c r="I105" s="11">
        <v>157953.76999999999</v>
      </c>
      <c r="J105" s="11">
        <v>87714.699999999983</v>
      </c>
      <c r="K105" s="11">
        <v>208605.05</v>
      </c>
      <c r="L105" s="11">
        <v>150168.59999999998</v>
      </c>
      <c r="M105" s="11">
        <v>369151.24</v>
      </c>
      <c r="N105" s="11">
        <v>251130.68</v>
      </c>
      <c r="O105" s="11">
        <v>461118.25</v>
      </c>
      <c r="P105" s="11">
        <v>461118.25</v>
      </c>
      <c r="Q105" s="11">
        <v>276915.24</v>
      </c>
      <c r="R105" s="11">
        <v>276927.83999999997</v>
      </c>
      <c r="S105" s="11">
        <v>593149.55000000005</v>
      </c>
      <c r="T105" s="11">
        <v>539080.69000000006</v>
      </c>
      <c r="U105" s="11">
        <v>545495.39</v>
      </c>
      <c r="V105" s="11">
        <v>465975.89</v>
      </c>
      <c r="W105" s="11">
        <v>360427.61</v>
      </c>
      <c r="X105" s="11">
        <v>228904.25</v>
      </c>
      <c r="Y105" s="11">
        <v>174275.59</v>
      </c>
      <c r="Z105" s="11">
        <v>470720.54000000004</v>
      </c>
      <c r="AA105" s="11">
        <v>412796.4</v>
      </c>
      <c r="AB105" s="11">
        <v>280112.99</v>
      </c>
      <c r="AC105" s="11">
        <v>280112.99</v>
      </c>
      <c r="AD105" s="11">
        <v>217603.97</v>
      </c>
      <c r="AE105" s="11">
        <v>171055.41999999998</v>
      </c>
      <c r="AF105" s="11">
        <v>74282.609999999986</v>
      </c>
      <c r="AG105" s="11">
        <v>304081.58999999997</v>
      </c>
      <c r="AH105" s="11">
        <v>331318.28999999998</v>
      </c>
      <c r="AI105" s="11">
        <v>364457.26999999996</v>
      </c>
      <c r="AJ105" s="11">
        <v>348328.81999999995</v>
      </c>
      <c r="AK105" s="11">
        <v>158206.83999999994</v>
      </c>
      <c r="AL105" s="11">
        <v>258046.24999999994</v>
      </c>
      <c r="AM105" s="11">
        <v>273939.15999999992</v>
      </c>
      <c r="AN105" s="11">
        <v>259038.7399999999</v>
      </c>
      <c r="AO105" s="11">
        <v>257222.40999999992</v>
      </c>
      <c r="AP105" s="11">
        <v>257222.40999999992</v>
      </c>
      <c r="AQ105" s="11">
        <v>407624.52999999991</v>
      </c>
      <c r="AR105" s="11">
        <v>165774.1099999999</v>
      </c>
      <c r="AS105" s="11">
        <v>283696.54999999993</v>
      </c>
      <c r="AT105" s="11">
        <v>166158.52999999991</v>
      </c>
      <c r="AU105" s="11">
        <v>296026.96999999991</v>
      </c>
      <c r="AV105" s="11">
        <v>150561.81999999992</v>
      </c>
      <c r="AW105" s="11">
        <v>403128.74999999988</v>
      </c>
      <c r="AX105" s="11">
        <v>369958.66999999987</v>
      </c>
      <c r="AY105" s="11">
        <v>566147.24999999988</v>
      </c>
      <c r="AZ105" s="11">
        <v>477341.27999999991</v>
      </c>
      <c r="BA105" s="11">
        <v>530249.07999999996</v>
      </c>
      <c r="BB105" s="11">
        <v>350961.04999999993</v>
      </c>
      <c r="BC105" s="11">
        <v>350961.04999999993</v>
      </c>
      <c r="BD105" s="11">
        <v>343770.80999999994</v>
      </c>
      <c r="BE105" s="11">
        <v>342193.97999999992</v>
      </c>
      <c r="BF105" s="11">
        <v>255616.14999999991</v>
      </c>
      <c r="BG105" s="11">
        <v>233947.77999999991</v>
      </c>
      <c r="BH105" s="11">
        <v>142185.10999999993</v>
      </c>
      <c r="BI105" s="11">
        <v>351129.84999999992</v>
      </c>
      <c r="BJ105" s="11">
        <v>301307.2099999999</v>
      </c>
      <c r="BK105" s="11">
        <v>328514.16999999993</v>
      </c>
      <c r="BL105" s="11">
        <v>182126.48999999993</v>
      </c>
      <c r="BM105" s="11">
        <v>182556.10999999993</v>
      </c>
      <c r="BN105" s="11">
        <v>291283.62999999995</v>
      </c>
      <c r="BO105" s="11">
        <v>210416.48999999993</v>
      </c>
      <c r="BP105" s="11">
        <v>12671.639999999927</v>
      </c>
      <c r="BQ105" s="11">
        <v>7976.5799999999263</v>
      </c>
      <c r="BR105" s="11">
        <v>5626.9499999999261</v>
      </c>
      <c r="BS105" s="11">
        <v>32367.359999999928</v>
      </c>
      <c r="BT105" s="11">
        <v>34418.399999999929</v>
      </c>
      <c r="BU105" s="11">
        <v>20495.969999999928</v>
      </c>
      <c r="BV105" s="11">
        <v>20196.239999999929</v>
      </c>
      <c r="BW105" s="11">
        <v>395912.50999999995</v>
      </c>
      <c r="BX105" s="11">
        <v>422509.03999999992</v>
      </c>
      <c r="BY105" s="11">
        <v>28691.149999999907</v>
      </c>
      <c r="BZ105" s="11">
        <v>20530.719999999907</v>
      </c>
      <c r="CA105" s="11">
        <v>442963.00999999989</v>
      </c>
      <c r="CB105" s="11">
        <v>442963.00999999989</v>
      </c>
      <c r="CC105" s="11">
        <v>599729.12999999989</v>
      </c>
      <c r="CD105" s="11">
        <v>359364.41999999993</v>
      </c>
      <c r="CE105" s="11">
        <v>79779.739999999932</v>
      </c>
      <c r="CF105" s="11">
        <v>282930.47999999992</v>
      </c>
      <c r="CG105" s="11">
        <v>382246.53999999992</v>
      </c>
      <c r="CH105" s="11">
        <v>324319.72999999992</v>
      </c>
      <c r="CI105" s="11">
        <v>289261.21999999991</v>
      </c>
      <c r="CJ105" s="11">
        <v>289261.21999999991</v>
      </c>
      <c r="CK105" s="11">
        <v>289261.21999999991</v>
      </c>
    </row>
    <row r="106" spans="1:89" x14ac:dyDescent="0.2">
      <c r="A106" s="10" t="s">
        <v>192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56476.51</v>
      </c>
      <c r="AJ106" s="11">
        <v>18390.21</v>
      </c>
      <c r="AK106" s="11">
        <v>50848.45</v>
      </c>
      <c r="AL106" s="11">
        <v>62968.22</v>
      </c>
      <c r="AM106" s="11">
        <v>30537.690000000002</v>
      </c>
      <c r="AN106" s="11">
        <v>116502.2</v>
      </c>
      <c r="AO106" s="11">
        <v>31967.449999999997</v>
      </c>
      <c r="AP106" s="11">
        <v>31967.449999999997</v>
      </c>
      <c r="AQ106" s="11">
        <v>33490.539999999994</v>
      </c>
      <c r="AR106" s="11">
        <v>33760.789999999994</v>
      </c>
      <c r="AS106" s="11">
        <v>146567.39000000001</v>
      </c>
      <c r="AT106" s="11">
        <v>231708.51</v>
      </c>
      <c r="AU106" s="11">
        <v>261594.99000000002</v>
      </c>
      <c r="AV106" s="11">
        <v>304364.94</v>
      </c>
      <c r="AW106" s="11">
        <v>160470.04999999999</v>
      </c>
      <c r="AX106" s="11">
        <v>75729.289999999994</v>
      </c>
      <c r="AY106" s="11">
        <v>57755.199999999997</v>
      </c>
      <c r="AZ106" s="11">
        <v>45480.899999999994</v>
      </c>
      <c r="BA106" s="11">
        <v>45686.799999999996</v>
      </c>
      <c r="BB106" s="11">
        <v>43816.92</v>
      </c>
      <c r="BC106" s="11">
        <v>43816.92</v>
      </c>
      <c r="BD106" s="11">
        <v>44562.869999999995</v>
      </c>
      <c r="BE106" s="11">
        <v>86029.79</v>
      </c>
      <c r="BF106" s="11">
        <v>64914.01999999999</v>
      </c>
      <c r="BG106" s="11">
        <v>44432.01999999999</v>
      </c>
      <c r="BH106" s="11">
        <v>54818.01999999999</v>
      </c>
      <c r="BI106" s="11">
        <v>54818.01999999999</v>
      </c>
      <c r="BJ106" s="11">
        <v>20530.789999999986</v>
      </c>
      <c r="BK106" s="11">
        <v>18419.839999999986</v>
      </c>
      <c r="BL106" s="11">
        <v>268419.83999999997</v>
      </c>
      <c r="BM106" s="11">
        <v>143304.23999999996</v>
      </c>
      <c r="BN106" s="11">
        <v>143304.23999999996</v>
      </c>
      <c r="BO106" s="11">
        <v>20664.969999999958</v>
      </c>
      <c r="BP106" s="11">
        <v>57001.509999999958</v>
      </c>
      <c r="BQ106" s="11">
        <v>56529.649999999958</v>
      </c>
      <c r="BR106" s="11">
        <v>48949.129999999961</v>
      </c>
      <c r="BS106" s="11">
        <v>44116.359999999957</v>
      </c>
      <c r="BT106" s="11">
        <v>45381.899999999958</v>
      </c>
      <c r="BU106" s="11">
        <v>31134.249999999956</v>
      </c>
      <c r="BV106" s="11">
        <v>13666.139999999956</v>
      </c>
      <c r="BW106" s="11">
        <v>12022.019999999957</v>
      </c>
      <c r="BX106" s="11">
        <v>12247.349999999957</v>
      </c>
      <c r="BY106" s="11">
        <v>12355.539999999957</v>
      </c>
      <c r="BZ106" s="11">
        <v>12815.989999999958</v>
      </c>
      <c r="CA106" s="11">
        <v>7946.4299999999575</v>
      </c>
      <c r="CB106" s="11">
        <v>7946.4299999999575</v>
      </c>
      <c r="CC106" s="11">
        <v>16304.439999999959</v>
      </c>
      <c r="CD106" s="11">
        <v>15273.199999999959</v>
      </c>
      <c r="CE106" s="11">
        <v>32709.059999999961</v>
      </c>
      <c r="CF106" s="11">
        <v>26569.639999999963</v>
      </c>
      <c r="CG106" s="11">
        <v>27455.339999999964</v>
      </c>
      <c r="CH106" s="11">
        <v>27901.939999999962</v>
      </c>
      <c r="CI106" s="11">
        <v>288361.03999999998</v>
      </c>
      <c r="CJ106" s="11">
        <v>288361.03999999998</v>
      </c>
      <c r="CK106" s="11">
        <v>288361.03999999998</v>
      </c>
    </row>
    <row r="107" spans="1:89" x14ac:dyDescent="0.2">
      <c r="A107" s="10" t="s">
        <v>193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43979.24</v>
      </c>
      <c r="J107" s="11">
        <v>800000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40292.36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W107" s="11">
        <v>0</v>
      </c>
      <c r="AX107" s="11">
        <v>0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250000</v>
      </c>
      <c r="BJ107" s="11">
        <v>0</v>
      </c>
      <c r="BK107" s="11">
        <v>0</v>
      </c>
      <c r="BL107" s="11">
        <v>0</v>
      </c>
      <c r="BM107" s="11">
        <v>15000</v>
      </c>
      <c r="BN107" s="11">
        <v>0</v>
      </c>
      <c r="BO107" s="11">
        <v>0</v>
      </c>
      <c r="BP107" s="11">
        <v>0</v>
      </c>
      <c r="BQ107" s="11">
        <v>0</v>
      </c>
      <c r="BR107" s="11">
        <v>30000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>
        <v>0</v>
      </c>
      <c r="CA107" s="11">
        <v>0</v>
      </c>
      <c r="CB107" s="11">
        <v>0</v>
      </c>
      <c r="CC107" s="11">
        <v>0</v>
      </c>
      <c r="CD107" s="11">
        <v>0</v>
      </c>
      <c r="CE107" s="11">
        <v>0</v>
      </c>
      <c r="CF107" s="11">
        <v>0</v>
      </c>
      <c r="CG107" s="11">
        <v>0</v>
      </c>
      <c r="CH107" s="11">
        <v>0</v>
      </c>
      <c r="CI107" s="11">
        <v>400000</v>
      </c>
      <c r="CJ107" s="11">
        <v>400000</v>
      </c>
      <c r="CK107" s="11">
        <v>400000</v>
      </c>
    </row>
    <row r="108" spans="1:89" x14ac:dyDescent="0.2">
      <c r="A108" s="10" t="s">
        <v>194</v>
      </c>
      <c r="B108" s="11">
        <v>0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>
        <v>0</v>
      </c>
      <c r="BZ108" s="11">
        <v>0</v>
      </c>
      <c r="CA108" s="11">
        <v>-0.01</v>
      </c>
      <c r="CB108" s="11">
        <v>-0.01</v>
      </c>
      <c r="CC108" s="11">
        <v>0</v>
      </c>
      <c r="CD108" s="11">
        <v>0</v>
      </c>
      <c r="CE108" s="11">
        <v>0</v>
      </c>
      <c r="CF108" s="11">
        <v>0</v>
      </c>
      <c r="CG108" s="11">
        <v>0</v>
      </c>
      <c r="CH108" s="11">
        <v>0</v>
      </c>
      <c r="CI108" s="11">
        <v>0</v>
      </c>
      <c r="CJ108" s="11">
        <v>0</v>
      </c>
      <c r="CK108" s="11">
        <v>0</v>
      </c>
    </row>
    <row r="109" spans="1:89" x14ac:dyDescent="0.2">
      <c r="A109" s="10" t="s">
        <v>195</v>
      </c>
      <c r="B109" s="11">
        <v>0</v>
      </c>
      <c r="C109" s="11">
        <v>0</v>
      </c>
      <c r="D109" s="11">
        <v>50026.65</v>
      </c>
      <c r="E109" s="11">
        <v>124245.22</v>
      </c>
      <c r="F109" s="11">
        <v>3184.3099999999977</v>
      </c>
      <c r="G109" s="11">
        <v>3184.3099999999977</v>
      </c>
      <c r="H109" s="11">
        <v>3184.3099999999977</v>
      </c>
      <c r="I109" s="11">
        <v>3184.3099999999977</v>
      </c>
      <c r="J109" s="11">
        <v>47163.549999999996</v>
      </c>
      <c r="K109" s="11">
        <v>89927.829999999987</v>
      </c>
      <c r="L109" s="11">
        <v>223640.97999999998</v>
      </c>
      <c r="M109" s="11">
        <v>223640.97999999998</v>
      </c>
      <c r="N109" s="11">
        <v>223640.97999999998</v>
      </c>
      <c r="O109" s="11">
        <v>219631.68</v>
      </c>
      <c r="P109" s="11">
        <v>0</v>
      </c>
      <c r="Q109" s="11">
        <v>0</v>
      </c>
      <c r="R109" s="11">
        <v>40292.36</v>
      </c>
      <c r="S109" s="11">
        <v>34734.32</v>
      </c>
      <c r="T109" s="11">
        <v>34734.32</v>
      </c>
      <c r="U109" s="11">
        <v>-51608.450000000004</v>
      </c>
      <c r="V109" s="11">
        <v>-51608.450000000004</v>
      </c>
      <c r="W109" s="11">
        <v>-51608.450000000004</v>
      </c>
      <c r="X109" s="11">
        <v>-51608.450000000004</v>
      </c>
      <c r="Y109" s="11">
        <v>-155575.15</v>
      </c>
      <c r="Z109" s="11">
        <v>-85096.78</v>
      </c>
      <c r="AA109" s="11">
        <v>-85096.78</v>
      </c>
      <c r="AB109" s="11">
        <v>-70020.89</v>
      </c>
      <c r="AC109" s="11">
        <v>0</v>
      </c>
      <c r="AD109" s="11">
        <v>0</v>
      </c>
      <c r="AE109" s="11">
        <v>-84288.35</v>
      </c>
      <c r="AF109" s="11">
        <v>-84288.35</v>
      </c>
      <c r="AG109" s="11">
        <v>-139998.06</v>
      </c>
      <c r="AH109" s="11">
        <v>-139998.06</v>
      </c>
      <c r="AI109" s="11">
        <v>-138245.99</v>
      </c>
      <c r="AJ109" s="11">
        <v>-138245.99</v>
      </c>
      <c r="AK109" s="11">
        <v>-149610.78999999998</v>
      </c>
      <c r="AL109" s="11">
        <v>-149610.78999999998</v>
      </c>
      <c r="AM109" s="11">
        <v>-83173.799999999974</v>
      </c>
      <c r="AN109" s="11">
        <v>-83173.799999999974</v>
      </c>
      <c r="AO109" s="11">
        <v>2.9103830456733704E-11</v>
      </c>
      <c r="AP109" s="11">
        <v>2.9103830456733704E-11</v>
      </c>
      <c r="AQ109" s="11">
        <v>2.9103830456733704E-11</v>
      </c>
      <c r="AR109" s="11">
        <v>2.9103830456733704E-11</v>
      </c>
      <c r="AS109" s="11">
        <v>2.9103830456733704E-11</v>
      </c>
      <c r="AT109" s="11">
        <v>2.9103830456733704E-11</v>
      </c>
      <c r="AU109" s="11">
        <v>2.9103830456733704E-11</v>
      </c>
      <c r="AV109" s="11">
        <v>2.9103830456733704E-11</v>
      </c>
      <c r="AW109" s="11">
        <v>2.9103830456733704E-11</v>
      </c>
      <c r="AX109" s="11">
        <v>2.9103830456733704E-11</v>
      </c>
      <c r="AY109" s="11">
        <v>2.9103830456733704E-11</v>
      </c>
      <c r="AZ109" s="11">
        <v>2.9103830456733704E-11</v>
      </c>
      <c r="BA109" s="11">
        <v>2.9103830456733704E-11</v>
      </c>
      <c r="BB109" s="11">
        <v>2.9103830456733704E-11</v>
      </c>
      <c r="BC109" s="11">
        <v>2.9103830456733704E-11</v>
      </c>
      <c r="BD109" s="11">
        <v>2.9103830456733704E-11</v>
      </c>
      <c r="BE109" s="11">
        <v>2.9103830456733704E-11</v>
      </c>
      <c r="BF109" s="11">
        <v>2.9103830456733704E-11</v>
      </c>
      <c r="BG109" s="11">
        <v>2.9103830456733704E-11</v>
      </c>
      <c r="BH109" s="11">
        <v>2.9103830456733704E-11</v>
      </c>
      <c r="BI109" s="11">
        <v>2.9103830456733704E-11</v>
      </c>
      <c r="BJ109" s="11">
        <v>2.9103830456733704E-11</v>
      </c>
      <c r="BK109" s="11">
        <v>2.9103830456733704E-11</v>
      </c>
      <c r="BL109" s="11">
        <v>2.9103830456733704E-11</v>
      </c>
      <c r="BM109" s="11">
        <v>2.9103830456733704E-11</v>
      </c>
      <c r="BN109" s="11">
        <v>2.9103830456733704E-11</v>
      </c>
      <c r="BO109" s="11">
        <v>2.9103830456733704E-11</v>
      </c>
      <c r="BP109" s="11">
        <v>2.9103830456733704E-11</v>
      </c>
      <c r="BQ109" s="11">
        <v>2.9103830456733704E-11</v>
      </c>
      <c r="BR109" s="11">
        <v>2.9103830456733704E-11</v>
      </c>
      <c r="BS109" s="11">
        <v>2.9103830456733704E-11</v>
      </c>
      <c r="BT109" s="11">
        <v>2.9103830456733704E-11</v>
      </c>
      <c r="BU109" s="11">
        <v>2.9103830456733704E-11</v>
      </c>
      <c r="BV109" s="11">
        <v>2.9103830456733704E-11</v>
      </c>
      <c r="BW109" s="11">
        <v>2.9103830456733704E-11</v>
      </c>
      <c r="BX109" s="11">
        <v>2.9103830456733704E-11</v>
      </c>
      <c r="BY109" s="11">
        <v>2.9103830456733704E-11</v>
      </c>
      <c r="BZ109" s="11">
        <v>2.9103830456733704E-11</v>
      </c>
      <c r="CA109" s="11">
        <v>2.9103830456733704E-11</v>
      </c>
      <c r="CB109" s="11">
        <v>2.9103830456733704E-11</v>
      </c>
      <c r="CC109" s="11">
        <v>2.9103830456733704E-11</v>
      </c>
      <c r="CD109" s="11">
        <v>2.9103830456733704E-11</v>
      </c>
      <c r="CE109" s="11">
        <v>2.9103830456733704E-11</v>
      </c>
      <c r="CF109" s="11">
        <v>2.9103830456733704E-11</v>
      </c>
      <c r="CG109" s="11">
        <v>2.9103830456733704E-11</v>
      </c>
      <c r="CH109" s="11">
        <v>2.9103830456733704E-11</v>
      </c>
      <c r="CI109" s="11">
        <v>2.9103830456733704E-11</v>
      </c>
      <c r="CJ109" s="11">
        <v>2.9103830456733704E-11</v>
      </c>
      <c r="CK109" s="11">
        <v>2.9103830456733704E-11</v>
      </c>
    </row>
    <row r="110" spans="1:89" x14ac:dyDescent="0.2">
      <c r="A110" s="12" t="s">
        <v>196</v>
      </c>
      <c r="B110" s="15">
        <f t="shared" ref="B110:AG110" si="54">SUM(B96:B109)</f>
        <v>2625420.0100000002</v>
      </c>
      <c r="C110" s="15">
        <f t="shared" si="54"/>
        <v>2625420.0100000002</v>
      </c>
      <c r="D110" s="15">
        <f t="shared" si="54"/>
        <v>4488830.4700000007</v>
      </c>
      <c r="E110" s="15">
        <f t="shared" si="54"/>
        <v>3833923.6100000003</v>
      </c>
      <c r="F110" s="15">
        <f t="shared" si="54"/>
        <v>2814877.5000000005</v>
      </c>
      <c r="G110" s="15">
        <f t="shared" si="54"/>
        <v>2117756.4300000002</v>
      </c>
      <c r="H110" s="15">
        <f t="shared" si="54"/>
        <v>4067251.6700000004</v>
      </c>
      <c r="I110" s="15">
        <f t="shared" si="54"/>
        <v>2229098.6300000004</v>
      </c>
      <c r="J110" s="15">
        <f t="shared" si="54"/>
        <v>3196025.7500000005</v>
      </c>
      <c r="K110" s="15">
        <f t="shared" si="54"/>
        <v>3115608.22</v>
      </c>
      <c r="L110" s="15">
        <f t="shared" si="54"/>
        <v>3301726.5200000005</v>
      </c>
      <c r="M110" s="15">
        <f t="shared" si="54"/>
        <v>2999058.14</v>
      </c>
      <c r="N110" s="15">
        <f t="shared" si="54"/>
        <v>3182498.040000001</v>
      </c>
      <c r="O110" s="15">
        <f t="shared" si="54"/>
        <v>3843710.5100000007</v>
      </c>
      <c r="P110" s="15">
        <f t="shared" si="54"/>
        <v>3843710.5100000002</v>
      </c>
      <c r="Q110" s="15">
        <f t="shared" si="54"/>
        <v>4658397.24</v>
      </c>
      <c r="R110" s="15">
        <f t="shared" si="54"/>
        <v>4062330.4899999998</v>
      </c>
      <c r="S110" s="15">
        <f t="shared" si="54"/>
        <v>4789922.6100000003</v>
      </c>
      <c r="T110" s="15">
        <f t="shared" si="54"/>
        <v>5074532.7300000004</v>
      </c>
      <c r="U110" s="15">
        <f t="shared" si="54"/>
        <v>4798572.76</v>
      </c>
      <c r="V110" s="15">
        <f t="shared" si="54"/>
        <v>5025935.5199999996</v>
      </c>
      <c r="W110" s="15">
        <f t="shared" si="54"/>
        <v>4849530.7600000007</v>
      </c>
      <c r="X110" s="15">
        <f t="shared" si="54"/>
        <v>3938743.17</v>
      </c>
      <c r="Y110" s="15">
        <f t="shared" si="54"/>
        <v>3442444.5000000005</v>
      </c>
      <c r="Z110" s="15">
        <f t="shared" si="54"/>
        <v>4714172.6899999995</v>
      </c>
      <c r="AA110" s="15">
        <f t="shared" si="54"/>
        <v>5103645.6500000004</v>
      </c>
      <c r="AB110" s="15">
        <f t="shared" si="54"/>
        <v>4311141.5100000007</v>
      </c>
      <c r="AC110" s="15">
        <f t="shared" si="54"/>
        <v>4311141.51</v>
      </c>
      <c r="AD110" s="15">
        <f t="shared" si="54"/>
        <v>4295600.21</v>
      </c>
      <c r="AE110" s="15">
        <f t="shared" si="54"/>
        <v>3756811.8099999996</v>
      </c>
      <c r="AF110" s="15">
        <f t="shared" si="54"/>
        <v>3330328.64</v>
      </c>
      <c r="AG110" s="15">
        <f t="shared" si="54"/>
        <v>2918700.3200000003</v>
      </c>
      <c r="AH110" s="15">
        <f t="shared" ref="AH110:BM110" si="55">SUM(AH96:AH109)</f>
        <v>3022378.2900000005</v>
      </c>
      <c r="AI110" s="15">
        <f t="shared" si="55"/>
        <v>2806312.91</v>
      </c>
      <c r="AJ110" s="15">
        <f t="shared" si="55"/>
        <v>3044859.5999999996</v>
      </c>
      <c r="AK110" s="15">
        <f t="shared" si="55"/>
        <v>2357442.44</v>
      </c>
      <c r="AL110" s="15">
        <f t="shared" si="55"/>
        <v>2618647.7600000002</v>
      </c>
      <c r="AM110" s="15">
        <f t="shared" si="55"/>
        <v>2630138.39</v>
      </c>
      <c r="AN110" s="15">
        <f t="shared" si="55"/>
        <v>3048332.3100000005</v>
      </c>
      <c r="AO110" s="15">
        <f t="shared" si="55"/>
        <v>3044307.1400000006</v>
      </c>
      <c r="AP110" s="15">
        <f t="shared" si="55"/>
        <v>3044307.1400000006</v>
      </c>
      <c r="AQ110" s="15">
        <f t="shared" si="55"/>
        <v>3286360.69</v>
      </c>
      <c r="AR110" s="15">
        <f t="shared" si="55"/>
        <v>2838046.75</v>
      </c>
      <c r="AS110" s="15">
        <f t="shared" si="55"/>
        <v>2664699.0300000003</v>
      </c>
      <c r="AT110" s="15">
        <f t="shared" si="55"/>
        <v>2833194.16</v>
      </c>
      <c r="AU110" s="15">
        <f t="shared" si="55"/>
        <v>3393322.93</v>
      </c>
      <c r="AV110" s="15">
        <f t="shared" si="55"/>
        <v>3382603.5300000003</v>
      </c>
      <c r="AW110" s="15">
        <f t="shared" si="55"/>
        <v>3677578.15</v>
      </c>
      <c r="AX110" s="15">
        <f t="shared" si="55"/>
        <v>3547286.2600000002</v>
      </c>
      <c r="AY110" s="15">
        <f t="shared" si="55"/>
        <v>3471245.1900000004</v>
      </c>
      <c r="AZ110" s="15">
        <f t="shared" si="55"/>
        <v>3498957.2800000003</v>
      </c>
      <c r="BA110" s="15">
        <f t="shared" si="55"/>
        <v>3640936</v>
      </c>
      <c r="BB110" s="15">
        <f t="shared" si="55"/>
        <v>3462885.11</v>
      </c>
      <c r="BC110" s="15">
        <f t="shared" si="55"/>
        <v>3462885.11</v>
      </c>
      <c r="BD110" s="15">
        <f t="shared" si="55"/>
        <v>3681856.2800000007</v>
      </c>
      <c r="BE110" s="15">
        <f t="shared" si="55"/>
        <v>3458841.9500000007</v>
      </c>
      <c r="BF110" s="15">
        <f t="shared" si="55"/>
        <v>3459286.37</v>
      </c>
      <c r="BG110" s="15">
        <f t="shared" si="55"/>
        <v>3646736.14</v>
      </c>
      <c r="BH110" s="15">
        <f t="shared" si="55"/>
        <v>3662145.24</v>
      </c>
      <c r="BI110" s="15">
        <f t="shared" si="55"/>
        <v>3592521.09</v>
      </c>
      <c r="BJ110" s="15">
        <f t="shared" si="55"/>
        <v>3077595.11</v>
      </c>
      <c r="BK110" s="15">
        <f t="shared" si="55"/>
        <v>3104792.3699999996</v>
      </c>
      <c r="BL110" s="15">
        <f t="shared" si="55"/>
        <v>3385087.6699999995</v>
      </c>
      <c r="BM110" s="15">
        <f t="shared" si="55"/>
        <v>2641149.4099999992</v>
      </c>
      <c r="BN110" s="15">
        <f t="shared" ref="BN110:CS110" si="56">SUM(BN96:BN109)</f>
        <v>3545283.6199999996</v>
      </c>
      <c r="BO110" s="15">
        <f t="shared" si="56"/>
        <v>3248928.0699999989</v>
      </c>
      <c r="BP110" s="15">
        <f t="shared" si="56"/>
        <v>3295151.4799999995</v>
      </c>
      <c r="BQ110" s="15">
        <f t="shared" si="56"/>
        <v>3257191.2199999993</v>
      </c>
      <c r="BR110" s="15">
        <f t="shared" si="56"/>
        <v>3104803.5299999989</v>
      </c>
      <c r="BS110" s="15">
        <f t="shared" si="56"/>
        <v>2623132.0099999988</v>
      </c>
      <c r="BT110" s="15">
        <f t="shared" si="56"/>
        <v>2684382.6199999992</v>
      </c>
      <c r="BU110" s="15">
        <f t="shared" si="56"/>
        <v>2449434.5099999988</v>
      </c>
      <c r="BV110" s="15">
        <f t="shared" si="56"/>
        <v>2074861.0299999993</v>
      </c>
      <c r="BW110" s="15">
        <f t="shared" si="56"/>
        <v>3687819.4799999991</v>
      </c>
      <c r="BX110" s="15">
        <f t="shared" si="56"/>
        <v>3010788.4199999995</v>
      </c>
      <c r="BY110" s="15">
        <f t="shared" si="56"/>
        <v>2081018.5899999994</v>
      </c>
      <c r="BZ110" s="15">
        <f t="shared" si="56"/>
        <v>1799747.1299999994</v>
      </c>
      <c r="CA110" s="15">
        <f t="shared" si="56"/>
        <v>3621632.6299999994</v>
      </c>
      <c r="CB110" s="15">
        <f t="shared" si="56"/>
        <v>3621632.6299999994</v>
      </c>
      <c r="CC110" s="15">
        <f t="shared" si="56"/>
        <v>3393046.0299999993</v>
      </c>
      <c r="CD110" s="15">
        <f t="shared" si="56"/>
        <v>3335969.65</v>
      </c>
      <c r="CE110" s="15">
        <f t="shared" si="56"/>
        <v>3290145.1599999997</v>
      </c>
      <c r="CF110" s="15">
        <f t="shared" si="56"/>
        <v>3342062.38</v>
      </c>
      <c r="CG110" s="15">
        <f t="shared" si="56"/>
        <v>3426393.8099999991</v>
      </c>
      <c r="CH110" s="15">
        <f t="shared" si="56"/>
        <v>3691021.1599999997</v>
      </c>
      <c r="CI110" s="15">
        <f t="shared" si="56"/>
        <v>4858116.0099999988</v>
      </c>
      <c r="CJ110" s="15">
        <f t="shared" si="56"/>
        <v>4748044.7199999988</v>
      </c>
      <c r="CK110" s="15">
        <f t="shared" si="56"/>
        <v>4748044.7199999988</v>
      </c>
    </row>
    <row r="111" spans="1:89" x14ac:dyDescent="0.2">
      <c r="A111" s="14" t="s">
        <v>197</v>
      </c>
      <c r="B111" s="15">
        <f t="shared" ref="B111:AG111" si="57">B94+0+B110</f>
        <v>2625461.3800000004</v>
      </c>
      <c r="C111" s="15">
        <f t="shared" si="57"/>
        <v>2625461.3800000004</v>
      </c>
      <c r="D111" s="15">
        <f t="shared" si="57"/>
        <v>4488967.8400000008</v>
      </c>
      <c r="E111" s="15">
        <f t="shared" si="57"/>
        <v>3834047.8300000005</v>
      </c>
      <c r="F111" s="15">
        <f t="shared" si="57"/>
        <v>2814913.5900000003</v>
      </c>
      <c r="G111" s="15">
        <f t="shared" si="57"/>
        <v>2117853.2600000002</v>
      </c>
      <c r="H111" s="15">
        <f t="shared" si="57"/>
        <v>4067351.7500000005</v>
      </c>
      <c r="I111" s="15">
        <f t="shared" si="57"/>
        <v>2229165.2700000005</v>
      </c>
      <c r="J111" s="15">
        <f t="shared" si="57"/>
        <v>3196052.3800000004</v>
      </c>
      <c r="K111" s="15">
        <f t="shared" si="57"/>
        <v>3115648.1500000004</v>
      </c>
      <c r="L111" s="15">
        <f t="shared" si="57"/>
        <v>3301766.4500000007</v>
      </c>
      <c r="M111" s="15">
        <f t="shared" si="57"/>
        <v>2999071.37</v>
      </c>
      <c r="N111" s="15">
        <f t="shared" si="57"/>
        <v>3182579.790000001</v>
      </c>
      <c r="O111" s="15">
        <f t="shared" si="57"/>
        <v>3843728.7400000007</v>
      </c>
      <c r="P111" s="15">
        <f t="shared" si="57"/>
        <v>3843728.74</v>
      </c>
      <c r="Q111" s="15">
        <f t="shared" si="57"/>
        <v>4658490.6000000006</v>
      </c>
      <c r="R111" s="15">
        <f t="shared" si="57"/>
        <v>4062404.3899999997</v>
      </c>
      <c r="S111" s="15">
        <f t="shared" si="57"/>
        <v>4789974.9700000007</v>
      </c>
      <c r="T111" s="15">
        <f t="shared" si="57"/>
        <v>5074565.1000000006</v>
      </c>
      <c r="U111" s="15">
        <f t="shared" si="57"/>
        <v>4798666.5299999993</v>
      </c>
      <c r="V111" s="15">
        <f t="shared" si="57"/>
        <v>5026021.09</v>
      </c>
      <c r="W111" s="15">
        <f t="shared" si="57"/>
        <v>4849580.8800000008</v>
      </c>
      <c r="X111" s="15">
        <f t="shared" si="57"/>
        <v>3938747.55</v>
      </c>
      <c r="Y111" s="15">
        <f t="shared" si="57"/>
        <v>3442628.0300000003</v>
      </c>
      <c r="Z111" s="15">
        <f t="shared" si="57"/>
        <v>4714315.0599999996</v>
      </c>
      <c r="AA111" s="15">
        <f t="shared" si="57"/>
        <v>5103758.7700000005</v>
      </c>
      <c r="AB111" s="15">
        <f t="shared" si="57"/>
        <v>4311176.2200000007</v>
      </c>
      <c r="AC111" s="15">
        <f t="shared" si="57"/>
        <v>4311176.22</v>
      </c>
      <c r="AD111" s="15">
        <f t="shared" si="57"/>
        <v>4295620.22</v>
      </c>
      <c r="AE111" s="15">
        <f t="shared" si="57"/>
        <v>3756880.0399999996</v>
      </c>
      <c r="AF111" s="15">
        <f t="shared" si="57"/>
        <v>3330341.31</v>
      </c>
      <c r="AG111" s="15">
        <f t="shared" si="57"/>
        <v>2918772.85</v>
      </c>
      <c r="AH111" s="15">
        <f t="shared" ref="AH111:BM111" si="58">AH94+0+AH110</f>
        <v>3022539.2200000007</v>
      </c>
      <c r="AI111" s="15">
        <f t="shared" si="58"/>
        <v>2806424.89</v>
      </c>
      <c r="AJ111" s="15">
        <f t="shared" si="58"/>
        <v>3044924.6999999997</v>
      </c>
      <c r="AK111" s="15">
        <f t="shared" si="58"/>
        <v>2357493.5699999998</v>
      </c>
      <c r="AL111" s="15">
        <f t="shared" si="58"/>
        <v>2618696.1900000004</v>
      </c>
      <c r="AM111" s="15">
        <f t="shared" si="58"/>
        <v>2630156.42</v>
      </c>
      <c r="AN111" s="15">
        <f t="shared" si="58"/>
        <v>3048435.5400000005</v>
      </c>
      <c r="AO111" s="15">
        <f t="shared" si="58"/>
        <v>3044379.9600000004</v>
      </c>
      <c r="AP111" s="15">
        <f t="shared" si="58"/>
        <v>3044379.9600000004</v>
      </c>
      <c r="AQ111" s="15">
        <f t="shared" si="58"/>
        <v>3286407.2399999998</v>
      </c>
      <c r="AR111" s="15">
        <f t="shared" si="58"/>
        <v>2838065.72</v>
      </c>
      <c r="AS111" s="15">
        <f t="shared" si="58"/>
        <v>2664730.9800000004</v>
      </c>
      <c r="AT111" s="15">
        <f t="shared" si="58"/>
        <v>2833276.41</v>
      </c>
      <c r="AU111" s="15">
        <f t="shared" si="58"/>
        <v>3393519.0500000003</v>
      </c>
      <c r="AV111" s="15">
        <f t="shared" si="58"/>
        <v>3382747.3000000003</v>
      </c>
      <c r="AW111" s="15">
        <f t="shared" si="58"/>
        <v>3677640.03</v>
      </c>
      <c r="AX111" s="15">
        <f t="shared" si="58"/>
        <v>3547309.4600000004</v>
      </c>
      <c r="AY111" s="15">
        <f t="shared" si="58"/>
        <v>3471361.2700000005</v>
      </c>
      <c r="AZ111" s="15">
        <f t="shared" si="58"/>
        <v>3499022.6900000004</v>
      </c>
      <c r="BA111" s="15">
        <f t="shared" si="58"/>
        <v>3640980.3</v>
      </c>
      <c r="BB111" s="15">
        <f t="shared" si="58"/>
        <v>3463024.55</v>
      </c>
      <c r="BC111" s="15">
        <f t="shared" si="58"/>
        <v>3463024.55</v>
      </c>
      <c r="BD111" s="15">
        <f t="shared" si="58"/>
        <v>3681964.3200000008</v>
      </c>
      <c r="BE111" s="15">
        <f t="shared" si="58"/>
        <v>3458951.0300000007</v>
      </c>
      <c r="BF111" s="15">
        <f t="shared" si="58"/>
        <v>3459338.94</v>
      </c>
      <c r="BG111" s="15">
        <f t="shared" si="58"/>
        <v>3646778.71</v>
      </c>
      <c r="BH111" s="15">
        <f t="shared" si="58"/>
        <v>3662187.81</v>
      </c>
      <c r="BI111" s="15">
        <f t="shared" si="58"/>
        <v>3592563.6599999997</v>
      </c>
      <c r="BJ111" s="15">
        <f t="shared" si="58"/>
        <v>3077630.13</v>
      </c>
      <c r="BK111" s="15">
        <f t="shared" si="58"/>
        <v>3104846.1299999994</v>
      </c>
      <c r="BL111" s="15">
        <f t="shared" si="58"/>
        <v>3385139.2299999995</v>
      </c>
      <c r="BM111" s="15">
        <f t="shared" si="58"/>
        <v>2641187.5199999991</v>
      </c>
      <c r="BN111" s="15">
        <f t="shared" ref="BN111:CS111" si="59">BN94+0+BN110</f>
        <v>3545297.9599999995</v>
      </c>
      <c r="BO111" s="15">
        <f t="shared" si="59"/>
        <v>3248942.4099999988</v>
      </c>
      <c r="BP111" s="15">
        <f t="shared" si="59"/>
        <v>3295202.4099999997</v>
      </c>
      <c r="BQ111" s="15">
        <f t="shared" si="59"/>
        <v>3257199.1199999992</v>
      </c>
      <c r="BR111" s="15">
        <f t="shared" si="59"/>
        <v>3104880.8699999987</v>
      </c>
      <c r="BS111" s="15">
        <f t="shared" si="59"/>
        <v>2623193.9499999988</v>
      </c>
      <c r="BT111" s="15">
        <f t="shared" si="59"/>
        <v>2684442.5799999991</v>
      </c>
      <c r="BU111" s="15">
        <f t="shared" si="59"/>
        <v>2449444.879999999</v>
      </c>
      <c r="BV111" s="15">
        <f t="shared" si="59"/>
        <v>2074914.5299999993</v>
      </c>
      <c r="BW111" s="15">
        <f t="shared" si="59"/>
        <v>3687851.7299999991</v>
      </c>
      <c r="BX111" s="15">
        <f t="shared" si="59"/>
        <v>3010894.8099999996</v>
      </c>
      <c r="BY111" s="15">
        <f t="shared" si="59"/>
        <v>2081083.8199999994</v>
      </c>
      <c r="BZ111" s="15">
        <f t="shared" si="59"/>
        <v>1799806.4999999995</v>
      </c>
      <c r="CA111" s="15">
        <f t="shared" si="59"/>
        <v>3621662.8599999994</v>
      </c>
      <c r="CB111" s="15">
        <f t="shared" si="59"/>
        <v>3621662.8599999994</v>
      </c>
      <c r="CC111" s="15">
        <f t="shared" si="59"/>
        <v>3393072.8799999994</v>
      </c>
      <c r="CD111" s="15">
        <f t="shared" si="59"/>
        <v>3336062.73</v>
      </c>
      <c r="CE111" s="15">
        <f t="shared" si="59"/>
        <v>3290220.9799999995</v>
      </c>
      <c r="CF111" s="15">
        <f t="shared" si="59"/>
        <v>3342144.88</v>
      </c>
      <c r="CG111" s="15">
        <f t="shared" si="59"/>
        <v>3426435.3699999992</v>
      </c>
      <c r="CH111" s="15">
        <f t="shared" si="59"/>
        <v>3691062.7199999997</v>
      </c>
      <c r="CI111" s="15">
        <f t="shared" si="59"/>
        <v>4858157.5699999984</v>
      </c>
      <c r="CJ111" s="15">
        <f t="shared" si="59"/>
        <v>4748086.2799999984</v>
      </c>
      <c r="CK111" s="15">
        <f t="shared" si="59"/>
        <v>4748086.2799999984</v>
      </c>
    </row>
    <row r="112" spans="1:89" x14ac:dyDescent="0.2">
      <c r="A112" s="17" t="s">
        <v>198</v>
      </c>
      <c r="B112" s="18">
        <f t="shared" ref="B112:AG112" si="60">B60+B90+0+B111</f>
        <v>6547097.9399999995</v>
      </c>
      <c r="C112" s="18">
        <f t="shared" si="60"/>
        <v>6547092.8100000005</v>
      </c>
      <c r="D112" s="18">
        <f t="shared" si="60"/>
        <v>6249864.5500000007</v>
      </c>
      <c r="E112" s="18">
        <f t="shared" si="60"/>
        <v>6196701.0500000007</v>
      </c>
      <c r="F112" s="18">
        <f t="shared" si="60"/>
        <v>6287698.0899999999</v>
      </c>
      <c r="G112" s="18">
        <f t="shared" si="60"/>
        <v>5963940.9400000004</v>
      </c>
      <c r="H112" s="18">
        <f t="shared" si="60"/>
        <v>7682239.0800000001</v>
      </c>
      <c r="I112" s="18">
        <f t="shared" si="60"/>
        <v>5857583.1699999999</v>
      </c>
      <c r="J112" s="18">
        <f t="shared" si="60"/>
        <v>6288774.2000000002</v>
      </c>
      <c r="K112" s="18">
        <f t="shared" si="60"/>
        <v>6703895.6600000001</v>
      </c>
      <c r="L112" s="18">
        <f t="shared" si="60"/>
        <v>7037865.5600000005</v>
      </c>
      <c r="M112" s="18">
        <f t="shared" si="60"/>
        <v>7128925.6400000006</v>
      </c>
      <c r="N112" s="18">
        <f t="shared" si="60"/>
        <v>7438103.3000000007</v>
      </c>
      <c r="O112" s="18">
        <f t="shared" si="60"/>
        <v>7960169.0900000008</v>
      </c>
      <c r="P112" s="18">
        <f t="shared" si="60"/>
        <v>7960174.2200000007</v>
      </c>
      <c r="Q112" s="18">
        <f t="shared" si="60"/>
        <v>8266895.9000000004</v>
      </c>
      <c r="R112" s="18">
        <f t="shared" si="60"/>
        <v>7577670.629999999</v>
      </c>
      <c r="S112" s="18">
        <f t="shared" si="60"/>
        <v>7428316.540000001</v>
      </c>
      <c r="T112" s="18">
        <f t="shared" si="60"/>
        <v>7325096.5300000003</v>
      </c>
      <c r="U112" s="18">
        <f t="shared" si="60"/>
        <v>7280865.0799999991</v>
      </c>
      <c r="V112" s="18">
        <f t="shared" si="60"/>
        <v>7234727.3300000001</v>
      </c>
      <c r="W112" s="18">
        <f t="shared" si="60"/>
        <v>8702113.3200000003</v>
      </c>
      <c r="X112" s="18">
        <f t="shared" si="60"/>
        <v>7240364.5399999991</v>
      </c>
      <c r="Y112" s="18">
        <f t="shared" si="60"/>
        <v>6900354.7599999998</v>
      </c>
      <c r="Z112" s="18">
        <f t="shared" si="60"/>
        <v>6842689.8899999987</v>
      </c>
      <c r="AA112" s="18">
        <f t="shared" si="60"/>
        <v>7030584.5</v>
      </c>
      <c r="AB112" s="18">
        <f t="shared" si="60"/>
        <v>5889092.0099999998</v>
      </c>
      <c r="AC112" s="18">
        <f t="shared" si="60"/>
        <v>5962988.8999999994</v>
      </c>
      <c r="AD112" s="18">
        <f t="shared" si="60"/>
        <v>5759406.5699999994</v>
      </c>
      <c r="AE112" s="18">
        <f t="shared" si="60"/>
        <v>5737087.129999999</v>
      </c>
      <c r="AF112" s="18">
        <f t="shared" si="60"/>
        <v>5496821.5999999996</v>
      </c>
      <c r="AG112" s="18">
        <f t="shared" si="60"/>
        <v>4977667.2799999993</v>
      </c>
      <c r="AH112" s="18">
        <f t="shared" ref="AH112:BM112" si="61">AH60+AH90+0+AH111</f>
        <v>4971610.34</v>
      </c>
      <c r="AI112" s="18">
        <f t="shared" si="61"/>
        <v>4824992</v>
      </c>
      <c r="AJ112" s="18">
        <f t="shared" si="61"/>
        <v>5008105.1399999987</v>
      </c>
      <c r="AK112" s="18">
        <f t="shared" si="61"/>
        <v>4272663.5299999993</v>
      </c>
      <c r="AL112" s="18">
        <f t="shared" si="61"/>
        <v>4232343.84</v>
      </c>
      <c r="AM112" s="18">
        <f t="shared" si="61"/>
        <v>4352915.709999999</v>
      </c>
      <c r="AN112" s="18">
        <f t="shared" si="61"/>
        <v>4582250.3499999996</v>
      </c>
      <c r="AO112" s="18">
        <f t="shared" si="61"/>
        <v>4429142.5</v>
      </c>
      <c r="AP112" s="18">
        <f t="shared" si="61"/>
        <v>4429142.5</v>
      </c>
      <c r="AQ112" s="18">
        <f t="shared" si="61"/>
        <v>4522837.5299999993</v>
      </c>
      <c r="AR112" s="18">
        <f t="shared" si="61"/>
        <v>4549155.1199999992</v>
      </c>
      <c r="AS112" s="18">
        <f t="shared" si="61"/>
        <v>4450869.74</v>
      </c>
      <c r="AT112" s="18">
        <f t="shared" si="61"/>
        <v>4323727.1199999992</v>
      </c>
      <c r="AU112" s="18">
        <f t="shared" si="61"/>
        <v>4622340.8599999994</v>
      </c>
      <c r="AV112" s="18">
        <f t="shared" si="61"/>
        <v>4651472.0599999996</v>
      </c>
      <c r="AW112" s="18">
        <f t="shared" si="61"/>
        <v>5054879.09</v>
      </c>
      <c r="AX112" s="18">
        <f t="shared" si="61"/>
        <v>5339884.0599999996</v>
      </c>
      <c r="AY112" s="18">
        <f t="shared" si="61"/>
        <v>5055353.3899999997</v>
      </c>
      <c r="AZ112" s="18">
        <f t="shared" si="61"/>
        <v>4923356.0599999996</v>
      </c>
      <c r="BA112" s="18">
        <f t="shared" si="61"/>
        <v>5059259.3399999989</v>
      </c>
      <c r="BB112" s="18">
        <f t="shared" si="61"/>
        <v>4988156.0899999989</v>
      </c>
      <c r="BC112" s="18">
        <f t="shared" si="61"/>
        <v>4988156.0899999989</v>
      </c>
      <c r="BD112" s="18">
        <f t="shared" si="61"/>
        <v>5116298.09</v>
      </c>
      <c r="BE112" s="18">
        <f t="shared" si="61"/>
        <v>5104849.82</v>
      </c>
      <c r="BF112" s="18">
        <f t="shared" si="61"/>
        <v>5471500.5299999993</v>
      </c>
      <c r="BG112" s="18">
        <f t="shared" si="61"/>
        <v>5759054.4499999993</v>
      </c>
      <c r="BH112" s="18">
        <f t="shared" si="61"/>
        <v>5821786.0699999984</v>
      </c>
      <c r="BI112" s="18">
        <f t="shared" si="61"/>
        <v>5636654.1199999992</v>
      </c>
      <c r="BJ112" s="18">
        <f t="shared" si="61"/>
        <v>5380462.5999999987</v>
      </c>
      <c r="BK112" s="18">
        <f t="shared" si="61"/>
        <v>5425539.4799999986</v>
      </c>
      <c r="BL112" s="18">
        <f t="shared" si="61"/>
        <v>5624795.4199999981</v>
      </c>
      <c r="BM112" s="18">
        <f t="shared" si="61"/>
        <v>5093849.6799999978</v>
      </c>
      <c r="BN112" s="18">
        <f t="shared" ref="BN112:CS112" si="62">BN60+BN90+0+BN111</f>
        <v>5368638.959999999</v>
      </c>
      <c r="BO112" s="18">
        <f t="shared" si="62"/>
        <v>5161009.7099999972</v>
      </c>
      <c r="BP112" s="18">
        <f t="shared" si="62"/>
        <v>5228823.5299999993</v>
      </c>
      <c r="BQ112" s="18">
        <f t="shared" si="62"/>
        <v>5466051.9799999986</v>
      </c>
      <c r="BR112" s="18">
        <f t="shared" si="62"/>
        <v>5349636.4599999972</v>
      </c>
      <c r="BS112" s="18">
        <f t="shared" si="62"/>
        <v>4894936.5699999975</v>
      </c>
      <c r="BT112" s="18">
        <f t="shared" si="62"/>
        <v>5017305.2399999984</v>
      </c>
      <c r="BU112" s="18">
        <f t="shared" si="62"/>
        <v>5330706.049999997</v>
      </c>
      <c r="BV112" s="18">
        <f t="shared" si="62"/>
        <v>5087111.1099999975</v>
      </c>
      <c r="BW112" s="18">
        <f t="shared" si="62"/>
        <v>5774442.2699999977</v>
      </c>
      <c r="BX112" s="18">
        <f t="shared" si="62"/>
        <v>5833412.7799999975</v>
      </c>
      <c r="BY112" s="18">
        <f t="shared" si="62"/>
        <v>5366385.339999998</v>
      </c>
      <c r="BZ112" s="18">
        <f t="shared" si="62"/>
        <v>5853333.1799999978</v>
      </c>
      <c r="CA112" s="18">
        <f t="shared" si="62"/>
        <v>6090004.129999998</v>
      </c>
      <c r="CB112" s="18">
        <f t="shared" si="62"/>
        <v>6090004.129999998</v>
      </c>
      <c r="CC112" s="18">
        <f t="shared" si="62"/>
        <v>6514249.3999999985</v>
      </c>
      <c r="CD112" s="18">
        <f t="shared" si="62"/>
        <v>6927766.9199999981</v>
      </c>
      <c r="CE112" s="18">
        <f t="shared" si="62"/>
        <v>6909495.3699999982</v>
      </c>
      <c r="CF112" s="18">
        <f t="shared" si="62"/>
        <v>6533451.3499999987</v>
      </c>
      <c r="CG112" s="18">
        <f t="shared" si="62"/>
        <v>6658291.339999998</v>
      </c>
      <c r="CH112" s="18">
        <f t="shared" si="62"/>
        <v>6555982.6499999985</v>
      </c>
      <c r="CI112" s="18">
        <f t="shared" si="62"/>
        <v>8293300.299999997</v>
      </c>
      <c r="CJ112" s="18">
        <f t="shared" si="62"/>
        <v>8227235.7699999977</v>
      </c>
      <c r="CK112" s="18">
        <f t="shared" si="62"/>
        <v>8227235.7699999977</v>
      </c>
    </row>
    <row r="113" spans="1:89" x14ac:dyDescent="0.2">
      <c r="A113" s="19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</row>
    <row r="114" spans="1:89" ht="12" x14ac:dyDescent="0.2">
      <c r="A114" s="5" t="s">
        <v>199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</row>
    <row r="115" spans="1:89" x14ac:dyDescent="0.2">
      <c r="A115" s="20" t="s">
        <v>200</v>
      </c>
      <c r="B115" s="11">
        <v>21190.799999999999</v>
      </c>
      <c r="C115" s="11">
        <v>21190.799999999999</v>
      </c>
      <c r="D115" s="11">
        <v>21190.799999999999</v>
      </c>
      <c r="E115" s="11">
        <v>21190.799999999999</v>
      </c>
      <c r="F115" s="11">
        <v>13619.189999999999</v>
      </c>
      <c r="G115" s="11">
        <v>13761.189999999999</v>
      </c>
      <c r="H115" s="11">
        <v>14343.939999999999</v>
      </c>
      <c r="I115" s="11">
        <v>11006.88</v>
      </c>
      <c r="J115" s="11">
        <v>11006.88</v>
      </c>
      <c r="K115" s="11">
        <v>11006.88</v>
      </c>
      <c r="L115" s="11">
        <v>14531.169999999998</v>
      </c>
      <c r="M115" s="11">
        <v>14531.169999999998</v>
      </c>
      <c r="N115" s="11">
        <v>18472.87</v>
      </c>
      <c r="O115" s="11">
        <v>18003.7</v>
      </c>
      <c r="P115" s="11">
        <v>18003.7</v>
      </c>
      <c r="Q115" s="11">
        <v>18003.7</v>
      </c>
      <c r="R115" s="11">
        <v>18003.7</v>
      </c>
      <c r="S115" s="11">
        <v>10106.370000000001</v>
      </c>
      <c r="T115" s="11">
        <v>10106.370000000001</v>
      </c>
      <c r="U115" s="11">
        <v>10689.12</v>
      </c>
      <c r="V115" s="11">
        <v>9318.34</v>
      </c>
      <c r="W115" s="11">
        <v>9318.34</v>
      </c>
      <c r="X115" s="11">
        <v>9318.34</v>
      </c>
      <c r="Y115" s="11">
        <v>12506.77</v>
      </c>
      <c r="Z115" s="11">
        <v>12506.77</v>
      </c>
      <c r="AA115" s="11">
        <v>16448.47</v>
      </c>
      <c r="AB115" s="11">
        <v>15979.300000000001</v>
      </c>
      <c r="AC115" s="11">
        <v>15979.300000000001</v>
      </c>
      <c r="AD115" s="11">
        <v>15979.300000000001</v>
      </c>
      <c r="AE115" s="11">
        <v>15979.300000000001</v>
      </c>
      <c r="AF115" s="11">
        <v>11020.740000000002</v>
      </c>
      <c r="AG115" s="11">
        <v>11020.740000000002</v>
      </c>
      <c r="AH115" s="11">
        <v>15536.210000000003</v>
      </c>
      <c r="AI115" s="11">
        <v>10061.830000000002</v>
      </c>
      <c r="AJ115" s="11">
        <v>10061.830000000002</v>
      </c>
      <c r="AK115" s="11">
        <v>16109.090000000002</v>
      </c>
      <c r="AL115" s="11">
        <v>18765.75</v>
      </c>
      <c r="AM115" s="11">
        <v>18765.75</v>
      </c>
      <c r="AN115" s="11">
        <v>22715.75</v>
      </c>
      <c r="AO115" s="11">
        <v>28545.07</v>
      </c>
      <c r="AP115" s="11">
        <v>28545.07</v>
      </c>
      <c r="AQ115" s="11">
        <v>28545.07</v>
      </c>
      <c r="AR115" s="11">
        <v>28545.07</v>
      </c>
      <c r="AS115" s="11">
        <v>19942.61</v>
      </c>
      <c r="AT115" s="11">
        <v>19942.61</v>
      </c>
      <c r="AU115" s="11">
        <v>23634.190000000002</v>
      </c>
      <c r="AV115" s="11">
        <v>9446.0700000000015</v>
      </c>
      <c r="AW115" s="11">
        <v>18630.690000000002</v>
      </c>
      <c r="AX115" s="11">
        <v>17865.310000000001</v>
      </c>
      <c r="AY115" s="11">
        <v>26049.600000000002</v>
      </c>
      <c r="AZ115" s="11">
        <v>24569.56</v>
      </c>
      <c r="BA115" s="11">
        <v>27061.7</v>
      </c>
      <c r="BB115" s="11">
        <v>23226.100000000002</v>
      </c>
      <c r="BC115" s="11">
        <v>23226.100000000002</v>
      </c>
      <c r="BD115" s="11">
        <v>62799.070000000007</v>
      </c>
      <c r="BE115" s="11">
        <v>57891.600000000006</v>
      </c>
      <c r="BF115" s="11">
        <v>51060.62000000001</v>
      </c>
      <c r="BG115" s="11">
        <v>44904.820000000007</v>
      </c>
      <c r="BH115" s="11">
        <v>57854.670000000006</v>
      </c>
      <c r="BI115" s="11">
        <v>51252.41</v>
      </c>
      <c r="BJ115" s="11">
        <v>41426.69</v>
      </c>
      <c r="BK115" s="11">
        <v>36292.240000000005</v>
      </c>
      <c r="BL115" s="11">
        <v>38175.170000000006</v>
      </c>
      <c r="BM115" s="11">
        <v>32470.940000000006</v>
      </c>
      <c r="BN115" s="11">
        <v>55448.12000000001</v>
      </c>
      <c r="BO115" s="11">
        <v>46808.700000000012</v>
      </c>
      <c r="BP115" s="11">
        <v>83420.98000000001</v>
      </c>
      <c r="BQ115" s="11">
        <v>76690.090000000011</v>
      </c>
      <c r="BR115" s="11">
        <v>70327.000000000015</v>
      </c>
      <c r="BS115" s="11">
        <v>59017.290000000015</v>
      </c>
      <c r="BT115" s="11">
        <v>59376.770000000019</v>
      </c>
      <c r="BU115" s="11">
        <v>56046.010000000017</v>
      </c>
      <c r="BV115" s="11">
        <v>46786.750000000015</v>
      </c>
      <c r="BW115" s="11">
        <v>48903.700000000012</v>
      </c>
      <c r="BX115" s="11">
        <v>45896.98000000001</v>
      </c>
      <c r="BY115" s="11">
        <v>46180.240000000013</v>
      </c>
      <c r="BZ115" s="11">
        <v>58797.98000000001</v>
      </c>
      <c r="CA115" s="11">
        <v>49853.570000000007</v>
      </c>
      <c r="CB115" s="11">
        <v>49853.570000000007</v>
      </c>
      <c r="CC115" s="11">
        <v>94249.640000000014</v>
      </c>
      <c r="CD115" s="11">
        <v>85469.680000000022</v>
      </c>
      <c r="CE115" s="11">
        <v>80033.580000000016</v>
      </c>
      <c r="CF115" s="11">
        <v>67988.440000000017</v>
      </c>
      <c r="CG115" s="11">
        <v>84889.300000000017</v>
      </c>
      <c r="CH115" s="11">
        <v>71650.330000000016</v>
      </c>
      <c r="CI115" s="11">
        <v>72591.49000000002</v>
      </c>
      <c r="CJ115" s="11">
        <v>72591.49000000002</v>
      </c>
      <c r="CK115" s="11">
        <v>72591.49000000002</v>
      </c>
    </row>
    <row r="116" spans="1:89" ht="12" thickBot="1" x14ac:dyDescent="0.25">
      <c r="A116" s="21" t="s">
        <v>201</v>
      </c>
      <c r="B116" s="15">
        <f t="shared" ref="B116:AG116" si="63">SUM(B115)</f>
        <v>21190.799999999999</v>
      </c>
      <c r="C116" s="15">
        <f t="shared" si="63"/>
        <v>21190.799999999999</v>
      </c>
      <c r="D116" s="15">
        <f t="shared" si="63"/>
        <v>21190.799999999999</v>
      </c>
      <c r="E116" s="15">
        <f t="shared" si="63"/>
        <v>21190.799999999999</v>
      </c>
      <c r="F116" s="15">
        <f t="shared" si="63"/>
        <v>13619.189999999999</v>
      </c>
      <c r="G116" s="15">
        <f t="shared" si="63"/>
        <v>13761.189999999999</v>
      </c>
      <c r="H116" s="15">
        <f t="shared" si="63"/>
        <v>14343.939999999999</v>
      </c>
      <c r="I116" s="15">
        <f t="shared" si="63"/>
        <v>11006.88</v>
      </c>
      <c r="J116" s="15">
        <f t="shared" si="63"/>
        <v>11006.88</v>
      </c>
      <c r="K116" s="15">
        <f t="shared" si="63"/>
        <v>11006.88</v>
      </c>
      <c r="L116" s="15">
        <f t="shared" si="63"/>
        <v>14531.169999999998</v>
      </c>
      <c r="M116" s="15">
        <f t="shared" si="63"/>
        <v>14531.169999999998</v>
      </c>
      <c r="N116" s="15">
        <f t="shared" si="63"/>
        <v>18472.87</v>
      </c>
      <c r="O116" s="15">
        <f t="shared" si="63"/>
        <v>18003.7</v>
      </c>
      <c r="P116" s="15">
        <f t="shared" si="63"/>
        <v>18003.7</v>
      </c>
      <c r="Q116" s="15">
        <f t="shared" si="63"/>
        <v>18003.7</v>
      </c>
      <c r="R116" s="15">
        <f t="shared" si="63"/>
        <v>18003.7</v>
      </c>
      <c r="S116" s="15">
        <f t="shared" si="63"/>
        <v>10106.370000000001</v>
      </c>
      <c r="T116" s="15">
        <f t="shared" si="63"/>
        <v>10106.370000000001</v>
      </c>
      <c r="U116" s="15">
        <f t="shared" si="63"/>
        <v>10689.12</v>
      </c>
      <c r="V116" s="15">
        <f t="shared" si="63"/>
        <v>9318.34</v>
      </c>
      <c r="W116" s="15">
        <f t="shared" si="63"/>
        <v>9318.34</v>
      </c>
      <c r="X116" s="15">
        <f t="shared" si="63"/>
        <v>9318.34</v>
      </c>
      <c r="Y116" s="15">
        <f t="shared" si="63"/>
        <v>12506.77</v>
      </c>
      <c r="Z116" s="15">
        <f t="shared" si="63"/>
        <v>12506.77</v>
      </c>
      <c r="AA116" s="15">
        <f t="shared" si="63"/>
        <v>16448.47</v>
      </c>
      <c r="AB116" s="15">
        <f t="shared" si="63"/>
        <v>15979.300000000001</v>
      </c>
      <c r="AC116" s="15">
        <f t="shared" si="63"/>
        <v>15979.300000000001</v>
      </c>
      <c r="AD116" s="15">
        <f t="shared" si="63"/>
        <v>15979.300000000001</v>
      </c>
      <c r="AE116" s="15">
        <f t="shared" si="63"/>
        <v>15979.300000000001</v>
      </c>
      <c r="AF116" s="15">
        <f t="shared" si="63"/>
        <v>11020.740000000002</v>
      </c>
      <c r="AG116" s="15">
        <f t="shared" si="63"/>
        <v>11020.740000000002</v>
      </c>
      <c r="AH116" s="15">
        <f t="shared" ref="AH116:BM116" si="64">SUM(AH115)</f>
        <v>15536.210000000003</v>
      </c>
      <c r="AI116" s="15">
        <f t="shared" si="64"/>
        <v>10061.830000000002</v>
      </c>
      <c r="AJ116" s="15">
        <f t="shared" si="64"/>
        <v>10061.830000000002</v>
      </c>
      <c r="AK116" s="15">
        <f t="shared" si="64"/>
        <v>16109.090000000002</v>
      </c>
      <c r="AL116" s="15">
        <f t="shared" si="64"/>
        <v>18765.75</v>
      </c>
      <c r="AM116" s="15">
        <f t="shared" si="64"/>
        <v>18765.75</v>
      </c>
      <c r="AN116" s="15">
        <f t="shared" si="64"/>
        <v>22715.75</v>
      </c>
      <c r="AO116" s="15">
        <f t="shared" si="64"/>
        <v>28545.07</v>
      </c>
      <c r="AP116" s="15">
        <f t="shared" si="64"/>
        <v>28545.07</v>
      </c>
      <c r="AQ116" s="15">
        <f t="shared" si="64"/>
        <v>28545.07</v>
      </c>
      <c r="AR116" s="15">
        <f t="shared" si="64"/>
        <v>28545.07</v>
      </c>
      <c r="AS116" s="15">
        <f t="shared" si="64"/>
        <v>19942.61</v>
      </c>
      <c r="AT116" s="15">
        <f t="shared" si="64"/>
        <v>19942.61</v>
      </c>
      <c r="AU116" s="15">
        <f t="shared" si="64"/>
        <v>23634.190000000002</v>
      </c>
      <c r="AV116" s="15">
        <f t="shared" si="64"/>
        <v>9446.0700000000015</v>
      </c>
      <c r="AW116" s="15">
        <f t="shared" si="64"/>
        <v>18630.690000000002</v>
      </c>
      <c r="AX116" s="15">
        <f t="shared" si="64"/>
        <v>17865.310000000001</v>
      </c>
      <c r="AY116" s="15">
        <f t="shared" si="64"/>
        <v>26049.600000000002</v>
      </c>
      <c r="AZ116" s="15">
        <f t="shared" si="64"/>
        <v>24569.56</v>
      </c>
      <c r="BA116" s="15">
        <f t="shared" si="64"/>
        <v>27061.7</v>
      </c>
      <c r="BB116" s="15">
        <f t="shared" si="64"/>
        <v>23226.100000000002</v>
      </c>
      <c r="BC116" s="15">
        <f t="shared" si="64"/>
        <v>23226.100000000002</v>
      </c>
      <c r="BD116" s="15">
        <f t="shared" si="64"/>
        <v>62799.070000000007</v>
      </c>
      <c r="BE116" s="15">
        <f t="shared" si="64"/>
        <v>57891.600000000006</v>
      </c>
      <c r="BF116" s="15">
        <f t="shared" si="64"/>
        <v>51060.62000000001</v>
      </c>
      <c r="BG116" s="15">
        <f t="shared" si="64"/>
        <v>44904.820000000007</v>
      </c>
      <c r="BH116" s="15">
        <f t="shared" si="64"/>
        <v>57854.670000000006</v>
      </c>
      <c r="BI116" s="15">
        <f t="shared" si="64"/>
        <v>51252.41</v>
      </c>
      <c r="BJ116" s="15">
        <f t="shared" si="64"/>
        <v>41426.69</v>
      </c>
      <c r="BK116" s="15">
        <f t="shared" si="64"/>
        <v>36292.240000000005</v>
      </c>
      <c r="BL116" s="15">
        <f t="shared" si="64"/>
        <v>38175.170000000006</v>
      </c>
      <c r="BM116" s="15">
        <f t="shared" si="64"/>
        <v>32470.940000000006</v>
      </c>
      <c r="BN116" s="15">
        <f t="shared" ref="BN116:CS116" si="65">SUM(BN115)</f>
        <v>55448.12000000001</v>
      </c>
      <c r="BO116" s="15">
        <f t="shared" si="65"/>
        <v>46808.700000000012</v>
      </c>
      <c r="BP116" s="15">
        <f t="shared" si="65"/>
        <v>83420.98000000001</v>
      </c>
      <c r="BQ116" s="15">
        <f t="shared" si="65"/>
        <v>76690.090000000011</v>
      </c>
      <c r="BR116" s="15">
        <f t="shared" si="65"/>
        <v>70327.000000000015</v>
      </c>
      <c r="BS116" s="15">
        <f t="shared" si="65"/>
        <v>59017.290000000015</v>
      </c>
      <c r="BT116" s="15">
        <f t="shared" si="65"/>
        <v>59376.770000000019</v>
      </c>
      <c r="BU116" s="15">
        <f t="shared" si="65"/>
        <v>56046.010000000017</v>
      </c>
      <c r="BV116" s="15">
        <f t="shared" si="65"/>
        <v>46786.750000000015</v>
      </c>
      <c r="BW116" s="15">
        <f t="shared" si="65"/>
        <v>48903.700000000012</v>
      </c>
      <c r="BX116" s="15">
        <f t="shared" si="65"/>
        <v>45896.98000000001</v>
      </c>
      <c r="BY116" s="15">
        <f t="shared" si="65"/>
        <v>46180.240000000013</v>
      </c>
      <c r="BZ116" s="15">
        <f t="shared" si="65"/>
        <v>58797.98000000001</v>
      </c>
      <c r="CA116" s="15">
        <f t="shared" si="65"/>
        <v>49853.570000000007</v>
      </c>
      <c r="CB116" s="15">
        <f t="shared" si="65"/>
        <v>49853.570000000007</v>
      </c>
      <c r="CC116" s="15">
        <f t="shared" si="65"/>
        <v>94249.640000000014</v>
      </c>
      <c r="CD116" s="15">
        <f t="shared" si="65"/>
        <v>85469.680000000022</v>
      </c>
      <c r="CE116" s="15">
        <f t="shared" si="65"/>
        <v>80033.580000000016</v>
      </c>
      <c r="CF116" s="15">
        <f t="shared" si="65"/>
        <v>67988.440000000017</v>
      </c>
      <c r="CG116" s="15">
        <f t="shared" si="65"/>
        <v>84889.300000000017</v>
      </c>
      <c r="CH116" s="15">
        <f t="shared" si="65"/>
        <v>71650.330000000016</v>
      </c>
      <c r="CI116" s="15">
        <f t="shared" si="65"/>
        <v>72591.49000000002</v>
      </c>
      <c r="CJ116" s="15">
        <f t="shared" si="65"/>
        <v>72591.49000000002</v>
      </c>
      <c r="CK116" s="15">
        <f t="shared" si="65"/>
        <v>72591.49000000002</v>
      </c>
    </row>
    <row r="117" spans="1:89" ht="12.75" thickTop="1" x14ac:dyDescent="0.2">
      <c r="A117" s="22" t="s">
        <v>202</v>
      </c>
      <c r="B117" s="23">
        <f t="shared" ref="B117:AG117" si="66">B53+B54+B112+B113+B116+0</f>
        <v>7158348.4699999997</v>
      </c>
      <c r="C117" s="23">
        <f t="shared" si="66"/>
        <v>7158343.3400000008</v>
      </c>
      <c r="D117" s="23">
        <f t="shared" si="66"/>
        <v>6870993.9600000009</v>
      </c>
      <c r="E117" s="23">
        <f t="shared" si="66"/>
        <v>6827403.7600000007</v>
      </c>
      <c r="F117" s="23">
        <f t="shared" si="66"/>
        <v>7194307.9199999999</v>
      </c>
      <c r="G117" s="23">
        <f t="shared" si="66"/>
        <v>6868896.3500000006</v>
      </c>
      <c r="H117" s="23">
        <f t="shared" si="66"/>
        <v>8585912.879999999</v>
      </c>
      <c r="I117" s="23">
        <f t="shared" si="66"/>
        <v>6774326.8499999996</v>
      </c>
      <c r="J117" s="23">
        <f t="shared" si="66"/>
        <v>7204215.5899999999</v>
      </c>
      <c r="K117" s="23">
        <f t="shared" si="66"/>
        <v>7600121.25</v>
      </c>
      <c r="L117" s="23">
        <f t="shared" si="66"/>
        <v>7947813.6200000001</v>
      </c>
      <c r="M117" s="23">
        <f t="shared" si="66"/>
        <v>8058028.3400000008</v>
      </c>
      <c r="N117" s="23">
        <f t="shared" si="66"/>
        <v>8369304.9000000013</v>
      </c>
      <c r="O117" s="23">
        <f t="shared" si="66"/>
        <v>8914543.3599999994</v>
      </c>
      <c r="P117" s="23">
        <f t="shared" si="66"/>
        <v>8914548.4900000002</v>
      </c>
      <c r="Q117" s="23">
        <f t="shared" si="66"/>
        <v>9233936.5399999991</v>
      </c>
      <c r="R117" s="23">
        <f t="shared" si="66"/>
        <v>8546328.3199999984</v>
      </c>
      <c r="S117" s="23">
        <f t="shared" si="66"/>
        <v>8387522.8800000008</v>
      </c>
      <c r="T117" s="23">
        <f t="shared" si="66"/>
        <v>8282498.9199999999</v>
      </c>
      <c r="U117" s="23">
        <f t="shared" si="66"/>
        <v>8236694.3199999994</v>
      </c>
      <c r="V117" s="23">
        <f t="shared" si="66"/>
        <v>8185812.25</v>
      </c>
      <c r="W117" s="23">
        <f t="shared" si="66"/>
        <v>9651506.9299999997</v>
      </c>
      <c r="X117" s="23">
        <f t="shared" si="66"/>
        <v>8272277.2999999989</v>
      </c>
      <c r="Y117" s="23">
        <f t="shared" si="66"/>
        <v>8108924.8499999996</v>
      </c>
      <c r="Z117" s="23">
        <f t="shared" si="66"/>
        <v>8135146.6099999975</v>
      </c>
      <c r="AA117" s="23">
        <f t="shared" si="66"/>
        <v>8322290.8599999994</v>
      </c>
      <c r="AB117" s="23">
        <f t="shared" si="66"/>
        <v>7167764.3799999999</v>
      </c>
      <c r="AC117" s="23">
        <f t="shared" si="66"/>
        <v>7241661.2699999986</v>
      </c>
      <c r="AD117" s="23">
        <f t="shared" si="66"/>
        <v>7037196.3199999994</v>
      </c>
      <c r="AE117" s="23">
        <f t="shared" si="66"/>
        <v>7014021.6899999985</v>
      </c>
      <c r="AF117" s="23">
        <f t="shared" si="66"/>
        <v>6822878.4100000001</v>
      </c>
      <c r="AG117" s="23">
        <f t="shared" si="66"/>
        <v>6302105.4899999993</v>
      </c>
      <c r="AH117" s="23">
        <f t="shared" ref="AH117:BM117" si="67">AH53+AH54+AH112+AH113+AH116+0</f>
        <v>6298798.1799999997</v>
      </c>
      <c r="AI117" s="23">
        <f t="shared" si="67"/>
        <v>6092441.9900000002</v>
      </c>
      <c r="AJ117" s="23">
        <f t="shared" si="67"/>
        <v>6316257.6499999985</v>
      </c>
      <c r="AK117" s="23">
        <f t="shared" si="67"/>
        <v>5549574.8399999989</v>
      </c>
      <c r="AL117" s="23">
        <f t="shared" si="67"/>
        <v>5498102.459999999</v>
      </c>
      <c r="AM117" s="23">
        <f t="shared" si="67"/>
        <v>5650354.1799999988</v>
      </c>
      <c r="AN117" s="23">
        <f t="shared" si="67"/>
        <v>5796490.169999999</v>
      </c>
      <c r="AO117" s="23">
        <f t="shared" si="67"/>
        <v>5743776.8599999994</v>
      </c>
      <c r="AP117" s="23">
        <f t="shared" si="67"/>
        <v>5743776.8599999994</v>
      </c>
      <c r="AQ117" s="23">
        <f t="shared" si="67"/>
        <v>5835389.209999999</v>
      </c>
      <c r="AR117" s="23">
        <f t="shared" si="67"/>
        <v>5856411.6399999987</v>
      </c>
      <c r="AS117" s="23">
        <f t="shared" si="67"/>
        <v>5635940.2700000005</v>
      </c>
      <c r="AT117" s="23">
        <f t="shared" si="67"/>
        <v>5422935.0599999996</v>
      </c>
      <c r="AU117" s="23">
        <f t="shared" si="67"/>
        <v>5693873.8699999992</v>
      </c>
      <c r="AV117" s="23">
        <f t="shared" si="67"/>
        <v>5665570.5499999998</v>
      </c>
      <c r="AW117" s="23">
        <f t="shared" si="67"/>
        <v>6220814.79</v>
      </c>
      <c r="AX117" s="23">
        <f t="shared" si="67"/>
        <v>6584289.0499999989</v>
      </c>
      <c r="AY117" s="23">
        <f t="shared" si="67"/>
        <v>6326440.8299999991</v>
      </c>
      <c r="AZ117" s="23">
        <f t="shared" si="67"/>
        <v>6203881.919999999</v>
      </c>
      <c r="BA117" s="23">
        <f t="shared" si="67"/>
        <v>6341368.2199999988</v>
      </c>
      <c r="BB117" s="23">
        <f t="shared" si="67"/>
        <v>6255710.5699999984</v>
      </c>
      <c r="BC117" s="23">
        <f t="shared" si="67"/>
        <v>6255710.5699999984</v>
      </c>
      <c r="BD117" s="23">
        <f t="shared" si="67"/>
        <v>6422618.9299999997</v>
      </c>
      <c r="BE117" s="23">
        <f t="shared" si="67"/>
        <v>6362602.5999999996</v>
      </c>
      <c r="BF117" s="23">
        <f t="shared" si="67"/>
        <v>6744162.6399999997</v>
      </c>
      <c r="BG117" s="23">
        <f t="shared" si="67"/>
        <v>7045594.7699999996</v>
      </c>
      <c r="BH117" s="23">
        <f t="shared" si="67"/>
        <v>7110978.5399999982</v>
      </c>
      <c r="BI117" s="23">
        <f t="shared" si="67"/>
        <v>6919798.8299999991</v>
      </c>
      <c r="BJ117" s="23">
        <f t="shared" si="67"/>
        <v>6939912.3199999994</v>
      </c>
      <c r="BK117" s="23">
        <f t="shared" si="67"/>
        <v>6975622.5099999979</v>
      </c>
      <c r="BL117" s="23">
        <f t="shared" si="67"/>
        <v>7175915.8799999971</v>
      </c>
      <c r="BM117" s="23">
        <f t="shared" si="67"/>
        <v>6764060.1899999976</v>
      </c>
      <c r="BN117" s="23">
        <f t="shared" ref="BN117:CS117" si="68">BN53+BN54+BN112+BN113+BN116+0</f>
        <v>7060981.1499999985</v>
      </c>
      <c r="BO117" s="23">
        <f t="shared" si="68"/>
        <v>6963237.9999999972</v>
      </c>
      <c r="BP117" s="23">
        <f t="shared" si="68"/>
        <v>7031350.6599999992</v>
      </c>
      <c r="BQ117" s="23">
        <f t="shared" si="68"/>
        <v>7260240.9399999976</v>
      </c>
      <c r="BR117" s="23">
        <f t="shared" si="68"/>
        <v>7144658.3499999968</v>
      </c>
      <c r="BS117" s="23">
        <f t="shared" si="68"/>
        <v>7282597.1999999974</v>
      </c>
      <c r="BT117" s="23">
        <f t="shared" si="68"/>
        <v>7404697.8499999978</v>
      </c>
      <c r="BU117" s="23">
        <f t="shared" si="68"/>
        <v>7728170.049999997</v>
      </c>
      <c r="BV117" s="23">
        <f t="shared" si="68"/>
        <v>7491961.3399999971</v>
      </c>
      <c r="BW117" s="23">
        <f t="shared" si="68"/>
        <v>8174932.799999998</v>
      </c>
      <c r="BX117" s="23">
        <f t="shared" si="68"/>
        <v>8230331.049999998</v>
      </c>
      <c r="BY117" s="23">
        <f t="shared" si="68"/>
        <v>7762741.379999998</v>
      </c>
      <c r="BZ117" s="23">
        <f t="shared" si="68"/>
        <v>8261461.4699999988</v>
      </c>
      <c r="CA117" s="23">
        <f t="shared" si="68"/>
        <v>8450848.129999999</v>
      </c>
      <c r="CB117" s="23">
        <f t="shared" si="68"/>
        <v>8450848.129999999</v>
      </c>
      <c r="CC117" s="23">
        <f t="shared" si="68"/>
        <v>8910285.959999999</v>
      </c>
      <c r="CD117" s="23">
        <f t="shared" si="68"/>
        <v>9314936.3599999975</v>
      </c>
      <c r="CE117" s="23">
        <f t="shared" si="68"/>
        <v>9273489.4799999986</v>
      </c>
      <c r="CF117" s="23">
        <f t="shared" si="68"/>
        <v>8893180.1399999987</v>
      </c>
      <c r="CG117" s="23">
        <f t="shared" si="68"/>
        <v>9040544.7899999991</v>
      </c>
      <c r="CH117" s="23">
        <f t="shared" si="68"/>
        <v>8924151.629999999</v>
      </c>
      <c r="CI117" s="23">
        <f t="shared" si="68"/>
        <v>10034134.489999996</v>
      </c>
      <c r="CJ117" s="23">
        <f t="shared" si="68"/>
        <v>9968069.9599999972</v>
      </c>
      <c r="CK117" s="23">
        <f t="shared" si="68"/>
        <v>9968069.9599999972</v>
      </c>
    </row>
    <row r="118" spans="1:89" x14ac:dyDescent="0.2">
      <c r="A118" s="24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</row>
    <row r="119" spans="1:89" ht="12.75" x14ac:dyDescent="0.2">
      <c r="A119" s="3" t="s">
        <v>203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</row>
    <row r="120" spans="1:89" ht="12" x14ac:dyDescent="0.2">
      <c r="A120" s="5" t="s">
        <v>204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</row>
    <row r="121" spans="1:89" x14ac:dyDescent="0.2">
      <c r="A121" s="7" t="s">
        <v>205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</row>
    <row r="122" spans="1:89" x14ac:dyDescent="0.2">
      <c r="A122" s="25" t="s">
        <v>206</v>
      </c>
      <c r="B122" s="11">
        <v>52000</v>
      </c>
      <c r="C122" s="11">
        <v>52000</v>
      </c>
      <c r="D122" s="11">
        <v>52000</v>
      </c>
      <c r="E122" s="11">
        <v>52000</v>
      </c>
      <c r="F122" s="11">
        <v>52000</v>
      </c>
      <c r="G122" s="11">
        <v>52000</v>
      </c>
      <c r="H122" s="11">
        <v>52000</v>
      </c>
      <c r="I122" s="11">
        <v>52000</v>
      </c>
      <c r="J122" s="11">
        <v>52000</v>
      </c>
      <c r="K122" s="11">
        <v>52000</v>
      </c>
      <c r="L122" s="11">
        <v>52000</v>
      </c>
      <c r="M122" s="11">
        <v>52000</v>
      </c>
      <c r="N122" s="11">
        <v>52000</v>
      </c>
      <c r="O122" s="11">
        <v>52000</v>
      </c>
      <c r="P122" s="11">
        <v>52000</v>
      </c>
      <c r="Q122" s="11">
        <v>52000</v>
      </c>
      <c r="R122" s="11">
        <v>52000</v>
      </c>
      <c r="S122" s="11">
        <v>52000</v>
      </c>
      <c r="T122" s="11">
        <v>52000</v>
      </c>
      <c r="U122" s="11">
        <v>52000</v>
      </c>
      <c r="V122" s="11">
        <v>52000</v>
      </c>
      <c r="W122" s="11">
        <v>52000</v>
      </c>
      <c r="X122" s="11">
        <v>52000</v>
      </c>
      <c r="Y122" s="11">
        <v>52000</v>
      </c>
      <c r="Z122" s="11">
        <v>52000</v>
      </c>
      <c r="AA122" s="11">
        <v>52000</v>
      </c>
      <c r="AB122" s="11">
        <v>52000</v>
      </c>
      <c r="AC122" s="11">
        <v>52000</v>
      </c>
      <c r="AD122" s="11">
        <v>52000</v>
      </c>
      <c r="AE122" s="11">
        <v>52000</v>
      </c>
      <c r="AF122" s="11">
        <v>52000</v>
      </c>
      <c r="AG122" s="11">
        <v>52000</v>
      </c>
      <c r="AH122" s="11">
        <v>52000</v>
      </c>
      <c r="AI122" s="11">
        <v>52000</v>
      </c>
      <c r="AJ122" s="11">
        <v>52000</v>
      </c>
      <c r="AK122" s="11">
        <v>52000</v>
      </c>
      <c r="AL122" s="11">
        <v>52000</v>
      </c>
      <c r="AM122" s="11">
        <v>52000</v>
      </c>
      <c r="AN122" s="11">
        <v>52000</v>
      </c>
      <c r="AO122" s="11">
        <v>52000</v>
      </c>
      <c r="AP122" s="11">
        <v>52000</v>
      </c>
      <c r="AQ122" s="11">
        <v>52000</v>
      </c>
      <c r="AR122" s="11">
        <v>52000</v>
      </c>
      <c r="AS122" s="11">
        <v>52000</v>
      </c>
      <c r="AT122" s="11">
        <v>52000</v>
      </c>
      <c r="AU122" s="11">
        <v>52000</v>
      </c>
      <c r="AV122" s="11">
        <v>52000</v>
      </c>
      <c r="AW122" s="11">
        <v>52000</v>
      </c>
      <c r="AX122" s="11">
        <v>52000</v>
      </c>
      <c r="AY122" s="11">
        <v>52000</v>
      </c>
      <c r="AZ122" s="11">
        <v>52000</v>
      </c>
      <c r="BA122" s="11">
        <v>52000</v>
      </c>
      <c r="BB122" s="11">
        <v>52000</v>
      </c>
      <c r="BC122" s="11">
        <v>52000</v>
      </c>
      <c r="BD122" s="11">
        <v>52000</v>
      </c>
      <c r="BE122" s="11">
        <v>52000</v>
      </c>
      <c r="BF122" s="11">
        <v>52000</v>
      </c>
      <c r="BG122" s="11">
        <v>52000</v>
      </c>
      <c r="BH122" s="11">
        <v>52000</v>
      </c>
      <c r="BI122" s="11">
        <v>52000</v>
      </c>
      <c r="BJ122" s="11">
        <v>52000</v>
      </c>
      <c r="BK122" s="11">
        <v>52000</v>
      </c>
      <c r="BL122" s="11">
        <v>52000</v>
      </c>
      <c r="BM122" s="11">
        <v>52000</v>
      </c>
      <c r="BN122" s="11">
        <v>52000</v>
      </c>
      <c r="BO122" s="11">
        <v>52000</v>
      </c>
      <c r="BP122" s="11">
        <v>52000</v>
      </c>
      <c r="BQ122" s="11">
        <v>52000</v>
      </c>
      <c r="BR122" s="11">
        <v>52000</v>
      </c>
      <c r="BS122" s="11">
        <v>52000</v>
      </c>
      <c r="BT122" s="11">
        <v>52000</v>
      </c>
      <c r="BU122" s="11">
        <v>52000</v>
      </c>
      <c r="BV122" s="11">
        <v>52000</v>
      </c>
      <c r="BW122" s="11">
        <v>52000</v>
      </c>
      <c r="BX122" s="11">
        <v>52000</v>
      </c>
      <c r="BY122" s="11">
        <v>52000</v>
      </c>
      <c r="BZ122" s="11">
        <v>52000</v>
      </c>
      <c r="CA122" s="11">
        <v>52000</v>
      </c>
      <c r="CB122" s="11">
        <v>52000</v>
      </c>
      <c r="CC122" s="11">
        <v>52000</v>
      </c>
      <c r="CD122" s="11">
        <v>52000</v>
      </c>
      <c r="CE122" s="11">
        <v>52000</v>
      </c>
      <c r="CF122" s="11">
        <v>52000</v>
      </c>
      <c r="CG122" s="11">
        <v>52000</v>
      </c>
      <c r="CH122" s="11">
        <v>52000</v>
      </c>
      <c r="CI122" s="11">
        <v>52000</v>
      </c>
      <c r="CJ122" s="11">
        <v>52000</v>
      </c>
      <c r="CK122" s="11">
        <v>52000</v>
      </c>
    </row>
    <row r="123" spans="1:89" x14ac:dyDescent="0.2">
      <c r="A123" s="14" t="s">
        <v>207</v>
      </c>
      <c r="B123" s="15">
        <f t="shared" ref="B123:AG123" si="69">SUM(B122)</f>
        <v>52000</v>
      </c>
      <c r="C123" s="15">
        <f t="shared" si="69"/>
        <v>52000</v>
      </c>
      <c r="D123" s="15">
        <f t="shared" si="69"/>
        <v>52000</v>
      </c>
      <c r="E123" s="15">
        <f t="shared" si="69"/>
        <v>52000</v>
      </c>
      <c r="F123" s="15">
        <f t="shared" si="69"/>
        <v>52000</v>
      </c>
      <c r="G123" s="15">
        <f t="shared" si="69"/>
        <v>52000</v>
      </c>
      <c r="H123" s="15">
        <f t="shared" si="69"/>
        <v>52000</v>
      </c>
      <c r="I123" s="15">
        <f t="shared" si="69"/>
        <v>52000</v>
      </c>
      <c r="J123" s="15">
        <f t="shared" si="69"/>
        <v>52000</v>
      </c>
      <c r="K123" s="15">
        <f t="shared" si="69"/>
        <v>52000</v>
      </c>
      <c r="L123" s="15">
        <f t="shared" si="69"/>
        <v>52000</v>
      </c>
      <c r="M123" s="15">
        <f t="shared" si="69"/>
        <v>52000</v>
      </c>
      <c r="N123" s="15">
        <f t="shared" si="69"/>
        <v>52000</v>
      </c>
      <c r="O123" s="15">
        <f t="shared" si="69"/>
        <v>52000</v>
      </c>
      <c r="P123" s="15">
        <f t="shared" si="69"/>
        <v>52000</v>
      </c>
      <c r="Q123" s="15">
        <f t="shared" si="69"/>
        <v>52000</v>
      </c>
      <c r="R123" s="15">
        <f t="shared" si="69"/>
        <v>52000</v>
      </c>
      <c r="S123" s="15">
        <f t="shared" si="69"/>
        <v>52000</v>
      </c>
      <c r="T123" s="15">
        <f t="shared" si="69"/>
        <v>52000</v>
      </c>
      <c r="U123" s="15">
        <f t="shared" si="69"/>
        <v>52000</v>
      </c>
      <c r="V123" s="15">
        <f t="shared" si="69"/>
        <v>52000</v>
      </c>
      <c r="W123" s="15">
        <f t="shared" si="69"/>
        <v>52000</v>
      </c>
      <c r="X123" s="15">
        <f t="shared" si="69"/>
        <v>52000</v>
      </c>
      <c r="Y123" s="15">
        <f t="shared" si="69"/>
        <v>52000</v>
      </c>
      <c r="Z123" s="15">
        <f t="shared" si="69"/>
        <v>52000</v>
      </c>
      <c r="AA123" s="15">
        <f t="shared" si="69"/>
        <v>52000</v>
      </c>
      <c r="AB123" s="15">
        <f t="shared" si="69"/>
        <v>52000</v>
      </c>
      <c r="AC123" s="15">
        <f t="shared" si="69"/>
        <v>52000</v>
      </c>
      <c r="AD123" s="15">
        <f t="shared" si="69"/>
        <v>52000</v>
      </c>
      <c r="AE123" s="15">
        <f t="shared" si="69"/>
        <v>52000</v>
      </c>
      <c r="AF123" s="15">
        <f t="shared" si="69"/>
        <v>52000</v>
      </c>
      <c r="AG123" s="15">
        <f t="shared" si="69"/>
        <v>52000</v>
      </c>
      <c r="AH123" s="15">
        <f t="shared" ref="AH123:BM123" si="70">SUM(AH122)</f>
        <v>52000</v>
      </c>
      <c r="AI123" s="15">
        <f t="shared" si="70"/>
        <v>52000</v>
      </c>
      <c r="AJ123" s="15">
        <f t="shared" si="70"/>
        <v>52000</v>
      </c>
      <c r="AK123" s="15">
        <f t="shared" si="70"/>
        <v>52000</v>
      </c>
      <c r="AL123" s="15">
        <f t="shared" si="70"/>
        <v>52000</v>
      </c>
      <c r="AM123" s="15">
        <f t="shared" si="70"/>
        <v>52000</v>
      </c>
      <c r="AN123" s="15">
        <f t="shared" si="70"/>
        <v>52000</v>
      </c>
      <c r="AO123" s="15">
        <f t="shared" si="70"/>
        <v>52000</v>
      </c>
      <c r="AP123" s="15">
        <f t="shared" si="70"/>
        <v>52000</v>
      </c>
      <c r="AQ123" s="15">
        <f t="shared" si="70"/>
        <v>52000</v>
      </c>
      <c r="AR123" s="15">
        <f t="shared" si="70"/>
        <v>52000</v>
      </c>
      <c r="AS123" s="15">
        <f t="shared" si="70"/>
        <v>52000</v>
      </c>
      <c r="AT123" s="15">
        <f t="shared" si="70"/>
        <v>52000</v>
      </c>
      <c r="AU123" s="15">
        <f t="shared" si="70"/>
        <v>52000</v>
      </c>
      <c r="AV123" s="15">
        <f t="shared" si="70"/>
        <v>52000</v>
      </c>
      <c r="AW123" s="15">
        <f t="shared" si="70"/>
        <v>52000</v>
      </c>
      <c r="AX123" s="15">
        <f t="shared" si="70"/>
        <v>52000</v>
      </c>
      <c r="AY123" s="15">
        <f t="shared" si="70"/>
        <v>52000</v>
      </c>
      <c r="AZ123" s="15">
        <f t="shared" si="70"/>
        <v>52000</v>
      </c>
      <c r="BA123" s="15">
        <f t="shared" si="70"/>
        <v>52000</v>
      </c>
      <c r="BB123" s="15">
        <f t="shared" si="70"/>
        <v>52000</v>
      </c>
      <c r="BC123" s="15">
        <f t="shared" si="70"/>
        <v>52000</v>
      </c>
      <c r="BD123" s="15">
        <f t="shared" si="70"/>
        <v>52000</v>
      </c>
      <c r="BE123" s="15">
        <f t="shared" si="70"/>
        <v>52000</v>
      </c>
      <c r="BF123" s="15">
        <f t="shared" si="70"/>
        <v>52000</v>
      </c>
      <c r="BG123" s="15">
        <f t="shared" si="70"/>
        <v>52000</v>
      </c>
      <c r="BH123" s="15">
        <f t="shared" si="70"/>
        <v>52000</v>
      </c>
      <c r="BI123" s="15">
        <f t="shared" si="70"/>
        <v>52000</v>
      </c>
      <c r="BJ123" s="15">
        <f t="shared" si="70"/>
        <v>52000</v>
      </c>
      <c r="BK123" s="15">
        <f t="shared" si="70"/>
        <v>52000</v>
      </c>
      <c r="BL123" s="15">
        <f t="shared" si="70"/>
        <v>52000</v>
      </c>
      <c r="BM123" s="15">
        <f t="shared" si="70"/>
        <v>52000</v>
      </c>
      <c r="BN123" s="15">
        <f t="shared" ref="BN123:CS123" si="71">SUM(BN122)</f>
        <v>52000</v>
      </c>
      <c r="BO123" s="15">
        <f t="shared" si="71"/>
        <v>52000</v>
      </c>
      <c r="BP123" s="15">
        <f t="shared" si="71"/>
        <v>52000</v>
      </c>
      <c r="BQ123" s="15">
        <f t="shared" si="71"/>
        <v>52000</v>
      </c>
      <c r="BR123" s="15">
        <f t="shared" si="71"/>
        <v>52000</v>
      </c>
      <c r="BS123" s="15">
        <f t="shared" si="71"/>
        <v>52000</v>
      </c>
      <c r="BT123" s="15">
        <f t="shared" si="71"/>
        <v>52000</v>
      </c>
      <c r="BU123" s="15">
        <f t="shared" si="71"/>
        <v>52000</v>
      </c>
      <c r="BV123" s="15">
        <f t="shared" si="71"/>
        <v>52000</v>
      </c>
      <c r="BW123" s="15">
        <f t="shared" si="71"/>
        <v>52000</v>
      </c>
      <c r="BX123" s="15">
        <f t="shared" si="71"/>
        <v>52000</v>
      </c>
      <c r="BY123" s="15">
        <f t="shared" si="71"/>
        <v>52000</v>
      </c>
      <c r="BZ123" s="15">
        <f t="shared" si="71"/>
        <v>52000</v>
      </c>
      <c r="CA123" s="15">
        <f t="shared" si="71"/>
        <v>52000</v>
      </c>
      <c r="CB123" s="15">
        <f t="shared" si="71"/>
        <v>52000</v>
      </c>
      <c r="CC123" s="15">
        <f t="shared" si="71"/>
        <v>52000</v>
      </c>
      <c r="CD123" s="15">
        <f t="shared" si="71"/>
        <v>52000</v>
      </c>
      <c r="CE123" s="15">
        <f t="shared" si="71"/>
        <v>52000</v>
      </c>
      <c r="CF123" s="15">
        <f t="shared" si="71"/>
        <v>52000</v>
      </c>
      <c r="CG123" s="15">
        <f t="shared" si="71"/>
        <v>52000</v>
      </c>
      <c r="CH123" s="15">
        <f t="shared" si="71"/>
        <v>52000</v>
      </c>
      <c r="CI123" s="15">
        <f t="shared" si="71"/>
        <v>52000</v>
      </c>
      <c r="CJ123" s="15">
        <f t="shared" si="71"/>
        <v>52000</v>
      </c>
      <c r="CK123" s="15">
        <f t="shared" si="71"/>
        <v>52000</v>
      </c>
    </row>
    <row r="124" spans="1:89" x14ac:dyDescent="0.2">
      <c r="A124" s="14" t="s">
        <v>208</v>
      </c>
      <c r="B124" s="15">
        <f>3944275.59-B125</f>
        <v>3944275.59</v>
      </c>
      <c r="C124" s="15">
        <f>3944678.37-C125</f>
        <v>3944678.37</v>
      </c>
      <c r="D124" s="15">
        <f>4282736.58999998-D125</f>
        <v>4282736.5899999803</v>
      </c>
      <c r="E124" s="15">
        <f>4434235.32999999-E125</f>
        <v>4434235.3299999898</v>
      </c>
      <c r="F124" s="15">
        <f>5140235.52999999-F125</f>
        <v>5140235.52999999</v>
      </c>
      <c r="G124" s="15">
        <f>5359413.83999998-G125</f>
        <v>5359413.8399999803</v>
      </c>
      <c r="H124" s="15">
        <f>5780800.28999999-H125</f>
        <v>5780800.2899999898</v>
      </c>
      <c r="I124" s="15">
        <f>4944664.21999998-I125</f>
        <v>4944664.2199999802</v>
      </c>
      <c r="J124" s="15">
        <f>5313228.08999999-J125</f>
        <v>5313228.0899999896</v>
      </c>
      <c r="K124" s="15">
        <f>5635772.31999999-K125</f>
        <v>5635772.3199999901</v>
      </c>
      <c r="L124" s="15">
        <f>5713576.45999999-L125</f>
        <v>5713576.4599999897</v>
      </c>
      <c r="M124" s="15">
        <f>5775892.36999998-M125</f>
        <v>5775892.3699999796</v>
      </c>
      <c r="N124" s="15">
        <f>5889915.71999998-N125</f>
        <v>5889915.7199999802</v>
      </c>
      <c r="O124" s="15">
        <f>5037232.98-O125</f>
        <v>5037232.9800000004</v>
      </c>
      <c r="P124" s="15">
        <f>5036830.2-P125</f>
        <v>5036830.2</v>
      </c>
      <c r="Q124" s="15">
        <f>5353456.72-Q125</f>
        <v>5353456.72</v>
      </c>
      <c r="R124" s="15">
        <f>5510681.32999999-R125</f>
        <v>5510681.3299999898</v>
      </c>
      <c r="S124" s="15">
        <f>5795365.30999999-S125</f>
        <v>5795365.3099999903</v>
      </c>
      <c r="T124" s="15">
        <f>6084481.10999999-T125</f>
        <v>6084481.1099999901</v>
      </c>
      <c r="U124" s="15">
        <f>6122297.19999999-U125</f>
        <v>6122297.1999999899</v>
      </c>
      <c r="V124" s="15">
        <f>6330968.96999999-V125</f>
        <v>6330968.9699999904</v>
      </c>
      <c r="W124" s="15">
        <f>6571585.86999997-W125</f>
        <v>6571585.8699999703</v>
      </c>
      <c r="X124" s="15">
        <f>5439140.95999999-X125</f>
        <v>5439140.9599999897</v>
      </c>
      <c r="Y124" s="15">
        <f>5239375.77999997-Y125</f>
        <v>5239375.7799999705</v>
      </c>
      <c r="Z124" s="15">
        <f>5267370.91999998-Z125</f>
        <v>5267370.9199999804</v>
      </c>
      <c r="AA124" s="15">
        <f>5073916.31999998-AA125</f>
        <v>5073916.3199999798</v>
      </c>
      <c r="AB124" s="15">
        <f>5026394.70999997-AB125</f>
        <v>5026394.7099999702</v>
      </c>
      <c r="AC124" s="15">
        <f>5026394.70999997-AC125</f>
        <v>5026394.7099999702</v>
      </c>
      <c r="AD124" s="15">
        <f>5036068.48999998-AD125</f>
        <v>5036068.4899999797</v>
      </c>
      <c r="AE124" s="15">
        <f>4931464.1-AE125</f>
        <v>4931464.0999999996</v>
      </c>
      <c r="AF124" s="15">
        <f>5273355.75-AF125</f>
        <v>5273355.75</v>
      </c>
      <c r="AG124" s="15">
        <f>5018866.21999999-AG125</f>
        <v>5018866.2199999904</v>
      </c>
      <c r="AH124" s="15">
        <f>4898406.18-AH125</f>
        <v>4898406.18</v>
      </c>
      <c r="AI124" s="15">
        <f>4738423.25-AI125</f>
        <v>4738423.25</v>
      </c>
      <c r="AJ124" s="15">
        <f>4883726.06-AJ125</f>
        <v>4883726.0599999996</v>
      </c>
      <c r="AK124" s="15">
        <f>4323074.37999999-AK125</f>
        <v>4323074.3799999896</v>
      </c>
      <c r="AL124" s="15">
        <f>4229272.05999999-AL125</f>
        <v>4229272.0599999903</v>
      </c>
      <c r="AM124" s="15">
        <f>4330680.58999999-AM125</f>
        <v>4330680.5899999896</v>
      </c>
      <c r="AN124" s="15">
        <f>4520273.81999999-AN125</f>
        <v>4520273.8199999901</v>
      </c>
      <c r="AO124" s="15">
        <f>4753656.81999999-AO125</f>
        <v>4753656.8199999901</v>
      </c>
      <c r="AP124" s="15">
        <f>4753656.81999999-AP125</f>
        <v>4753656.8199999901</v>
      </c>
      <c r="AQ124" s="15">
        <f>4635093.75999998-AQ125</f>
        <v>4635093.7599999802</v>
      </c>
      <c r="AR124" s="15">
        <f>4526451.96999998-AR125</f>
        <v>4526451.9699999802</v>
      </c>
      <c r="AS124" s="15">
        <f>4543332.81999999-AS125</f>
        <v>4543332.8199999901</v>
      </c>
      <c r="AT124" s="15">
        <f>4777161.12999998-AT125</f>
        <v>4777161.1299999803</v>
      </c>
      <c r="AU124" s="15">
        <f>4824338.74999997-AU125</f>
        <v>4824338.7499999702</v>
      </c>
      <c r="AV124" s="15">
        <f>4780846.95999997-AV125</f>
        <v>4780846.9599999702</v>
      </c>
      <c r="AW124" s="15">
        <f>5087072.63999997-AW125</f>
        <v>5087072.6399999699</v>
      </c>
      <c r="AX124" s="15">
        <f>5081676.07999998-AX125</f>
        <v>5081676.0799999796</v>
      </c>
      <c r="AY124" s="15">
        <f>5200003.83999996-AY125</f>
        <v>5200003.8399999598</v>
      </c>
      <c r="AZ124" s="15">
        <f>5172124.48999996-AZ125</f>
        <v>5172124.4899999602</v>
      </c>
      <c r="BA124" s="15">
        <f>5273879.18999998-BA125</f>
        <v>5273879.1899999799</v>
      </c>
      <c r="BB124" s="15">
        <f>5204652.92999996-BB125</f>
        <v>5204652.9299999597</v>
      </c>
      <c r="BC124" s="15">
        <f>5204652.92999997-BC125</f>
        <v>5204652.9299999699</v>
      </c>
      <c r="BD124" s="15">
        <f>5111681.63999998-BD125</f>
        <v>5111681.6399999801</v>
      </c>
      <c r="BE124" s="15">
        <f>4918702.61999998-BE125</f>
        <v>4918702.6199999796</v>
      </c>
      <c r="BF124" s="15">
        <f>5184377.00999999-BF125</f>
        <v>5184377.0099999905</v>
      </c>
      <c r="BG124" s="15">
        <f>5328111.00999995-BG125</f>
        <v>5328111.0099999504</v>
      </c>
      <c r="BH124" s="15">
        <f>5267368.68999997-BH125</f>
        <v>5267368.6899999697</v>
      </c>
      <c r="BI124" s="15">
        <f>5397674.02999999-BI125</f>
        <v>5397674.02999999</v>
      </c>
      <c r="BJ124" s="15">
        <f>5539452.14999999-BJ125</f>
        <v>5539452.1499999901</v>
      </c>
      <c r="BK124" s="15">
        <f>5461241.63-BK125</f>
        <v>5461241.6299999999</v>
      </c>
      <c r="BL124" s="15">
        <f>5473477.38-BL125</f>
        <v>5473477.3799999999</v>
      </c>
      <c r="BM124" s="15">
        <f>4804347.10000002-BM125</f>
        <v>4804347.1000000201</v>
      </c>
      <c r="BN124" s="15">
        <f>5020200.7-BN125</f>
        <v>5020200.7</v>
      </c>
      <c r="BO124" s="15">
        <f>5158641.14999997-BO125</f>
        <v>5158641.1499999696</v>
      </c>
      <c r="BP124" s="15">
        <f>5198081.45-BP125</f>
        <v>5198081.45</v>
      </c>
      <c r="BQ124" s="15">
        <f>5303357.65999998-BQ125</f>
        <v>5303357.6599999797</v>
      </c>
      <c r="BR124" s="15">
        <f>5622537.38999997-BR125</f>
        <v>5622537.3899999699</v>
      </c>
      <c r="BS124" s="15">
        <f>5731077.21999997-BS125</f>
        <v>5731077.2199999699</v>
      </c>
      <c r="BT124" s="15">
        <f>5769347.04999996-BT125</f>
        <v>5769347.0499999598</v>
      </c>
      <c r="BU124" s="15">
        <f>5873232.86999997-BU125</f>
        <v>5873232.8699999703</v>
      </c>
      <c r="BV124" s="15">
        <f>5664271.55999997-BV125</f>
        <v>5664271.5599999698</v>
      </c>
      <c r="BW124" s="15">
        <f>6192387.59-BW125</f>
        <v>6192387.5899999999</v>
      </c>
      <c r="BX124" s="15">
        <f>5932146.76000001-BX125</f>
        <v>5932146.76000001</v>
      </c>
      <c r="BY124" s="15">
        <f>5452800.24000003-BY125</f>
        <v>5452800.24000003</v>
      </c>
      <c r="BZ124" s="15">
        <f>5707564.97000003-BZ125</f>
        <v>5707564.9700000295</v>
      </c>
      <c r="CA124" s="15">
        <f>5743680.07000003-CA125</f>
        <v>5743680.0700000301</v>
      </c>
      <c r="CB124" s="15">
        <f>5743680.07000003-CB125</f>
        <v>5743680.0700000301</v>
      </c>
      <c r="CC124" s="15">
        <f>6128723.78000004-CC125</f>
        <v>5743680.0700000403</v>
      </c>
      <c r="CD124" s="15">
        <f>6385053.95000003-CD125</f>
        <v>5743680.0700000301</v>
      </c>
      <c r="CE124" s="15">
        <f>6812886.44-CE125</f>
        <v>5743680.0700000012</v>
      </c>
      <c r="CF124" s="15">
        <f>6867610.32000001-CF125</f>
        <v>5743680.0700000096</v>
      </c>
      <c r="CG124" s="15">
        <f>7024363.37000002-CG125</f>
        <v>5743680.0700000208</v>
      </c>
      <c r="CH124" s="15">
        <f>6863420.79000002-CH125</f>
        <v>5743680.0700000208</v>
      </c>
      <c r="CI124" s="15">
        <f>8198243.00000006-CI125</f>
        <v>5743680.0700000608</v>
      </c>
      <c r="CJ124" s="15">
        <f>8207190.08000005-CJ125</f>
        <v>5743680.0700000515</v>
      </c>
      <c r="CK124" s="15">
        <f>8207190.08000005-CK125</f>
        <v>5743680.0700000515</v>
      </c>
    </row>
    <row r="125" spans="1:89" x14ac:dyDescent="0.2">
      <c r="A125" s="7" t="s">
        <v>209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0</v>
      </c>
      <c r="BU125" s="11">
        <v>0</v>
      </c>
      <c r="BV125" s="11">
        <v>0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>
        <v>0</v>
      </c>
      <c r="CC125" s="11">
        <v>385043.70999999973</v>
      </c>
      <c r="CD125" s="11">
        <v>641373.87999999942</v>
      </c>
      <c r="CE125" s="11">
        <v>1069206.3699999992</v>
      </c>
      <c r="CF125" s="11">
        <v>1123930.2499999995</v>
      </c>
      <c r="CG125" s="11">
        <v>1280683.2999999993</v>
      </c>
      <c r="CH125" s="11">
        <v>1119740.719999999</v>
      </c>
      <c r="CI125" s="11">
        <v>2454562.9299999988</v>
      </c>
      <c r="CJ125" s="11">
        <v>2463510.0099999988</v>
      </c>
      <c r="CK125" s="11">
        <v>2463510.0099999988</v>
      </c>
    </row>
    <row r="126" spans="1:89" x14ac:dyDescent="0.2">
      <c r="A126" s="17" t="s">
        <v>210</v>
      </c>
      <c r="B126" s="18">
        <f t="shared" ref="B126:AG126" si="72">B123+0+0+B124+0+B125</f>
        <v>3996275.59</v>
      </c>
      <c r="C126" s="18">
        <f t="shared" si="72"/>
        <v>3996678.37</v>
      </c>
      <c r="D126" s="18">
        <f t="shared" si="72"/>
        <v>4334736.5899999803</v>
      </c>
      <c r="E126" s="18">
        <f t="shared" si="72"/>
        <v>4486235.3299999898</v>
      </c>
      <c r="F126" s="18">
        <f t="shared" si="72"/>
        <v>5192235.52999999</v>
      </c>
      <c r="G126" s="18">
        <f t="shared" si="72"/>
        <v>5411413.8399999803</v>
      </c>
      <c r="H126" s="18">
        <f t="shared" si="72"/>
        <v>5832800.2899999898</v>
      </c>
      <c r="I126" s="18">
        <f t="shared" si="72"/>
        <v>4996664.2199999802</v>
      </c>
      <c r="J126" s="18">
        <f t="shared" si="72"/>
        <v>5365228.0899999896</v>
      </c>
      <c r="K126" s="18">
        <f t="shared" si="72"/>
        <v>5687772.3199999901</v>
      </c>
      <c r="L126" s="18">
        <f t="shared" si="72"/>
        <v>5765576.4599999897</v>
      </c>
      <c r="M126" s="18">
        <f t="shared" si="72"/>
        <v>5827892.3699999796</v>
      </c>
      <c r="N126" s="18">
        <f t="shared" si="72"/>
        <v>5941915.7199999802</v>
      </c>
      <c r="O126" s="18">
        <f t="shared" si="72"/>
        <v>5089232.9800000004</v>
      </c>
      <c r="P126" s="18">
        <f t="shared" si="72"/>
        <v>5088830.2</v>
      </c>
      <c r="Q126" s="18">
        <f t="shared" si="72"/>
        <v>5405456.7199999997</v>
      </c>
      <c r="R126" s="18">
        <f t="shared" si="72"/>
        <v>5562681.3299999898</v>
      </c>
      <c r="S126" s="18">
        <f t="shared" si="72"/>
        <v>5847365.3099999903</v>
      </c>
      <c r="T126" s="18">
        <f t="shared" si="72"/>
        <v>6136481.1099999901</v>
      </c>
      <c r="U126" s="18">
        <f t="shared" si="72"/>
        <v>6174297.1999999899</v>
      </c>
      <c r="V126" s="18">
        <f t="shared" si="72"/>
        <v>6382968.9699999904</v>
      </c>
      <c r="W126" s="18">
        <f t="shared" si="72"/>
        <v>6623585.8699999703</v>
      </c>
      <c r="X126" s="18">
        <f t="shared" si="72"/>
        <v>5491140.9599999897</v>
      </c>
      <c r="Y126" s="18">
        <f t="shared" si="72"/>
        <v>5291375.7799999705</v>
      </c>
      <c r="Z126" s="18">
        <f t="shared" si="72"/>
        <v>5319370.9199999804</v>
      </c>
      <c r="AA126" s="18">
        <f t="shared" si="72"/>
        <v>5125916.3199999798</v>
      </c>
      <c r="AB126" s="18">
        <f t="shared" si="72"/>
        <v>5078394.7099999702</v>
      </c>
      <c r="AC126" s="18">
        <f t="shared" si="72"/>
        <v>5078394.7099999702</v>
      </c>
      <c r="AD126" s="18">
        <f t="shared" si="72"/>
        <v>5088068.4899999797</v>
      </c>
      <c r="AE126" s="18">
        <f t="shared" si="72"/>
        <v>4983464.0999999996</v>
      </c>
      <c r="AF126" s="18">
        <f t="shared" si="72"/>
        <v>5325355.75</v>
      </c>
      <c r="AG126" s="18">
        <f t="shared" si="72"/>
        <v>5070866.2199999904</v>
      </c>
      <c r="AH126" s="18">
        <f t="shared" ref="AH126:BM126" si="73">AH123+0+0+AH124+0+AH125</f>
        <v>4950406.18</v>
      </c>
      <c r="AI126" s="18">
        <f t="shared" si="73"/>
        <v>4790423.25</v>
      </c>
      <c r="AJ126" s="18">
        <f t="shared" si="73"/>
        <v>4935726.0599999996</v>
      </c>
      <c r="AK126" s="18">
        <f t="shared" si="73"/>
        <v>4375074.3799999896</v>
      </c>
      <c r="AL126" s="18">
        <f t="shared" si="73"/>
        <v>4281272.0599999903</v>
      </c>
      <c r="AM126" s="18">
        <f t="shared" si="73"/>
        <v>4382680.5899999896</v>
      </c>
      <c r="AN126" s="18">
        <f t="shared" si="73"/>
        <v>4572273.8199999901</v>
      </c>
      <c r="AO126" s="18">
        <f t="shared" si="73"/>
        <v>4805656.8199999901</v>
      </c>
      <c r="AP126" s="18">
        <f t="shared" si="73"/>
        <v>4805656.8199999901</v>
      </c>
      <c r="AQ126" s="18">
        <f t="shared" si="73"/>
        <v>4687093.7599999802</v>
      </c>
      <c r="AR126" s="18">
        <f t="shared" si="73"/>
        <v>4578451.9699999802</v>
      </c>
      <c r="AS126" s="18">
        <f t="shared" si="73"/>
        <v>4595332.8199999901</v>
      </c>
      <c r="AT126" s="18">
        <f t="shared" si="73"/>
        <v>4829161.1299999803</v>
      </c>
      <c r="AU126" s="18">
        <f t="shared" si="73"/>
        <v>4876338.7499999702</v>
      </c>
      <c r="AV126" s="18">
        <f t="shared" si="73"/>
        <v>4832846.9599999702</v>
      </c>
      <c r="AW126" s="18">
        <f t="shared" si="73"/>
        <v>5139072.6399999699</v>
      </c>
      <c r="AX126" s="18">
        <f t="shared" si="73"/>
        <v>5133676.0799999796</v>
      </c>
      <c r="AY126" s="18">
        <f t="shared" si="73"/>
        <v>5252003.8399999598</v>
      </c>
      <c r="AZ126" s="18">
        <f t="shared" si="73"/>
        <v>5224124.4899999602</v>
      </c>
      <c r="BA126" s="18">
        <f t="shared" si="73"/>
        <v>5325879.1899999799</v>
      </c>
      <c r="BB126" s="18">
        <f t="shared" si="73"/>
        <v>5256652.9299999597</v>
      </c>
      <c r="BC126" s="18">
        <f t="shared" si="73"/>
        <v>5256652.9299999699</v>
      </c>
      <c r="BD126" s="18">
        <f t="shared" si="73"/>
        <v>5163681.6399999801</v>
      </c>
      <c r="BE126" s="18">
        <f t="shared" si="73"/>
        <v>4970702.6199999796</v>
      </c>
      <c r="BF126" s="18">
        <f t="shared" si="73"/>
        <v>5236377.0099999905</v>
      </c>
      <c r="BG126" s="18">
        <f t="shared" si="73"/>
        <v>5380111.0099999504</v>
      </c>
      <c r="BH126" s="18">
        <f t="shared" si="73"/>
        <v>5319368.6899999697</v>
      </c>
      <c r="BI126" s="18">
        <f t="shared" si="73"/>
        <v>5449674.02999999</v>
      </c>
      <c r="BJ126" s="18">
        <f t="shared" si="73"/>
        <v>5591452.1499999901</v>
      </c>
      <c r="BK126" s="18">
        <f t="shared" si="73"/>
        <v>5513241.6299999999</v>
      </c>
      <c r="BL126" s="18">
        <f t="shared" si="73"/>
        <v>5525477.3799999999</v>
      </c>
      <c r="BM126" s="18">
        <f t="shared" si="73"/>
        <v>4856347.1000000201</v>
      </c>
      <c r="BN126" s="18">
        <f t="shared" ref="BN126:CS126" si="74">BN123+0+0+BN124+0+BN125</f>
        <v>5072200.7</v>
      </c>
      <c r="BO126" s="18">
        <f t="shared" si="74"/>
        <v>5210641.1499999696</v>
      </c>
      <c r="BP126" s="18">
        <f t="shared" si="74"/>
        <v>5250081.45</v>
      </c>
      <c r="BQ126" s="18">
        <f t="shared" si="74"/>
        <v>5355357.6599999797</v>
      </c>
      <c r="BR126" s="18">
        <f t="shared" si="74"/>
        <v>5674537.3899999699</v>
      </c>
      <c r="BS126" s="18">
        <f t="shared" si="74"/>
        <v>5783077.2199999699</v>
      </c>
      <c r="BT126" s="18">
        <f t="shared" si="74"/>
        <v>5821347.0499999598</v>
      </c>
      <c r="BU126" s="18">
        <f t="shared" si="74"/>
        <v>5925232.8699999703</v>
      </c>
      <c r="BV126" s="18">
        <f t="shared" si="74"/>
        <v>5716271.5599999698</v>
      </c>
      <c r="BW126" s="18">
        <f t="shared" si="74"/>
        <v>6244387.5899999999</v>
      </c>
      <c r="BX126" s="18">
        <f t="shared" si="74"/>
        <v>5984146.76000001</v>
      </c>
      <c r="BY126" s="18">
        <f t="shared" si="74"/>
        <v>5504800.24000003</v>
      </c>
      <c r="BZ126" s="18">
        <f t="shared" si="74"/>
        <v>5759564.9700000295</v>
      </c>
      <c r="CA126" s="18">
        <f t="shared" si="74"/>
        <v>5795680.0700000301</v>
      </c>
      <c r="CB126" s="18">
        <f t="shared" si="74"/>
        <v>5795680.0700000301</v>
      </c>
      <c r="CC126" s="18">
        <f t="shared" si="74"/>
        <v>6180723.7800000403</v>
      </c>
      <c r="CD126" s="18">
        <f t="shared" si="74"/>
        <v>6437053.9500000291</v>
      </c>
      <c r="CE126" s="18">
        <f t="shared" si="74"/>
        <v>6864886.4400000004</v>
      </c>
      <c r="CF126" s="18">
        <f t="shared" si="74"/>
        <v>6919610.3200000096</v>
      </c>
      <c r="CG126" s="18">
        <f t="shared" si="74"/>
        <v>7076363.3700000197</v>
      </c>
      <c r="CH126" s="18">
        <f t="shared" si="74"/>
        <v>6915420.7900000196</v>
      </c>
      <c r="CI126" s="18">
        <f t="shared" si="74"/>
        <v>8250243.0000000596</v>
      </c>
      <c r="CJ126" s="18">
        <f t="shared" si="74"/>
        <v>8259190.0800000504</v>
      </c>
      <c r="CK126" s="18">
        <f t="shared" si="74"/>
        <v>8259190.0800000504</v>
      </c>
    </row>
    <row r="127" spans="1:89" x14ac:dyDescent="0.2">
      <c r="A127" s="19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</row>
    <row r="128" spans="1:89" ht="12" x14ac:dyDescent="0.2">
      <c r="A128" s="5" t="s">
        <v>211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</row>
    <row r="129" spans="1:89" x14ac:dyDescent="0.2">
      <c r="A129" s="7" t="s">
        <v>212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</row>
    <row r="130" spans="1:89" x14ac:dyDescent="0.2">
      <c r="A130" s="25" t="s">
        <v>213</v>
      </c>
      <c r="B130" s="11">
        <v>197631</v>
      </c>
      <c r="C130" s="11">
        <v>197631</v>
      </c>
      <c r="D130" s="11">
        <v>189689</v>
      </c>
      <c r="E130" s="11">
        <v>189689</v>
      </c>
      <c r="F130" s="11">
        <v>189689</v>
      </c>
      <c r="G130" s="11">
        <v>189689</v>
      </c>
      <c r="H130" s="11">
        <v>189689</v>
      </c>
      <c r="I130" s="11">
        <v>189689</v>
      </c>
      <c r="J130" s="11">
        <v>189689</v>
      </c>
      <c r="K130" s="11">
        <v>189689</v>
      </c>
      <c r="L130" s="11">
        <v>189689</v>
      </c>
      <c r="M130" s="11">
        <v>189689</v>
      </c>
      <c r="N130" s="11">
        <v>189689</v>
      </c>
      <c r="O130" s="11">
        <v>469462</v>
      </c>
      <c r="P130" s="11">
        <v>469462</v>
      </c>
      <c r="Q130" s="11">
        <v>302820.93</v>
      </c>
      <c r="R130" s="11">
        <v>302820.93</v>
      </c>
      <c r="S130" s="11">
        <v>302820.93</v>
      </c>
      <c r="T130" s="11">
        <v>302820.93</v>
      </c>
      <c r="U130" s="11">
        <v>282080.93</v>
      </c>
      <c r="V130" s="11">
        <v>282080.93</v>
      </c>
      <c r="W130" s="11">
        <v>282080.93</v>
      </c>
      <c r="X130" s="11">
        <v>282080.93</v>
      </c>
      <c r="Y130" s="11">
        <v>282080.93</v>
      </c>
      <c r="Z130" s="11">
        <v>282080.93</v>
      </c>
      <c r="AA130" s="11">
        <v>282080.93</v>
      </c>
      <c r="AB130" s="11">
        <v>60550</v>
      </c>
      <c r="AC130" s="11">
        <v>60550</v>
      </c>
      <c r="AD130" s="11">
        <v>60550</v>
      </c>
      <c r="AE130" s="11">
        <v>60550</v>
      </c>
      <c r="AF130" s="11">
        <v>60550</v>
      </c>
      <c r="AG130" s="11">
        <v>60550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2028</v>
      </c>
      <c r="AP130" s="11">
        <v>2028</v>
      </c>
      <c r="AQ130" s="11">
        <v>2028</v>
      </c>
      <c r="AR130" s="11">
        <v>2028</v>
      </c>
      <c r="AS130" s="11">
        <v>2028</v>
      </c>
      <c r="AT130" s="11">
        <v>2028</v>
      </c>
      <c r="AU130" s="11">
        <v>2028</v>
      </c>
      <c r="AV130" s="11">
        <v>2028</v>
      </c>
      <c r="AW130" s="11">
        <v>2028</v>
      </c>
      <c r="AX130" s="11">
        <v>2028</v>
      </c>
      <c r="AY130" s="11">
        <v>2028</v>
      </c>
      <c r="AZ130" s="11">
        <v>2028</v>
      </c>
      <c r="BA130" s="11">
        <v>2028</v>
      </c>
      <c r="BB130" s="11">
        <v>7278</v>
      </c>
      <c r="BC130" s="11">
        <v>7278</v>
      </c>
      <c r="BD130" s="11">
        <v>5250</v>
      </c>
      <c r="BE130" s="11">
        <v>5250</v>
      </c>
      <c r="BF130" s="11">
        <v>5250</v>
      </c>
      <c r="BG130" s="11">
        <v>5250</v>
      </c>
      <c r="BH130" s="11">
        <v>5250</v>
      </c>
      <c r="BI130" s="11">
        <v>5250</v>
      </c>
      <c r="BJ130" s="11">
        <v>5250</v>
      </c>
      <c r="BK130" s="11">
        <v>5250</v>
      </c>
      <c r="BL130" s="11">
        <v>5250</v>
      </c>
      <c r="BM130" s="11">
        <v>4585</v>
      </c>
      <c r="BN130" s="11">
        <v>2762</v>
      </c>
      <c r="BO130" s="11">
        <v>0</v>
      </c>
      <c r="BP130" s="11">
        <v>0</v>
      </c>
      <c r="BQ130" s="11">
        <v>0</v>
      </c>
      <c r="BR130" s="11">
        <v>0</v>
      </c>
      <c r="BS130" s="11">
        <v>0</v>
      </c>
      <c r="BT130" s="11">
        <v>0</v>
      </c>
      <c r="BU130" s="11">
        <v>0</v>
      </c>
      <c r="BV130" s="11">
        <v>0</v>
      </c>
      <c r="BW130" s="11">
        <v>0</v>
      </c>
      <c r="BX130" s="11">
        <v>0</v>
      </c>
      <c r="BY130" s="11">
        <v>0</v>
      </c>
      <c r="BZ130" s="11">
        <v>0</v>
      </c>
      <c r="CA130" s="11">
        <v>0</v>
      </c>
      <c r="CB130" s="11">
        <v>0</v>
      </c>
      <c r="CC130" s="11">
        <v>0</v>
      </c>
      <c r="CD130" s="11">
        <v>0</v>
      </c>
      <c r="CE130" s="11">
        <v>0</v>
      </c>
      <c r="CF130" s="11">
        <v>0</v>
      </c>
      <c r="CG130" s="11">
        <v>0</v>
      </c>
      <c r="CH130" s="11">
        <v>0</v>
      </c>
      <c r="CI130" s="11">
        <v>0</v>
      </c>
      <c r="CJ130" s="11">
        <v>0</v>
      </c>
      <c r="CK130" s="11">
        <v>0</v>
      </c>
    </row>
    <row r="131" spans="1:89" x14ac:dyDescent="0.2">
      <c r="A131" s="25" t="s">
        <v>214</v>
      </c>
      <c r="B131" s="11">
        <v>0</v>
      </c>
      <c r="C131" s="11">
        <v>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F131" s="11">
        <v>0</v>
      </c>
      <c r="BG131" s="11">
        <v>0</v>
      </c>
      <c r="BH131" s="11">
        <v>0</v>
      </c>
      <c r="BI131" s="11">
        <v>0</v>
      </c>
      <c r="BJ131" s="11">
        <v>0</v>
      </c>
      <c r="BK131" s="11">
        <v>0</v>
      </c>
      <c r="BL131" s="11">
        <v>0</v>
      </c>
      <c r="BM131" s="11">
        <v>0</v>
      </c>
      <c r="BN131" s="11">
        <v>0</v>
      </c>
      <c r="BO131" s="11">
        <v>30497</v>
      </c>
      <c r="BP131" s="11">
        <v>27735</v>
      </c>
      <c r="BQ131" s="11">
        <v>27735</v>
      </c>
      <c r="BR131" s="11">
        <v>27735</v>
      </c>
      <c r="BS131" s="11">
        <v>27735</v>
      </c>
      <c r="BT131" s="11">
        <v>27735</v>
      </c>
      <c r="BU131" s="11">
        <v>27735</v>
      </c>
      <c r="BV131" s="11">
        <v>0</v>
      </c>
      <c r="BW131" s="11">
        <v>0</v>
      </c>
      <c r="BX131" s="11">
        <v>0</v>
      </c>
      <c r="BY131" s="11">
        <v>0</v>
      </c>
      <c r="BZ131" s="11">
        <v>0</v>
      </c>
      <c r="CA131" s="11">
        <v>67576</v>
      </c>
      <c r="CB131" s="11">
        <v>67576</v>
      </c>
      <c r="CC131" s="11">
        <v>67576</v>
      </c>
      <c r="CD131" s="11">
        <v>67576</v>
      </c>
      <c r="CE131" s="11">
        <v>67576</v>
      </c>
      <c r="CF131" s="11">
        <v>67576</v>
      </c>
      <c r="CG131" s="11">
        <v>67576</v>
      </c>
      <c r="CH131" s="11">
        <v>67576</v>
      </c>
      <c r="CI131" s="11">
        <v>67576</v>
      </c>
      <c r="CJ131" s="11">
        <v>67576</v>
      </c>
      <c r="CK131" s="11">
        <v>67576</v>
      </c>
    </row>
    <row r="132" spans="1:89" x14ac:dyDescent="0.2">
      <c r="A132" s="25" t="s">
        <v>215</v>
      </c>
      <c r="B132" s="11">
        <v>201196.52</v>
      </c>
      <c r="C132" s="11">
        <v>201196.52</v>
      </c>
      <c r="D132" s="11">
        <v>201196.52</v>
      </c>
      <c r="E132" s="11">
        <v>201196.52</v>
      </c>
      <c r="F132" s="11">
        <v>201196.52</v>
      </c>
      <c r="G132" s="11">
        <v>201196.52</v>
      </c>
      <c r="H132" s="11">
        <v>201196.52</v>
      </c>
      <c r="I132" s="11">
        <v>201196.52</v>
      </c>
      <c r="J132" s="11">
        <v>201196.52</v>
      </c>
      <c r="K132" s="11">
        <v>201196.52</v>
      </c>
      <c r="L132" s="11">
        <v>201196.52</v>
      </c>
      <c r="M132" s="11">
        <v>201196.52</v>
      </c>
      <c r="N132" s="11">
        <v>201196.52</v>
      </c>
      <c r="O132" s="11">
        <v>90181.4</v>
      </c>
      <c r="P132" s="11">
        <v>90181.4</v>
      </c>
      <c r="Q132" s="11">
        <v>90181.4</v>
      </c>
      <c r="R132" s="11">
        <v>90181.4</v>
      </c>
      <c r="S132" s="11">
        <v>90181.4</v>
      </c>
      <c r="T132" s="11">
        <v>90181.4</v>
      </c>
      <c r="U132" s="11">
        <v>90181.4</v>
      </c>
      <c r="V132" s="11">
        <v>90181.4</v>
      </c>
      <c r="W132" s="11">
        <v>90181.4</v>
      </c>
      <c r="X132" s="11">
        <v>90181.4</v>
      </c>
      <c r="Y132" s="11">
        <v>90181.4</v>
      </c>
      <c r="Z132" s="11">
        <v>90181.4</v>
      </c>
      <c r="AA132" s="11">
        <v>90181.4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2716.85</v>
      </c>
      <c r="BC132" s="11">
        <v>2716.85</v>
      </c>
      <c r="BD132" s="11">
        <v>2716.85</v>
      </c>
      <c r="BE132" s="11">
        <v>2716.85</v>
      </c>
      <c r="BF132" s="11">
        <v>2716.85</v>
      </c>
      <c r="BG132" s="11">
        <v>2716.85</v>
      </c>
      <c r="BH132" s="11">
        <v>2716.85</v>
      </c>
      <c r="BI132" s="11">
        <v>2716.85</v>
      </c>
      <c r="BJ132" s="11">
        <v>2716.85</v>
      </c>
      <c r="BK132" s="11">
        <v>2716.85</v>
      </c>
      <c r="BL132" s="11">
        <v>2716.85</v>
      </c>
      <c r="BM132" s="11">
        <v>0</v>
      </c>
      <c r="BN132" s="11">
        <v>0</v>
      </c>
      <c r="BO132" s="11">
        <v>27366.880000000001</v>
      </c>
      <c r="BP132" s="11">
        <v>27366.880000000001</v>
      </c>
      <c r="BQ132" s="11">
        <v>27366.880000000001</v>
      </c>
      <c r="BR132" s="11">
        <v>27366.880000000001</v>
      </c>
      <c r="BS132" s="11">
        <v>27366.880000000001</v>
      </c>
      <c r="BT132" s="11">
        <v>27366.880000000001</v>
      </c>
      <c r="BU132" s="11">
        <v>27366.880000000001</v>
      </c>
      <c r="BV132" s="11">
        <v>0</v>
      </c>
      <c r="BW132" s="11">
        <v>0</v>
      </c>
      <c r="BX132" s="11">
        <v>0</v>
      </c>
      <c r="BY132" s="11">
        <v>0</v>
      </c>
      <c r="BZ132" s="11">
        <v>0</v>
      </c>
      <c r="CA132" s="11">
        <v>0</v>
      </c>
      <c r="CB132" s="11">
        <v>0</v>
      </c>
      <c r="CC132" s="11">
        <v>0</v>
      </c>
      <c r="CD132" s="11">
        <v>0</v>
      </c>
      <c r="CE132" s="11">
        <v>0</v>
      </c>
      <c r="CF132" s="11">
        <v>0</v>
      </c>
      <c r="CG132" s="11">
        <v>0</v>
      </c>
      <c r="CH132" s="11">
        <v>0</v>
      </c>
      <c r="CI132" s="11">
        <v>0</v>
      </c>
      <c r="CJ132" s="11">
        <v>0</v>
      </c>
      <c r="CK132" s="11">
        <v>0</v>
      </c>
    </row>
    <row r="133" spans="1:89" x14ac:dyDescent="0.2">
      <c r="A133" s="14" t="s">
        <v>216</v>
      </c>
      <c r="B133" s="15">
        <f t="shared" ref="B133:AG133" si="75">SUM(B130:B132)</f>
        <v>398827.52000000002</v>
      </c>
      <c r="C133" s="15">
        <f t="shared" si="75"/>
        <v>398827.52000000002</v>
      </c>
      <c r="D133" s="15">
        <f t="shared" si="75"/>
        <v>390885.52</v>
      </c>
      <c r="E133" s="15">
        <f t="shared" si="75"/>
        <v>390885.52</v>
      </c>
      <c r="F133" s="15">
        <f t="shared" si="75"/>
        <v>390885.52</v>
      </c>
      <c r="G133" s="15">
        <f t="shared" si="75"/>
        <v>390885.52</v>
      </c>
      <c r="H133" s="15">
        <f t="shared" si="75"/>
        <v>390885.52</v>
      </c>
      <c r="I133" s="15">
        <f t="shared" si="75"/>
        <v>390885.52</v>
      </c>
      <c r="J133" s="15">
        <f t="shared" si="75"/>
        <v>390885.52</v>
      </c>
      <c r="K133" s="15">
        <f t="shared" si="75"/>
        <v>390885.52</v>
      </c>
      <c r="L133" s="15">
        <f t="shared" si="75"/>
        <v>390885.52</v>
      </c>
      <c r="M133" s="15">
        <f t="shared" si="75"/>
        <v>390885.52</v>
      </c>
      <c r="N133" s="15">
        <f t="shared" si="75"/>
        <v>390885.52</v>
      </c>
      <c r="O133" s="15">
        <f t="shared" si="75"/>
        <v>559643.4</v>
      </c>
      <c r="P133" s="15">
        <f t="shared" si="75"/>
        <v>559643.4</v>
      </c>
      <c r="Q133" s="15">
        <f t="shared" si="75"/>
        <v>393002.32999999996</v>
      </c>
      <c r="R133" s="15">
        <f t="shared" si="75"/>
        <v>393002.32999999996</v>
      </c>
      <c r="S133" s="15">
        <f t="shared" si="75"/>
        <v>393002.32999999996</v>
      </c>
      <c r="T133" s="15">
        <f t="shared" si="75"/>
        <v>393002.32999999996</v>
      </c>
      <c r="U133" s="15">
        <f t="shared" si="75"/>
        <v>372262.32999999996</v>
      </c>
      <c r="V133" s="15">
        <f t="shared" si="75"/>
        <v>372262.32999999996</v>
      </c>
      <c r="W133" s="15">
        <f t="shared" si="75"/>
        <v>372262.32999999996</v>
      </c>
      <c r="X133" s="15">
        <f t="shared" si="75"/>
        <v>372262.32999999996</v>
      </c>
      <c r="Y133" s="15">
        <f t="shared" si="75"/>
        <v>372262.32999999996</v>
      </c>
      <c r="Z133" s="15">
        <f t="shared" si="75"/>
        <v>372262.32999999996</v>
      </c>
      <c r="AA133" s="15">
        <f t="shared" si="75"/>
        <v>372262.32999999996</v>
      </c>
      <c r="AB133" s="15">
        <f t="shared" si="75"/>
        <v>60550</v>
      </c>
      <c r="AC133" s="15">
        <f t="shared" si="75"/>
        <v>60550</v>
      </c>
      <c r="AD133" s="15">
        <f t="shared" si="75"/>
        <v>60550</v>
      </c>
      <c r="AE133" s="15">
        <f t="shared" si="75"/>
        <v>60550</v>
      </c>
      <c r="AF133" s="15">
        <f t="shared" si="75"/>
        <v>60550</v>
      </c>
      <c r="AG133" s="15">
        <f t="shared" si="75"/>
        <v>60550</v>
      </c>
      <c r="AH133" s="15">
        <f t="shared" ref="AH133:BM133" si="76">SUM(AH130:AH132)</f>
        <v>0</v>
      </c>
      <c r="AI133" s="15">
        <f t="shared" si="76"/>
        <v>0</v>
      </c>
      <c r="AJ133" s="15">
        <f t="shared" si="76"/>
        <v>0</v>
      </c>
      <c r="AK133" s="15">
        <f t="shared" si="76"/>
        <v>0</v>
      </c>
      <c r="AL133" s="15">
        <f t="shared" si="76"/>
        <v>0</v>
      </c>
      <c r="AM133" s="15">
        <f t="shared" si="76"/>
        <v>0</v>
      </c>
      <c r="AN133" s="15">
        <f t="shared" si="76"/>
        <v>0</v>
      </c>
      <c r="AO133" s="15">
        <f t="shared" si="76"/>
        <v>2028</v>
      </c>
      <c r="AP133" s="15">
        <f t="shared" si="76"/>
        <v>2028</v>
      </c>
      <c r="AQ133" s="15">
        <f t="shared" si="76"/>
        <v>2028</v>
      </c>
      <c r="AR133" s="15">
        <f t="shared" si="76"/>
        <v>2028</v>
      </c>
      <c r="AS133" s="15">
        <f t="shared" si="76"/>
        <v>2028</v>
      </c>
      <c r="AT133" s="15">
        <f t="shared" si="76"/>
        <v>2028</v>
      </c>
      <c r="AU133" s="15">
        <f t="shared" si="76"/>
        <v>2028</v>
      </c>
      <c r="AV133" s="15">
        <f t="shared" si="76"/>
        <v>2028</v>
      </c>
      <c r="AW133" s="15">
        <f t="shared" si="76"/>
        <v>2028</v>
      </c>
      <c r="AX133" s="15">
        <f t="shared" si="76"/>
        <v>2028</v>
      </c>
      <c r="AY133" s="15">
        <f t="shared" si="76"/>
        <v>2028</v>
      </c>
      <c r="AZ133" s="15">
        <f t="shared" si="76"/>
        <v>2028</v>
      </c>
      <c r="BA133" s="15">
        <f t="shared" si="76"/>
        <v>2028</v>
      </c>
      <c r="BB133" s="15">
        <f t="shared" si="76"/>
        <v>9994.85</v>
      </c>
      <c r="BC133" s="15">
        <f t="shared" si="76"/>
        <v>9994.85</v>
      </c>
      <c r="BD133" s="15">
        <f t="shared" si="76"/>
        <v>7966.85</v>
      </c>
      <c r="BE133" s="15">
        <f t="shared" si="76"/>
        <v>7966.85</v>
      </c>
      <c r="BF133" s="15">
        <f t="shared" si="76"/>
        <v>7966.85</v>
      </c>
      <c r="BG133" s="15">
        <f t="shared" si="76"/>
        <v>7966.85</v>
      </c>
      <c r="BH133" s="15">
        <f t="shared" si="76"/>
        <v>7966.85</v>
      </c>
      <c r="BI133" s="15">
        <f t="shared" si="76"/>
        <v>7966.85</v>
      </c>
      <c r="BJ133" s="15">
        <f t="shared" si="76"/>
        <v>7966.85</v>
      </c>
      <c r="BK133" s="15">
        <f t="shared" si="76"/>
        <v>7966.85</v>
      </c>
      <c r="BL133" s="15">
        <f t="shared" si="76"/>
        <v>7966.85</v>
      </c>
      <c r="BM133" s="15">
        <f t="shared" si="76"/>
        <v>4585</v>
      </c>
      <c r="BN133" s="15">
        <f t="shared" ref="BN133:CS133" si="77">SUM(BN130:BN132)</f>
        <v>2762</v>
      </c>
      <c r="BO133" s="15">
        <f t="shared" si="77"/>
        <v>57863.880000000005</v>
      </c>
      <c r="BP133" s="15">
        <f t="shared" si="77"/>
        <v>55101.880000000005</v>
      </c>
      <c r="BQ133" s="15">
        <f t="shared" si="77"/>
        <v>55101.880000000005</v>
      </c>
      <c r="BR133" s="15">
        <f t="shared" si="77"/>
        <v>55101.880000000005</v>
      </c>
      <c r="BS133" s="15">
        <f t="shared" si="77"/>
        <v>55101.880000000005</v>
      </c>
      <c r="BT133" s="15">
        <f t="shared" si="77"/>
        <v>55101.880000000005</v>
      </c>
      <c r="BU133" s="15">
        <f t="shared" si="77"/>
        <v>55101.880000000005</v>
      </c>
      <c r="BV133" s="15">
        <f t="shared" si="77"/>
        <v>0</v>
      </c>
      <c r="BW133" s="15">
        <f t="shared" si="77"/>
        <v>0</v>
      </c>
      <c r="BX133" s="15">
        <f t="shared" si="77"/>
        <v>0</v>
      </c>
      <c r="BY133" s="15">
        <f t="shared" si="77"/>
        <v>0</v>
      </c>
      <c r="BZ133" s="15">
        <f t="shared" si="77"/>
        <v>0</v>
      </c>
      <c r="CA133" s="15">
        <f t="shared" si="77"/>
        <v>67576</v>
      </c>
      <c r="CB133" s="15">
        <f t="shared" si="77"/>
        <v>67576</v>
      </c>
      <c r="CC133" s="15">
        <f t="shared" si="77"/>
        <v>67576</v>
      </c>
      <c r="CD133" s="15">
        <f t="shared" si="77"/>
        <v>67576</v>
      </c>
      <c r="CE133" s="15">
        <f t="shared" si="77"/>
        <v>67576</v>
      </c>
      <c r="CF133" s="15">
        <f t="shared" si="77"/>
        <v>67576</v>
      </c>
      <c r="CG133" s="15">
        <f t="shared" si="77"/>
        <v>67576</v>
      </c>
      <c r="CH133" s="15">
        <f t="shared" si="77"/>
        <v>67576</v>
      </c>
      <c r="CI133" s="15">
        <f t="shared" si="77"/>
        <v>67576</v>
      </c>
      <c r="CJ133" s="15">
        <f t="shared" si="77"/>
        <v>67576</v>
      </c>
      <c r="CK133" s="15">
        <f t="shared" si="77"/>
        <v>67576</v>
      </c>
    </row>
    <row r="134" spans="1:89" x14ac:dyDescent="0.2">
      <c r="A134" s="7" t="s">
        <v>217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</row>
    <row r="135" spans="1:89" x14ac:dyDescent="0.2">
      <c r="A135" s="25" t="s">
        <v>218</v>
      </c>
      <c r="B135" s="11">
        <v>0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107253.34</v>
      </c>
      <c r="AY135" s="11">
        <v>76519.649999999994</v>
      </c>
      <c r="AZ135" s="11">
        <v>79602.62999999999</v>
      </c>
      <c r="BA135" s="11">
        <v>99148.499999999985</v>
      </c>
      <c r="BB135" s="11">
        <v>-1.4551915228366852E-11</v>
      </c>
      <c r="BC135" s="11">
        <v>-1.4551915228366852E-11</v>
      </c>
      <c r="BD135" s="11">
        <v>25769.999999999985</v>
      </c>
      <c r="BE135" s="11">
        <v>41051.249999999985</v>
      </c>
      <c r="BF135" s="11">
        <v>80609.999999999985</v>
      </c>
      <c r="BG135" s="11">
        <v>352885.58</v>
      </c>
      <c r="BH135" s="11">
        <v>159113.18000000002</v>
      </c>
      <c r="BI135" s="11">
        <v>62710.000000000029</v>
      </c>
      <c r="BJ135" s="11">
        <v>32375.000000000029</v>
      </c>
      <c r="BK135" s="11">
        <v>61065.000000000029</v>
      </c>
      <c r="BL135" s="11">
        <v>78945.000000000029</v>
      </c>
      <c r="BM135" s="11">
        <v>182810.46000000002</v>
      </c>
      <c r="BN135" s="11">
        <v>51005.000000000029</v>
      </c>
      <c r="BO135" s="11">
        <v>121402.00000000003</v>
      </c>
      <c r="BP135" s="11">
        <v>116167.00000000003</v>
      </c>
      <c r="BQ135" s="11">
        <v>105273.00000000003</v>
      </c>
      <c r="BR135" s="11">
        <v>131451.79000000004</v>
      </c>
      <c r="BS135" s="11">
        <v>102019.00000000003</v>
      </c>
      <c r="BT135" s="11">
        <v>110819.33000000003</v>
      </c>
      <c r="BU135" s="11">
        <v>116472.98000000003</v>
      </c>
      <c r="BV135" s="11">
        <v>89398.980000000025</v>
      </c>
      <c r="BW135" s="11">
        <v>5662.0000000000291</v>
      </c>
      <c r="BX135" s="11">
        <v>38069.000000000029</v>
      </c>
      <c r="BY135" s="11">
        <v>1140.0000000000291</v>
      </c>
      <c r="BZ135" s="11">
        <v>1140.0000000000291</v>
      </c>
      <c r="CA135" s="11">
        <v>124452.30000000003</v>
      </c>
      <c r="CB135" s="11">
        <v>124452.30000000003</v>
      </c>
      <c r="CC135" s="11">
        <v>105876.80000000003</v>
      </c>
      <c r="CD135" s="11">
        <v>123366.80000000003</v>
      </c>
      <c r="CE135" s="11">
        <v>120546.80000000003</v>
      </c>
      <c r="CF135" s="11">
        <v>126546.80000000003</v>
      </c>
      <c r="CG135" s="11">
        <v>143134.73000000004</v>
      </c>
      <c r="CH135" s="11">
        <v>145190.61000000004</v>
      </c>
      <c r="CI135" s="11">
        <v>161500.35000000003</v>
      </c>
      <c r="CJ135" s="11">
        <v>161500.35000000003</v>
      </c>
      <c r="CK135" s="11">
        <v>161500.35000000003</v>
      </c>
    </row>
    <row r="136" spans="1:89" x14ac:dyDescent="0.2">
      <c r="A136" s="25" t="s">
        <v>219</v>
      </c>
      <c r="B136" s="11">
        <v>39895.800000000003</v>
      </c>
      <c r="C136" s="11">
        <v>39895.800000000003</v>
      </c>
      <c r="D136" s="11">
        <v>168776.97999999998</v>
      </c>
      <c r="E136" s="11">
        <v>110019.14999999998</v>
      </c>
      <c r="F136" s="11">
        <v>153810.14999999997</v>
      </c>
      <c r="G136" s="11">
        <v>118495.89999999997</v>
      </c>
      <c r="H136" s="11">
        <v>162463.39999999997</v>
      </c>
      <c r="I136" s="11">
        <v>127883.85999999996</v>
      </c>
      <c r="J136" s="11">
        <v>122077.49999999996</v>
      </c>
      <c r="K136" s="11">
        <v>156492.49999999994</v>
      </c>
      <c r="L136" s="11">
        <v>181939.99999999994</v>
      </c>
      <c r="M136" s="11">
        <v>198804.99999999994</v>
      </c>
      <c r="N136" s="11">
        <v>168922.49999999994</v>
      </c>
      <c r="O136" s="11">
        <v>350383.32999999996</v>
      </c>
      <c r="P136" s="11">
        <v>350383.32999999996</v>
      </c>
      <c r="Q136" s="11">
        <v>44005.829999999958</v>
      </c>
      <c r="R136" s="11">
        <v>55605.829999999958</v>
      </c>
      <c r="S136" s="11">
        <v>92620.829999999958</v>
      </c>
      <c r="T136" s="11">
        <v>94907.499999999956</v>
      </c>
      <c r="U136" s="11">
        <v>166079.03999999995</v>
      </c>
      <c r="V136" s="11">
        <v>104194.99999999994</v>
      </c>
      <c r="W136" s="11">
        <v>118519.99999999994</v>
      </c>
      <c r="X136" s="11">
        <v>120424.99999999994</v>
      </c>
      <c r="Y136" s="11">
        <v>179207.74999999994</v>
      </c>
      <c r="Z136" s="11">
        <v>160204.99999999994</v>
      </c>
      <c r="AA136" s="11">
        <v>155614.99999999994</v>
      </c>
      <c r="AB136" s="11">
        <v>1614.9999999999418</v>
      </c>
      <c r="AC136" s="11">
        <v>1614.9999999999418</v>
      </c>
      <c r="AD136" s="11">
        <v>1614.9999999999418</v>
      </c>
      <c r="AE136" s="11">
        <v>1614.9999999999418</v>
      </c>
      <c r="AF136" s="11">
        <v>-5.8207660913467407E-11</v>
      </c>
      <c r="AG136" s="11">
        <v>-5.8207660913467407E-11</v>
      </c>
      <c r="AH136" s="11">
        <v>26999.999999999942</v>
      </c>
      <c r="AI136" s="11">
        <v>17499.999999999942</v>
      </c>
      <c r="AJ136" s="11">
        <v>17499.999999999942</v>
      </c>
      <c r="AK136" s="11">
        <v>17499.999999999942</v>
      </c>
      <c r="AL136" s="11">
        <v>17499.999999999942</v>
      </c>
      <c r="AM136" s="11">
        <v>17499.999999999942</v>
      </c>
      <c r="AN136" s="11">
        <v>17499.999999999942</v>
      </c>
      <c r="AO136" s="11">
        <v>-5.8207660913467407E-11</v>
      </c>
      <c r="AP136" s="11">
        <v>-5.8207660913467407E-11</v>
      </c>
      <c r="AQ136" s="11">
        <v>-5.8207660913467407E-11</v>
      </c>
      <c r="AR136" s="11">
        <v>-5.8207660913467407E-11</v>
      </c>
      <c r="AS136" s="11">
        <v>-5.8207660913467407E-11</v>
      </c>
      <c r="AT136" s="11">
        <v>-5.8207660913467407E-11</v>
      </c>
      <c r="AU136" s="11">
        <v>-5.8207660913467407E-11</v>
      </c>
      <c r="AV136" s="11">
        <v>-5.8207660913467407E-11</v>
      </c>
      <c r="AW136" s="11">
        <v>-5.8207660913467407E-11</v>
      </c>
      <c r="AX136" s="11">
        <v>-5.8207660913467407E-11</v>
      </c>
      <c r="AY136" s="11">
        <v>16672.079999999944</v>
      </c>
      <c r="AZ136" s="11">
        <v>-5.8207660913467407E-11</v>
      </c>
      <c r="BA136" s="11">
        <v>-5.8207660913467407E-11</v>
      </c>
      <c r="BB136" s="11">
        <v>1711.9999999999418</v>
      </c>
      <c r="BC136" s="11">
        <v>1711.9999999999418</v>
      </c>
      <c r="BD136" s="11">
        <v>1711.9999999999418</v>
      </c>
      <c r="BE136" s="11">
        <v>1711.9999999999418</v>
      </c>
      <c r="BF136" s="11">
        <v>1711.9999999999418</v>
      </c>
      <c r="BG136" s="11">
        <v>1211.9999999999418</v>
      </c>
      <c r="BH136" s="11">
        <v>1211.9999999999418</v>
      </c>
      <c r="BI136" s="11">
        <v>53711.999999999942</v>
      </c>
      <c r="BJ136" s="11">
        <v>53711.999999999942</v>
      </c>
      <c r="BK136" s="11">
        <v>53711.999999999942</v>
      </c>
      <c r="BL136" s="11">
        <v>73711.999999999942</v>
      </c>
      <c r="BM136" s="11">
        <v>24011.999999999942</v>
      </c>
      <c r="BN136" s="11">
        <v>34011.999999999942</v>
      </c>
      <c r="BO136" s="11">
        <v>155078.18999999994</v>
      </c>
      <c r="BP136" s="11">
        <v>155078.18999999994</v>
      </c>
      <c r="BQ136" s="11">
        <v>155078.18999999994</v>
      </c>
      <c r="BR136" s="11">
        <v>2611.9999999999418</v>
      </c>
      <c r="BS136" s="11">
        <v>2611.9999999999418</v>
      </c>
      <c r="BT136" s="11">
        <v>2611.9999999999418</v>
      </c>
      <c r="BU136" s="11">
        <v>52611.999999999942</v>
      </c>
      <c r="BV136" s="11">
        <v>102611.99999999994</v>
      </c>
      <c r="BW136" s="11">
        <v>126611.99999999994</v>
      </c>
      <c r="BX136" s="11">
        <v>134611.99999999994</v>
      </c>
      <c r="BY136" s="11">
        <v>71611.999999999942</v>
      </c>
      <c r="BZ136" s="11">
        <v>76611.999999999942</v>
      </c>
      <c r="CA136" s="11">
        <v>5971.239999999947</v>
      </c>
      <c r="CB136" s="11">
        <v>5971.239999999947</v>
      </c>
      <c r="CC136" s="11">
        <v>9971.239999999947</v>
      </c>
      <c r="CD136" s="11">
        <v>10343.559999999947</v>
      </c>
      <c r="CE136" s="11">
        <v>16999.999999999945</v>
      </c>
      <c r="CF136" s="11">
        <v>22499.999999999945</v>
      </c>
      <c r="CG136" s="11">
        <v>27999.999999999945</v>
      </c>
      <c r="CH136" s="11">
        <v>32999.999999999942</v>
      </c>
      <c r="CI136" s="11">
        <v>37999.999999999942</v>
      </c>
      <c r="CJ136" s="11">
        <v>37999.999999999942</v>
      </c>
      <c r="CK136" s="11">
        <v>37999.999999999942</v>
      </c>
    </row>
    <row r="137" spans="1:89" x14ac:dyDescent="0.2">
      <c r="A137" s="25" t="s">
        <v>220</v>
      </c>
      <c r="B137" s="11">
        <v>8000</v>
      </c>
      <c r="C137" s="11">
        <v>8000</v>
      </c>
      <c r="D137" s="11">
        <v>8000</v>
      </c>
      <c r="E137" s="11">
        <v>8000</v>
      </c>
      <c r="F137" s="11">
        <v>8000</v>
      </c>
      <c r="G137" s="11">
        <v>8000</v>
      </c>
      <c r="H137" s="11">
        <v>8000</v>
      </c>
      <c r="I137" s="11">
        <v>8000</v>
      </c>
      <c r="J137" s="11">
        <v>8000</v>
      </c>
      <c r="K137" s="11">
        <v>8000</v>
      </c>
      <c r="L137" s="11">
        <v>8000</v>
      </c>
      <c r="M137" s="11">
        <v>8000</v>
      </c>
      <c r="N137" s="11">
        <v>8000</v>
      </c>
      <c r="O137" s="11">
        <v>15500</v>
      </c>
      <c r="P137" s="11">
        <v>15500</v>
      </c>
      <c r="Q137" s="11">
        <v>15500</v>
      </c>
      <c r="R137" s="11">
        <v>15500</v>
      </c>
      <c r="S137" s="11">
        <v>15500</v>
      </c>
      <c r="T137" s="11">
        <v>15500</v>
      </c>
      <c r="U137" s="11">
        <v>15500</v>
      </c>
      <c r="V137" s="11">
        <v>8300</v>
      </c>
      <c r="W137" s="11">
        <v>8300</v>
      </c>
      <c r="X137" s="11">
        <v>8300</v>
      </c>
      <c r="Y137" s="11">
        <v>8300</v>
      </c>
      <c r="Z137" s="11">
        <v>8300</v>
      </c>
      <c r="AA137" s="11">
        <v>8300</v>
      </c>
      <c r="AB137" s="11">
        <v>15500</v>
      </c>
      <c r="AC137" s="11">
        <v>15500</v>
      </c>
      <c r="AD137" s="11">
        <v>15500</v>
      </c>
      <c r="AE137" s="11">
        <v>15500</v>
      </c>
      <c r="AF137" s="11">
        <v>15500</v>
      </c>
      <c r="AG137" s="11">
        <v>15500</v>
      </c>
      <c r="AH137" s="11">
        <v>15500</v>
      </c>
      <c r="AI137" s="11">
        <v>15500</v>
      </c>
      <c r="AJ137" s="11">
        <v>7200</v>
      </c>
      <c r="AK137" s="11">
        <v>0</v>
      </c>
      <c r="AL137" s="11">
        <v>0</v>
      </c>
      <c r="AM137" s="11">
        <v>0</v>
      </c>
      <c r="AN137" s="11">
        <v>0</v>
      </c>
      <c r="AO137" s="11">
        <v>13500</v>
      </c>
      <c r="AP137" s="11">
        <v>13500</v>
      </c>
      <c r="AQ137" s="11">
        <v>13500</v>
      </c>
      <c r="AR137" s="11">
        <v>13500</v>
      </c>
      <c r="AS137" s="11">
        <v>13500</v>
      </c>
      <c r="AT137" s="11">
        <v>13500</v>
      </c>
      <c r="AU137" s="11">
        <v>13500</v>
      </c>
      <c r="AV137" s="11">
        <v>13500</v>
      </c>
      <c r="AW137" s="11">
        <v>8400</v>
      </c>
      <c r="AX137" s="11">
        <v>0</v>
      </c>
      <c r="AY137" s="11">
        <v>0</v>
      </c>
      <c r="AZ137" s="11">
        <v>0</v>
      </c>
      <c r="BA137" s="11">
        <v>0</v>
      </c>
      <c r="BB137" s="11">
        <v>12800</v>
      </c>
      <c r="BC137" s="11">
        <v>12800</v>
      </c>
      <c r="BD137" s="11">
        <v>12800</v>
      </c>
      <c r="BE137" s="11">
        <v>12800</v>
      </c>
      <c r="BF137" s="11">
        <v>12800</v>
      </c>
      <c r="BG137" s="11">
        <v>12800</v>
      </c>
      <c r="BH137" s="11">
        <v>12800</v>
      </c>
      <c r="BI137" s="11">
        <v>12800</v>
      </c>
      <c r="BJ137" s="11">
        <v>12800</v>
      </c>
      <c r="BK137" s="11">
        <v>12800</v>
      </c>
      <c r="BL137" s="11">
        <v>12800</v>
      </c>
      <c r="BM137" s="11">
        <v>12800</v>
      </c>
      <c r="BN137" s="11">
        <v>8000</v>
      </c>
      <c r="BO137" s="11">
        <v>13900</v>
      </c>
      <c r="BP137" s="11">
        <v>13900</v>
      </c>
      <c r="BQ137" s="11">
        <v>13900</v>
      </c>
      <c r="BR137" s="11">
        <v>13900</v>
      </c>
      <c r="BS137" s="11">
        <v>13900</v>
      </c>
      <c r="BT137" s="11">
        <v>13900</v>
      </c>
      <c r="BU137" s="11">
        <v>9000</v>
      </c>
      <c r="BV137" s="11">
        <v>9000</v>
      </c>
      <c r="BW137" s="11">
        <v>9000</v>
      </c>
      <c r="BX137" s="11">
        <v>9000</v>
      </c>
      <c r="BY137" s="11">
        <v>0</v>
      </c>
      <c r="BZ137" s="11">
        <v>0</v>
      </c>
      <c r="CA137" s="11">
        <v>16800</v>
      </c>
      <c r="CB137" s="11">
        <v>16800</v>
      </c>
      <c r="CC137" s="11">
        <v>16800</v>
      </c>
      <c r="CD137" s="11">
        <v>16800</v>
      </c>
      <c r="CE137" s="11">
        <v>16800</v>
      </c>
      <c r="CF137" s="11">
        <v>16800</v>
      </c>
      <c r="CG137" s="11">
        <v>16800</v>
      </c>
      <c r="CH137" s="11">
        <v>16800</v>
      </c>
      <c r="CI137" s="11">
        <v>16800</v>
      </c>
      <c r="CJ137" s="11">
        <v>16800</v>
      </c>
      <c r="CK137" s="11">
        <v>16800</v>
      </c>
    </row>
    <row r="138" spans="1:89" x14ac:dyDescent="0.2">
      <c r="A138" s="25" t="s">
        <v>221</v>
      </c>
      <c r="B138" s="11">
        <v>936265.44</v>
      </c>
      <c r="C138" s="11">
        <v>936265.44</v>
      </c>
      <c r="D138" s="11">
        <v>1036278.44</v>
      </c>
      <c r="E138" s="11">
        <v>1132567.44</v>
      </c>
      <c r="F138" s="11">
        <v>308331.07999999996</v>
      </c>
      <c r="G138" s="11">
        <v>392556.07999999996</v>
      </c>
      <c r="H138" s="11">
        <v>501325.07999999996</v>
      </c>
      <c r="I138" s="11">
        <v>544059.07999999996</v>
      </c>
      <c r="J138" s="11">
        <v>684493.08</v>
      </c>
      <c r="K138" s="11">
        <v>825146.08</v>
      </c>
      <c r="L138" s="11">
        <v>963622.08</v>
      </c>
      <c r="M138" s="11">
        <v>1114417.08</v>
      </c>
      <c r="N138" s="11">
        <v>1257541.08</v>
      </c>
      <c r="O138" s="11">
        <v>1075052.44</v>
      </c>
      <c r="P138" s="11">
        <v>1075052.44</v>
      </c>
      <c r="Q138" s="11">
        <v>1196256.44</v>
      </c>
      <c r="R138" s="11">
        <v>1316847.44</v>
      </c>
      <c r="S138" s="11">
        <v>395025</v>
      </c>
      <c r="T138" s="11">
        <v>495179</v>
      </c>
      <c r="U138" s="11">
        <v>604763</v>
      </c>
      <c r="V138" s="11">
        <v>702874.92</v>
      </c>
      <c r="W138" s="11">
        <v>845502.92</v>
      </c>
      <c r="X138" s="11">
        <v>1014099.92</v>
      </c>
      <c r="Y138" s="11">
        <v>1152353.92</v>
      </c>
      <c r="Z138" s="11">
        <v>1296701.92</v>
      </c>
      <c r="AA138" s="11">
        <v>1463966.92</v>
      </c>
      <c r="AB138" s="11">
        <v>1151262.1199999999</v>
      </c>
      <c r="AC138" s="11">
        <v>1151262.1199999999</v>
      </c>
      <c r="AD138" s="11">
        <v>1278299.1199999999</v>
      </c>
      <c r="AE138" s="11">
        <v>1400887.1199999999</v>
      </c>
      <c r="AF138" s="11">
        <v>409321.99999999988</v>
      </c>
      <c r="AG138" s="11">
        <v>520866.99999999988</v>
      </c>
      <c r="AH138" s="11">
        <v>653659.99999999988</v>
      </c>
      <c r="AI138" s="11">
        <v>655529.99999999988</v>
      </c>
      <c r="AJ138" s="11">
        <v>795774.99999999988</v>
      </c>
      <c r="AK138" s="11">
        <v>797583.99999999988</v>
      </c>
      <c r="AL138" s="11">
        <v>799429.99999999988</v>
      </c>
      <c r="AM138" s="11">
        <v>801340.99999999988</v>
      </c>
      <c r="AN138" s="11">
        <v>803226.99999999988</v>
      </c>
      <c r="AO138" s="11">
        <v>507187.0799999999</v>
      </c>
      <c r="AP138" s="11">
        <v>507187.0799999999</v>
      </c>
      <c r="AQ138" s="11">
        <v>642450.57999999984</v>
      </c>
      <c r="AR138" s="11">
        <v>776476.57999999984</v>
      </c>
      <c r="AS138" s="11">
        <v>296182.49999999983</v>
      </c>
      <c r="AT138" s="11">
        <v>274021.49999999983</v>
      </c>
      <c r="AU138" s="11">
        <v>275717.49999999983</v>
      </c>
      <c r="AV138" s="11">
        <v>277218.49999999983</v>
      </c>
      <c r="AW138" s="11">
        <v>407492.49999999983</v>
      </c>
      <c r="AX138" s="11">
        <v>544327.49999999977</v>
      </c>
      <c r="AY138" s="11">
        <v>546154.49999999977</v>
      </c>
      <c r="AZ138" s="11">
        <v>548009.49999999977</v>
      </c>
      <c r="BA138" s="11">
        <v>550050.49999999977</v>
      </c>
      <c r="BB138" s="11">
        <v>498107.92999999976</v>
      </c>
      <c r="BC138" s="11">
        <v>498107.92999999976</v>
      </c>
      <c r="BD138" s="11">
        <v>637878.9299999997</v>
      </c>
      <c r="BE138" s="11">
        <v>778282.9299999997</v>
      </c>
      <c r="BF138" s="11">
        <v>450447.99999999971</v>
      </c>
      <c r="BG138" s="11">
        <v>574334.99999999977</v>
      </c>
      <c r="BH138" s="11">
        <v>722724.99999999977</v>
      </c>
      <c r="BI138" s="11">
        <v>582218.01999999979</v>
      </c>
      <c r="BJ138" s="11">
        <v>728820.01999999979</v>
      </c>
      <c r="BK138" s="11">
        <v>878030.01999999979</v>
      </c>
      <c r="BL138" s="11">
        <v>1029856.0199999998</v>
      </c>
      <c r="BM138" s="11">
        <v>1184523.0199999998</v>
      </c>
      <c r="BN138" s="11">
        <v>1330801.0199999998</v>
      </c>
      <c r="BO138" s="11">
        <v>651803.68999999983</v>
      </c>
      <c r="BP138" s="11">
        <v>802483.80999999982</v>
      </c>
      <c r="BQ138" s="11">
        <v>941898.73999999976</v>
      </c>
      <c r="BR138" s="11">
        <v>480078.66999999975</v>
      </c>
      <c r="BS138" s="11">
        <v>614079.40999999968</v>
      </c>
      <c r="BT138" s="11">
        <v>779968.91999999969</v>
      </c>
      <c r="BU138" s="11">
        <v>633598.19999999972</v>
      </c>
      <c r="BV138" s="11">
        <v>789216.19999999972</v>
      </c>
      <c r="BW138" s="11">
        <v>946194.58999999973</v>
      </c>
      <c r="BX138" s="11">
        <v>1325819.0999999996</v>
      </c>
      <c r="BY138" s="11">
        <v>1510695.7999999996</v>
      </c>
      <c r="BZ138" s="11">
        <v>1703139.4299999997</v>
      </c>
      <c r="CA138" s="11">
        <v>1668648.4899999998</v>
      </c>
      <c r="CB138" s="11">
        <v>1668648.4899999998</v>
      </c>
      <c r="CC138" s="11">
        <v>1834648.7999999998</v>
      </c>
      <c r="CD138" s="11">
        <v>2002625.6599999997</v>
      </c>
      <c r="CE138" s="11">
        <v>520133.79999999958</v>
      </c>
      <c r="CF138" s="11">
        <v>710309.86999999965</v>
      </c>
      <c r="CG138" s="11">
        <v>887941.29999999958</v>
      </c>
      <c r="CH138" s="11">
        <v>907506.51999999955</v>
      </c>
      <c r="CI138" s="11">
        <v>907506.51999999955</v>
      </c>
      <c r="CJ138" s="11">
        <v>907506.51999999955</v>
      </c>
      <c r="CK138" s="11">
        <v>907506.51999999955</v>
      </c>
    </row>
    <row r="139" spans="1:89" x14ac:dyDescent="0.2">
      <c r="A139" s="25" t="s">
        <v>222</v>
      </c>
      <c r="B139" s="11">
        <v>6850</v>
      </c>
      <c r="C139" s="11">
        <v>6850</v>
      </c>
      <c r="D139" s="11">
        <v>6850</v>
      </c>
      <c r="E139" s="11">
        <v>6850</v>
      </c>
      <c r="F139" s="11">
        <v>6850</v>
      </c>
      <c r="G139" s="11">
        <v>6850</v>
      </c>
      <c r="H139" s="11">
        <v>6850</v>
      </c>
      <c r="I139" s="11">
        <v>6850</v>
      </c>
      <c r="J139" s="11">
        <v>6850</v>
      </c>
      <c r="K139" s="11">
        <v>6850</v>
      </c>
      <c r="L139" s="11">
        <v>6850</v>
      </c>
      <c r="M139" s="11">
        <v>6850</v>
      </c>
      <c r="N139" s="11">
        <v>6850</v>
      </c>
      <c r="O139" s="11">
        <v>6850</v>
      </c>
      <c r="P139" s="11">
        <v>6850</v>
      </c>
      <c r="Q139" s="11">
        <v>6850</v>
      </c>
      <c r="R139" s="11">
        <v>6850</v>
      </c>
      <c r="S139" s="11">
        <v>6850</v>
      </c>
      <c r="T139" s="11">
        <v>6850</v>
      </c>
      <c r="U139" s="11">
        <v>6850</v>
      </c>
      <c r="V139" s="11">
        <v>6850</v>
      </c>
      <c r="W139" s="11">
        <v>6850</v>
      </c>
      <c r="X139" s="11">
        <v>6850</v>
      </c>
      <c r="Y139" s="11">
        <v>6850</v>
      </c>
      <c r="Z139" s="11">
        <v>6850</v>
      </c>
      <c r="AA139" s="11">
        <v>6850</v>
      </c>
      <c r="AB139" s="11">
        <v>6850</v>
      </c>
      <c r="AC139" s="11">
        <v>6850</v>
      </c>
      <c r="AD139" s="11">
        <v>6850</v>
      </c>
      <c r="AE139" s="11">
        <v>6850</v>
      </c>
      <c r="AF139" s="11">
        <v>6850</v>
      </c>
      <c r="AG139" s="11">
        <v>6850</v>
      </c>
      <c r="AH139" s="11">
        <v>6850</v>
      </c>
      <c r="AI139" s="11">
        <v>6850</v>
      </c>
      <c r="AJ139" s="11">
        <v>6850</v>
      </c>
      <c r="AK139" s="11">
        <v>6850</v>
      </c>
      <c r="AL139" s="11">
        <v>6850</v>
      </c>
      <c r="AM139" s="11">
        <v>6850</v>
      </c>
      <c r="AN139" s="11">
        <v>6850</v>
      </c>
      <c r="AO139" s="11">
        <v>6850</v>
      </c>
      <c r="AP139" s="11">
        <v>6850</v>
      </c>
      <c r="AQ139" s="11">
        <v>6850</v>
      </c>
      <c r="AR139" s="11">
        <v>6850</v>
      </c>
      <c r="AS139" s="11">
        <v>6850</v>
      </c>
      <c r="AT139" s="11">
        <v>6850</v>
      </c>
      <c r="AU139" s="11">
        <v>6850</v>
      </c>
      <c r="AV139" s="11">
        <v>6850</v>
      </c>
      <c r="AW139" s="11">
        <v>6850</v>
      </c>
      <c r="AX139" s="11">
        <v>6850</v>
      </c>
      <c r="AY139" s="11">
        <v>6850</v>
      </c>
      <c r="AZ139" s="11">
        <v>6850</v>
      </c>
      <c r="BA139" s="11">
        <v>6850</v>
      </c>
      <c r="BB139" s="11">
        <v>6850</v>
      </c>
      <c r="BC139" s="11">
        <v>6850</v>
      </c>
      <c r="BD139" s="11">
        <v>6850</v>
      </c>
      <c r="BE139" s="11">
        <v>6850</v>
      </c>
      <c r="BF139" s="11">
        <v>6850</v>
      </c>
      <c r="BG139" s="11">
        <v>6850</v>
      </c>
      <c r="BH139" s="11">
        <v>6850</v>
      </c>
      <c r="BI139" s="11">
        <v>6850</v>
      </c>
      <c r="BJ139" s="11">
        <v>6850</v>
      </c>
      <c r="BK139" s="11">
        <v>6850</v>
      </c>
      <c r="BL139" s="11">
        <v>6850</v>
      </c>
      <c r="BM139" s="11">
        <v>6850</v>
      </c>
      <c r="BN139" s="11">
        <v>6850</v>
      </c>
      <c r="BO139" s="11">
        <v>6850</v>
      </c>
      <c r="BP139" s="11">
        <v>6850</v>
      </c>
      <c r="BQ139" s="11">
        <v>6850</v>
      </c>
      <c r="BR139" s="11">
        <v>6850</v>
      </c>
      <c r="BS139" s="11">
        <v>6850</v>
      </c>
      <c r="BT139" s="11">
        <v>6850</v>
      </c>
      <c r="BU139" s="11">
        <v>6850</v>
      </c>
      <c r="BV139" s="11">
        <v>6850</v>
      </c>
      <c r="BW139" s="11">
        <v>6850</v>
      </c>
      <c r="BX139" s="11">
        <v>6850</v>
      </c>
      <c r="BY139" s="11">
        <v>6850</v>
      </c>
      <c r="BZ139" s="11">
        <v>6850</v>
      </c>
      <c r="CA139" s="11">
        <v>6850</v>
      </c>
      <c r="CB139" s="11">
        <v>6850</v>
      </c>
      <c r="CC139" s="11">
        <v>6850</v>
      </c>
      <c r="CD139" s="11">
        <v>6850</v>
      </c>
      <c r="CE139" s="11">
        <v>6850</v>
      </c>
      <c r="CF139" s="11">
        <v>6850</v>
      </c>
      <c r="CG139" s="11">
        <v>6850</v>
      </c>
      <c r="CH139" s="11">
        <v>6850</v>
      </c>
      <c r="CI139" s="11">
        <v>6850</v>
      </c>
      <c r="CJ139" s="11">
        <v>6850</v>
      </c>
      <c r="CK139" s="11">
        <v>6850</v>
      </c>
    </row>
    <row r="140" spans="1:89" x14ac:dyDescent="0.2">
      <c r="A140" s="25" t="s">
        <v>223</v>
      </c>
      <c r="B140" s="11">
        <v>0</v>
      </c>
      <c r="C140" s="11">
        <v>0</v>
      </c>
      <c r="D140" s="11">
        <v>0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11070</v>
      </c>
      <c r="P140" s="11">
        <v>11070</v>
      </c>
      <c r="Q140" s="11">
        <v>9060</v>
      </c>
      <c r="R140" s="11">
        <v>8430</v>
      </c>
      <c r="S140" s="11">
        <v>7920</v>
      </c>
      <c r="T140" s="11">
        <v>6540</v>
      </c>
      <c r="U140" s="11">
        <v>6540</v>
      </c>
      <c r="V140" s="11">
        <v>6540</v>
      </c>
      <c r="W140" s="11">
        <v>6540</v>
      </c>
      <c r="X140" s="11">
        <v>6540</v>
      </c>
      <c r="Y140" s="11">
        <v>5970</v>
      </c>
      <c r="Z140" s="11">
        <v>5100</v>
      </c>
      <c r="AA140" s="11">
        <v>4440</v>
      </c>
      <c r="AB140" s="11">
        <v>41190</v>
      </c>
      <c r="AC140" s="11">
        <v>41190</v>
      </c>
      <c r="AD140" s="11">
        <v>41190</v>
      </c>
      <c r="AE140" s="11">
        <v>18550</v>
      </c>
      <c r="AF140" s="11">
        <v>15290</v>
      </c>
      <c r="AG140" s="11">
        <v>15290</v>
      </c>
      <c r="AH140" s="11">
        <v>14420</v>
      </c>
      <c r="AI140" s="11">
        <v>14420</v>
      </c>
      <c r="AJ140" s="11">
        <v>10850</v>
      </c>
      <c r="AK140" s="11">
        <v>10850</v>
      </c>
      <c r="AL140" s="11">
        <v>10850</v>
      </c>
      <c r="AM140" s="11">
        <v>10850</v>
      </c>
      <c r="AN140" s="11">
        <v>10850</v>
      </c>
      <c r="AO140" s="11">
        <v>10850</v>
      </c>
      <c r="AP140" s="11">
        <v>10850</v>
      </c>
      <c r="AQ140" s="11">
        <v>10850</v>
      </c>
      <c r="AR140" s="11">
        <v>0</v>
      </c>
      <c r="AS140" s="11">
        <v>0</v>
      </c>
      <c r="AT140" s="11">
        <v>0</v>
      </c>
      <c r="AU140" s="11">
        <v>0</v>
      </c>
      <c r="AV140" s="11">
        <v>0</v>
      </c>
      <c r="AW140" s="11">
        <v>45000</v>
      </c>
      <c r="AX140" s="11">
        <v>45000</v>
      </c>
      <c r="AY140" s="11">
        <v>0</v>
      </c>
      <c r="AZ140" s="11">
        <v>0</v>
      </c>
      <c r="BA140" s="11">
        <v>0</v>
      </c>
      <c r="BB140" s="11">
        <v>50482</v>
      </c>
      <c r="BC140" s="11">
        <v>50482</v>
      </c>
      <c r="BD140" s="11">
        <v>50482</v>
      </c>
      <c r="BE140" s="11">
        <v>50482</v>
      </c>
      <c r="BF140" s="11">
        <v>50482</v>
      </c>
      <c r="BG140" s="11">
        <v>50482</v>
      </c>
      <c r="BH140" s="11">
        <v>50482</v>
      </c>
      <c r="BI140" s="11">
        <v>50482</v>
      </c>
      <c r="BJ140" s="11">
        <v>50482</v>
      </c>
      <c r="BK140" s="11">
        <v>50482</v>
      </c>
      <c r="BL140" s="11">
        <v>50482</v>
      </c>
      <c r="BM140" s="11">
        <v>50482</v>
      </c>
      <c r="BN140" s="11">
        <v>0</v>
      </c>
      <c r="BO140" s="11">
        <v>49668</v>
      </c>
      <c r="BP140" s="11">
        <v>49668</v>
      </c>
      <c r="BQ140" s="11">
        <v>49668</v>
      </c>
      <c r="BR140" s="11">
        <v>49668</v>
      </c>
      <c r="BS140" s="11">
        <v>49668</v>
      </c>
      <c r="BT140" s="11">
        <v>49668</v>
      </c>
      <c r="BU140" s="11">
        <v>49668</v>
      </c>
      <c r="BV140" s="11">
        <v>49668</v>
      </c>
      <c r="BW140" s="11">
        <v>32170</v>
      </c>
      <c r="BX140" s="11">
        <v>32170</v>
      </c>
      <c r="BY140" s="11">
        <v>32170</v>
      </c>
      <c r="BZ140" s="11">
        <v>0</v>
      </c>
      <c r="CA140" s="11">
        <v>80011</v>
      </c>
      <c r="CB140" s="11">
        <v>80011</v>
      </c>
      <c r="CC140" s="11">
        <v>80011</v>
      </c>
      <c r="CD140" s="11">
        <v>80011</v>
      </c>
      <c r="CE140" s="11">
        <v>80011</v>
      </c>
      <c r="CF140" s="11">
        <v>80011</v>
      </c>
      <c r="CG140" s="11">
        <v>0</v>
      </c>
      <c r="CH140" s="11">
        <v>0</v>
      </c>
      <c r="CI140" s="11">
        <v>0</v>
      </c>
      <c r="CJ140" s="11">
        <v>0</v>
      </c>
      <c r="CK140" s="11">
        <v>0</v>
      </c>
    </row>
    <row r="141" spans="1:89" x14ac:dyDescent="0.2">
      <c r="A141" s="25" t="s">
        <v>224</v>
      </c>
      <c r="B141" s="11">
        <v>106164.33</v>
      </c>
      <c r="C141" s="11">
        <v>106164.33</v>
      </c>
      <c r="D141" s="11">
        <v>70776.22</v>
      </c>
      <c r="E141" s="11">
        <v>50597.22</v>
      </c>
      <c r="F141" s="11">
        <v>35539.22</v>
      </c>
      <c r="G141" s="11">
        <v>28611.22</v>
      </c>
      <c r="H141" s="11">
        <v>18372.22</v>
      </c>
      <c r="I141" s="11">
        <v>16865.82</v>
      </c>
      <c r="J141" s="11">
        <v>10692</v>
      </c>
      <c r="K141" s="11">
        <v>3915</v>
      </c>
      <c r="L141" s="11">
        <v>3915</v>
      </c>
      <c r="M141" s="11">
        <v>3915</v>
      </c>
      <c r="N141" s="11">
        <v>0</v>
      </c>
      <c r="O141" s="11">
        <v>180298.91</v>
      </c>
      <c r="P141" s="11">
        <v>180298.91</v>
      </c>
      <c r="Q141" s="11">
        <v>114344.91</v>
      </c>
      <c r="R141" s="11">
        <v>85867.91</v>
      </c>
      <c r="S141" s="11">
        <v>65755.91</v>
      </c>
      <c r="T141" s="11">
        <v>40304.910000000003</v>
      </c>
      <c r="U141" s="11">
        <v>40304.910000000003</v>
      </c>
      <c r="V141" s="11">
        <v>20726.910000000003</v>
      </c>
      <c r="W141" s="11">
        <v>8268.9100000000035</v>
      </c>
      <c r="X141" s="11">
        <v>6586.9100000000035</v>
      </c>
      <c r="Y141" s="11">
        <v>6586.9100000000035</v>
      </c>
      <c r="Z141" s="11">
        <v>5226.5100000000039</v>
      </c>
      <c r="AA141" s="11">
        <v>5226.5100000000039</v>
      </c>
      <c r="AB141" s="11">
        <v>170792.51</v>
      </c>
      <c r="AC141" s="11">
        <v>170792.51</v>
      </c>
      <c r="AD141" s="11">
        <v>170792.51</v>
      </c>
      <c r="AE141" s="11">
        <v>170792.51</v>
      </c>
      <c r="AF141" s="11">
        <v>77660.000000000015</v>
      </c>
      <c r="AG141" s="11">
        <v>77660.000000000015</v>
      </c>
      <c r="AH141" s="11">
        <v>77660.000000000015</v>
      </c>
      <c r="AI141" s="11">
        <v>27422.460000000014</v>
      </c>
      <c r="AJ141" s="11">
        <v>27422.460000000014</v>
      </c>
      <c r="AK141" s="11">
        <v>27422.460000000014</v>
      </c>
      <c r="AL141" s="11">
        <v>5226.510000000013</v>
      </c>
      <c r="AM141" s="11">
        <v>5226.510000000013</v>
      </c>
      <c r="AN141" s="11">
        <v>5226.510000000013</v>
      </c>
      <c r="AO141" s="11">
        <v>100251.24</v>
      </c>
      <c r="AP141" s="11">
        <v>100251.24</v>
      </c>
      <c r="AQ141" s="11">
        <v>100251.24</v>
      </c>
      <c r="AR141" s="11">
        <v>100251.24</v>
      </c>
      <c r="AS141" s="11">
        <v>5684.2100000000064</v>
      </c>
      <c r="AT141" s="11">
        <v>5684.2100000000064</v>
      </c>
      <c r="AU141" s="11">
        <v>5684.2100000000064</v>
      </c>
      <c r="AV141" s="11">
        <v>5684.2100000000064</v>
      </c>
      <c r="AW141" s="11">
        <v>5684.2100000000064</v>
      </c>
      <c r="AX141" s="11">
        <v>6.3664629124104977E-12</v>
      </c>
      <c r="AY141" s="11">
        <v>6.3664629124104977E-12</v>
      </c>
      <c r="AZ141" s="11">
        <v>6.3664629124104977E-12</v>
      </c>
      <c r="BA141" s="11">
        <v>6.3664629124104977E-12</v>
      </c>
      <c r="BB141" s="11">
        <v>117552.88</v>
      </c>
      <c r="BC141" s="11">
        <v>117552.88</v>
      </c>
      <c r="BD141" s="11">
        <v>117552.88</v>
      </c>
      <c r="BE141" s="11">
        <v>117552.88</v>
      </c>
      <c r="BF141" s="11">
        <v>68117.88</v>
      </c>
      <c r="BG141" s="11">
        <v>68117.88</v>
      </c>
      <c r="BH141" s="11">
        <v>68117.88</v>
      </c>
      <c r="BI141" s="11">
        <v>0</v>
      </c>
      <c r="BJ141" s="11">
        <v>0</v>
      </c>
      <c r="BK141" s="11">
        <v>0</v>
      </c>
      <c r="BL141" s="11">
        <v>0</v>
      </c>
      <c r="BM141" s="11">
        <v>0</v>
      </c>
      <c r="BN141" s="11">
        <v>0</v>
      </c>
      <c r="BO141" s="11">
        <v>114600.56</v>
      </c>
      <c r="BP141" s="11">
        <v>86835.9</v>
      </c>
      <c r="BQ141" s="11">
        <v>86835.9</v>
      </c>
      <c r="BR141" s="11">
        <v>55156.639999999999</v>
      </c>
      <c r="BS141" s="11">
        <v>38948.78</v>
      </c>
      <c r="BT141" s="11">
        <v>31867.87</v>
      </c>
      <c r="BU141" s="11">
        <v>23851.519999999997</v>
      </c>
      <c r="BV141" s="11">
        <v>721.14999999999782</v>
      </c>
      <c r="BW141" s="11">
        <v>721.14999999999782</v>
      </c>
      <c r="BX141" s="11">
        <v>721.14999999999782</v>
      </c>
      <c r="BY141" s="11">
        <v>-2.1600499167107046E-12</v>
      </c>
      <c r="BZ141" s="11">
        <v>-2.1600499167107046E-12</v>
      </c>
      <c r="CA141" s="11">
        <v>166132.78</v>
      </c>
      <c r="CB141" s="11">
        <v>166132.78</v>
      </c>
      <c r="CC141" s="11">
        <v>64079.789999999994</v>
      </c>
      <c r="CD141" s="11">
        <v>53076.189999999995</v>
      </c>
      <c r="CE141" s="11">
        <v>50918.619999999995</v>
      </c>
      <c r="CF141" s="11">
        <v>50055.59</v>
      </c>
      <c r="CG141" s="11">
        <v>48329.539999999994</v>
      </c>
      <c r="CH141" s="11">
        <v>32363.529999999992</v>
      </c>
      <c r="CI141" s="11">
        <v>32363.529999999992</v>
      </c>
      <c r="CJ141" s="11">
        <v>32363.529999999992</v>
      </c>
      <c r="CK141" s="11">
        <v>32363.529999999992</v>
      </c>
    </row>
    <row r="142" spans="1:89" x14ac:dyDescent="0.2">
      <c r="A142" s="25" t="s">
        <v>225</v>
      </c>
      <c r="B142" s="11">
        <v>14400</v>
      </c>
      <c r="C142" s="11">
        <v>14400</v>
      </c>
      <c r="D142" s="11">
        <v>14400</v>
      </c>
      <c r="E142" s="11">
        <v>14400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11">
        <v>0</v>
      </c>
      <c r="AZ142" s="11">
        <v>0</v>
      </c>
      <c r="BA142" s="11">
        <v>0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11">
        <v>0</v>
      </c>
      <c r="BH142" s="11">
        <v>0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  <c r="BN142" s="11">
        <v>0</v>
      </c>
      <c r="BO142" s="11">
        <v>0</v>
      </c>
      <c r="BP142" s="11">
        <v>0</v>
      </c>
      <c r="BQ142" s="11">
        <v>0</v>
      </c>
      <c r="BR142" s="11">
        <v>0</v>
      </c>
      <c r="BS142" s="11">
        <v>0</v>
      </c>
      <c r="BT142" s="11">
        <v>0</v>
      </c>
      <c r="BU142" s="11">
        <v>0</v>
      </c>
      <c r="BV142" s="11">
        <v>0</v>
      </c>
      <c r="BW142" s="11">
        <v>0</v>
      </c>
      <c r="BX142" s="11">
        <v>0</v>
      </c>
      <c r="BY142" s="11">
        <v>0</v>
      </c>
      <c r="BZ142" s="11">
        <v>0</v>
      </c>
      <c r="CA142" s="11">
        <v>0</v>
      </c>
      <c r="CB142" s="11">
        <v>0</v>
      </c>
      <c r="CC142" s="11">
        <v>0</v>
      </c>
      <c r="CD142" s="11">
        <v>0</v>
      </c>
      <c r="CE142" s="11">
        <v>0</v>
      </c>
      <c r="CF142" s="11">
        <v>0</v>
      </c>
      <c r="CG142" s="11">
        <v>0</v>
      </c>
      <c r="CH142" s="11">
        <v>0</v>
      </c>
      <c r="CI142" s="11">
        <v>0</v>
      </c>
      <c r="CJ142" s="11">
        <v>0</v>
      </c>
      <c r="CK142" s="11">
        <v>0</v>
      </c>
    </row>
    <row r="143" spans="1:89" x14ac:dyDescent="0.2">
      <c r="A143" s="14" t="s">
        <v>226</v>
      </c>
      <c r="B143" s="15">
        <f t="shared" ref="B143:AG143" si="78">SUM(B135:B142)</f>
        <v>1111575.57</v>
      </c>
      <c r="C143" s="15">
        <f t="shared" si="78"/>
        <v>1111575.57</v>
      </c>
      <c r="D143" s="15">
        <f t="shared" si="78"/>
        <v>1305081.6399999999</v>
      </c>
      <c r="E143" s="15">
        <f t="shared" si="78"/>
        <v>1322433.8099999998</v>
      </c>
      <c r="F143" s="15">
        <f t="shared" si="78"/>
        <v>512530.44999999995</v>
      </c>
      <c r="G143" s="15">
        <f t="shared" si="78"/>
        <v>554513.19999999995</v>
      </c>
      <c r="H143" s="15">
        <f t="shared" si="78"/>
        <v>697010.7</v>
      </c>
      <c r="I143" s="15">
        <f t="shared" si="78"/>
        <v>703658.75999999989</v>
      </c>
      <c r="J143" s="15">
        <f t="shared" si="78"/>
        <v>832112.58</v>
      </c>
      <c r="K143" s="15">
        <f t="shared" si="78"/>
        <v>1000403.5799999998</v>
      </c>
      <c r="L143" s="15">
        <f t="shared" si="78"/>
        <v>1164327.0799999998</v>
      </c>
      <c r="M143" s="15">
        <f t="shared" si="78"/>
        <v>1331987.08</v>
      </c>
      <c r="N143" s="15">
        <f t="shared" si="78"/>
        <v>1441313.58</v>
      </c>
      <c r="O143" s="15">
        <f t="shared" si="78"/>
        <v>1639154.68</v>
      </c>
      <c r="P143" s="15">
        <f t="shared" si="78"/>
        <v>1639154.68</v>
      </c>
      <c r="Q143" s="15">
        <f t="shared" si="78"/>
        <v>1386017.18</v>
      </c>
      <c r="R143" s="15">
        <f t="shared" si="78"/>
        <v>1489101.18</v>
      </c>
      <c r="S143" s="15">
        <f t="shared" si="78"/>
        <v>583671.74</v>
      </c>
      <c r="T143" s="15">
        <f t="shared" si="78"/>
        <v>659281.41</v>
      </c>
      <c r="U143" s="15">
        <f t="shared" si="78"/>
        <v>840036.95</v>
      </c>
      <c r="V143" s="15">
        <f t="shared" si="78"/>
        <v>849486.83</v>
      </c>
      <c r="W143" s="15">
        <f t="shared" si="78"/>
        <v>993981.83</v>
      </c>
      <c r="X143" s="15">
        <f t="shared" si="78"/>
        <v>1162801.8299999998</v>
      </c>
      <c r="Y143" s="15">
        <f t="shared" si="78"/>
        <v>1359268.5799999998</v>
      </c>
      <c r="Z143" s="15">
        <f t="shared" si="78"/>
        <v>1482383.43</v>
      </c>
      <c r="AA143" s="15">
        <f t="shared" si="78"/>
        <v>1644398.43</v>
      </c>
      <c r="AB143" s="15">
        <f t="shared" si="78"/>
        <v>1387209.63</v>
      </c>
      <c r="AC143" s="15">
        <f t="shared" si="78"/>
        <v>1387209.63</v>
      </c>
      <c r="AD143" s="15">
        <f t="shared" si="78"/>
        <v>1514246.63</v>
      </c>
      <c r="AE143" s="15">
        <f t="shared" si="78"/>
        <v>1614194.63</v>
      </c>
      <c r="AF143" s="15">
        <f t="shared" si="78"/>
        <v>524621.99999999988</v>
      </c>
      <c r="AG143" s="15">
        <f t="shared" si="78"/>
        <v>636166.99999999977</v>
      </c>
      <c r="AH143" s="15">
        <f t="shared" ref="AH143:BM143" si="79">SUM(AH135:AH142)</f>
        <v>795089.99999999977</v>
      </c>
      <c r="AI143" s="15">
        <f t="shared" si="79"/>
        <v>737222.45999999973</v>
      </c>
      <c r="AJ143" s="15">
        <f t="shared" si="79"/>
        <v>865597.45999999973</v>
      </c>
      <c r="AK143" s="15">
        <f t="shared" si="79"/>
        <v>860206.45999999973</v>
      </c>
      <c r="AL143" s="15">
        <f t="shared" si="79"/>
        <v>839856.50999999978</v>
      </c>
      <c r="AM143" s="15">
        <f t="shared" si="79"/>
        <v>841767.50999999978</v>
      </c>
      <c r="AN143" s="15">
        <f t="shared" si="79"/>
        <v>843653.50999999978</v>
      </c>
      <c r="AO143" s="15">
        <f t="shared" si="79"/>
        <v>638638.31999999983</v>
      </c>
      <c r="AP143" s="15">
        <f t="shared" si="79"/>
        <v>638638.31999999983</v>
      </c>
      <c r="AQ143" s="15">
        <f t="shared" si="79"/>
        <v>773901.81999999983</v>
      </c>
      <c r="AR143" s="15">
        <f t="shared" si="79"/>
        <v>897077.81999999983</v>
      </c>
      <c r="AS143" s="15">
        <f t="shared" si="79"/>
        <v>322216.70999999979</v>
      </c>
      <c r="AT143" s="15">
        <f t="shared" si="79"/>
        <v>300055.70999999979</v>
      </c>
      <c r="AU143" s="15">
        <f t="shared" si="79"/>
        <v>301751.70999999979</v>
      </c>
      <c r="AV143" s="15">
        <f t="shared" si="79"/>
        <v>303252.70999999979</v>
      </c>
      <c r="AW143" s="15">
        <f t="shared" si="79"/>
        <v>473426.70999999979</v>
      </c>
      <c r="AX143" s="15">
        <f t="shared" si="79"/>
        <v>703430.83999999973</v>
      </c>
      <c r="AY143" s="15">
        <f t="shared" si="79"/>
        <v>646196.22999999975</v>
      </c>
      <c r="AZ143" s="15">
        <f t="shared" si="79"/>
        <v>634462.12999999966</v>
      </c>
      <c r="BA143" s="15">
        <f t="shared" si="79"/>
        <v>656048.99999999965</v>
      </c>
      <c r="BB143" s="15">
        <f t="shared" si="79"/>
        <v>687504.80999999971</v>
      </c>
      <c r="BC143" s="15">
        <f t="shared" si="79"/>
        <v>687504.80999999971</v>
      </c>
      <c r="BD143" s="15">
        <f t="shared" si="79"/>
        <v>853045.80999999959</v>
      </c>
      <c r="BE143" s="15">
        <f t="shared" si="79"/>
        <v>1008731.0599999996</v>
      </c>
      <c r="BF143" s="15">
        <f t="shared" si="79"/>
        <v>671019.87999999966</v>
      </c>
      <c r="BG143" s="15">
        <f t="shared" si="79"/>
        <v>1066682.4599999997</v>
      </c>
      <c r="BH143" s="15">
        <f t="shared" si="79"/>
        <v>1021300.0599999997</v>
      </c>
      <c r="BI143" s="15">
        <f t="shared" si="79"/>
        <v>768772.01999999979</v>
      </c>
      <c r="BJ143" s="15">
        <f t="shared" si="79"/>
        <v>885039.01999999979</v>
      </c>
      <c r="BK143" s="15">
        <f t="shared" si="79"/>
        <v>1062939.0199999998</v>
      </c>
      <c r="BL143" s="15">
        <f t="shared" si="79"/>
        <v>1252645.0199999998</v>
      </c>
      <c r="BM143" s="15">
        <f t="shared" si="79"/>
        <v>1461477.4799999997</v>
      </c>
      <c r="BN143" s="15">
        <f t="shared" ref="BN143:CS143" si="80">SUM(BN135:BN142)</f>
        <v>1430668.0199999998</v>
      </c>
      <c r="BO143" s="15">
        <f t="shared" si="80"/>
        <v>1113302.4399999997</v>
      </c>
      <c r="BP143" s="15">
        <f t="shared" si="80"/>
        <v>1230982.8999999997</v>
      </c>
      <c r="BQ143" s="15">
        <f t="shared" si="80"/>
        <v>1359503.8299999996</v>
      </c>
      <c r="BR143" s="15">
        <f t="shared" si="80"/>
        <v>739717.09999999974</v>
      </c>
      <c r="BS143" s="15">
        <f t="shared" si="80"/>
        <v>828077.18999999971</v>
      </c>
      <c r="BT143" s="15">
        <f t="shared" si="80"/>
        <v>995686.11999999965</v>
      </c>
      <c r="BU143" s="15">
        <f t="shared" si="80"/>
        <v>892052.69999999972</v>
      </c>
      <c r="BV143" s="15">
        <f t="shared" si="80"/>
        <v>1047466.3299999997</v>
      </c>
      <c r="BW143" s="15">
        <f t="shared" si="80"/>
        <v>1127209.7399999995</v>
      </c>
      <c r="BX143" s="15">
        <f t="shared" si="80"/>
        <v>1547241.2499999995</v>
      </c>
      <c r="BY143" s="15">
        <f t="shared" si="80"/>
        <v>1622467.7999999996</v>
      </c>
      <c r="BZ143" s="15">
        <f t="shared" si="80"/>
        <v>1787741.4299999997</v>
      </c>
      <c r="CA143" s="15">
        <f t="shared" si="80"/>
        <v>2068865.8099999998</v>
      </c>
      <c r="CB143" s="15">
        <f t="shared" si="80"/>
        <v>2068865.8099999998</v>
      </c>
      <c r="CC143" s="15">
        <f t="shared" si="80"/>
        <v>2118237.63</v>
      </c>
      <c r="CD143" s="15">
        <f t="shared" si="80"/>
        <v>2293073.2099999995</v>
      </c>
      <c r="CE143" s="15">
        <f t="shared" si="80"/>
        <v>812260.21999999962</v>
      </c>
      <c r="CF143" s="15">
        <f t="shared" si="80"/>
        <v>1013073.2599999997</v>
      </c>
      <c r="CG143" s="15">
        <f t="shared" si="80"/>
        <v>1131055.5699999996</v>
      </c>
      <c r="CH143" s="15">
        <f t="shared" si="80"/>
        <v>1141710.6599999995</v>
      </c>
      <c r="CI143" s="15">
        <f t="shared" si="80"/>
        <v>1163020.3999999997</v>
      </c>
      <c r="CJ143" s="15">
        <f t="shared" si="80"/>
        <v>1163020.3999999997</v>
      </c>
      <c r="CK143" s="15">
        <f t="shared" si="80"/>
        <v>1163020.3999999997</v>
      </c>
    </row>
    <row r="144" spans="1:89" x14ac:dyDescent="0.2">
      <c r="A144" s="17" t="s">
        <v>227</v>
      </c>
      <c r="B144" s="18">
        <f t="shared" ref="B144:AG144" si="81">0+B133+B143</f>
        <v>1510403.09</v>
      </c>
      <c r="C144" s="18">
        <f t="shared" si="81"/>
        <v>1510403.09</v>
      </c>
      <c r="D144" s="18">
        <f t="shared" si="81"/>
        <v>1695967.16</v>
      </c>
      <c r="E144" s="18">
        <f t="shared" si="81"/>
        <v>1713319.3299999998</v>
      </c>
      <c r="F144" s="18">
        <f t="shared" si="81"/>
        <v>903415.97</v>
      </c>
      <c r="G144" s="18">
        <f t="shared" si="81"/>
        <v>945398.72</v>
      </c>
      <c r="H144" s="18">
        <f t="shared" si="81"/>
        <v>1087896.22</v>
      </c>
      <c r="I144" s="18">
        <f t="shared" si="81"/>
        <v>1094544.2799999998</v>
      </c>
      <c r="J144" s="18">
        <f t="shared" si="81"/>
        <v>1222998.1000000001</v>
      </c>
      <c r="K144" s="18">
        <f t="shared" si="81"/>
        <v>1391289.0999999999</v>
      </c>
      <c r="L144" s="18">
        <f t="shared" si="81"/>
        <v>1555212.5999999999</v>
      </c>
      <c r="M144" s="18">
        <f t="shared" si="81"/>
        <v>1722872.6</v>
      </c>
      <c r="N144" s="18">
        <f t="shared" si="81"/>
        <v>1832199.1</v>
      </c>
      <c r="O144" s="18">
        <f t="shared" si="81"/>
        <v>2198798.08</v>
      </c>
      <c r="P144" s="18">
        <f t="shared" si="81"/>
        <v>2198798.08</v>
      </c>
      <c r="Q144" s="18">
        <f t="shared" si="81"/>
        <v>1779019.5099999998</v>
      </c>
      <c r="R144" s="18">
        <f t="shared" si="81"/>
        <v>1882103.5099999998</v>
      </c>
      <c r="S144" s="18">
        <f t="shared" si="81"/>
        <v>976674.07</v>
      </c>
      <c r="T144" s="18">
        <f t="shared" si="81"/>
        <v>1052283.74</v>
      </c>
      <c r="U144" s="18">
        <f t="shared" si="81"/>
        <v>1212299.2799999998</v>
      </c>
      <c r="V144" s="18">
        <f t="shared" si="81"/>
        <v>1221749.1599999999</v>
      </c>
      <c r="W144" s="18">
        <f t="shared" si="81"/>
        <v>1366244.16</v>
      </c>
      <c r="X144" s="18">
        <f t="shared" si="81"/>
        <v>1535064.1599999997</v>
      </c>
      <c r="Y144" s="18">
        <f t="shared" si="81"/>
        <v>1731530.9099999997</v>
      </c>
      <c r="Z144" s="18">
        <f t="shared" si="81"/>
        <v>1854645.7599999998</v>
      </c>
      <c r="AA144" s="18">
        <f t="shared" si="81"/>
        <v>2016660.7599999998</v>
      </c>
      <c r="AB144" s="18">
        <f t="shared" si="81"/>
        <v>1447759.63</v>
      </c>
      <c r="AC144" s="18">
        <f t="shared" si="81"/>
        <v>1447759.63</v>
      </c>
      <c r="AD144" s="18">
        <f t="shared" si="81"/>
        <v>1574796.63</v>
      </c>
      <c r="AE144" s="18">
        <f t="shared" si="81"/>
        <v>1674744.63</v>
      </c>
      <c r="AF144" s="18">
        <f t="shared" si="81"/>
        <v>585171.99999999988</v>
      </c>
      <c r="AG144" s="18">
        <f t="shared" si="81"/>
        <v>696716.99999999977</v>
      </c>
      <c r="AH144" s="18">
        <f t="shared" ref="AH144:BM144" si="82">0+AH133+AH143</f>
        <v>795089.99999999977</v>
      </c>
      <c r="AI144" s="18">
        <f t="shared" si="82"/>
        <v>737222.45999999973</v>
      </c>
      <c r="AJ144" s="18">
        <f t="shared" si="82"/>
        <v>865597.45999999973</v>
      </c>
      <c r="AK144" s="18">
        <f t="shared" si="82"/>
        <v>860206.45999999973</v>
      </c>
      <c r="AL144" s="18">
        <f t="shared" si="82"/>
        <v>839856.50999999978</v>
      </c>
      <c r="AM144" s="18">
        <f t="shared" si="82"/>
        <v>841767.50999999978</v>
      </c>
      <c r="AN144" s="18">
        <f t="shared" si="82"/>
        <v>843653.50999999978</v>
      </c>
      <c r="AO144" s="18">
        <f t="shared" si="82"/>
        <v>640666.31999999983</v>
      </c>
      <c r="AP144" s="18">
        <f t="shared" si="82"/>
        <v>640666.31999999983</v>
      </c>
      <c r="AQ144" s="18">
        <f t="shared" si="82"/>
        <v>775929.81999999983</v>
      </c>
      <c r="AR144" s="18">
        <f t="shared" si="82"/>
        <v>899105.81999999983</v>
      </c>
      <c r="AS144" s="18">
        <f t="shared" si="82"/>
        <v>324244.70999999979</v>
      </c>
      <c r="AT144" s="18">
        <f t="shared" si="82"/>
        <v>302083.70999999979</v>
      </c>
      <c r="AU144" s="18">
        <f t="shared" si="82"/>
        <v>303779.70999999979</v>
      </c>
      <c r="AV144" s="18">
        <f t="shared" si="82"/>
        <v>305280.70999999979</v>
      </c>
      <c r="AW144" s="18">
        <f t="shared" si="82"/>
        <v>475454.70999999979</v>
      </c>
      <c r="AX144" s="18">
        <f t="shared" si="82"/>
        <v>705458.83999999973</v>
      </c>
      <c r="AY144" s="18">
        <f t="shared" si="82"/>
        <v>648224.22999999975</v>
      </c>
      <c r="AZ144" s="18">
        <f t="shared" si="82"/>
        <v>636490.12999999966</v>
      </c>
      <c r="BA144" s="18">
        <f t="shared" si="82"/>
        <v>658076.99999999965</v>
      </c>
      <c r="BB144" s="18">
        <f t="shared" si="82"/>
        <v>697499.65999999968</v>
      </c>
      <c r="BC144" s="18">
        <f t="shared" si="82"/>
        <v>697499.65999999968</v>
      </c>
      <c r="BD144" s="18">
        <f t="shared" si="82"/>
        <v>861012.65999999957</v>
      </c>
      <c r="BE144" s="18">
        <f t="shared" si="82"/>
        <v>1016697.9099999996</v>
      </c>
      <c r="BF144" s="18">
        <f t="shared" si="82"/>
        <v>678986.72999999963</v>
      </c>
      <c r="BG144" s="18">
        <f t="shared" si="82"/>
        <v>1074649.3099999998</v>
      </c>
      <c r="BH144" s="18">
        <f t="shared" si="82"/>
        <v>1029266.9099999997</v>
      </c>
      <c r="BI144" s="18">
        <f t="shared" si="82"/>
        <v>776738.86999999976</v>
      </c>
      <c r="BJ144" s="18">
        <f t="shared" si="82"/>
        <v>893005.86999999976</v>
      </c>
      <c r="BK144" s="18">
        <f t="shared" si="82"/>
        <v>1070905.8699999999</v>
      </c>
      <c r="BL144" s="18">
        <f t="shared" si="82"/>
        <v>1260611.8699999999</v>
      </c>
      <c r="BM144" s="18">
        <f t="shared" si="82"/>
        <v>1466062.4799999997</v>
      </c>
      <c r="BN144" s="18">
        <f t="shared" ref="BN144:CS144" si="83">0+BN133+BN143</f>
        <v>1433430.0199999998</v>
      </c>
      <c r="BO144" s="18">
        <f t="shared" si="83"/>
        <v>1171166.3199999998</v>
      </c>
      <c r="BP144" s="18">
        <f t="shared" si="83"/>
        <v>1286084.7799999998</v>
      </c>
      <c r="BQ144" s="18">
        <f t="shared" si="83"/>
        <v>1414605.7099999995</v>
      </c>
      <c r="BR144" s="18">
        <f t="shared" si="83"/>
        <v>794818.97999999975</v>
      </c>
      <c r="BS144" s="18">
        <f t="shared" si="83"/>
        <v>883179.06999999972</v>
      </c>
      <c r="BT144" s="18">
        <f t="shared" si="83"/>
        <v>1050787.9999999995</v>
      </c>
      <c r="BU144" s="18">
        <f t="shared" si="83"/>
        <v>947154.57999999973</v>
      </c>
      <c r="BV144" s="18">
        <f t="shared" si="83"/>
        <v>1047466.3299999997</v>
      </c>
      <c r="BW144" s="18">
        <f t="shared" si="83"/>
        <v>1127209.7399999995</v>
      </c>
      <c r="BX144" s="18">
        <f t="shared" si="83"/>
        <v>1547241.2499999995</v>
      </c>
      <c r="BY144" s="18">
        <f t="shared" si="83"/>
        <v>1622467.7999999996</v>
      </c>
      <c r="BZ144" s="18">
        <f t="shared" si="83"/>
        <v>1787741.4299999997</v>
      </c>
      <c r="CA144" s="18">
        <f t="shared" si="83"/>
        <v>2136441.8099999996</v>
      </c>
      <c r="CB144" s="18">
        <f t="shared" si="83"/>
        <v>2136441.8099999996</v>
      </c>
      <c r="CC144" s="18">
        <f t="shared" si="83"/>
        <v>2185813.63</v>
      </c>
      <c r="CD144" s="18">
        <f t="shared" si="83"/>
        <v>2360649.2099999995</v>
      </c>
      <c r="CE144" s="18">
        <f t="shared" si="83"/>
        <v>879836.21999999962</v>
      </c>
      <c r="CF144" s="18">
        <f t="shared" si="83"/>
        <v>1080649.2599999998</v>
      </c>
      <c r="CG144" s="18">
        <f t="shared" si="83"/>
        <v>1198631.5699999996</v>
      </c>
      <c r="CH144" s="18">
        <f t="shared" si="83"/>
        <v>1209286.6599999995</v>
      </c>
      <c r="CI144" s="18">
        <f t="shared" si="83"/>
        <v>1230596.3999999997</v>
      </c>
      <c r="CJ144" s="18">
        <f t="shared" si="83"/>
        <v>1230596.3999999997</v>
      </c>
      <c r="CK144" s="18">
        <f t="shared" si="83"/>
        <v>1230596.3999999997</v>
      </c>
    </row>
    <row r="145" spans="1:89" x14ac:dyDescent="0.2">
      <c r="A145" s="19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</row>
    <row r="146" spans="1:89" ht="12" x14ac:dyDescent="0.2">
      <c r="A146" s="5" t="s">
        <v>228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</row>
    <row r="147" spans="1:89" x14ac:dyDescent="0.2">
      <c r="A147" s="7" t="s">
        <v>229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</row>
    <row r="148" spans="1:89" x14ac:dyDescent="0.2">
      <c r="A148" s="25" t="s">
        <v>230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</v>
      </c>
      <c r="AY148" s="11">
        <v>0</v>
      </c>
      <c r="AZ148" s="11">
        <v>0</v>
      </c>
      <c r="BA148" s="11">
        <v>0</v>
      </c>
      <c r="BB148" s="11">
        <v>0</v>
      </c>
      <c r="BC148" s="11">
        <v>0</v>
      </c>
      <c r="BD148" s="11">
        <v>5452</v>
      </c>
      <c r="BE148" s="11">
        <v>5452</v>
      </c>
      <c r="BF148" s="11">
        <v>5452</v>
      </c>
      <c r="BG148" s="11">
        <v>5452</v>
      </c>
      <c r="BH148" s="11">
        <v>5452</v>
      </c>
      <c r="BI148" s="11">
        <v>5452</v>
      </c>
      <c r="BJ148" s="11">
        <v>5452.01</v>
      </c>
      <c r="BK148" s="11">
        <v>5452.01</v>
      </c>
      <c r="BL148" s="11">
        <v>5452</v>
      </c>
      <c r="BM148" s="11">
        <v>5452</v>
      </c>
      <c r="BN148" s="11">
        <v>55946.68</v>
      </c>
      <c r="BO148" s="11">
        <v>54258.37</v>
      </c>
      <c r="BP148" s="11">
        <v>54258.37</v>
      </c>
      <c r="BQ148" s="11">
        <v>54258.37</v>
      </c>
      <c r="BR148" s="11">
        <v>54258.37</v>
      </c>
      <c r="BS148" s="11">
        <v>54258.37</v>
      </c>
      <c r="BT148" s="11">
        <v>54258.37</v>
      </c>
      <c r="BU148" s="11">
        <v>54258.37</v>
      </c>
      <c r="BV148" s="11">
        <v>54258.37</v>
      </c>
      <c r="BW148" s="11">
        <v>54258.43</v>
      </c>
      <c r="BX148" s="11">
        <v>54258.42</v>
      </c>
      <c r="BY148" s="11">
        <v>54258.42</v>
      </c>
      <c r="BZ148" s="11">
        <v>54258.42</v>
      </c>
      <c r="CA148" s="11">
        <v>0</v>
      </c>
      <c r="CB148" s="11">
        <v>0</v>
      </c>
      <c r="CC148" s="11">
        <v>0</v>
      </c>
      <c r="CD148" s="11">
        <v>0</v>
      </c>
      <c r="CE148" s="11">
        <v>0</v>
      </c>
      <c r="CF148" s="11">
        <v>0</v>
      </c>
      <c r="CG148" s="11">
        <v>0</v>
      </c>
      <c r="CH148" s="11">
        <v>838.14</v>
      </c>
      <c r="CI148" s="11">
        <v>838.14</v>
      </c>
      <c r="CJ148" s="11">
        <v>838.14</v>
      </c>
      <c r="CK148" s="11">
        <v>838.14</v>
      </c>
    </row>
    <row r="149" spans="1:89" x14ac:dyDescent="0.2">
      <c r="A149" s="14" t="s">
        <v>231</v>
      </c>
      <c r="B149" s="15">
        <f t="shared" ref="B149:AG149" si="84">SUM(B148)</f>
        <v>0</v>
      </c>
      <c r="C149" s="15">
        <f t="shared" si="84"/>
        <v>0</v>
      </c>
      <c r="D149" s="15">
        <f t="shared" si="84"/>
        <v>0</v>
      </c>
      <c r="E149" s="15">
        <f t="shared" si="84"/>
        <v>0</v>
      </c>
      <c r="F149" s="15">
        <f t="shared" si="84"/>
        <v>0</v>
      </c>
      <c r="G149" s="15">
        <f t="shared" si="84"/>
        <v>0</v>
      </c>
      <c r="H149" s="15">
        <f t="shared" si="84"/>
        <v>0</v>
      </c>
      <c r="I149" s="15">
        <f t="shared" si="84"/>
        <v>0</v>
      </c>
      <c r="J149" s="15">
        <f t="shared" si="84"/>
        <v>0</v>
      </c>
      <c r="K149" s="15">
        <f t="shared" si="84"/>
        <v>0</v>
      </c>
      <c r="L149" s="15">
        <f t="shared" si="84"/>
        <v>0</v>
      </c>
      <c r="M149" s="15">
        <f t="shared" si="84"/>
        <v>0</v>
      </c>
      <c r="N149" s="15">
        <f t="shared" si="84"/>
        <v>0</v>
      </c>
      <c r="O149" s="15">
        <f t="shared" si="84"/>
        <v>0</v>
      </c>
      <c r="P149" s="15">
        <f t="shared" si="84"/>
        <v>0</v>
      </c>
      <c r="Q149" s="15">
        <f t="shared" si="84"/>
        <v>0</v>
      </c>
      <c r="R149" s="15">
        <f t="shared" si="84"/>
        <v>0</v>
      </c>
      <c r="S149" s="15">
        <f t="shared" si="84"/>
        <v>0</v>
      </c>
      <c r="T149" s="15">
        <f t="shared" si="84"/>
        <v>0</v>
      </c>
      <c r="U149" s="15">
        <f t="shared" si="84"/>
        <v>0</v>
      </c>
      <c r="V149" s="15">
        <f t="shared" si="84"/>
        <v>0</v>
      </c>
      <c r="W149" s="15">
        <f t="shared" si="84"/>
        <v>0</v>
      </c>
      <c r="X149" s="15">
        <f t="shared" si="84"/>
        <v>0</v>
      </c>
      <c r="Y149" s="15">
        <f t="shared" si="84"/>
        <v>0</v>
      </c>
      <c r="Z149" s="15">
        <f t="shared" si="84"/>
        <v>0</v>
      </c>
      <c r="AA149" s="15">
        <f t="shared" si="84"/>
        <v>0</v>
      </c>
      <c r="AB149" s="15">
        <f t="shared" si="84"/>
        <v>0</v>
      </c>
      <c r="AC149" s="15">
        <f t="shared" si="84"/>
        <v>0</v>
      </c>
      <c r="AD149" s="15">
        <f t="shared" si="84"/>
        <v>0</v>
      </c>
      <c r="AE149" s="15">
        <f t="shared" si="84"/>
        <v>0</v>
      </c>
      <c r="AF149" s="15">
        <f t="shared" si="84"/>
        <v>0</v>
      </c>
      <c r="AG149" s="15">
        <f t="shared" si="84"/>
        <v>0</v>
      </c>
      <c r="AH149" s="15">
        <f t="shared" ref="AH149:BM149" si="85">SUM(AH148)</f>
        <v>0</v>
      </c>
      <c r="AI149" s="15">
        <f t="shared" si="85"/>
        <v>0</v>
      </c>
      <c r="AJ149" s="15">
        <f t="shared" si="85"/>
        <v>0</v>
      </c>
      <c r="AK149" s="15">
        <f t="shared" si="85"/>
        <v>0</v>
      </c>
      <c r="AL149" s="15">
        <f t="shared" si="85"/>
        <v>0</v>
      </c>
      <c r="AM149" s="15">
        <f t="shared" si="85"/>
        <v>0</v>
      </c>
      <c r="AN149" s="15">
        <f t="shared" si="85"/>
        <v>0</v>
      </c>
      <c r="AO149" s="15">
        <f t="shared" si="85"/>
        <v>0</v>
      </c>
      <c r="AP149" s="15">
        <f t="shared" si="85"/>
        <v>0</v>
      </c>
      <c r="AQ149" s="15">
        <f t="shared" si="85"/>
        <v>0</v>
      </c>
      <c r="AR149" s="15">
        <f t="shared" si="85"/>
        <v>0</v>
      </c>
      <c r="AS149" s="15">
        <f t="shared" si="85"/>
        <v>0</v>
      </c>
      <c r="AT149" s="15">
        <f t="shared" si="85"/>
        <v>0</v>
      </c>
      <c r="AU149" s="15">
        <f t="shared" si="85"/>
        <v>0</v>
      </c>
      <c r="AV149" s="15">
        <f t="shared" si="85"/>
        <v>0</v>
      </c>
      <c r="AW149" s="15">
        <f t="shared" si="85"/>
        <v>0</v>
      </c>
      <c r="AX149" s="15">
        <f t="shared" si="85"/>
        <v>0</v>
      </c>
      <c r="AY149" s="15">
        <f t="shared" si="85"/>
        <v>0</v>
      </c>
      <c r="AZ149" s="15">
        <f t="shared" si="85"/>
        <v>0</v>
      </c>
      <c r="BA149" s="15">
        <f t="shared" si="85"/>
        <v>0</v>
      </c>
      <c r="BB149" s="15">
        <f t="shared" si="85"/>
        <v>0</v>
      </c>
      <c r="BC149" s="15">
        <f t="shared" si="85"/>
        <v>0</v>
      </c>
      <c r="BD149" s="15">
        <f t="shared" si="85"/>
        <v>5452</v>
      </c>
      <c r="BE149" s="15">
        <f t="shared" si="85"/>
        <v>5452</v>
      </c>
      <c r="BF149" s="15">
        <f t="shared" si="85"/>
        <v>5452</v>
      </c>
      <c r="BG149" s="15">
        <f t="shared" si="85"/>
        <v>5452</v>
      </c>
      <c r="BH149" s="15">
        <f t="shared" si="85"/>
        <v>5452</v>
      </c>
      <c r="BI149" s="15">
        <f t="shared" si="85"/>
        <v>5452</v>
      </c>
      <c r="BJ149" s="15">
        <f t="shared" si="85"/>
        <v>5452.01</v>
      </c>
      <c r="BK149" s="15">
        <f t="shared" si="85"/>
        <v>5452.01</v>
      </c>
      <c r="BL149" s="15">
        <f t="shared" si="85"/>
        <v>5452</v>
      </c>
      <c r="BM149" s="15">
        <f t="shared" si="85"/>
        <v>5452</v>
      </c>
      <c r="BN149" s="15">
        <f t="shared" ref="BN149:CS149" si="86">SUM(BN148)</f>
        <v>55946.68</v>
      </c>
      <c r="BO149" s="15">
        <f t="shared" si="86"/>
        <v>54258.37</v>
      </c>
      <c r="BP149" s="15">
        <f t="shared" si="86"/>
        <v>54258.37</v>
      </c>
      <c r="BQ149" s="15">
        <f t="shared" si="86"/>
        <v>54258.37</v>
      </c>
      <c r="BR149" s="15">
        <f t="shared" si="86"/>
        <v>54258.37</v>
      </c>
      <c r="BS149" s="15">
        <f t="shared" si="86"/>
        <v>54258.37</v>
      </c>
      <c r="BT149" s="15">
        <f t="shared" si="86"/>
        <v>54258.37</v>
      </c>
      <c r="BU149" s="15">
        <f t="shared" si="86"/>
        <v>54258.37</v>
      </c>
      <c r="BV149" s="15">
        <f t="shared" si="86"/>
        <v>54258.37</v>
      </c>
      <c r="BW149" s="15">
        <f t="shared" si="86"/>
        <v>54258.43</v>
      </c>
      <c r="BX149" s="15">
        <f t="shared" si="86"/>
        <v>54258.42</v>
      </c>
      <c r="BY149" s="15">
        <f t="shared" si="86"/>
        <v>54258.42</v>
      </c>
      <c r="BZ149" s="15">
        <f t="shared" si="86"/>
        <v>54258.42</v>
      </c>
      <c r="CA149" s="15">
        <f t="shared" si="86"/>
        <v>0</v>
      </c>
      <c r="CB149" s="15">
        <f t="shared" si="86"/>
        <v>0</v>
      </c>
      <c r="CC149" s="15">
        <f t="shared" si="86"/>
        <v>0</v>
      </c>
      <c r="CD149" s="15">
        <f t="shared" si="86"/>
        <v>0</v>
      </c>
      <c r="CE149" s="15">
        <f t="shared" si="86"/>
        <v>0</v>
      </c>
      <c r="CF149" s="15">
        <f t="shared" si="86"/>
        <v>0</v>
      </c>
      <c r="CG149" s="15">
        <f t="shared" si="86"/>
        <v>0</v>
      </c>
      <c r="CH149" s="15">
        <f t="shared" si="86"/>
        <v>838.14</v>
      </c>
      <c r="CI149" s="15">
        <f t="shared" si="86"/>
        <v>838.14</v>
      </c>
      <c r="CJ149" s="15">
        <f t="shared" si="86"/>
        <v>838.14</v>
      </c>
      <c r="CK149" s="15">
        <f t="shared" si="86"/>
        <v>838.14</v>
      </c>
    </row>
    <row r="150" spans="1:89" x14ac:dyDescent="0.2">
      <c r="A150" s="7" t="s">
        <v>232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</row>
    <row r="151" spans="1:89" x14ac:dyDescent="0.2">
      <c r="A151" s="25" t="s">
        <v>233</v>
      </c>
      <c r="B151" s="11">
        <v>407.91</v>
      </c>
      <c r="C151" s="11">
        <v>0</v>
      </c>
      <c r="D151" s="11">
        <v>0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-407.91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0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0</v>
      </c>
      <c r="BC151" s="11">
        <v>0</v>
      </c>
      <c r="BD151" s="11">
        <v>0</v>
      </c>
      <c r="BE151" s="11">
        <v>0</v>
      </c>
      <c r="BF151" s="11">
        <v>0</v>
      </c>
      <c r="BG151" s="11">
        <v>0</v>
      </c>
      <c r="BH151" s="11">
        <v>0</v>
      </c>
      <c r="BI151" s="11">
        <v>0</v>
      </c>
      <c r="BJ151" s="11">
        <v>0</v>
      </c>
      <c r="BK151" s="11">
        <v>0</v>
      </c>
      <c r="BL151" s="11">
        <v>0</v>
      </c>
      <c r="BM151" s="11">
        <v>0</v>
      </c>
      <c r="BN151" s="11">
        <v>0</v>
      </c>
      <c r="BO151" s="11">
        <v>0</v>
      </c>
      <c r="BP151" s="11">
        <v>0</v>
      </c>
      <c r="BQ151" s="11">
        <v>0</v>
      </c>
      <c r="BR151" s="11">
        <v>0</v>
      </c>
      <c r="BS151" s="11">
        <v>0</v>
      </c>
      <c r="BT151" s="11">
        <v>0</v>
      </c>
      <c r="BU151" s="11">
        <v>0</v>
      </c>
      <c r="BV151" s="11">
        <v>0</v>
      </c>
      <c r="BW151" s="11">
        <v>0</v>
      </c>
      <c r="BX151" s="11">
        <v>0</v>
      </c>
      <c r="BY151" s="11">
        <v>0</v>
      </c>
      <c r="BZ151" s="11">
        <v>0</v>
      </c>
      <c r="CA151" s="11">
        <v>0</v>
      </c>
      <c r="CB151" s="11">
        <v>0</v>
      </c>
      <c r="CC151" s="11">
        <v>0</v>
      </c>
      <c r="CD151" s="11">
        <v>0</v>
      </c>
      <c r="CE151" s="11">
        <v>0</v>
      </c>
      <c r="CF151" s="11">
        <v>0</v>
      </c>
      <c r="CG151" s="11">
        <v>0</v>
      </c>
      <c r="CH151" s="11">
        <v>0</v>
      </c>
      <c r="CI151" s="11">
        <v>0</v>
      </c>
      <c r="CJ151" s="11">
        <v>0</v>
      </c>
      <c r="CK151" s="11">
        <v>0</v>
      </c>
    </row>
    <row r="152" spans="1:89" x14ac:dyDescent="0.2">
      <c r="A152" s="25" t="s">
        <v>234</v>
      </c>
      <c r="B152" s="11">
        <v>308740.21000000002</v>
      </c>
      <c r="C152" s="11">
        <v>308740.21000000002</v>
      </c>
      <c r="D152" s="11">
        <v>257944.98</v>
      </c>
      <c r="E152" s="11">
        <v>324674.40000000002</v>
      </c>
      <c r="F152" s="11">
        <v>380836.52</v>
      </c>
      <c r="G152" s="11">
        <v>191259.61000000002</v>
      </c>
      <c r="H152" s="11">
        <v>232126.15000000002</v>
      </c>
      <c r="I152" s="11">
        <v>407120.2</v>
      </c>
      <c r="J152" s="11">
        <v>244515.93000000002</v>
      </c>
      <c r="K152" s="11">
        <v>156191.88</v>
      </c>
      <c r="L152" s="11">
        <v>272264.71000000002</v>
      </c>
      <c r="M152" s="11">
        <v>142692.87000000002</v>
      </c>
      <c r="N152" s="11">
        <v>207159.76</v>
      </c>
      <c r="O152" s="11">
        <v>732393.75</v>
      </c>
      <c r="P152" s="11">
        <v>732393.75</v>
      </c>
      <c r="Q152" s="11">
        <v>94090.270000000019</v>
      </c>
      <c r="R152" s="11">
        <v>94697.360000000015</v>
      </c>
      <c r="S152" s="11">
        <v>277275.45</v>
      </c>
      <c r="T152" s="11">
        <v>393964.38</v>
      </c>
      <c r="U152" s="11">
        <v>121850.41000000003</v>
      </c>
      <c r="V152" s="11">
        <v>206003.95</v>
      </c>
      <c r="W152" s="11">
        <v>226238.66</v>
      </c>
      <c r="X152" s="11">
        <v>220472.08000000002</v>
      </c>
      <c r="Y152" s="11">
        <v>279452.22000000003</v>
      </c>
      <c r="Z152" s="11">
        <v>126898.03000000003</v>
      </c>
      <c r="AA152" s="11">
        <v>315139.84000000003</v>
      </c>
      <c r="AB152" s="11">
        <v>139461.15000000002</v>
      </c>
      <c r="AC152" s="11">
        <v>139461.15000000002</v>
      </c>
      <c r="AD152" s="11">
        <v>66890.130000000019</v>
      </c>
      <c r="AE152" s="11">
        <v>62382.950000000019</v>
      </c>
      <c r="AF152" s="11">
        <v>313678.63</v>
      </c>
      <c r="AG152" s="11">
        <v>338527.69</v>
      </c>
      <c r="AH152" s="11">
        <v>171303.97</v>
      </c>
      <c r="AI152" s="11">
        <v>266918.5</v>
      </c>
      <c r="AJ152" s="11">
        <v>201501.96</v>
      </c>
      <c r="AK152" s="11">
        <v>25338.50999999998</v>
      </c>
      <c r="AL152" s="11">
        <v>113733.06999999998</v>
      </c>
      <c r="AM152" s="11">
        <v>99086.519999999975</v>
      </c>
      <c r="AN152" s="11">
        <v>60874.849999999977</v>
      </c>
      <c r="AO152" s="11">
        <v>20570.889999999978</v>
      </c>
      <c r="AP152" s="11">
        <v>20570.889999999978</v>
      </c>
      <c r="AQ152" s="11">
        <v>62363.969999999979</v>
      </c>
      <c r="AR152" s="11">
        <v>81679.969999999972</v>
      </c>
      <c r="AS152" s="11">
        <v>283128.84999999998</v>
      </c>
      <c r="AT152" s="11">
        <v>59553.639999999985</v>
      </c>
      <c r="AU152" s="11">
        <v>69329.12999999999</v>
      </c>
      <c r="AV152" s="11">
        <v>12029.889999999992</v>
      </c>
      <c r="AW152" s="11">
        <v>25575.05999999999</v>
      </c>
      <c r="AX152" s="11">
        <v>308074.69</v>
      </c>
      <c r="AY152" s="11">
        <v>93262.6</v>
      </c>
      <c r="AZ152" s="11">
        <v>84125.96</v>
      </c>
      <c r="BA152" s="11">
        <v>66698.63</v>
      </c>
      <c r="BB152" s="11">
        <v>7454.9000000000015</v>
      </c>
      <c r="BC152" s="11">
        <v>7454.9000000000015</v>
      </c>
      <c r="BD152" s="11">
        <v>30544.710000000003</v>
      </c>
      <c r="BE152" s="11">
        <v>33199.020000000004</v>
      </c>
      <c r="BF152" s="11">
        <v>282074.83</v>
      </c>
      <c r="BG152" s="11">
        <v>81940.48000000001</v>
      </c>
      <c r="BH152" s="11">
        <v>324684.95</v>
      </c>
      <c r="BI152" s="11">
        <v>260338.46000000002</v>
      </c>
      <c r="BJ152" s="11">
        <v>70230.960000000021</v>
      </c>
      <c r="BK152" s="11">
        <v>41208.400000000023</v>
      </c>
      <c r="BL152" s="11">
        <v>57677.080000000024</v>
      </c>
      <c r="BM152" s="11">
        <v>64160.60000000002</v>
      </c>
      <c r="BN152" s="11">
        <v>144677.89000000001</v>
      </c>
      <c r="BO152" s="11">
        <v>105573.07</v>
      </c>
      <c r="BP152" s="11">
        <v>32753.47</v>
      </c>
      <c r="BQ152" s="11">
        <v>58177.229999999996</v>
      </c>
      <c r="BR152" s="11">
        <v>27203.139999999996</v>
      </c>
      <c r="BS152" s="11">
        <v>134482.21</v>
      </c>
      <c r="BT152" s="11">
        <v>77726.09</v>
      </c>
      <c r="BU152" s="11">
        <v>256893.69</v>
      </c>
      <c r="BV152" s="11">
        <v>156673.69</v>
      </c>
      <c r="BW152" s="11">
        <v>321659.96999999997</v>
      </c>
      <c r="BX152" s="11">
        <v>109780.12999999998</v>
      </c>
      <c r="BY152" s="11">
        <v>162862.86999999997</v>
      </c>
      <c r="BZ152" s="11">
        <v>240005.49999999997</v>
      </c>
      <c r="CA152" s="11">
        <v>27476.829999999958</v>
      </c>
      <c r="CB152" s="11">
        <v>27476.829999999958</v>
      </c>
      <c r="CC152" s="11">
        <v>68599.229999999952</v>
      </c>
      <c r="CD152" s="11">
        <v>84429.359999999957</v>
      </c>
      <c r="CE152" s="11">
        <v>288104</v>
      </c>
      <c r="CF152" s="11">
        <v>249682.45</v>
      </c>
      <c r="CG152" s="11">
        <v>120586.68000000001</v>
      </c>
      <c r="CH152" s="11">
        <v>83458.320000000007</v>
      </c>
      <c r="CI152" s="11">
        <v>115409.53</v>
      </c>
      <c r="CJ152" s="11">
        <v>34780.300000000003</v>
      </c>
      <c r="CK152" s="11">
        <v>34780.300000000003</v>
      </c>
    </row>
    <row r="153" spans="1:89" x14ac:dyDescent="0.2">
      <c r="A153" s="25" t="s">
        <v>235</v>
      </c>
      <c r="B153" s="11">
        <v>0</v>
      </c>
      <c r="C153" s="11">
        <v>0</v>
      </c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0</v>
      </c>
      <c r="AW153" s="11">
        <v>210.29</v>
      </c>
      <c r="AX153" s="11">
        <v>0</v>
      </c>
      <c r="AY153" s="11">
        <v>0</v>
      </c>
      <c r="AZ153" s="11">
        <v>0</v>
      </c>
      <c r="BA153" s="11">
        <v>39.68</v>
      </c>
      <c r="BB153" s="11">
        <v>0</v>
      </c>
      <c r="BC153" s="11">
        <v>0</v>
      </c>
      <c r="BD153" s="11">
        <v>0</v>
      </c>
      <c r="BE153" s="11">
        <v>190.19</v>
      </c>
      <c r="BF153" s="11">
        <v>0</v>
      </c>
      <c r="BG153" s="11">
        <v>15.5</v>
      </c>
      <c r="BH153" s="11">
        <v>16.86</v>
      </c>
      <c r="BI153" s="11">
        <v>7.92</v>
      </c>
      <c r="BJ153" s="11">
        <v>0</v>
      </c>
      <c r="BK153" s="11">
        <v>0</v>
      </c>
      <c r="BL153" s="11">
        <v>510</v>
      </c>
      <c r="BM153" s="11">
        <v>0</v>
      </c>
      <c r="BN153" s="11">
        <v>97.63</v>
      </c>
      <c r="BO153" s="11">
        <v>0</v>
      </c>
      <c r="BP153" s="11">
        <v>0</v>
      </c>
      <c r="BQ153" s="11">
        <v>62.93</v>
      </c>
      <c r="BR153" s="11">
        <v>0</v>
      </c>
      <c r="BS153" s="11">
        <v>0</v>
      </c>
      <c r="BT153" s="11">
        <v>0</v>
      </c>
      <c r="BU153" s="11">
        <v>15.84</v>
      </c>
      <c r="BV153" s="11">
        <v>0</v>
      </c>
      <c r="BW153" s="11">
        <v>0</v>
      </c>
      <c r="BX153" s="11">
        <v>0</v>
      </c>
      <c r="BY153" s="11">
        <v>0</v>
      </c>
      <c r="BZ153" s="11">
        <v>141.37</v>
      </c>
      <c r="CA153" s="11">
        <v>82.44</v>
      </c>
      <c r="CB153" s="11">
        <v>82.44</v>
      </c>
      <c r="CC153" s="11">
        <v>556.29999999999995</v>
      </c>
      <c r="CD153" s="11">
        <v>190.31999999999994</v>
      </c>
      <c r="CE153" s="11">
        <v>-5.6843418860808015E-14</v>
      </c>
      <c r="CF153" s="11">
        <v>-5.6843418860808015E-14</v>
      </c>
      <c r="CG153" s="11">
        <v>-5.6843418860808015E-14</v>
      </c>
      <c r="CH153" s="11">
        <v>110.99999999999994</v>
      </c>
      <c r="CI153" s="11">
        <v>-5.6843418860808015E-14</v>
      </c>
      <c r="CJ153" s="11">
        <v>-5.6843418860808015E-14</v>
      </c>
      <c r="CK153" s="11">
        <v>-5.6843418860808015E-14</v>
      </c>
    </row>
    <row r="154" spans="1:89" x14ac:dyDescent="0.2">
      <c r="A154" s="25" t="s">
        <v>236</v>
      </c>
      <c r="B154" s="11">
        <v>0</v>
      </c>
      <c r="C154" s="11">
        <v>0</v>
      </c>
      <c r="D154" s="11">
        <v>0</v>
      </c>
      <c r="E154" s="11">
        <v>0</v>
      </c>
      <c r="F154" s="11">
        <v>0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0</v>
      </c>
      <c r="AY154" s="11">
        <v>0</v>
      </c>
      <c r="AZ154" s="11">
        <v>0</v>
      </c>
      <c r="BA154" s="11">
        <v>0</v>
      </c>
      <c r="BB154" s="11">
        <v>1787.23</v>
      </c>
      <c r="BC154" s="11">
        <v>1787.23</v>
      </c>
      <c r="BD154" s="11">
        <v>0</v>
      </c>
      <c r="BE154" s="11">
        <v>0</v>
      </c>
      <c r="BF154" s="11">
        <v>0</v>
      </c>
      <c r="BG154" s="11">
        <v>0</v>
      </c>
      <c r="BH154" s="11">
        <v>0</v>
      </c>
      <c r="BI154" s="11">
        <v>0</v>
      </c>
      <c r="BJ154" s="11">
        <v>0</v>
      </c>
      <c r="BK154" s="11">
        <v>0</v>
      </c>
      <c r="BL154" s="11">
        <v>0</v>
      </c>
      <c r="BM154" s="11">
        <v>0</v>
      </c>
      <c r="BN154" s="11">
        <v>0</v>
      </c>
      <c r="BO154" s="11">
        <v>0</v>
      </c>
      <c r="BP154" s="11">
        <v>0</v>
      </c>
      <c r="BQ154" s="11">
        <v>0</v>
      </c>
      <c r="BR154" s="11">
        <v>0</v>
      </c>
      <c r="BS154" s="11">
        <v>0</v>
      </c>
      <c r="BT154" s="11">
        <v>0</v>
      </c>
      <c r="BU154" s="11">
        <v>0</v>
      </c>
      <c r="BV154" s="11">
        <v>0</v>
      </c>
      <c r="BW154" s="11">
        <v>0</v>
      </c>
      <c r="BX154" s="11">
        <v>0</v>
      </c>
      <c r="BY154" s="11">
        <v>0</v>
      </c>
      <c r="BZ154" s="11">
        <v>0</v>
      </c>
      <c r="CA154" s="11">
        <v>0</v>
      </c>
      <c r="CB154" s="11">
        <v>0</v>
      </c>
      <c r="CC154" s="11">
        <v>0</v>
      </c>
      <c r="CD154" s="11">
        <v>0</v>
      </c>
      <c r="CE154" s="11">
        <v>0</v>
      </c>
      <c r="CF154" s="11">
        <v>0</v>
      </c>
      <c r="CG154" s="11">
        <v>0</v>
      </c>
      <c r="CH154" s="11">
        <v>0</v>
      </c>
      <c r="CI154" s="11">
        <v>0</v>
      </c>
      <c r="CJ154" s="11">
        <v>0</v>
      </c>
      <c r="CK154" s="11">
        <v>0</v>
      </c>
    </row>
    <row r="155" spans="1:89" x14ac:dyDescent="0.2">
      <c r="A155" s="25" t="s">
        <v>237</v>
      </c>
      <c r="B155" s="11">
        <v>0</v>
      </c>
      <c r="C155" s="11">
        <v>0</v>
      </c>
      <c r="D155" s="11">
        <v>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73208.800000000003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0</v>
      </c>
      <c r="BB155" s="11">
        <v>0</v>
      </c>
      <c r="BC155" s="11">
        <v>0</v>
      </c>
      <c r="BD155" s="11">
        <v>0</v>
      </c>
      <c r="BE155" s="11">
        <v>0</v>
      </c>
      <c r="BF155" s="11">
        <v>0</v>
      </c>
      <c r="BG155" s="11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  <c r="BN155" s="11">
        <v>0</v>
      </c>
      <c r="BO155" s="11">
        <v>0</v>
      </c>
      <c r="BP155" s="11">
        <v>0</v>
      </c>
      <c r="BQ155" s="11">
        <v>0</v>
      </c>
      <c r="BR155" s="11">
        <v>0</v>
      </c>
      <c r="BS155" s="11">
        <v>0</v>
      </c>
      <c r="BT155" s="11">
        <v>0</v>
      </c>
      <c r="BU155" s="11">
        <v>0</v>
      </c>
      <c r="BV155" s="11">
        <v>0</v>
      </c>
      <c r="BW155" s="11">
        <v>0</v>
      </c>
      <c r="BX155" s="11">
        <v>0</v>
      </c>
      <c r="BY155" s="11">
        <v>0</v>
      </c>
      <c r="BZ155" s="11">
        <v>0</v>
      </c>
      <c r="CA155" s="11">
        <v>0</v>
      </c>
      <c r="CB155" s="11">
        <v>0</v>
      </c>
      <c r="CC155" s="11">
        <v>0</v>
      </c>
      <c r="CD155" s="11">
        <v>0</v>
      </c>
      <c r="CE155" s="11">
        <v>0</v>
      </c>
      <c r="CF155" s="11">
        <v>0</v>
      </c>
      <c r="CG155" s="11">
        <v>0</v>
      </c>
      <c r="CH155" s="11">
        <v>0</v>
      </c>
      <c r="CI155" s="11">
        <v>0</v>
      </c>
      <c r="CJ155" s="11">
        <v>0</v>
      </c>
      <c r="CK155" s="11">
        <v>0</v>
      </c>
    </row>
    <row r="156" spans="1:89" x14ac:dyDescent="0.2">
      <c r="A156" s="14" t="s">
        <v>238</v>
      </c>
      <c r="B156" s="15">
        <f t="shared" ref="B156:AG156" si="87">SUM(B151:B155)</f>
        <v>309148.12</v>
      </c>
      <c r="C156" s="15">
        <f t="shared" si="87"/>
        <v>308740.21000000002</v>
      </c>
      <c r="D156" s="15">
        <f t="shared" si="87"/>
        <v>257944.98</v>
      </c>
      <c r="E156" s="15">
        <f t="shared" si="87"/>
        <v>324674.40000000002</v>
      </c>
      <c r="F156" s="15">
        <f t="shared" si="87"/>
        <v>380836.52</v>
      </c>
      <c r="G156" s="15">
        <f t="shared" si="87"/>
        <v>191259.61000000002</v>
      </c>
      <c r="H156" s="15">
        <f t="shared" si="87"/>
        <v>232126.15000000002</v>
      </c>
      <c r="I156" s="15">
        <f t="shared" si="87"/>
        <v>407120.2</v>
      </c>
      <c r="J156" s="15">
        <f t="shared" si="87"/>
        <v>244515.93000000002</v>
      </c>
      <c r="K156" s="15">
        <f t="shared" si="87"/>
        <v>156191.88</v>
      </c>
      <c r="L156" s="15">
        <f t="shared" si="87"/>
        <v>272264.71000000002</v>
      </c>
      <c r="M156" s="15">
        <f t="shared" si="87"/>
        <v>142692.87000000002</v>
      </c>
      <c r="N156" s="15">
        <f t="shared" si="87"/>
        <v>207159.76</v>
      </c>
      <c r="O156" s="15">
        <f t="shared" si="87"/>
        <v>731985.84</v>
      </c>
      <c r="P156" s="15">
        <f t="shared" si="87"/>
        <v>732393.75</v>
      </c>
      <c r="Q156" s="15">
        <f t="shared" si="87"/>
        <v>94090.270000000019</v>
      </c>
      <c r="R156" s="15">
        <f t="shared" si="87"/>
        <v>94697.360000000015</v>
      </c>
      <c r="S156" s="15">
        <f t="shared" si="87"/>
        <v>277275.45</v>
      </c>
      <c r="T156" s="15">
        <f t="shared" si="87"/>
        <v>393964.38</v>
      </c>
      <c r="U156" s="15">
        <f t="shared" si="87"/>
        <v>121850.41000000003</v>
      </c>
      <c r="V156" s="15">
        <f t="shared" si="87"/>
        <v>206003.95</v>
      </c>
      <c r="W156" s="15">
        <f t="shared" si="87"/>
        <v>226238.66</v>
      </c>
      <c r="X156" s="15">
        <f t="shared" si="87"/>
        <v>220472.08000000002</v>
      </c>
      <c r="Y156" s="15">
        <f t="shared" si="87"/>
        <v>279452.22000000003</v>
      </c>
      <c r="Z156" s="15">
        <f t="shared" si="87"/>
        <v>126898.03000000003</v>
      </c>
      <c r="AA156" s="15">
        <f t="shared" si="87"/>
        <v>315139.84000000003</v>
      </c>
      <c r="AB156" s="15">
        <f t="shared" si="87"/>
        <v>139461.15000000002</v>
      </c>
      <c r="AC156" s="15">
        <f t="shared" si="87"/>
        <v>212669.95</v>
      </c>
      <c r="AD156" s="15">
        <f t="shared" si="87"/>
        <v>66890.130000000019</v>
      </c>
      <c r="AE156" s="15">
        <f t="shared" si="87"/>
        <v>62382.950000000019</v>
      </c>
      <c r="AF156" s="15">
        <f t="shared" si="87"/>
        <v>313678.63</v>
      </c>
      <c r="AG156" s="15">
        <f t="shared" si="87"/>
        <v>338527.69</v>
      </c>
      <c r="AH156" s="15">
        <f t="shared" ref="AH156:BM156" si="88">SUM(AH151:AH155)</f>
        <v>171303.97</v>
      </c>
      <c r="AI156" s="15">
        <f t="shared" si="88"/>
        <v>266918.5</v>
      </c>
      <c r="AJ156" s="15">
        <f t="shared" si="88"/>
        <v>201501.96</v>
      </c>
      <c r="AK156" s="15">
        <f t="shared" si="88"/>
        <v>25338.50999999998</v>
      </c>
      <c r="AL156" s="15">
        <f t="shared" si="88"/>
        <v>113733.06999999998</v>
      </c>
      <c r="AM156" s="15">
        <f t="shared" si="88"/>
        <v>99086.519999999975</v>
      </c>
      <c r="AN156" s="15">
        <f t="shared" si="88"/>
        <v>60874.849999999977</v>
      </c>
      <c r="AO156" s="15">
        <f t="shared" si="88"/>
        <v>20570.889999999978</v>
      </c>
      <c r="AP156" s="15">
        <f t="shared" si="88"/>
        <v>20570.889999999978</v>
      </c>
      <c r="AQ156" s="15">
        <f t="shared" si="88"/>
        <v>62363.969999999979</v>
      </c>
      <c r="AR156" s="15">
        <f t="shared" si="88"/>
        <v>81679.969999999972</v>
      </c>
      <c r="AS156" s="15">
        <f t="shared" si="88"/>
        <v>283128.84999999998</v>
      </c>
      <c r="AT156" s="15">
        <f t="shared" si="88"/>
        <v>59553.639999999985</v>
      </c>
      <c r="AU156" s="15">
        <f t="shared" si="88"/>
        <v>69329.12999999999</v>
      </c>
      <c r="AV156" s="15">
        <f t="shared" si="88"/>
        <v>12029.889999999992</v>
      </c>
      <c r="AW156" s="15">
        <f t="shared" si="88"/>
        <v>25785.349999999991</v>
      </c>
      <c r="AX156" s="15">
        <f t="shared" si="88"/>
        <v>308074.69</v>
      </c>
      <c r="AY156" s="15">
        <f t="shared" si="88"/>
        <v>93262.6</v>
      </c>
      <c r="AZ156" s="15">
        <f t="shared" si="88"/>
        <v>84125.96</v>
      </c>
      <c r="BA156" s="15">
        <f t="shared" si="88"/>
        <v>66738.31</v>
      </c>
      <c r="BB156" s="15">
        <f t="shared" si="88"/>
        <v>9242.130000000001</v>
      </c>
      <c r="BC156" s="15">
        <f t="shared" si="88"/>
        <v>9242.130000000001</v>
      </c>
      <c r="BD156" s="15">
        <f t="shared" si="88"/>
        <v>30544.710000000003</v>
      </c>
      <c r="BE156" s="15">
        <f t="shared" si="88"/>
        <v>33389.210000000006</v>
      </c>
      <c r="BF156" s="15">
        <f t="shared" si="88"/>
        <v>282074.83</v>
      </c>
      <c r="BG156" s="15">
        <f t="shared" si="88"/>
        <v>81955.98000000001</v>
      </c>
      <c r="BH156" s="15">
        <f t="shared" si="88"/>
        <v>324701.81</v>
      </c>
      <c r="BI156" s="15">
        <f t="shared" si="88"/>
        <v>260346.38000000003</v>
      </c>
      <c r="BJ156" s="15">
        <f t="shared" si="88"/>
        <v>70230.960000000021</v>
      </c>
      <c r="BK156" s="15">
        <f t="shared" si="88"/>
        <v>41208.400000000023</v>
      </c>
      <c r="BL156" s="15">
        <f t="shared" si="88"/>
        <v>58187.080000000024</v>
      </c>
      <c r="BM156" s="15">
        <f t="shared" si="88"/>
        <v>64160.60000000002</v>
      </c>
      <c r="BN156" s="15">
        <f t="shared" ref="BN156:CS156" si="89">SUM(BN151:BN155)</f>
        <v>144775.52000000002</v>
      </c>
      <c r="BO156" s="15">
        <f t="shared" si="89"/>
        <v>105573.07</v>
      </c>
      <c r="BP156" s="15">
        <f t="shared" si="89"/>
        <v>32753.47</v>
      </c>
      <c r="BQ156" s="15">
        <f t="shared" si="89"/>
        <v>58240.159999999996</v>
      </c>
      <c r="BR156" s="15">
        <f t="shared" si="89"/>
        <v>27203.139999999996</v>
      </c>
      <c r="BS156" s="15">
        <f t="shared" si="89"/>
        <v>134482.21</v>
      </c>
      <c r="BT156" s="15">
        <f t="shared" si="89"/>
        <v>77726.09</v>
      </c>
      <c r="BU156" s="15">
        <f t="shared" si="89"/>
        <v>256909.53</v>
      </c>
      <c r="BV156" s="15">
        <f t="shared" si="89"/>
        <v>156673.69</v>
      </c>
      <c r="BW156" s="15">
        <f t="shared" si="89"/>
        <v>321659.96999999997</v>
      </c>
      <c r="BX156" s="15">
        <f t="shared" si="89"/>
        <v>109780.12999999998</v>
      </c>
      <c r="BY156" s="15">
        <f t="shared" si="89"/>
        <v>162862.86999999997</v>
      </c>
      <c r="BZ156" s="15">
        <f t="shared" si="89"/>
        <v>240146.86999999997</v>
      </c>
      <c r="CA156" s="15">
        <f t="shared" si="89"/>
        <v>27559.269999999957</v>
      </c>
      <c r="CB156" s="15">
        <f t="shared" si="89"/>
        <v>27559.269999999957</v>
      </c>
      <c r="CC156" s="15">
        <f t="shared" si="89"/>
        <v>69155.529999999955</v>
      </c>
      <c r="CD156" s="15">
        <f t="shared" si="89"/>
        <v>84619.679999999964</v>
      </c>
      <c r="CE156" s="15">
        <f t="shared" si="89"/>
        <v>288104</v>
      </c>
      <c r="CF156" s="15">
        <f t="shared" si="89"/>
        <v>249682.45</v>
      </c>
      <c r="CG156" s="15">
        <f t="shared" si="89"/>
        <v>120586.68000000001</v>
      </c>
      <c r="CH156" s="15">
        <f t="shared" si="89"/>
        <v>83569.320000000007</v>
      </c>
      <c r="CI156" s="15">
        <f t="shared" si="89"/>
        <v>115409.53</v>
      </c>
      <c r="CJ156" s="15">
        <f t="shared" si="89"/>
        <v>34780.300000000003</v>
      </c>
      <c r="CK156" s="15">
        <f t="shared" si="89"/>
        <v>34780.300000000003</v>
      </c>
    </row>
    <row r="157" spans="1:89" x14ac:dyDescent="0.2">
      <c r="A157" s="7" t="s">
        <v>239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</row>
    <row r="158" spans="1:89" x14ac:dyDescent="0.2">
      <c r="A158" s="25" t="s">
        <v>240</v>
      </c>
      <c r="B158" s="11">
        <v>0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0</v>
      </c>
      <c r="BC158" s="11">
        <v>0</v>
      </c>
      <c r="BD158" s="11">
        <v>23882.11</v>
      </c>
      <c r="BE158" s="11">
        <v>22925.350000000002</v>
      </c>
      <c r="BF158" s="11">
        <v>51663.850000000006</v>
      </c>
      <c r="BG158" s="11">
        <v>22925.350000000006</v>
      </c>
      <c r="BH158" s="11">
        <v>22925.350000000006</v>
      </c>
      <c r="BI158" s="11">
        <v>22925.350000000006</v>
      </c>
      <c r="BJ158" s="11">
        <v>7.2759576141834259E-12</v>
      </c>
      <c r="BK158" s="11">
        <v>7.2759576141834259E-12</v>
      </c>
      <c r="BL158" s="11">
        <v>7.2759576141834259E-12</v>
      </c>
      <c r="BM158" s="11">
        <v>7.2759576141834259E-12</v>
      </c>
      <c r="BN158" s="11">
        <v>7.2759576141834259E-12</v>
      </c>
      <c r="BO158" s="11">
        <v>7.2759576141834259E-12</v>
      </c>
      <c r="BP158" s="11">
        <v>22925.350000000006</v>
      </c>
      <c r="BQ158" s="11">
        <v>22925.350000000006</v>
      </c>
      <c r="BR158" s="11">
        <v>28637.350000000006</v>
      </c>
      <c r="BS158" s="11">
        <v>28494.550000000007</v>
      </c>
      <c r="BT158" s="11">
        <v>34708.580000000009</v>
      </c>
      <c r="BU158" s="11">
        <v>36814.880000000012</v>
      </c>
      <c r="BV158" s="11">
        <v>44993.390000000014</v>
      </c>
      <c r="BW158" s="11">
        <v>6854.400000000016</v>
      </c>
      <c r="BX158" s="11">
        <v>1.6370904631912708E-11</v>
      </c>
      <c r="BY158" s="11">
        <v>2106.3000000000166</v>
      </c>
      <c r="BZ158" s="11">
        <v>6104.7000000000171</v>
      </c>
      <c r="CA158" s="11">
        <v>1.7280399333685637E-11</v>
      </c>
      <c r="CB158" s="11">
        <v>1.7280399333685637E-11</v>
      </c>
      <c r="CC158" s="11">
        <v>1.7280399333685637E-11</v>
      </c>
      <c r="CD158" s="11">
        <v>8839.3200000000179</v>
      </c>
      <c r="CE158" s="11">
        <v>1.8189894035458565E-11</v>
      </c>
      <c r="CF158" s="11">
        <v>1.8189894035458565E-11</v>
      </c>
      <c r="CG158" s="11">
        <v>1.8189894035458565E-11</v>
      </c>
      <c r="CH158" s="11">
        <v>1.8189894035458565E-11</v>
      </c>
      <c r="CI158" s="11">
        <v>1.8189894035458565E-11</v>
      </c>
      <c r="CJ158" s="11">
        <v>1.8189894035458565E-11</v>
      </c>
      <c r="CK158" s="11">
        <v>1.8189894035458565E-11</v>
      </c>
    </row>
    <row r="159" spans="1:89" x14ac:dyDescent="0.2">
      <c r="A159" s="25" t="s">
        <v>241</v>
      </c>
      <c r="B159" s="11">
        <v>0</v>
      </c>
      <c r="C159" s="11">
        <v>0</v>
      </c>
      <c r="D159" s="11">
        <v>0</v>
      </c>
      <c r="E159" s="11">
        <v>0</v>
      </c>
      <c r="F159" s="11">
        <v>0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0</v>
      </c>
      <c r="AX159" s="11">
        <v>0</v>
      </c>
      <c r="AY159" s="11">
        <v>0</v>
      </c>
      <c r="AZ159" s="11">
        <v>0</v>
      </c>
      <c r="BA159" s="11">
        <v>0</v>
      </c>
      <c r="BB159" s="11">
        <v>0</v>
      </c>
      <c r="BC159" s="11">
        <v>0</v>
      </c>
      <c r="BD159" s="11">
        <v>0</v>
      </c>
      <c r="BE159" s="11">
        <v>0</v>
      </c>
      <c r="BF159" s="11">
        <v>0</v>
      </c>
      <c r="BG159" s="11">
        <v>0</v>
      </c>
      <c r="BH159" s="11">
        <v>0</v>
      </c>
      <c r="BI159" s="11">
        <v>11900</v>
      </c>
      <c r="BJ159" s="11">
        <v>0</v>
      </c>
      <c r="BK159" s="11">
        <v>0</v>
      </c>
      <c r="BL159" s="11">
        <v>0</v>
      </c>
      <c r="BM159" s="11">
        <v>0</v>
      </c>
      <c r="BN159" s="11">
        <v>0</v>
      </c>
      <c r="BO159" s="11">
        <v>0</v>
      </c>
      <c r="BP159" s="11">
        <v>0</v>
      </c>
      <c r="BQ159" s="11">
        <v>0</v>
      </c>
      <c r="BR159" s="11">
        <v>0</v>
      </c>
      <c r="BS159" s="11">
        <v>0</v>
      </c>
      <c r="BT159" s="11">
        <v>0</v>
      </c>
      <c r="BU159" s="11">
        <v>0</v>
      </c>
      <c r="BV159" s="11">
        <v>0</v>
      </c>
      <c r="BW159" s="11">
        <v>0</v>
      </c>
      <c r="BX159" s="11">
        <v>0</v>
      </c>
      <c r="BY159" s="11">
        <v>0</v>
      </c>
      <c r="BZ159" s="11">
        <v>0</v>
      </c>
      <c r="CA159" s="11">
        <v>0</v>
      </c>
      <c r="CB159" s="11">
        <v>0</v>
      </c>
      <c r="CC159" s="11">
        <v>0</v>
      </c>
      <c r="CD159" s="11">
        <v>0</v>
      </c>
      <c r="CE159" s="11">
        <v>0</v>
      </c>
      <c r="CF159" s="11">
        <v>0</v>
      </c>
      <c r="CG159" s="11">
        <v>0</v>
      </c>
      <c r="CH159" s="11">
        <v>0</v>
      </c>
      <c r="CI159" s="11">
        <v>0</v>
      </c>
      <c r="CJ159" s="11">
        <v>0</v>
      </c>
      <c r="CK159" s="11">
        <v>0</v>
      </c>
    </row>
    <row r="160" spans="1:89" x14ac:dyDescent="0.2">
      <c r="A160" s="25" t="s">
        <v>242</v>
      </c>
      <c r="B160" s="11">
        <v>0</v>
      </c>
      <c r="C160" s="11">
        <v>0</v>
      </c>
      <c r="D160" s="11">
        <v>0</v>
      </c>
      <c r="E160" s="11">
        <v>0</v>
      </c>
      <c r="F160" s="11">
        <v>0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>
        <v>0</v>
      </c>
      <c r="AU160" s="11">
        <v>0</v>
      </c>
      <c r="AV160" s="11">
        <v>0</v>
      </c>
      <c r="AW160" s="11">
        <v>0</v>
      </c>
      <c r="AX160" s="11">
        <v>0</v>
      </c>
      <c r="AY160" s="11">
        <v>0</v>
      </c>
      <c r="AZ160" s="11">
        <v>0</v>
      </c>
      <c r="BA160" s="11">
        <v>0</v>
      </c>
      <c r="BB160" s="11">
        <v>0</v>
      </c>
      <c r="BC160" s="11">
        <v>0</v>
      </c>
      <c r="BD160" s="11">
        <v>0</v>
      </c>
      <c r="BE160" s="11">
        <v>0</v>
      </c>
      <c r="BF160" s="11">
        <v>0</v>
      </c>
      <c r="BG160" s="11">
        <v>0</v>
      </c>
      <c r="BH160" s="11">
        <v>49980</v>
      </c>
      <c r="BI160" s="11">
        <v>0</v>
      </c>
      <c r="BJ160" s="11">
        <v>0</v>
      </c>
      <c r="BK160" s="11">
        <v>0</v>
      </c>
      <c r="BL160" s="11">
        <v>0</v>
      </c>
      <c r="BM160" s="11">
        <v>0</v>
      </c>
      <c r="BN160" s="11">
        <v>0</v>
      </c>
      <c r="BO160" s="11">
        <v>0</v>
      </c>
      <c r="BP160" s="11">
        <v>0</v>
      </c>
      <c r="BQ160" s="11">
        <v>0</v>
      </c>
      <c r="BR160" s="11">
        <v>0</v>
      </c>
      <c r="BS160" s="11">
        <v>0</v>
      </c>
      <c r="BT160" s="11">
        <v>0</v>
      </c>
      <c r="BU160" s="11">
        <v>0</v>
      </c>
      <c r="BV160" s="11">
        <v>0</v>
      </c>
      <c r="BW160" s="11">
        <v>0</v>
      </c>
      <c r="BX160" s="11">
        <v>0</v>
      </c>
      <c r="BY160" s="11">
        <v>0</v>
      </c>
      <c r="BZ160" s="11">
        <v>0</v>
      </c>
      <c r="CA160" s="11">
        <v>11424</v>
      </c>
      <c r="CB160" s="11">
        <v>11424</v>
      </c>
      <c r="CC160" s="11">
        <v>0</v>
      </c>
      <c r="CD160" s="11">
        <v>0</v>
      </c>
      <c r="CE160" s="11">
        <v>0</v>
      </c>
      <c r="CF160" s="11">
        <v>0</v>
      </c>
      <c r="CG160" s="11">
        <v>0</v>
      </c>
      <c r="CH160" s="11">
        <v>0</v>
      </c>
      <c r="CI160" s="11">
        <v>0</v>
      </c>
      <c r="CJ160" s="11">
        <v>0</v>
      </c>
      <c r="CK160" s="11">
        <v>0</v>
      </c>
    </row>
    <row r="161" spans="1:89" x14ac:dyDescent="0.2">
      <c r="A161" s="25" t="s">
        <v>243</v>
      </c>
      <c r="B161" s="11">
        <v>0</v>
      </c>
      <c r="C161" s="11">
        <v>0</v>
      </c>
      <c r="D161" s="11">
        <v>0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>
        <v>0</v>
      </c>
      <c r="AV161" s="11">
        <v>0</v>
      </c>
      <c r="AW161" s="11">
        <v>0</v>
      </c>
      <c r="AX161" s="11">
        <v>0</v>
      </c>
      <c r="AY161" s="11">
        <v>0</v>
      </c>
      <c r="AZ161" s="11">
        <v>0</v>
      </c>
      <c r="BA161" s="11">
        <v>0</v>
      </c>
      <c r="BB161" s="11">
        <v>0</v>
      </c>
      <c r="BC161" s="11">
        <v>0</v>
      </c>
      <c r="BD161" s="11">
        <v>0</v>
      </c>
      <c r="BE161" s="11">
        <v>0</v>
      </c>
      <c r="BF161" s="11">
        <v>0</v>
      </c>
      <c r="BG161" s="11">
        <v>10162.469999999999</v>
      </c>
      <c r="BH161" s="11">
        <v>10181.459999999999</v>
      </c>
      <c r="BI161" s="11">
        <v>10178.099999999999</v>
      </c>
      <c r="BJ161" s="11">
        <v>-1.8189894035458565E-12</v>
      </c>
      <c r="BK161" s="11">
        <v>-1.8189894035458565E-12</v>
      </c>
      <c r="BL161" s="11">
        <v>-1.8189894035458565E-12</v>
      </c>
      <c r="BM161" s="11">
        <v>-1.8189894035458565E-12</v>
      </c>
      <c r="BN161" s="11">
        <v>-1.8189894035458565E-12</v>
      </c>
      <c r="BO161" s="11">
        <v>-1.8189894035458565E-12</v>
      </c>
      <c r="BP161" s="11">
        <v>-1.8189894035458565E-12</v>
      </c>
      <c r="BQ161" s="11">
        <v>-1.8189894035458565E-12</v>
      </c>
      <c r="BR161" s="11">
        <v>-1.8189894035458565E-12</v>
      </c>
      <c r="BS161" s="11">
        <v>-1.8189894035458565E-12</v>
      </c>
      <c r="BT161" s="11">
        <v>-1.8189894035458565E-12</v>
      </c>
      <c r="BU161" s="11">
        <v>-1.8189894035458565E-12</v>
      </c>
      <c r="BV161" s="11">
        <v>-1.8189894035458565E-12</v>
      </c>
      <c r="BW161" s="11">
        <v>-1.8189894035458565E-12</v>
      </c>
      <c r="BX161" s="11">
        <v>-1.8189894035458565E-12</v>
      </c>
      <c r="BY161" s="11">
        <v>-1.8189894035458565E-12</v>
      </c>
      <c r="BZ161" s="11">
        <v>-1.8189894035458565E-12</v>
      </c>
      <c r="CA161" s="11">
        <v>-1.8189894035458565E-12</v>
      </c>
      <c r="CB161" s="11">
        <v>-1.8189894035458565E-12</v>
      </c>
      <c r="CC161" s="11">
        <v>-1.8189894035458565E-12</v>
      </c>
      <c r="CD161" s="11">
        <v>-1.8189894035458565E-12</v>
      </c>
      <c r="CE161" s="11">
        <v>-1.8189894035458565E-12</v>
      </c>
      <c r="CF161" s="11">
        <v>-1.8189894035458565E-12</v>
      </c>
      <c r="CG161" s="11">
        <v>-1.8189894035458565E-12</v>
      </c>
      <c r="CH161" s="11">
        <v>-1.8189894035458565E-12</v>
      </c>
      <c r="CI161" s="11">
        <v>-1.8189894035458565E-12</v>
      </c>
      <c r="CJ161" s="11">
        <v>-1.8189894035458565E-12</v>
      </c>
      <c r="CK161" s="11">
        <v>-1.8189894035458565E-12</v>
      </c>
    </row>
    <row r="162" spans="1:89" x14ac:dyDescent="0.2">
      <c r="A162" s="25" t="s">
        <v>244</v>
      </c>
      <c r="B162" s="11">
        <v>0</v>
      </c>
      <c r="C162" s="11">
        <v>0</v>
      </c>
      <c r="D162" s="11">
        <v>0</v>
      </c>
      <c r="E162" s="11">
        <v>0</v>
      </c>
      <c r="F162" s="11">
        <v>0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>
        <v>0</v>
      </c>
      <c r="AU162" s="11">
        <v>0</v>
      </c>
      <c r="AV162" s="11">
        <v>0</v>
      </c>
      <c r="AW162" s="11">
        <v>0</v>
      </c>
      <c r="AX162" s="11">
        <v>0</v>
      </c>
      <c r="AY162" s="11">
        <v>0</v>
      </c>
      <c r="AZ162" s="11">
        <v>0</v>
      </c>
      <c r="BA162" s="11">
        <v>0</v>
      </c>
      <c r="BB162" s="11">
        <v>19251</v>
      </c>
      <c r="BC162" s="11">
        <v>19251</v>
      </c>
      <c r="BD162" s="11">
        <v>24672</v>
      </c>
      <c r="BE162" s="11">
        <v>26911</v>
      </c>
      <c r="BF162" s="11">
        <v>3882</v>
      </c>
      <c r="BG162" s="11">
        <v>31979</v>
      </c>
      <c r="BH162" s="11">
        <v>42937</v>
      </c>
      <c r="BI162" s="11">
        <v>32546</v>
      </c>
      <c r="BJ162" s="11">
        <v>0</v>
      </c>
      <c r="BK162" s="11">
        <v>18688</v>
      </c>
      <c r="BL162" s="11">
        <v>11360</v>
      </c>
      <c r="BM162" s="11">
        <v>22435</v>
      </c>
      <c r="BN162" s="11">
        <v>29344.25</v>
      </c>
      <c r="BO162" s="11">
        <v>12281.5</v>
      </c>
      <c r="BP162" s="11">
        <v>11276.5</v>
      </c>
      <c r="BQ162" s="11">
        <v>29998.75</v>
      </c>
      <c r="BR162" s="11">
        <v>42512.5</v>
      </c>
      <c r="BS162" s="11">
        <v>51272.25</v>
      </c>
      <c r="BT162" s="11">
        <v>35304</v>
      </c>
      <c r="BU162" s="11">
        <v>83014.75</v>
      </c>
      <c r="BV162" s="11">
        <v>83014.75</v>
      </c>
      <c r="BW162" s="11">
        <v>161065.25</v>
      </c>
      <c r="BX162" s="11">
        <v>210250.5</v>
      </c>
      <c r="BY162" s="11">
        <v>33775.75</v>
      </c>
      <c r="BZ162" s="11">
        <v>32317.5</v>
      </c>
      <c r="CA162" s="11">
        <v>12344.310000000001</v>
      </c>
      <c r="CB162" s="11">
        <v>12344.310000000001</v>
      </c>
      <c r="CC162" s="11">
        <v>33904.31</v>
      </c>
      <c r="CD162" s="11">
        <v>29212.69</v>
      </c>
      <c r="CE162" s="11">
        <v>32185.19</v>
      </c>
      <c r="CF162" s="11">
        <v>0</v>
      </c>
      <c r="CG162" s="11">
        <v>32764</v>
      </c>
      <c r="CH162" s="11">
        <v>23177</v>
      </c>
      <c r="CI162" s="11">
        <v>0</v>
      </c>
      <c r="CJ162" s="11">
        <v>0</v>
      </c>
      <c r="CK162" s="11">
        <v>0</v>
      </c>
    </row>
    <row r="163" spans="1:89" x14ac:dyDescent="0.2">
      <c r="A163" s="14" t="s">
        <v>245</v>
      </c>
      <c r="B163" s="15">
        <f t="shared" ref="B163:AG163" si="90">SUM(B158:B162)</f>
        <v>0</v>
      </c>
      <c r="C163" s="15">
        <f t="shared" si="90"/>
        <v>0</v>
      </c>
      <c r="D163" s="15">
        <f t="shared" si="90"/>
        <v>0</v>
      </c>
      <c r="E163" s="15">
        <f t="shared" si="90"/>
        <v>0</v>
      </c>
      <c r="F163" s="15">
        <f t="shared" si="90"/>
        <v>0</v>
      </c>
      <c r="G163" s="15">
        <f t="shared" si="90"/>
        <v>0</v>
      </c>
      <c r="H163" s="15">
        <f t="shared" si="90"/>
        <v>0</v>
      </c>
      <c r="I163" s="15">
        <f t="shared" si="90"/>
        <v>0</v>
      </c>
      <c r="J163" s="15">
        <f t="shared" si="90"/>
        <v>0</v>
      </c>
      <c r="K163" s="15">
        <f t="shared" si="90"/>
        <v>0</v>
      </c>
      <c r="L163" s="15">
        <f t="shared" si="90"/>
        <v>0</v>
      </c>
      <c r="M163" s="15">
        <f t="shared" si="90"/>
        <v>0</v>
      </c>
      <c r="N163" s="15">
        <f t="shared" si="90"/>
        <v>0</v>
      </c>
      <c r="O163" s="15">
        <f t="shared" si="90"/>
        <v>0</v>
      </c>
      <c r="P163" s="15">
        <f t="shared" si="90"/>
        <v>0</v>
      </c>
      <c r="Q163" s="15">
        <f t="shared" si="90"/>
        <v>0</v>
      </c>
      <c r="R163" s="15">
        <f t="shared" si="90"/>
        <v>0</v>
      </c>
      <c r="S163" s="15">
        <f t="shared" si="90"/>
        <v>0</v>
      </c>
      <c r="T163" s="15">
        <f t="shared" si="90"/>
        <v>0</v>
      </c>
      <c r="U163" s="15">
        <f t="shared" si="90"/>
        <v>0</v>
      </c>
      <c r="V163" s="15">
        <f t="shared" si="90"/>
        <v>0</v>
      </c>
      <c r="W163" s="15">
        <f t="shared" si="90"/>
        <v>0</v>
      </c>
      <c r="X163" s="15">
        <f t="shared" si="90"/>
        <v>0</v>
      </c>
      <c r="Y163" s="15">
        <f t="shared" si="90"/>
        <v>0</v>
      </c>
      <c r="Z163" s="15">
        <f t="shared" si="90"/>
        <v>0</v>
      </c>
      <c r="AA163" s="15">
        <f t="shared" si="90"/>
        <v>0</v>
      </c>
      <c r="AB163" s="15">
        <f t="shared" si="90"/>
        <v>0</v>
      </c>
      <c r="AC163" s="15">
        <f t="shared" si="90"/>
        <v>0</v>
      </c>
      <c r="AD163" s="15">
        <f t="shared" si="90"/>
        <v>0</v>
      </c>
      <c r="AE163" s="15">
        <f t="shared" si="90"/>
        <v>0</v>
      </c>
      <c r="AF163" s="15">
        <f t="shared" si="90"/>
        <v>0</v>
      </c>
      <c r="AG163" s="15">
        <f t="shared" si="90"/>
        <v>0</v>
      </c>
      <c r="AH163" s="15">
        <f t="shared" ref="AH163:BM163" si="91">SUM(AH158:AH162)</f>
        <v>0</v>
      </c>
      <c r="AI163" s="15">
        <f t="shared" si="91"/>
        <v>0</v>
      </c>
      <c r="AJ163" s="15">
        <f t="shared" si="91"/>
        <v>0</v>
      </c>
      <c r="AK163" s="15">
        <f t="shared" si="91"/>
        <v>0</v>
      </c>
      <c r="AL163" s="15">
        <f t="shared" si="91"/>
        <v>0</v>
      </c>
      <c r="AM163" s="15">
        <f t="shared" si="91"/>
        <v>0</v>
      </c>
      <c r="AN163" s="15">
        <f t="shared" si="91"/>
        <v>0</v>
      </c>
      <c r="AO163" s="15">
        <f t="shared" si="91"/>
        <v>0</v>
      </c>
      <c r="AP163" s="15">
        <f t="shared" si="91"/>
        <v>0</v>
      </c>
      <c r="AQ163" s="15">
        <f t="shared" si="91"/>
        <v>0</v>
      </c>
      <c r="AR163" s="15">
        <f t="shared" si="91"/>
        <v>0</v>
      </c>
      <c r="AS163" s="15">
        <f t="shared" si="91"/>
        <v>0</v>
      </c>
      <c r="AT163" s="15">
        <f t="shared" si="91"/>
        <v>0</v>
      </c>
      <c r="AU163" s="15">
        <f t="shared" si="91"/>
        <v>0</v>
      </c>
      <c r="AV163" s="15">
        <f t="shared" si="91"/>
        <v>0</v>
      </c>
      <c r="AW163" s="15">
        <f t="shared" si="91"/>
        <v>0</v>
      </c>
      <c r="AX163" s="15">
        <f t="shared" si="91"/>
        <v>0</v>
      </c>
      <c r="AY163" s="15">
        <f t="shared" si="91"/>
        <v>0</v>
      </c>
      <c r="AZ163" s="15">
        <f t="shared" si="91"/>
        <v>0</v>
      </c>
      <c r="BA163" s="15">
        <f t="shared" si="91"/>
        <v>0</v>
      </c>
      <c r="BB163" s="15">
        <f t="shared" si="91"/>
        <v>19251</v>
      </c>
      <c r="BC163" s="15">
        <f t="shared" si="91"/>
        <v>19251</v>
      </c>
      <c r="BD163" s="15">
        <f t="shared" si="91"/>
        <v>48554.11</v>
      </c>
      <c r="BE163" s="15">
        <f t="shared" si="91"/>
        <v>49836.350000000006</v>
      </c>
      <c r="BF163" s="15">
        <f t="shared" si="91"/>
        <v>55545.850000000006</v>
      </c>
      <c r="BG163" s="15">
        <f t="shared" si="91"/>
        <v>65066.820000000007</v>
      </c>
      <c r="BH163" s="15">
        <f t="shared" si="91"/>
        <v>126023.81</v>
      </c>
      <c r="BI163" s="15">
        <f t="shared" si="91"/>
        <v>77549.450000000012</v>
      </c>
      <c r="BJ163" s="15">
        <f t="shared" si="91"/>
        <v>5.4569682106375694E-12</v>
      </c>
      <c r="BK163" s="15">
        <f t="shared" si="91"/>
        <v>18688.000000000007</v>
      </c>
      <c r="BL163" s="15">
        <f t="shared" si="91"/>
        <v>11360.000000000005</v>
      </c>
      <c r="BM163" s="15">
        <f t="shared" si="91"/>
        <v>22435.000000000007</v>
      </c>
      <c r="BN163" s="15">
        <f t="shared" ref="BN163:CS163" si="92">SUM(BN158:BN162)</f>
        <v>29344.250000000007</v>
      </c>
      <c r="BO163" s="15">
        <f t="shared" si="92"/>
        <v>12281.500000000005</v>
      </c>
      <c r="BP163" s="15">
        <f t="shared" si="92"/>
        <v>34201.850000000006</v>
      </c>
      <c r="BQ163" s="15">
        <f t="shared" si="92"/>
        <v>52924.100000000006</v>
      </c>
      <c r="BR163" s="15">
        <f t="shared" si="92"/>
        <v>71149.850000000006</v>
      </c>
      <c r="BS163" s="15">
        <f t="shared" si="92"/>
        <v>79766.8</v>
      </c>
      <c r="BT163" s="15">
        <f t="shared" si="92"/>
        <v>70012.580000000016</v>
      </c>
      <c r="BU163" s="15">
        <f t="shared" si="92"/>
        <v>119829.63</v>
      </c>
      <c r="BV163" s="15">
        <f t="shared" si="92"/>
        <v>128008.14000000001</v>
      </c>
      <c r="BW163" s="15">
        <f t="shared" si="92"/>
        <v>167919.65000000002</v>
      </c>
      <c r="BX163" s="15">
        <f t="shared" si="92"/>
        <v>210250.5</v>
      </c>
      <c r="BY163" s="15">
        <f t="shared" si="92"/>
        <v>35882.050000000017</v>
      </c>
      <c r="BZ163" s="15">
        <f t="shared" si="92"/>
        <v>38422.200000000012</v>
      </c>
      <c r="CA163" s="15">
        <f t="shared" si="92"/>
        <v>23768.310000000019</v>
      </c>
      <c r="CB163" s="15">
        <f t="shared" si="92"/>
        <v>23768.310000000019</v>
      </c>
      <c r="CC163" s="15">
        <f t="shared" si="92"/>
        <v>33904.310000000012</v>
      </c>
      <c r="CD163" s="15">
        <f t="shared" si="92"/>
        <v>38052.010000000017</v>
      </c>
      <c r="CE163" s="15">
        <f t="shared" si="92"/>
        <v>32185.190000000017</v>
      </c>
      <c r="CF163" s="15">
        <f t="shared" si="92"/>
        <v>1.6370904631912708E-11</v>
      </c>
      <c r="CG163" s="15">
        <f t="shared" si="92"/>
        <v>32764.000000000015</v>
      </c>
      <c r="CH163" s="15">
        <f t="shared" si="92"/>
        <v>23177.000000000015</v>
      </c>
      <c r="CI163" s="15">
        <f t="shared" si="92"/>
        <v>1.6370904631912708E-11</v>
      </c>
      <c r="CJ163" s="15">
        <f t="shared" si="92"/>
        <v>1.6370904631912708E-11</v>
      </c>
      <c r="CK163" s="15">
        <f t="shared" si="92"/>
        <v>1.6370904631912708E-11</v>
      </c>
    </row>
    <row r="164" spans="1:89" x14ac:dyDescent="0.2">
      <c r="A164" s="7" t="s">
        <v>246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</row>
    <row r="165" spans="1:89" x14ac:dyDescent="0.2">
      <c r="A165" s="25" t="s">
        <v>247</v>
      </c>
      <c r="B165" s="11">
        <v>0</v>
      </c>
      <c r="C165" s="11">
        <v>0</v>
      </c>
      <c r="D165" s="11">
        <v>-281.41000000000003</v>
      </c>
      <c r="E165" s="11">
        <v>-281.41000000000003</v>
      </c>
      <c r="F165" s="11">
        <v>-281.41000000000003</v>
      </c>
      <c r="G165" s="11">
        <v>-296.40000000000003</v>
      </c>
      <c r="H165" s="11">
        <v>-296.40000000000003</v>
      </c>
      <c r="I165" s="11">
        <v>-296.40000000000003</v>
      </c>
      <c r="J165" s="11">
        <v>-296.40000000000003</v>
      </c>
      <c r="K165" s="11">
        <v>-296.40000000000003</v>
      </c>
      <c r="L165" s="11">
        <v>-296.40000000000003</v>
      </c>
      <c r="M165" s="11">
        <v>-296.40000000000003</v>
      </c>
      <c r="N165" s="11">
        <v>-296.40000000000003</v>
      </c>
      <c r="O165" s="11">
        <v>-575.57000000000005</v>
      </c>
      <c r="P165" s="11">
        <v>0</v>
      </c>
      <c r="Q165" s="11">
        <v>-322.66000000000003</v>
      </c>
      <c r="R165" s="11">
        <v>-322.66000000000003</v>
      </c>
      <c r="S165" s="11">
        <v>-322.66000000000003</v>
      </c>
      <c r="T165" s="11">
        <v>-322.66000000000003</v>
      </c>
      <c r="U165" s="11">
        <v>-322.66000000000003</v>
      </c>
      <c r="V165" s="11">
        <v>-322.66000000000003</v>
      </c>
      <c r="W165" s="11">
        <v>-322.66000000000003</v>
      </c>
      <c r="X165" s="11">
        <v>-322.66000000000003</v>
      </c>
      <c r="Y165" s="11">
        <v>-633.30999999999995</v>
      </c>
      <c r="Z165" s="11">
        <v>-633.30999999999995</v>
      </c>
      <c r="AA165" s="11">
        <v>-924.77</v>
      </c>
      <c r="AB165" s="11">
        <v>-924.77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-16.670000000000002</v>
      </c>
      <c r="AO165" s="11">
        <v>-16.670000000000002</v>
      </c>
      <c r="AP165" s="11">
        <v>0</v>
      </c>
      <c r="AQ165" s="11">
        <v>0</v>
      </c>
      <c r="AR165" s="11">
        <v>0</v>
      </c>
      <c r="AS165" s="11">
        <v>-232.05</v>
      </c>
      <c r="AT165" s="11">
        <v>-232.05</v>
      </c>
      <c r="AU165" s="11">
        <v>-232.05</v>
      </c>
      <c r="AV165" s="11">
        <v>-232.05</v>
      </c>
      <c r="AW165" s="11">
        <v>-232.05</v>
      </c>
      <c r="AX165" s="11">
        <v>-232.05</v>
      </c>
      <c r="AY165" s="11">
        <v>-232.05</v>
      </c>
      <c r="AZ165" s="11">
        <v>-232.05</v>
      </c>
      <c r="BA165" s="11">
        <v>-232.05</v>
      </c>
      <c r="BB165" s="11">
        <v>0</v>
      </c>
      <c r="BC165" s="11">
        <v>0</v>
      </c>
      <c r="BD165" s="11">
        <v>0</v>
      </c>
      <c r="BE165" s="11">
        <v>0</v>
      </c>
      <c r="BF165" s="11">
        <v>0</v>
      </c>
      <c r="BG165" s="11">
        <v>0</v>
      </c>
      <c r="BH165" s="11">
        <v>0</v>
      </c>
      <c r="BI165" s="11">
        <v>0</v>
      </c>
      <c r="BJ165" s="11">
        <v>0</v>
      </c>
      <c r="BK165" s="11">
        <v>0</v>
      </c>
      <c r="BL165" s="11">
        <v>0</v>
      </c>
      <c r="BM165" s="11">
        <v>0</v>
      </c>
      <c r="BN165" s="11">
        <v>0</v>
      </c>
      <c r="BO165" s="11">
        <v>0</v>
      </c>
      <c r="BP165" s="11">
        <v>0</v>
      </c>
      <c r="BQ165" s="11">
        <v>0</v>
      </c>
      <c r="BR165" s="11">
        <v>0</v>
      </c>
      <c r="BS165" s="11">
        <v>0</v>
      </c>
      <c r="BT165" s="11">
        <v>0</v>
      </c>
      <c r="BU165" s="11">
        <v>0</v>
      </c>
      <c r="BV165" s="11">
        <v>0</v>
      </c>
      <c r="BW165" s="11">
        <v>0</v>
      </c>
      <c r="BX165" s="11">
        <v>0</v>
      </c>
      <c r="BY165" s="11">
        <v>0</v>
      </c>
      <c r="BZ165" s="11">
        <v>0</v>
      </c>
      <c r="CA165" s="11">
        <v>0</v>
      </c>
      <c r="CB165" s="11">
        <v>0</v>
      </c>
      <c r="CC165" s="11">
        <v>0</v>
      </c>
      <c r="CD165" s="11">
        <v>0</v>
      </c>
      <c r="CE165" s="11">
        <v>0</v>
      </c>
      <c r="CF165" s="11">
        <v>0</v>
      </c>
      <c r="CG165" s="11">
        <v>0</v>
      </c>
      <c r="CH165" s="11">
        <v>0</v>
      </c>
      <c r="CI165" s="11">
        <v>0</v>
      </c>
      <c r="CJ165" s="11">
        <v>0</v>
      </c>
      <c r="CK165" s="11">
        <v>0</v>
      </c>
    </row>
    <row r="166" spans="1:89" x14ac:dyDescent="0.2">
      <c r="A166" s="25" t="s">
        <v>248</v>
      </c>
      <c r="B166" s="11">
        <v>0</v>
      </c>
      <c r="C166" s="11">
        <v>0</v>
      </c>
      <c r="D166" s="11">
        <v>-1617.37</v>
      </c>
      <c r="E166" s="11">
        <v>-3734.98</v>
      </c>
      <c r="F166" s="11">
        <v>-5658.54</v>
      </c>
      <c r="G166" s="11">
        <v>-6986.35</v>
      </c>
      <c r="H166" s="11">
        <v>-8502.14</v>
      </c>
      <c r="I166" s="11">
        <v>-10084.939999999999</v>
      </c>
      <c r="J166" s="11">
        <v>-11948.559999999998</v>
      </c>
      <c r="K166" s="11">
        <v>-13573.609999999997</v>
      </c>
      <c r="L166" s="11">
        <v>-15159.139999999998</v>
      </c>
      <c r="M166" s="11">
        <v>-17596.089999999997</v>
      </c>
      <c r="N166" s="11">
        <v>-20046.629999999997</v>
      </c>
      <c r="O166" s="11">
        <v>-22336.049999999996</v>
      </c>
      <c r="P166" s="11">
        <v>3.637978807091713E-12</v>
      </c>
      <c r="Q166" s="11">
        <v>-1963.8499999999963</v>
      </c>
      <c r="R166" s="11">
        <v>-3870.0899999999965</v>
      </c>
      <c r="S166" s="11">
        <v>-6344.9299999999967</v>
      </c>
      <c r="T166" s="11">
        <v>-8381.2899999999972</v>
      </c>
      <c r="U166" s="11">
        <v>-10225.749999999996</v>
      </c>
      <c r="V166" s="11">
        <v>-12061.479999999996</v>
      </c>
      <c r="W166" s="11">
        <v>-13492.739999999996</v>
      </c>
      <c r="X166" s="11">
        <v>-15883.509999999997</v>
      </c>
      <c r="Y166" s="11">
        <v>-17272.609999999997</v>
      </c>
      <c r="Z166" s="11">
        <v>-19400.159999999996</v>
      </c>
      <c r="AA166" s="11">
        <v>-20748.919999999995</v>
      </c>
      <c r="AB166" s="11">
        <v>-21857.419999999995</v>
      </c>
      <c r="AC166" s="11">
        <v>3.637978807091713E-12</v>
      </c>
      <c r="AD166" s="11">
        <v>-879.16999999999632</v>
      </c>
      <c r="AE166" s="11">
        <v>-2243.1499999999965</v>
      </c>
      <c r="AF166" s="11">
        <v>-3835.3799999999965</v>
      </c>
      <c r="AG166" s="11">
        <v>-4900.5499999999965</v>
      </c>
      <c r="AH166" s="11">
        <v>-5978.5699999999961</v>
      </c>
      <c r="AI166" s="11">
        <v>-6918.4299999999957</v>
      </c>
      <c r="AJ166" s="11">
        <v>-8351.0099999999948</v>
      </c>
      <c r="AK166" s="11">
        <v>-9455.5899999999947</v>
      </c>
      <c r="AL166" s="11">
        <v>-10604.489999999994</v>
      </c>
      <c r="AM166" s="11">
        <v>-12523.779999999995</v>
      </c>
      <c r="AN166" s="11">
        <v>-13691.169999999995</v>
      </c>
      <c r="AO166" s="11">
        <v>-14992.209999999995</v>
      </c>
      <c r="AP166" s="11">
        <v>3.637978807091713E-12</v>
      </c>
      <c r="AQ166" s="11">
        <v>-1514.8899999999965</v>
      </c>
      <c r="AR166" s="11">
        <v>-3216.2699999999968</v>
      </c>
      <c r="AS166" s="11">
        <v>-4054.8799999999969</v>
      </c>
      <c r="AT166" s="11">
        <v>-4117.8299999999972</v>
      </c>
      <c r="AU166" s="11">
        <v>-4188.2299999999968</v>
      </c>
      <c r="AV166" s="11">
        <v>-4287.8799999999965</v>
      </c>
      <c r="AW166" s="11">
        <v>-4287.8799999999965</v>
      </c>
      <c r="AX166" s="11">
        <v>-4287.8799999999965</v>
      </c>
      <c r="AY166" s="11">
        <v>-4287.8799999999965</v>
      </c>
      <c r="AZ166" s="11">
        <v>-4287.8799999999965</v>
      </c>
      <c r="BA166" s="11">
        <v>-4287.8799999999965</v>
      </c>
      <c r="BB166" s="11">
        <v>3.637978807091713E-12</v>
      </c>
      <c r="BC166" s="11">
        <v>3.637978807091713E-12</v>
      </c>
      <c r="BD166" s="11">
        <v>3.637978807091713E-12</v>
      </c>
      <c r="BE166" s="11">
        <v>3.637978807091713E-12</v>
      </c>
      <c r="BF166" s="11">
        <v>3.637978807091713E-12</v>
      </c>
      <c r="BG166" s="11">
        <v>3.637978807091713E-12</v>
      </c>
      <c r="BH166" s="11">
        <v>3.637978807091713E-12</v>
      </c>
      <c r="BI166" s="11">
        <v>3.637978807091713E-12</v>
      </c>
      <c r="BJ166" s="11">
        <v>3.637978807091713E-12</v>
      </c>
      <c r="BK166" s="11">
        <v>3.637978807091713E-12</v>
      </c>
      <c r="BL166" s="11">
        <v>3.637978807091713E-12</v>
      </c>
      <c r="BM166" s="11">
        <v>3.637978807091713E-12</v>
      </c>
      <c r="BN166" s="11">
        <v>3.637978807091713E-12</v>
      </c>
      <c r="BO166" s="11">
        <v>3.637978807091713E-12</v>
      </c>
      <c r="BP166" s="11">
        <v>3.637978807091713E-12</v>
      </c>
      <c r="BQ166" s="11">
        <v>3.637978807091713E-12</v>
      </c>
      <c r="BR166" s="11">
        <v>3.637978807091713E-12</v>
      </c>
      <c r="BS166" s="11">
        <v>3.637978807091713E-12</v>
      </c>
      <c r="BT166" s="11">
        <v>3.637978807091713E-12</v>
      </c>
      <c r="BU166" s="11">
        <v>3.637978807091713E-12</v>
      </c>
      <c r="BV166" s="11">
        <v>3.637978807091713E-12</v>
      </c>
      <c r="BW166" s="11">
        <v>3.637978807091713E-12</v>
      </c>
      <c r="BX166" s="11">
        <v>3.637978807091713E-12</v>
      </c>
      <c r="BY166" s="11">
        <v>3.637978807091713E-12</v>
      </c>
      <c r="BZ166" s="11">
        <v>3.637978807091713E-12</v>
      </c>
      <c r="CA166" s="11">
        <v>3.637978807091713E-12</v>
      </c>
      <c r="CB166" s="11">
        <v>3.637978807091713E-12</v>
      </c>
      <c r="CC166" s="11">
        <v>3.637978807091713E-12</v>
      </c>
      <c r="CD166" s="11">
        <v>3.637978807091713E-12</v>
      </c>
      <c r="CE166" s="11">
        <v>3.637978807091713E-12</v>
      </c>
      <c r="CF166" s="11">
        <v>3.637978807091713E-12</v>
      </c>
      <c r="CG166" s="11">
        <v>3.637978807091713E-12</v>
      </c>
      <c r="CH166" s="11">
        <v>3.637978807091713E-12</v>
      </c>
      <c r="CI166" s="11">
        <v>3.637978807091713E-12</v>
      </c>
      <c r="CJ166" s="11">
        <v>3.637978807091713E-12</v>
      </c>
      <c r="CK166" s="11">
        <v>3.637978807091713E-12</v>
      </c>
    </row>
    <row r="167" spans="1:89" x14ac:dyDescent="0.2">
      <c r="A167" s="25" t="s">
        <v>249</v>
      </c>
      <c r="B167" s="11">
        <v>0</v>
      </c>
      <c r="C167" s="11">
        <v>0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-82.61</v>
      </c>
      <c r="AX167" s="11">
        <v>-83.62</v>
      </c>
      <c r="AY167" s="11">
        <v>113.32999999999998</v>
      </c>
      <c r="AZ167" s="11">
        <v>113.32999999999998</v>
      </c>
      <c r="BA167" s="11">
        <v>113.32999999999998</v>
      </c>
      <c r="BB167" s="11">
        <v>-1.4210854715202004E-14</v>
      </c>
      <c r="BC167" s="11">
        <v>-1.4210854715202004E-14</v>
      </c>
      <c r="BD167" s="11">
        <v>-74.260000000000019</v>
      </c>
      <c r="BE167" s="11">
        <v>-111.07000000000002</v>
      </c>
      <c r="BF167" s="11">
        <v>-138.49</v>
      </c>
      <c r="BG167" s="11">
        <v>-168.83</v>
      </c>
      <c r="BH167" s="11">
        <v>-282.09000000000003</v>
      </c>
      <c r="BI167" s="11">
        <v>-367.42</v>
      </c>
      <c r="BJ167" s="11">
        <v>-505.8</v>
      </c>
      <c r="BK167" s="11">
        <v>-794.19</v>
      </c>
      <c r="BL167" s="11">
        <v>-1139.08</v>
      </c>
      <c r="BM167" s="11">
        <v>-2391</v>
      </c>
      <c r="BN167" s="11">
        <v>-5085.43</v>
      </c>
      <c r="BO167" s="11">
        <v>0</v>
      </c>
      <c r="BP167" s="11">
        <v>-253.61</v>
      </c>
      <c r="BQ167" s="11">
        <v>-764.81</v>
      </c>
      <c r="BR167" s="11">
        <v>-1542.09</v>
      </c>
      <c r="BS167" s="11">
        <v>-2235.9899999999998</v>
      </c>
      <c r="BT167" s="11">
        <v>-3264.18</v>
      </c>
      <c r="BU167" s="11">
        <v>-3964.0899999999997</v>
      </c>
      <c r="BV167" s="11">
        <v>-4559.09</v>
      </c>
      <c r="BW167" s="11">
        <v>-5135.45</v>
      </c>
      <c r="BX167" s="11">
        <v>-6268</v>
      </c>
      <c r="BY167" s="11">
        <v>-7656.64</v>
      </c>
      <c r="BZ167" s="11">
        <v>-10875.66</v>
      </c>
      <c r="CA167" s="11">
        <v>-12091.31</v>
      </c>
      <c r="CB167" s="11">
        <v>0</v>
      </c>
      <c r="CC167" s="11">
        <v>-985.58</v>
      </c>
      <c r="CD167" s="11">
        <v>-2441.35</v>
      </c>
      <c r="CE167" s="11">
        <v>-3501.87</v>
      </c>
      <c r="CF167" s="11">
        <v>-4324.95</v>
      </c>
      <c r="CG167" s="11">
        <v>-5356.1399999999994</v>
      </c>
      <c r="CH167" s="11">
        <v>-6601.0899999999992</v>
      </c>
      <c r="CI167" s="11">
        <v>-6849.0699999999988</v>
      </c>
      <c r="CJ167" s="11">
        <v>-6855.4499999999989</v>
      </c>
      <c r="CK167" s="11">
        <v>-6855.4499999999989</v>
      </c>
    </row>
    <row r="168" spans="1:89" x14ac:dyDescent="0.2">
      <c r="A168" s="25" t="s">
        <v>250</v>
      </c>
      <c r="B168" s="11">
        <v>0</v>
      </c>
      <c r="C168" s="11">
        <v>0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-287.33</v>
      </c>
      <c r="AX168" s="11">
        <v>-555.30999999999995</v>
      </c>
      <c r="AY168" s="11">
        <v>-799.94999999999993</v>
      </c>
      <c r="AZ168" s="11">
        <v>-1065.8499999999999</v>
      </c>
      <c r="BA168" s="11">
        <v>-1522.9499999999998</v>
      </c>
      <c r="BB168" s="11">
        <v>2.2737367544323206E-13</v>
      </c>
      <c r="BC168" s="11">
        <v>2.2737367544323206E-13</v>
      </c>
      <c r="BD168" s="11">
        <v>0.86000000000022736</v>
      </c>
      <c r="BE168" s="11">
        <v>-0.37999999999977263</v>
      </c>
      <c r="BF168" s="11">
        <v>-18.269999999999772</v>
      </c>
      <c r="BG168" s="11">
        <v>-18.269999999999772</v>
      </c>
      <c r="BH168" s="11">
        <v>-18.269999999999772</v>
      </c>
      <c r="BI168" s="11">
        <v>-18.269999999999772</v>
      </c>
      <c r="BJ168" s="11">
        <v>-18.269999999999772</v>
      </c>
      <c r="BK168" s="11">
        <v>-18.269999999999772</v>
      </c>
      <c r="BL168" s="11">
        <v>-18.269999999999772</v>
      </c>
      <c r="BM168" s="11">
        <v>-18.269999999999772</v>
      </c>
      <c r="BN168" s="11">
        <v>-18.269999999999772</v>
      </c>
      <c r="BO168" s="11">
        <v>2.2737367544323206E-13</v>
      </c>
      <c r="BP168" s="11">
        <v>2.2737367544323206E-13</v>
      </c>
      <c r="BQ168" s="11">
        <v>2.2737367544323206E-13</v>
      </c>
      <c r="BR168" s="11">
        <v>2.2737367544323206E-13</v>
      </c>
      <c r="BS168" s="11">
        <v>2.2737367544323206E-13</v>
      </c>
      <c r="BT168" s="11">
        <v>2.2737367544323206E-13</v>
      </c>
      <c r="BU168" s="11">
        <v>2.2737367544323206E-13</v>
      </c>
      <c r="BV168" s="11">
        <v>2.2737367544323206E-13</v>
      </c>
      <c r="BW168" s="11">
        <v>2.2737367544323206E-13</v>
      </c>
      <c r="BX168" s="11">
        <v>2.2737367544323206E-13</v>
      </c>
      <c r="BY168" s="11">
        <v>2.2737367544323206E-13</v>
      </c>
      <c r="BZ168" s="11">
        <v>2.2737367544323206E-13</v>
      </c>
      <c r="CA168" s="11">
        <v>2.2737367544323206E-13</v>
      </c>
      <c r="CB168" s="11">
        <v>2.2737367544323206E-13</v>
      </c>
      <c r="CC168" s="11">
        <v>2.2737367544323206E-13</v>
      </c>
      <c r="CD168" s="11">
        <v>2.2737367544323206E-13</v>
      </c>
      <c r="CE168" s="11">
        <v>2.2737367544323206E-13</v>
      </c>
      <c r="CF168" s="11">
        <v>2.2737367544323206E-13</v>
      </c>
      <c r="CG168" s="11">
        <v>2.2737367544323206E-13</v>
      </c>
      <c r="CH168" s="11">
        <v>2.2737367544323206E-13</v>
      </c>
      <c r="CI168" s="11">
        <v>2.2737367544323206E-13</v>
      </c>
      <c r="CJ168" s="11">
        <v>2.2737367544323206E-13</v>
      </c>
      <c r="CK168" s="11">
        <v>2.2737367544323206E-13</v>
      </c>
    </row>
    <row r="169" spans="1:89" x14ac:dyDescent="0.2">
      <c r="A169" s="25" t="s">
        <v>251</v>
      </c>
      <c r="B169" s="11">
        <v>0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0</v>
      </c>
      <c r="AW169" s="11">
        <v>-67.040000000000006</v>
      </c>
      <c r="AX169" s="11">
        <v>-145.52000000000001</v>
      </c>
      <c r="AY169" s="11">
        <v>-212.71</v>
      </c>
      <c r="AZ169" s="11">
        <v>1544.1399999999999</v>
      </c>
      <c r="BA169" s="11">
        <v>3878.0299999999997</v>
      </c>
      <c r="BB169" s="11">
        <v>1208.08</v>
      </c>
      <c r="BC169" s="11">
        <v>0</v>
      </c>
      <c r="BD169" s="11">
        <v>0</v>
      </c>
      <c r="BE169" s="11">
        <v>0</v>
      </c>
      <c r="BF169" s="11">
        <v>0</v>
      </c>
      <c r="BG169" s="11">
        <v>0</v>
      </c>
      <c r="BH169" s="11">
        <v>0</v>
      </c>
      <c r="BI169" s="11">
        <v>0</v>
      </c>
      <c r="BJ169" s="11">
        <v>0</v>
      </c>
      <c r="BK169" s="11">
        <v>0</v>
      </c>
      <c r="BL169" s="11">
        <v>0</v>
      </c>
      <c r="BM169" s="11">
        <v>0</v>
      </c>
      <c r="BN169" s="11">
        <v>0</v>
      </c>
      <c r="BO169" s="11">
        <v>0</v>
      </c>
      <c r="BP169" s="11">
        <v>0</v>
      </c>
      <c r="BQ169" s="11">
        <v>0</v>
      </c>
      <c r="BR169" s="11">
        <v>0</v>
      </c>
      <c r="BS169" s="11">
        <v>0</v>
      </c>
      <c r="BT169" s="11">
        <v>0</v>
      </c>
      <c r="BU169" s="11">
        <v>0</v>
      </c>
      <c r="BV169" s="11">
        <v>0</v>
      </c>
      <c r="BW169" s="11">
        <v>0</v>
      </c>
      <c r="BX169" s="11">
        <v>0</v>
      </c>
      <c r="BY169" s="11">
        <v>0</v>
      </c>
      <c r="BZ169" s="11">
        <v>0</v>
      </c>
      <c r="CA169" s="11">
        <v>0</v>
      </c>
      <c r="CB169" s="11">
        <v>0</v>
      </c>
      <c r="CC169" s="11">
        <v>0</v>
      </c>
      <c r="CD169" s="11">
        <v>0</v>
      </c>
      <c r="CE169" s="11">
        <v>0</v>
      </c>
      <c r="CF169" s="11">
        <v>0</v>
      </c>
      <c r="CG169" s="11">
        <v>0</v>
      </c>
      <c r="CH169" s="11">
        <v>0</v>
      </c>
      <c r="CI169" s="11">
        <v>0</v>
      </c>
      <c r="CJ169" s="11">
        <v>0</v>
      </c>
      <c r="CK169" s="11">
        <v>0</v>
      </c>
    </row>
    <row r="170" spans="1:89" x14ac:dyDescent="0.2">
      <c r="A170" s="25" t="s">
        <v>252</v>
      </c>
      <c r="B170" s="11">
        <v>0</v>
      </c>
      <c r="C170" s="11">
        <v>0</v>
      </c>
      <c r="D170" s="11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-127.55</v>
      </c>
      <c r="P170" s="11">
        <v>0</v>
      </c>
      <c r="Q170" s="11">
        <v>-40.700000000000003</v>
      </c>
      <c r="R170" s="11">
        <v>-40.700000000000003</v>
      </c>
      <c r="S170" s="11">
        <v>-53.09</v>
      </c>
      <c r="T170" s="11">
        <v>-72.89</v>
      </c>
      <c r="U170" s="11">
        <v>-222.45</v>
      </c>
      <c r="V170" s="11">
        <v>-222.45</v>
      </c>
      <c r="W170" s="11">
        <v>-251.16</v>
      </c>
      <c r="X170" s="11">
        <v>-254.29</v>
      </c>
      <c r="Y170" s="11">
        <v>-276.05</v>
      </c>
      <c r="Z170" s="11">
        <v>-276.05</v>
      </c>
      <c r="AA170" s="11">
        <v>-276.05</v>
      </c>
      <c r="AB170" s="11">
        <v>-276.05</v>
      </c>
      <c r="AC170" s="11">
        <v>0</v>
      </c>
      <c r="AD170" s="11">
        <v>-25.51</v>
      </c>
      <c r="AE170" s="11">
        <v>-102.82000000000001</v>
      </c>
      <c r="AF170" s="11">
        <v>-161.19</v>
      </c>
      <c r="AG170" s="11">
        <v>-161.19</v>
      </c>
      <c r="AH170" s="11">
        <v>-165.92</v>
      </c>
      <c r="AI170" s="11">
        <v>-165.92</v>
      </c>
      <c r="AJ170" s="11">
        <v>-165.92</v>
      </c>
      <c r="AK170" s="11">
        <v>-165.92</v>
      </c>
      <c r="AL170" s="11">
        <v>-178.67999999999998</v>
      </c>
      <c r="AM170" s="11">
        <v>-219.05999999999997</v>
      </c>
      <c r="AN170" s="11">
        <v>-219.05999999999997</v>
      </c>
      <c r="AO170" s="11">
        <v>-219.05999999999997</v>
      </c>
      <c r="AP170" s="11">
        <v>2.8421709430404007E-14</v>
      </c>
      <c r="AQ170" s="11">
        <v>-56.50999999999997</v>
      </c>
      <c r="AR170" s="11">
        <v>-56.50999999999997</v>
      </c>
      <c r="AS170" s="11">
        <v>-56.50999999999997</v>
      </c>
      <c r="AT170" s="11">
        <v>-56.50999999999997</v>
      </c>
      <c r="AU170" s="11">
        <v>-56.50999999999997</v>
      </c>
      <c r="AV170" s="11">
        <v>-56.50999999999997</v>
      </c>
      <c r="AW170" s="11">
        <v>-56.50999999999997</v>
      </c>
      <c r="AX170" s="11">
        <v>-56.50999999999997</v>
      </c>
      <c r="AY170" s="11">
        <v>-151.74999999999997</v>
      </c>
      <c r="AZ170" s="11">
        <v>-174.18999999999997</v>
      </c>
      <c r="BA170" s="11">
        <v>-164.15999999999997</v>
      </c>
      <c r="BB170" s="11">
        <v>2.8421709430404007E-14</v>
      </c>
      <c r="BC170" s="11">
        <v>2.8421709430404007E-14</v>
      </c>
      <c r="BD170" s="11">
        <v>-49.459999999999972</v>
      </c>
      <c r="BE170" s="11">
        <v>-63.919999999999973</v>
      </c>
      <c r="BF170" s="11">
        <v>-71.159999999999968</v>
      </c>
      <c r="BG170" s="11">
        <v>-80.389999999999972</v>
      </c>
      <c r="BH170" s="11">
        <v>-85.96999999999997</v>
      </c>
      <c r="BI170" s="11">
        <v>-177.22999999999996</v>
      </c>
      <c r="BJ170" s="11">
        <v>-186.35999999999996</v>
      </c>
      <c r="BK170" s="11">
        <v>-204.13999999999996</v>
      </c>
      <c r="BL170" s="11">
        <v>-232.01999999999995</v>
      </c>
      <c r="BM170" s="11">
        <v>-251.70999999999995</v>
      </c>
      <c r="BN170" s="11">
        <v>-251.70999999999995</v>
      </c>
      <c r="BO170" s="11">
        <v>5.6843418860808015E-14</v>
      </c>
      <c r="BP170" s="11">
        <v>-19.409999999999943</v>
      </c>
      <c r="BQ170" s="11">
        <v>-142.43999999999994</v>
      </c>
      <c r="BR170" s="11">
        <v>-155.61999999999995</v>
      </c>
      <c r="BS170" s="11">
        <v>-158.27999999999994</v>
      </c>
      <c r="BT170" s="11">
        <v>-177.90999999999994</v>
      </c>
      <c r="BU170" s="11">
        <v>-378.86999999999995</v>
      </c>
      <c r="BV170" s="11">
        <v>-651.47</v>
      </c>
      <c r="BW170" s="11">
        <v>-695.2</v>
      </c>
      <c r="BX170" s="11">
        <v>-754.30000000000007</v>
      </c>
      <c r="BY170" s="11">
        <v>-784.16000000000008</v>
      </c>
      <c r="BZ170" s="11">
        <v>-820.83</v>
      </c>
      <c r="CA170" s="11">
        <v>-823.98</v>
      </c>
      <c r="CB170" s="11">
        <v>0</v>
      </c>
      <c r="CC170" s="11">
        <v>-109.25</v>
      </c>
      <c r="CD170" s="11">
        <v>-155.01</v>
      </c>
      <c r="CE170" s="11">
        <v>-165.26999999999998</v>
      </c>
      <c r="CF170" s="11">
        <v>-394.16999999999996</v>
      </c>
      <c r="CG170" s="11">
        <v>-430.59</v>
      </c>
      <c r="CH170" s="11">
        <v>-763.49</v>
      </c>
      <c r="CI170" s="11">
        <v>-763.49</v>
      </c>
      <c r="CJ170" s="11">
        <v>-763.49</v>
      </c>
      <c r="CK170" s="11">
        <v>-763.49</v>
      </c>
    </row>
    <row r="171" spans="1:89" x14ac:dyDescent="0.2">
      <c r="A171" s="25" t="s">
        <v>253</v>
      </c>
      <c r="B171" s="11">
        <v>0</v>
      </c>
      <c r="C171" s="11">
        <v>0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-20893.07</v>
      </c>
      <c r="AX171" s="11">
        <v>-67253</v>
      </c>
      <c r="AY171" s="11">
        <v>-110726.72</v>
      </c>
      <c r="AZ171" s="11">
        <v>-138826.76</v>
      </c>
      <c r="BA171" s="11">
        <v>-161636.78</v>
      </c>
      <c r="BB171" s="11">
        <v>0</v>
      </c>
      <c r="BC171" s="11">
        <v>0</v>
      </c>
      <c r="BD171" s="11">
        <v>-334.81</v>
      </c>
      <c r="BE171" s="11">
        <v>-321.07</v>
      </c>
      <c r="BF171" s="11">
        <v>-1085.8900000000001</v>
      </c>
      <c r="BG171" s="11">
        <v>-833.8900000000001</v>
      </c>
      <c r="BH171" s="11">
        <v>-833.8900000000001</v>
      </c>
      <c r="BI171" s="11">
        <v>-1017.4100000000001</v>
      </c>
      <c r="BJ171" s="11">
        <v>-2159.66</v>
      </c>
      <c r="BK171" s="11">
        <v>-2910.58</v>
      </c>
      <c r="BL171" s="11">
        <v>-1347.78</v>
      </c>
      <c r="BM171" s="11">
        <v>-1347.78</v>
      </c>
      <c r="BN171" s="11">
        <v>-1166.48</v>
      </c>
      <c r="BO171" s="11">
        <v>0</v>
      </c>
      <c r="BP171" s="11">
        <v>0</v>
      </c>
      <c r="BQ171" s="11">
        <v>0</v>
      </c>
      <c r="BR171" s="11">
        <v>-0.96</v>
      </c>
      <c r="BS171" s="11">
        <v>-0.96</v>
      </c>
      <c r="BT171" s="11">
        <v>-0.96</v>
      </c>
      <c r="BU171" s="11">
        <v>-0.96</v>
      </c>
      <c r="BV171" s="11">
        <v>-0.96</v>
      </c>
      <c r="BW171" s="11">
        <v>-0.96</v>
      </c>
      <c r="BX171" s="11">
        <v>-0.96</v>
      </c>
      <c r="BY171" s="11">
        <v>-0.96</v>
      </c>
      <c r="BZ171" s="11">
        <v>-244.53</v>
      </c>
      <c r="CA171" s="11">
        <v>-244.53</v>
      </c>
      <c r="CB171" s="11">
        <v>0</v>
      </c>
      <c r="CC171" s="11">
        <v>0</v>
      </c>
      <c r="CD171" s="11">
        <v>0</v>
      </c>
      <c r="CE171" s="11">
        <v>0</v>
      </c>
      <c r="CF171" s="11">
        <v>0</v>
      </c>
      <c r="CG171" s="11">
        <v>0</v>
      </c>
      <c r="CH171" s="11">
        <v>0</v>
      </c>
      <c r="CI171" s="11">
        <v>14.91</v>
      </c>
      <c r="CJ171" s="11">
        <v>14.91</v>
      </c>
      <c r="CK171" s="11">
        <v>14.91</v>
      </c>
    </row>
    <row r="172" spans="1:89" x14ac:dyDescent="0.2">
      <c r="A172" s="25" t="s">
        <v>254</v>
      </c>
      <c r="B172" s="11">
        <v>0</v>
      </c>
      <c r="C172" s="11">
        <v>0</v>
      </c>
      <c r="D172" s="11">
        <v>-26877.439999999999</v>
      </c>
      <c r="E172" s="11">
        <v>-58568.57</v>
      </c>
      <c r="F172" s="11">
        <v>-121424.88</v>
      </c>
      <c r="G172" s="11">
        <v>-145626.35</v>
      </c>
      <c r="H172" s="11">
        <v>-171623.03</v>
      </c>
      <c r="I172" s="11">
        <v>-355801.27</v>
      </c>
      <c r="J172" s="11">
        <v>-378184.29000000004</v>
      </c>
      <c r="K172" s="11">
        <v>-398335.78</v>
      </c>
      <c r="L172" s="11">
        <v>-454415.06000000006</v>
      </c>
      <c r="M172" s="11">
        <v>-492928.72000000009</v>
      </c>
      <c r="N172" s="11">
        <v>-522166.07000000007</v>
      </c>
      <c r="O172" s="11">
        <v>-658364.59000000008</v>
      </c>
      <c r="P172" s="11">
        <v>-1.1641532182693481E-10</v>
      </c>
      <c r="Q172" s="11">
        <v>-88274.640000000116</v>
      </c>
      <c r="R172" s="11">
        <v>-111749.49000000011</v>
      </c>
      <c r="S172" s="11">
        <v>-174285.56000000011</v>
      </c>
      <c r="T172" s="11">
        <v>-219206.59000000011</v>
      </c>
      <c r="U172" s="11">
        <v>-253564.31000000011</v>
      </c>
      <c r="V172" s="11">
        <v>-314541.66000000009</v>
      </c>
      <c r="W172" s="11">
        <v>-343345.33000000007</v>
      </c>
      <c r="X172" s="11">
        <v>-374056.49000000005</v>
      </c>
      <c r="Y172" s="11">
        <v>-403076.77</v>
      </c>
      <c r="Z172" s="11">
        <v>-432885.48000000004</v>
      </c>
      <c r="AA172" s="11">
        <v>-502912.85000000003</v>
      </c>
      <c r="AB172" s="11">
        <v>-551943.13</v>
      </c>
      <c r="AC172" s="11">
        <v>0</v>
      </c>
      <c r="AD172" s="11">
        <v>-30590.73</v>
      </c>
      <c r="AE172" s="11">
        <v>-59712.89</v>
      </c>
      <c r="AF172" s="11">
        <v>-139855.78999999998</v>
      </c>
      <c r="AG172" s="11">
        <v>-168735.65999999997</v>
      </c>
      <c r="AH172" s="11">
        <v>-213764.43999999997</v>
      </c>
      <c r="AI172" s="11">
        <v>-270594.52999999997</v>
      </c>
      <c r="AJ172" s="11">
        <v>-302948.5</v>
      </c>
      <c r="AK172" s="11">
        <v>-333177.74</v>
      </c>
      <c r="AL172" s="11">
        <v>-373626.61</v>
      </c>
      <c r="AM172" s="11">
        <v>-411451.61</v>
      </c>
      <c r="AN172" s="11">
        <v>-440899.27999999997</v>
      </c>
      <c r="AO172" s="11">
        <v>-470598.22</v>
      </c>
      <c r="AP172" s="11">
        <v>0</v>
      </c>
      <c r="AQ172" s="11">
        <v>-29894.35</v>
      </c>
      <c r="AR172" s="11">
        <v>-62669.36</v>
      </c>
      <c r="AS172" s="11">
        <v>-124408.8</v>
      </c>
      <c r="AT172" s="11">
        <v>-142729.95000000001</v>
      </c>
      <c r="AU172" s="11">
        <v>-199416.96000000002</v>
      </c>
      <c r="AV172" s="11">
        <v>-255666.76</v>
      </c>
      <c r="AW172" s="11">
        <v>-255368.04</v>
      </c>
      <c r="AX172" s="11">
        <v>-267151.67</v>
      </c>
      <c r="AY172" s="11">
        <v>-269196.63999999996</v>
      </c>
      <c r="AZ172" s="11">
        <v>-269629.32999999996</v>
      </c>
      <c r="BA172" s="11">
        <v>-268636.30999999994</v>
      </c>
      <c r="BB172" s="11">
        <v>5.8207660913467407E-11</v>
      </c>
      <c r="BC172" s="11">
        <v>5.8207660913467407E-11</v>
      </c>
      <c r="BD172" s="11">
        <v>-29975.929999999942</v>
      </c>
      <c r="BE172" s="11">
        <v>-55257.629999999946</v>
      </c>
      <c r="BF172" s="11">
        <v>-125712.44999999995</v>
      </c>
      <c r="BG172" s="11">
        <v>-155401.74999999994</v>
      </c>
      <c r="BH172" s="11">
        <v>-269387.04999999993</v>
      </c>
      <c r="BI172" s="11">
        <v>-324510.06999999995</v>
      </c>
      <c r="BJ172" s="11">
        <v>-353077.93999999994</v>
      </c>
      <c r="BK172" s="11">
        <v>-379027.72</v>
      </c>
      <c r="BL172" s="11">
        <v>-420186.11</v>
      </c>
      <c r="BM172" s="11">
        <v>-450501.86</v>
      </c>
      <c r="BN172" s="11">
        <v>-495793.81</v>
      </c>
      <c r="BO172" s="11">
        <v>0</v>
      </c>
      <c r="BP172" s="11">
        <v>-35535.589999999997</v>
      </c>
      <c r="BQ172" s="11">
        <v>-70779.209999999992</v>
      </c>
      <c r="BR172" s="11">
        <v>-106077.69</v>
      </c>
      <c r="BS172" s="11">
        <v>-148835.04</v>
      </c>
      <c r="BT172" s="11">
        <v>-186447.87</v>
      </c>
      <c r="BU172" s="11">
        <v>-252506.41999999998</v>
      </c>
      <c r="BV172" s="11">
        <v>-286677.39</v>
      </c>
      <c r="BW172" s="11">
        <v>-339798.44</v>
      </c>
      <c r="BX172" s="11">
        <v>-370811.48</v>
      </c>
      <c r="BY172" s="11">
        <v>-426867.04</v>
      </c>
      <c r="BZ172" s="11">
        <v>-483224.69999999995</v>
      </c>
      <c r="CA172" s="11">
        <v>-512270.82999999996</v>
      </c>
      <c r="CB172" s="11">
        <v>5.8207660913467407E-11</v>
      </c>
      <c r="CC172" s="11">
        <v>-35051.829999999944</v>
      </c>
      <c r="CD172" s="11">
        <v>-73098.829999999944</v>
      </c>
      <c r="CE172" s="11">
        <v>-143861.40999999995</v>
      </c>
      <c r="CF172" s="11">
        <v>-174096.41999999995</v>
      </c>
      <c r="CG172" s="11">
        <v>-203461.25999999995</v>
      </c>
      <c r="CH172" s="11">
        <v>-242970.88999999996</v>
      </c>
      <c r="CI172" s="11">
        <v>-262290.70999999996</v>
      </c>
      <c r="CJ172" s="11">
        <v>-262290.70999999996</v>
      </c>
      <c r="CK172" s="11">
        <v>-262290.70999999996</v>
      </c>
    </row>
    <row r="173" spans="1:89" x14ac:dyDescent="0.2">
      <c r="A173" s="25" t="s">
        <v>255</v>
      </c>
      <c r="B173" s="11">
        <v>0</v>
      </c>
      <c r="C173" s="11">
        <v>0</v>
      </c>
      <c r="D173" s="11">
        <v>-12236.11</v>
      </c>
      <c r="E173" s="11">
        <v>-46884.32</v>
      </c>
      <c r="F173" s="11">
        <v>-69874.899999999994</v>
      </c>
      <c r="G173" s="11">
        <v>-93209.73</v>
      </c>
      <c r="H173" s="11">
        <v>-72004.209999999992</v>
      </c>
      <c r="I173" s="11">
        <v>-84980.659999999989</v>
      </c>
      <c r="J173" s="11">
        <v>-93921.84</v>
      </c>
      <c r="K173" s="11">
        <v>-94195.44</v>
      </c>
      <c r="L173" s="11">
        <v>-94638.94</v>
      </c>
      <c r="M173" s="11">
        <v>-95908.6</v>
      </c>
      <c r="N173" s="11">
        <v>-109427.70000000001</v>
      </c>
      <c r="O173" s="11">
        <v>-106801.78000000001</v>
      </c>
      <c r="P173" s="11">
        <v>-1.4551915228366852E-11</v>
      </c>
      <c r="Q173" s="11">
        <v>-7623.6200000000144</v>
      </c>
      <c r="R173" s="11">
        <v>-14376.750000000015</v>
      </c>
      <c r="S173" s="11">
        <v>-14949.520000000015</v>
      </c>
      <c r="T173" s="11">
        <v>-26738.140000000014</v>
      </c>
      <c r="U173" s="11">
        <v>-30743.430000000015</v>
      </c>
      <c r="V173" s="11">
        <v>-36441.090000000011</v>
      </c>
      <c r="W173" s="11">
        <v>-42249.970000000008</v>
      </c>
      <c r="X173" s="11">
        <v>-47775.740000000005</v>
      </c>
      <c r="Y173" s="11">
        <v>-52525.680000000008</v>
      </c>
      <c r="Z173" s="11">
        <v>-53765.220000000008</v>
      </c>
      <c r="AA173" s="11">
        <v>-55579.710000000006</v>
      </c>
      <c r="AB173" s="11">
        <v>-57929.05</v>
      </c>
      <c r="AC173" s="11">
        <v>0</v>
      </c>
      <c r="AD173" s="11">
        <v>-53.19</v>
      </c>
      <c r="AE173" s="11">
        <v>-774.25</v>
      </c>
      <c r="AF173" s="11">
        <v>-1760.8600000000001</v>
      </c>
      <c r="AG173" s="11">
        <v>-2024</v>
      </c>
      <c r="AH173" s="11">
        <v>-2077.19</v>
      </c>
      <c r="AI173" s="11">
        <v>-2828.81</v>
      </c>
      <c r="AJ173" s="11">
        <v>-2882</v>
      </c>
      <c r="AK173" s="11">
        <v>-5410.7</v>
      </c>
      <c r="AL173" s="11">
        <v>-9708.75</v>
      </c>
      <c r="AM173" s="11">
        <v>-9921.4</v>
      </c>
      <c r="AN173" s="11">
        <v>-9974.59</v>
      </c>
      <c r="AO173" s="11">
        <v>-10848.84</v>
      </c>
      <c r="AP173" s="11">
        <v>0</v>
      </c>
      <c r="AQ173" s="11">
        <v>-53.19</v>
      </c>
      <c r="AR173" s="11">
        <v>-2838.83</v>
      </c>
      <c r="AS173" s="11">
        <v>-3514.5299999999997</v>
      </c>
      <c r="AT173" s="11">
        <v>-3554.4199999999996</v>
      </c>
      <c r="AU173" s="11">
        <v>-3594.3099999999995</v>
      </c>
      <c r="AV173" s="11">
        <v>-4270.0099999999993</v>
      </c>
      <c r="AW173" s="11">
        <v>-4309.8999999999996</v>
      </c>
      <c r="AX173" s="11">
        <v>-4361</v>
      </c>
      <c r="AY173" s="11">
        <v>-6115.5</v>
      </c>
      <c r="AZ173" s="11">
        <v>-19639.190000000002</v>
      </c>
      <c r="BA173" s="11">
        <v>-28999.24</v>
      </c>
      <c r="BB173" s="11">
        <v>0</v>
      </c>
      <c r="BC173" s="11">
        <v>0</v>
      </c>
      <c r="BD173" s="11">
        <v>-1069.8800000000001</v>
      </c>
      <c r="BE173" s="11">
        <v>-2241.5600000000004</v>
      </c>
      <c r="BF173" s="11">
        <v>-6268.1900000000005</v>
      </c>
      <c r="BG173" s="11">
        <v>-19875.980000000003</v>
      </c>
      <c r="BH173" s="11">
        <v>-27812.720000000001</v>
      </c>
      <c r="BI173" s="11">
        <v>-38072.590000000004</v>
      </c>
      <c r="BJ173" s="11">
        <v>-44603.83</v>
      </c>
      <c r="BK173" s="11">
        <v>-54604.26</v>
      </c>
      <c r="BL173" s="11">
        <v>-56815.850000000006</v>
      </c>
      <c r="BM173" s="11">
        <v>-63692.520000000004</v>
      </c>
      <c r="BN173" s="11">
        <v>-65134.47</v>
      </c>
      <c r="BO173" s="11">
        <v>0</v>
      </c>
      <c r="BP173" s="11">
        <v>-2195.73</v>
      </c>
      <c r="BQ173" s="11">
        <v>-6005.24</v>
      </c>
      <c r="BR173" s="11">
        <v>-11649.11</v>
      </c>
      <c r="BS173" s="11">
        <v>-16923.88</v>
      </c>
      <c r="BT173" s="11">
        <v>-24342.31</v>
      </c>
      <c r="BU173" s="11">
        <v>-33517.410000000003</v>
      </c>
      <c r="BV173" s="11">
        <v>-35798.350000000006</v>
      </c>
      <c r="BW173" s="11">
        <v>-54204.090000000011</v>
      </c>
      <c r="BX173" s="11">
        <v>-69537.91</v>
      </c>
      <c r="BY173" s="11">
        <v>-83407.570000000007</v>
      </c>
      <c r="BZ173" s="11">
        <v>-92833.47</v>
      </c>
      <c r="CA173" s="11">
        <v>-98097.75</v>
      </c>
      <c r="CB173" s="11">
        <v>0</v>
      </c>
      <c r="CC173" s="11">
        <v>-8306.2900000000009</v>
      </c>
      <c r="CD173" s="11">
        <v>-18800.800000000003</v>
      </c>
      <c r="CE173" s="11">
        <v>-32745.520000000004</v>
      </c>
      <c r="CF173" s="11">
        <v>-38043.4</v>
      </c>
      <c r="CG173" s="11">
        <v>-58003.16</v>
      </c>
      <c r="CH173" s="11">
        <v>-80171.14</v>
      </c>
      <c r="CI173" s="11">
        <v>-85979.35</v>
      </c>
      <c r="CJ173" s="11">
        <v>-85979.35</v>
      </c>
      <c r="CK173" s="11">
        <v>-85979.35</v>
      </c>
    </row>
    <row r="174" spans="1:89" x14ac:dyDescent="0.2">
      <c r="A174" s="25" t="s">
        <v>256</v>
      </c>
      <c r="B174" s="11">
        <v>0</v>
      </c>
      <c r="C174" s="11">
        <v>0</v>
      </c>
      <c r="D174" s="11">
        <v>0</v>
      </c>
      <c r="E174" s="11">
        <v>0</v>
      </c>
      <c r="F174" s="11">
        <v>0</v>
      </c>
      <c r="G174" s="11">
        <v>0</v>
      </c>
      <c r="H174" s="11">
        <v>-40025.160000000003</v>
      </c>
      <c r="I174" s="11">
        <v>-47004.11</v>
      </c>
      <c r="J174" s="11">
        <v>-55188.07</v>
      </c>
      <c r="K174" s="11">
        <v>-63950.92</v>
      </c>
      <c r="L174" s="11">
        <v>-73260.259999999995</v>
      </c>
      <c r="M174" s="11">
        <v>-80271.259999999995</v>
      </c>
      <c r="N174" s="11">
        <v>-87221.079999999987</v>
      </c>
      <c r="O174" s="11">
        <v>-95961.00999999998</v>
      </c>
      <c r="P174" s="11">
        <v>1.4551915228366852E-11</v>
      </c>
      <c r="Q174" s="11">
        <v>-2459.0199999999854</v>
      </c>
      <c r="R174" s="11">
        <v>-4918.0399999999854</v>
      </c>
      <c r="S174" s="11">
        <v>-7372.8199999999852</v>
      </c>
      <c r="T174" s="11">
        <v>-13433.229999999985</v>
      </c>
      <c r="U174" s="11">
        <v>-32247.189999999984</v>
      </c>
      <c r="V174" s="11">
        <v>-34714.849999999984</v>
      </c>
      <c r="W174" s="11">
        <v>-25005.169999999984</v>
      </c>
      <c r="X174" s="11">
        <v>-32135.729999999985</v>
      </c>
      <c r="Y174" s="11">
        <v>-38660.289999999986</v>
      </c>
      <c r="Z174" s="11">
        <v>-42428.01999999999</v>
      </c>
      <c r="AA174" s="11">
        <v>-46295.369999999988</v>
      </c>
      <c r="AB174" s="11">
        <v>-97054.109999999986</v>
      </c>
      <c r="AC174" s="11">
        <v>1.4551915228366852E-11</v>
      </c>
      <c r="AD174" s="11">
        <v>-609.57999999998549</v>
      </c>
      <c r="AE174" s="11">
        <v>-609.57999999998549</v>
      </c>
      <c r="AF174" s="11">
        <v>-609.57999999998549</v>
      </c>
      <c r="AG174" s="11">
        <v>-368.46999999998548</v>
      </c>
      <c r="AH174" s="11">
        <v>-2843.9799999999859</v>
      </c>
      <c r="AI174" s="11">
        <v>-2847.399999999986</v>
      </c>
      <c r="AJ174" s="11">
        <v>-2849.129999999986</v>
      </c>
      <c r="AK174" s="11">
        <v>-375.36999999998579</v>
      </c>
      <c r="AL174" s="11">
        <v>-377.12999999998578</v>
      </c>
      <c r="AM174" s="11">
        <v>-378.86999999998579</v>
      </c>
      <c r="AN174" s="11">
        <v>-380.61999999998579</v>
      </c>
      <c r="AO174" s="11">
        <v>253.45000000001426</v>
      </c>
      <c r="AP174" s="11">
        <v>1.4267698134062812E-11</v>
      </c>
      <c r="AQ174" s="11">
        <v>-1.7499999999857323</v>
      </c>
      <c r="AR174" s="11">
        <v>-1.7499999999857323</v>
      </c>
      <c r="AS174" s="11">
        <v>-3.5599999999857324</v>
      </c>
      <c r="AT174" s="11">
        <v>-5.3499999999857319</v>
      </c>
      <c r="AU174" s="11">
        <v>-7.1199999999857315</v>
      </c>
      <c r="AV174" s="11">
        <v>-8.8399999999857322</v>
      </c>
      <c r="AW174" s="11">
        <v>-8.8399999999857322</v>
      </c>
      <c r="AX174" s="11">
        <v>-8.8399999999857322</v>
      </c>
      <c r="AY174" s="11">
        <v>-8.8399999999857322</v>
      </c>
      <c r="AZ174" s="11">
        <v>-8.8399999999857322</v>
      </c>
      <c r="BA174" s="11">
        <v>-8.8399999999857322</v>
      </c>
      <c r="BB174" s="11">
        <v>-1208.0799999999858</v>
      </c>
      <c r="BC174" s="11">
        <v>1.4097167877480388E-11</v>
      </c>
      <c r="BD174" s="11">
        <v>552.1200000000141</v>
      </c>
      <c r="BE174" s="11">
        <v>462.6200000000141</v>
      </c>
      <c r="BF174" s="11">
        <v>1328.6100000000142</v>
      </c>
      <c r="BG174" s="11">
        <v>-1145.439999999986</v>
      </c>
      <c r="BH174" s="11">
        <v>5289.8400000000138</v>
      </c>
      <c r="BI174" s="11">
        <v>6577.1300000000138</v>
      </c>
      <c r="BJ174" s="11">
        <v>6286.9300000000139</v>
      </c>
      <c r="BK174" s="11">
        <v>6187.5500000000138</v>
      </c>
      <c r="BL174" s="11">
        <v>6186.5800000000136</v>
      </c>
      <c r="BM174" s="11">
        <v>6200.1600000000135</v>
      </c>
      <c r="BN174" s="11">
        <v>3489.7300000000137</v>
      </c>
      <c r="BO174" s="11">
        <v>1.3642420526593924E-11</v>
      </c>
      <c r="BP174" s="11">
        <v>1159.6200000000135</v>
      </c>
      <c r="BQ174" s="11">
        <v>5624.3400000000138</v>
      </c>
      <c r="BR174" s="11">
        <v>8693.310000000014</v>
      </c>
      <c r="BS174" s="11">
        <v>6167.0500000000138</v>
      </c>
      <c r="BT174" s="11">
        <v>6086.1900000000142</v>
      </c>
      <c r="BU174" s="11">
        <v>6005.2300000000141</v>
      </c>
      <c r="BV174" s="11">
        <v>5779.2600000000139</v>
      </c>
      <c r="BW174" s="11">
        <v>4811.4600000000137</v>
      </c>
      <c r="BX174" s="11">
        <v>4384.3800000000138</v>
      </c>
      <c r="BY174" s="11">
        <v>4189.8700000000135</v>
      </c>
      <c r="BZ174" s="11">
        <v>1450.0000000000136</v>
      </c>
      <c r="CA174" s="11">
        <v>1356.6300000000138</v>
      </c>
      <c r="CB174" s="11">
        <v>1.3642420526593924E-11</v>
      </c>
      <c r="CC174" s="11">
        <v>-102.88999999998636</v>
      </c>
      <c r="CD174" s="11">
        <v>-626.89999999998633</v>
      </c>
      <c r="CE174" s="11">
        <v>-2463.6899999999864</v>
      </c>
      <c r="CF174" s="11">
        <v>-2496.2999999999865</v>
      </c>
      <c r="CG174" s="11">
        <v>-2912.9099999999867</v>
      </c>
      <c r="CH174" s="11">
        <v>-2970.8099999999868</v>
      </c>
      <c r="CI174" s="11">
        <v>-3001.6599999999867</v>
      </c>
      <c r="CJ174" s="11">
        <v>-3001.6599999999867</v>
      </c>
      <c r="CK174" s="11">
        <v>-3001.6599999999867</v>
      </c>
    </row>
    <row r="175" spans="1:89" x14ac:dyDescent="0.2">
      <c r="A175" s="25" t="s">
        <v>257</v>
      </c>
      <c r="B175" s="11">
        <v>22952.26</v>
      </c>
      <c r="C175" s="11">
        <v>0</v>
      </c>
      <c r="D175" s="11">
        <v>15923.89</v>
      </c>
      <c r="E175" s="11">
        <v>28143.47</v>
      </c>
      <c r="F175" s="11">
        <v>26075.420000000002</v>
      </c>
      <c r="G175" s="11">
        <v>19578.140000000003</v>
      </c>
      <c r="H175" s="11">
        <v>20966.560000000005</v>
      </c>
      <c r="I175" s="11">
        <v>22037.560000000005</v>
      </c>
      <c r="J175" s="11">
        <v>26306.890000000007</v>
      </c>
      <c r="K175" s="11">
        <v>24847.040000000008</v>
      </c>
      <c r="L175" s="11">
        <v>24230.62000000001</v>
      </c>
      <c r="M175" s="11">
        <v>26689.970000000008</v>
      </c>
      <c r="N175" s="11">
        <v>29984.090000000007</v>
      </c>
      <c r="O175" s="11">
        <v>28455.310000000009</v>
      </c>
      <c r="P175" s="11">
        <v>7.2759576141834259E-12</v>
      </c>
      <c r="Q175" s="11">
        <v>30080.620000000006</v>
      </c>
      <c r="R175" s="11">
        <v>22939.540000000008</v>
      </c>
      <c r="S175" s="11">
        <v>32869.12000000001</v>
      </c>
      <c r="T175" s="11">
        <v>30435.23000000001</v>
      </c>
      <c r="U175" s="11">
        <v>28148.490000000013</v>
      </c>
      <c r="V175" s="11">
        <v>22860.560000000012</v>
      </c>
      <c r="W175" s="11">
        <v>18300.530000000013</v>
      </c>
      <c r="X175" s="11">
        <v>34370.280000000013</v>
      </c>
      <c r="Y175" s="11">
        <v>19125.090000000011</v>
      </c>
      <c r="Z175" s="11">
        <v>20699.590000000011</v>
      </c>
      <c r="AA175" s="11">
        <v>18371.630000000012</v>
      </c>
      <c r="AB175" s="11">
        <v>1.0913936421275139E-11</v>
      </c>
      <c r="AC175" s="11">
        <v>1.0913936421275139E-11</v>
      </c>
      <c r="AD175" s="11">
        <v>16625.850000000009</v>
      </c>
      <c r="AE175" s="11">
        <v>18265.920000000009</v>
      </c>
      <c r="AF175" s="11">
        <v>15174.44000000001</v>
      </c>
      <c r="AG175" s="11">
        <v>9.0949470177292824E-12</v>
      </c>
      <c r="AH175" s="11">
        <v>28078.720000000008</v>
      </c>
      <c r="AI175" s="11">
        <v>11451.170000000009</v>
      </c>
      <c r="AJ175" s="11">
        <v>9.0949470177292824E-12</v>
      </c>
      <c r="AK175" s="11">
        <v>15515.840000000009</v>
      </c>
      <c r="AL175" s="11">
        <v>29837.970000000008</v>
      </c>
      <c r="AM175" s="11">
        <v>13675.940000000008</v>
      </c>
      <c r="AN175" s="11">
        <v>14865.240000000007</v>
      </c>
      <c r="AO175" s="11">
        <v>9690.6500000000069</v>
      </c>
      <c r="AP175" s="11">
        <v>7.2759576141834259E-12</v>
      </c>
      <c r="AQ175" s="11">
        <v>18175.440000000006</v>
      </c>
      <c r="AR175" s="11">
        <v>17095.110000000008</v>
      </c>
      <c r="AS175" s="11">
        <v>4848.1500000000087</v>
      </c>
      <c r="AT175" s="11">
        <v>-923.24999999999091</v>
      </c>
      <c r="AU175" s="11">
        <v>3417.580000000009</v>
      </c>
      <c r="AV175" s="11">
        <v>1317.7800000000088</v>
      </c>
      <c r="AW175" s="11">
        <v>5309.7700000000086</v>
      </c>
      <c r="AX175" s="11">
        <v>5777.1300000000083</v>
      </c>
      <c r="AY175" s="11">
        <v>16130.690000000008</v>
      </c>
      <c r="AZ175" s="11">
        <v>4771.2400000000071</v>
      </c>
      <c r="BA175" s="11">
        <v>10447.400000000007</v>
      </c>
      <c r="BB175" s="11">
        <v>2276.5200000000068</v>
      </c>
      <c r="BC175" s="11">
        <v>2276.5200000000068</v>
      </c>
      <c r="BD175" s="11">
        <v>1646.5300000000068</v>
      </c>
      <c r="BE175" s="11">
        <v>2186.7100000000069</v>
      </c>
      <c r="BF175" s="11">
        <v>7647.8700000000063</v>
      </c>
      <c r="BG175" s="11">
        <v>4689.7800000000061</v>
      </c>
      <c r="BH175" s="11">
        <v>1796.4800000000059</v>
      </c>
      <c r="BI175" s="11">
        <v>-58164.409999999996</v>
      </c>
      <c r="BJ175" s="11">
        <v>2500.9900000000052</v>
      </c>
      <c r="BK175" s="11">
        <v>3625.7800000000052</v>
      </c>
      <c r="BL175" s="11">
        <v>5440.9600000000055</v>
      </c>
      <c r="BM175" s="11">
        <v>15095.510000000006</v>
      </c>
      <c r="BN175" s="11">
        <v>7197.9600000000055</v>
      </c>
      <c r="BO175" s="11">
        <v>3854.6300000000056</v>
      </c>
      <c r="BP175" s="11">
        <v>3855.0600000000054</v>
      </c>
      <c r="BQ175" s="11">
        <v>7543.9100000000053</v>
      </c>
      <c r="BR175" s="11">
        <v>11321.450000000004</v>
      </c>
      <c r="BS175" s="11">
        <v>9921.9000000000051</v>
      </c>
      <c r="BT175" s="11">
        <v>8911.1200000000044</v>
      </c>
      <c r="BU175" s="11">
        <v>10946.550000000005</v>
      </c>
      <c r="BV175" s="11">
        <v>7736.6900000000041</v>
      </c>
      <c r="BW175" s="11">
        <v>8877.4900000000034</v>
      </c>
      <c r="BX175" s="11">
        <v>15659.530000000002</v>
      </c>
      <c r="BY175" s="11">
        <v>17323.650000000001</v>
      </c>
      <c r="BZ175" s="11">
        <v>10673.29</v>
      </c>
      <c r="CA175" s="11">
        <v>9064.5</v>
      </c>
      <c r="CB175" s="11">
        <v>9064.5</v>
      </c>
      <c r="CC175" s="11">
        <v>11397.19</v>
      </c>
      <c r="CD175" s="11">
        <v>13816.91</v>
      </c>
      <c r="CE175" s="11">
        <v>11263.5</v>
      </c>
      <c r="CF175" s="11">
        <v>11553.55</v>
      </c>
      <c r="CG175" s="11">
        <v>15617.63</v>
      </c>
      <c r="CH175" s="11">
        <v>17379.939999999999</v>
      </c>
      <c r="CI175" s="11">
        <v>-70.720000000001164</v>
      </c>
      <c r="CJ175" s="11">
        <v>-70.720000000001164</v>
      </c>
      <c r="CK175" s="11">
        <v>-70.720000000001164</v>
      </c>
    </row>
    <row r="176" spans="1:89" x14ac:dyDescent="0.2">
      <c r="A176" s="25" t="s">
        <v>258</v>
      </c>
      <c r="B176" s="11">
        <v>-157.87</v>
      </c>
      <c r="C176" s="11">
        <v>-157.87</v>
      </c>
      <c r="D176" s="11">
        <v>-157.87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-196.2</v>
      </c>
      <c r="O176" s="11">
        <v>-379</v>
      </c>
      <c r="P176" s="11">
        <v>-379</v>
      </c>
      <c r="Q176" s="11">
        <v>-385.5</v>
      </c>
      <c r="R176" s="11">
        <v>-595</v>
      </c>
      <c r="S176" s="11">
        <v>-60</v>
      </c>
      <c r="T176" s="11">
        <v>-60</v>
      </c>
      <c r="U176" s="11">
        <v>-3024.9</v>
      </c>
      <c r="V176" s="11">
        <v>-581.66000000000031</v>
      </c>
      <c r="W176" s="11">
        <v>-3.4106051316484809E-13</v>
      </c>
      <c r="X176" s="11">
        <v>-3.4106051316484809E-13</v>
      </c>
      <c r="Y176" s="11">
        <v>-1003.4700000000004</v>
      </c>
      <c r="Z176" s="11">
        <v>-3.4106051316484809E-13</v>
      </c>
      <c r="AA176" s="11">
        <v>-3.4106051316484809E-13</v>
      </c>
      <c r="AB176" s="11">
        <v>5568.84</v>
      </c>
      <c r="AC176" s="11">
        <v>0</v>
      </c>
      <c r="AD176" s="11">
        <v>0</v>
      </c>
      <c r="AE176" s="11">
        <v>0</v>
      </c>
      <c r="AF176" s="11">
        <v>-537.97</v>
      </c>
      <c r="AG176" s="11">
        <v>3146.4300000000003</v>
      </c>
      <c r="AH176" s="11">
        <v>4.5474735088646412E-13</v>
      </c>
      <c r="AI176" s="11">
        <v>-377.99999999999955</v>
      </c>
      <c r="AJ176" s="11">
        <v>13538.12</v>
      </c>
      <c r="AK176" s="11">
        <v>22.240000000001601</v>
      </c>
      <c r="AL176" s="11">
        <v>-275.63999999999839</v>
      </c>
      <c r="AM176" s="11">
        <v>1.5916157281026244E-12</v>
      </c>
      <c r="AN176" s="11">
        <v>127.50000000000159</v>
      </c>
      <c r="AO176" s="11">
        <v>1.5916157281026244E-12</v>
      </c>
      <c r="AP176" s="11">
        <v>1.5916157281026244E-12</v>
      </c>
      <c r="AQ176" s="11">
        <v>-246.88999999999839</v>
      </c>
      <c r="AR176" s="11">
        <v>-593.99999999999841</v>
      </c>
      <c r="AS176" s="11">
        <v>1.5916157281026244E-12</v>
      </c>
      <c r="AT176" s="11">
        <v>1.5916157281026244E-12</v>
      </c>
      <c r="AU176" s="11">
        <v>1.5916157281026244E-12</v>
      </c>
      <c r="AV176" s="11">
        <v>1.5916157281026244E-12</v>
      </c>
      <c r="AW176" s="11">
        <v>1.5916157281026244E-12</v>
      </c>
      <c r="AX176" s="11">
        <v>1.5916157281026244E-12</v>
      </c>
      <c r="AY176" s="11">
        <v>1.5916157281026244E-12</v>
      </c>
      <c r="AZ176" s="11">
        <v>1.5916157281026244E-12</v>
      </c>
      <c r="BA176" s="11">
        <v>1.5916157281026244E-12</v>
      </c>
      <c r="BB176" s="11">
        <v>1.5916157281026244E-12</v>
      </c>
      <c r="BC176" s="11">
        <v>1.5916157281026244E-12</v>
      </c>
      <c r="BD176" s="11">
        <v>1.5916157281026244E-12</v>
      </c>
      <c r="BE176" s="11">
        <v>1.5916157281026244E-12</v>
      </c>
      <c r="BF176" s="11">
        <v>1.5916157281026244E-12</v>
      </c>
      <c r="BG176" s="11">
        <v>1.5916157281026244E-12</v>
      </c>
      <c r="BH176" s="11">
        <v>1.5916157281026244E-12</v>
      </c>
      <c r="BI176" s="11">
        <v>1.5916157281026244E-12</v>
      </c>
      <c r="BJ176" s="11">
        <v>1.5916157281026244E-12</v>
      </c>
      <c r="BK176" s="11">
        <v>1.5916157281026244E-12</v>
      </c>
      <c r="BL176" s="11">
        <v>1.5916157281026244E-12</v>
      </c>
      <c r="BM176" s="11">
        <v>1.5916157281026244E-12</v>
      </c>
      <c r="BN176" s="11">
        <v>1.5916157281026244E-12</v>
      </c>
      <c r="BO176" s="11">
        <v>1.5916157281026244E-12</v>
      </c>
      <c r="BP176" s="11">
        <v>1.5916157281026244E-12</v>
      </c>
      <c r="BQ176" s="11">
        <v>1.5916157281026244E-12</v>
      </c>
      <c r="BR176" s="11">
        <v>1.5916157281026244E-12</v>
      </c>
      <c r="BS176" s="11">
        <v>1.5916157281026244E-12</v>
      </c>
      <c r="BT176" s="11">
        <v>1.5916157281026244E-12</v>
      </c>
      <c r="BU176" s="11">
        <v>1.5916157281026244E-12</v>
      </c>
      <c r="BV176" s="11">
        <v>1.5916157281026244E-12</v>
      </c>
      <c r="BW176" s="11">
        <v>1.5916157281026244E-12</v>
      </c>
      <c r="BX176" s="11">
        <v>1.5916157281026244E-12</v>
      </c>
      <c r="BY176" s="11">
        <v>1.5916157281026244E-12</v>
      </c>
      <c r="BZ176" s="11">
        <v>1.5916157281026244E-12</v>
      </c>
      <c r="CA176" s="11">
        <v>1.5916157281026244E-12</v>
      </c>
      <c r="CB176" s="11">
        <v>1.5916157281026244E-12</v>
      </c>
      <c r="CC176" s="11">
        <v>1.5916157281026244E-12</v>
      </c>
      <c r="CD176" s="11">
        <v>1.5916157281026244E-12</v>
      </c>
      <c r="CE176" s="11">
        <v>1.5916157281026244E-12</v>
      </c>
      <c r="CF176" s="11">
        <v>1.5916157281026244E-12</v>
      </c>
      <c r="CG176" s="11">
        <v>1.5916157281026244E-12</v>
      </c>
      <c r="CH176" s="11">
        <v>-1199.9099999999985</v>
      </c>
      <c r="CI176" s="11">
        <v>1633.9200000000014</v>
      </c>
      <c r="CJ176" s="11">
        <v>1633.9200000000014</v>
      </c>
      <c r="CK176" s="11">
        <v>1633.9200000000014</v>
      </c>
    </row>
    <row r="177" spans="1:89" x14ac:dyDescent="0.2">
      <c r="A177" s="25" t="s">
        <v>259</v>
      </c>
      <c r="B177" s="11">
        <v>0</v>
      </c>
      <c r="C177" s="11">
        <v>0</v>
      </c>
      <c r="D177" s="11">
        <v>0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0</v>
      </c>
      <c r="BB177" s="11">
        <v>0</v>
      </c>
      <c r="BC177" s="11">
        <v>0</v>
      </c>
      <c r="BD177" s="11">
        <v>0</v>
      </c>
      <c r="BE177" s="11">
        <v>0</v>
      </c>
      <c r="BF177" s="11">
        <v>0</v>
      </c>
      <c r="BG177" s="11">
        <v>0</v>
      </c>
      <c r="BH177" s="11">
        <v>0</v>
      </c>
      <c r="BI177" s="11">
        <v>0</v>
      </c>
      <c r="BJ177" s="11">
        <v>0</v>
      </c>
      <c r="BK177" s="11">
        <v>0</v>
      </c>
      <c r="BL177" s="11">
        <v>0</v>
      </c>
      <c r="BM177" s="11">
        <v>0</v>
      </c>
      <c r="BN177" s="11">
        <v>0</v>
      </c>
      <c r="BO177" s="11">
        <v>0</v>
      </c>
      <c r="BP177" s="11">
        <v>0</v>
      </c>
      <c r="BQ177" s="11">
        <v>0</v>
      </c>
      <c r="BR177" s="11">
        <v>0</v>
      </c>
      <c r="BS177" s="11">
        <v>199</v>
      </c>
      <c r="BT177" s="11">
        <v>0</v>
      </c>
      <c r="BU177" s="11">
        <v>0</v>
      </c>
      <c r="BV177" s="11">
        <v>0</v>
      </c>
      <c r="BW177" s="11">
        <v>0</v>
      </c>
      <c r="BX177" s="11">
        <v>0</v>
      </c>
      <c r="BY177" s="11">
        <v>0</v>
      </c>
      <c r="BZ177" s="11">
        <v>0</v>
      </c>
      <c r="CA177" s="11">
        <v>0</v>
      </c>
      <c r="CB177" s="11">
        <v>0</v>
      </c>
      <c r="CC177" s="11">
        <v>0</v>
      </c>
      <c r="CD177" s="11">
        <v>0</v>
      </c>
      <c r="CE177" s="11">
        <v>0</v>
      </c>
      <c r="CF177" s="11">
        <v>0</v>
      </c>
      <c r="CG177" s="11">
        <v>0</v>
      </c>
      <c r="CH177" s="11">
        <v>0</v>
      </c>
      <c r="CI177" s="11">
        <v>0</v>
      </c>
      <c r="CJ177" s="11">
        <v>0</v>
      </c>
      <c r="CK177" s="11">
        <v>0</v>
      </c>
    </row>
    <row r="178" spans="1:89" x14ac:dyDescent="0.2">
      <c r="A178" s="25" t="s">
        <v>260</v>
      </c>
      <c r="B178" s="11">
        <v>0</v>
      </c>
      <c r="C178" s="11">
        <v>0</v>
      </c>
      <c r="D178" s="11">
        <v>0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-2227.6799999999998</v>
      </c>
      <c r="X178" s="11">
        <v>0</v>
      </c>
      <c r="Y178" s="11">
        <v>0</v>
      </c>
      <c r="Z178" s="11">
        <v>-1116.08</v>
      </c>
      <c r="AA178" s="11">
        <v>-75</v>
      </c>
      <c r="AB178" s="11">
        <v>3260.64</v>
      </c>
      <c r="AC178" s="11">
        <v>0</v>
      </c>
      <c r="AD178" s="11">
        <v>0</v>
      </c>
      <c r="AE178" s="11">
        <v>0</v>
      </c>
      <c r="AF178" s="11">
        <v>7136.17</v>
      </c>
      <c r="AG178" s="11">
        <v>10047.41</v>
      </c>
      <c r="AH178" s="11">
        <v>0</v>
      </c>
      <c r="AI178" s="11">
        <v>0</v>
      </c>
      <c r="AJ178" s="11">
        <v>3982.95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>
        <v>0</v>
      </c>
      <c r="AU178" s="11">
        <v>9</v>
      </c>
      <c r="AV178" s="11">
        <v>0</v>
      </c>
      <c r="AW178" s="11">
        <v>0</v>
      </c>
      <c r="AX178" s="11">
        <v>0</v>
      </c>
      <c r="AY178" s="11">
        <v>0</v>
      </c>
      <c r="AZ178" s="11">
        <v>0</v>
      </c>
      <c r="BA178" s="11">
        <v>0</v>
      </c>
      <c r="BB178" s="11">
        <v>0</v>
      </c>
      <c r="BC178" s="11">
        <v>0</v>
      </c>
      <c r="BD178" s="11">
        <v>0</v>
      </c>
      <c r="BE178" s="11">
        <v>0</v>
      </c>
      <c r="BF178" s="11">
        <v>0</v>
      </c>
      <c r="BG178" s="11">
        <v>0</v>
      </c>
      <c r="BH178" s="11">
        <v>0</v>
      </c>
      <c r="BI178" s="11">
        <v>0</v>
      </c>
      <c r="BJ178" s="11">
        <v>0</v>
      </c>
      <c r="BK178" s="11">
        <v>0</v>
      </c>
      <c r="BL178" s="11">
        <v>0</v>
      </c>
      <c r="BM178" s="11">
        <v>0</v>
      </c>
      <c r="BN178" s="11">
        <v>0</v>
      </c>
      <c r="BO178" s="11">
        <v>0</v>
      </c>
      <c r="BP178" s="11">
        <v>0</v>
      </c>
      <c r="BQ178" s="11">
        <v>0</v>
      </c>
      <c r="BR178" s="11">
        <v>0</v>
      </c>
      <c r="BS178" s="11">
        <v>0</v>
      </c>
      <c r="BT178" s="11">
        <v>0</v>
      </c>
      <c r="BU178" s="11">
        <v>0</v>
      </c>
      <c r="BV178" s="11">
        <v>0</v>
      </c>
      <c r="BW178" s="11">
        <v>0</v>
      </c>
      <c r="BX178" s="11">
        <v>0</v>
      </c>
      <c r="BY178" s="11">
        <v>0</v>
      </c>
      <c r="BZ178" s="11">
        <v>0</v>
      </c>
      <c r="CA178" s="11">
        <v>0</v>
      </c>
      <c r="CB178" s="11">
        <v>0</v>
      </c>
      <c r="CC178" s="11">
        <v>0</v>
      </c>
      <c r="CD178" s="11">
        <v>0</v>
      </c>
      <c r="CE178" s="11">
        <v>0</v>
      </c>
      <c r="CF178" s="11">
        <v>0</v>
      </c>
      <c r="CG178" s="11">
        <v>0</v>
      </c>
      <c r="CH178" s="11">
        <v>0</v>
      </c>
      <c r="CI178" s="11">
        <v>103.5</v>
      </c>
      <c r="CJ178" s="11">
        <v>103.5</v>
      </c>
      <c r="CK178" s="11">
        <v>103.5</v>
      </c>
    </row>
    <row r="179" spans="1:89" x14ac:dyDescent="0.2">
      <c r="A179" s="25" t="s">
        <v>261</v>
      </c>
      <c r="B179" s="11">
        <v>0</v>
      </c>
      <c r="C179" s="11">
        <v>0</v>
      </c>
      <c r="D179" s="11">
        <v>0</v>
      </c>
      <c r="E179" s="11">
        <v>0</v>
      </c>
      <c r="F179" s="11">
        <v>0</v>
      </c>
      <c r="G179" s="11">
        <v>0</v>
      </c>
      <c r="H179" s="11">
        <v>19.170000000000002</v>
      </c>
      <c r="I179" s="11">
        <v>0</v>
      </c>
      <c r="J179" s="11">
        <v>0</v>
      </c>
      <c r="K179" s="11">
        <v>0</v>
      </c>
      <c r="L179" s="11">
        <v>12.6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0</v>
      </c>
      <c r="AW179" s="11">
        <v>0</v>
      </c>
      <c r="AX179" s="11">
        <v>0</v>
      </c>
      <c r="AY179" s="11">
        <v>0</v>
      </c>
      <c r="AZ179" s="11">
        <v>0</v>
      </c>
      <c r="BA179" s="11">
        <v>0</v>
      </c>
      <c r="BB179" s="11">
        <v>0</v>
      </c>
      <c r="BC179" s="11">
        <v>0</v>
      </c>
      <c r="BD179" s="11">
        <v>0</v>
      </c>
      <c r="BE179" s="11">
        <v>0</v>
      </c>
      <c r="BF179" s="11">
        <v>0</v>
      </c>
      <c r="BG179" s="11">
        <v>0</v>
      </c>
      <c r="BH179" s="11">
        <v>0</v>
      </c>
      <c r="BI179" s="11">
        <v>0</v>
      </c>
      <c r="BJ179" s="11">
        <v>0</v>
      </c>
      <c r="BK179" s="11">
        <v>0</v>
      </c>
      <c r="BL179" s="11">
        <v>0</v>
      </c>
      <c r="BM179" s="11">
        <v>0</v>
      </c>
      <c r="BN179" s="11">
        <v>0</v>
      </c>
      <c r="BO179" s="11">
        <v>0</v>
      </c>
      <c r="BP179" s="11">
        <v>0</v>
      </c>
      <c r="BQ179" s="11">
        <v>0</v>
      </c>
      <c r="BR179" s="11">
        <v>0</v>
      </c>
      <c r="BS179" s="11">
        <v>0</v>
      </c>
      <c r="BT179" s="11">
        <v>0</v>
      </c>
      <c r="BU179" s="11">
        <v>0</v>
      </c>
      <c r="BV179" s="11">
        <v>0</v>
      </c>
      <c r="BW179" s="11">
        <v>0</v>
      </c>
      <c r="BX179" s="11">
        <v>0</v>
      </c>
      <c r="BY179" s="11">
        <v>0</v>
      </c>
      <c r="BZ179" s="11">
        <v>0</v>
      </c>
      <c r="CA179" s="11">
        <v>0</v>
      </c>
      <c r="CB179" s="11">
        <v>0</v>
      </c>
      <c r="CC179" s="11">
        <v>0</v>
      </c>
      <c r="CD179" s="11">
        <v>0</v>
      </c>
      <c r="CE179" s="11">
        <v>0</v>
      </c>
      <c r="CF179" s="11">
        <v>0</v>
      </c>
      <c r="CG179" s="11">
        <v>0</v>
      </c>
      <c r="CH179" s="11">
        <v>0</v>
      </c>
      <c r="CI179" s="11">
        <v>0</v>
      </c>
      <c r="CJ179" s="11">
        <v>0</v>
      </c>
      <c r="CK179" s="11">
        <v>0</v>
      </c>
    </row>
    <row r="180" spans="1:89" x14ac:dyDescent="0.2">
      <c r="A180" s="25" t="s">
        <v>262</v>
      </c>
      <c r="B180" s="11">
        <v>62714.13</v>
      </c>
      <c r="C180" s="11">
        <v>62714.13</v>
      </c>
      <c r="D180" s="11">
        <v>62714.13</v>
      </c>
      <c r="E180" s="11">
        <v>62714.13</v>
      </c>
      <c r="F180" s="11">
        <v>62714.13</v>
      </c>
      <c r="G180" s="11">
        <v>62714.13</v>
      </c>
      <c r="H180" s="11">
        <v>62714.13</v>
      </c>
      <c r="I180" s="11">
        <v>62714.13</v>
      </c>
      <c r="J180" s="11">
        <v>62714.13</v>
      </c>
      <c r="K180" s="11">
        <v>62714.13</v>
      </c>
      <c r="L180" s="11">
        <v>62714.13</v>
      </c>
      <c r="M180" s="11">
        <v>62714.13</v>
      </c>
      <c r="N180" s="11">
        <v>62714.13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  <c r="AX180" s="11">
        <v>0</v>
      </c>
      <c r="AY180" s="11">
        <v>0</v>
      </c>
      <c r="AZ180" s="11">
        <v>0</v>
      </c>
      <c r="BA180" s="11">
        <v>0</v>
      </c>
      <c r="BB180" s="11">
        <v>0</v>
      </c>
      <c r="BC180" s="11">
        <v>0</v>
      </c>
      <c r="BD180" s="11">
        <v>0</v>
      </c>
      <c r="BE180" s="11">
        <v>0</v>
      </c>
      <c r="BF180" s="11">
        <v>0</v>
      </c>
      <c r="BG180" s="11">
        <v>0</v>
      </c>
      <c r="BH180" s="11">
        <v>0</v>
      </c>
      <c r="BI180" s="11">
        <v>0</v>
      </c>
      <c r="BJ180" s="11">
        <v>0</v>
      </c>
      <c r="BK180" s="11">
        <v>0</v>
      </c>
      <c r="BL180" s="11">
        <v>0</v>
      </c>
      <c r="BM180" s="11">
        <v>0</v>
      </c>
      <c r="BN180" s="11">
        <v>0</v>
      </c>
      <c r="BO180" s="11">
        <v>0</v>
      </c>
      <c r="BP180" s="11">
        <v>0</v>
      </c>
      <c r="BQ180" s="11">
        <v>0</v>
      </c>
      <c r="BR180" s="11">
        <v>0</v>
      </c>
      <c r="BS180" s="11">
        <v>0</v>
      </c>
      <c r="BT180" s="11">
        <v>0</v>
      </c>
      <c r="BU180" s="11">
        <v>0</v>
      </c>
      <c r="BV180" s="11">
        <v>0</v>
      </c>
      <c r="BW180" s="11">
        <v>0</v>
      </c>
      <c r="BX180" s="11">
        <v>0</v>
      </c>
      <c r="BY180" s="11">
        <v>0</v>
      </c>
      <c r="BZ180" s="11">
        <v>0</v>
      </c>
      <c r="CA180" s="11">
        <v>0</v>
      </c>
      <c r="CB180" s="11">
        <v>0</v>
      </c>
      <c r="CC180" s="11">
        <v>0</v>
      </c>
      <c r="CD180" s="11">
        <v>0</v>
      </c>
      <c r="CE180" s="11">
        <v>0</v>
      </c>
      <c r="CF180" s="11">
        <v>0</v>
      </c>
      <c r="CG180" s="11">
        <v>0</v>
      </c>
      <c r="CH180" s="11">
        <v>0</v>
      </c>
      <c r="CI180" s="11">
        <v>0</v>
      </c>
      <c r="CJ180" s="11">
        <v>0</v>
      </c>
      <c r="CK180" s="11">
        <v>0</v>
      </c>
    </row>
    <row r="181" spans="1:89" x14ac:dyDescent="0.2">
      <c r="A181" s="25" t="s">
        <v>263</v>
      </c>
      <c r="B181" s="11">
        <v>0</v>
      </c>
      <c r="C181" s="11">
        <v>22952.26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28455.31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8829.48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9690.65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11">
        <v>0</v>
      </c>
      <c r="AZ181" s="11">
        <v>0</v>
      </c>
      <c r="BA181" s="11">
        <v>0</v>
      </c>
      <c r="BB181" s="11">
        <v>0</v>
      </c>
      <c r="BC181" s="11">
        <v>0</v>
      </c>
      <c r="BD181" s="11">
        <v>0</v>
      </c>
      <c r="BE181" s="11">
        <v>0</v>
      </c>
      <c r="BF181" s="11">
        <v>0</v>
      </c>
      <c r="BG181" s="11">
        <v>0</v>
      </c>
      <c r="BH181" s="11">
        <v>0</v>
      </c>
      <c r="BI181" s="11">
        <v>0</v>
      </c>
      <c r="BJ181" s="11">
        <v>0</v>
      </c>
      <c r="BK181" s="11">
        <v>0</v>
      </c>
      <c r="BL181" s="11">
        <v>0</v>
      </c>
      <c r="BM181" s="11">
        <v>0</v>
      </c>
      <c r="BN181" s="11">
        <v>0</v>
      </c>
      <c r="BO181" s="11">
        <v>0</v>
      </c>
      <c r="BP181" s="11">
        <v>0</v>
      </c>
      <c r="BQ181" s="11">
        <v>0</v>
      </c>
      <c r="BR181" s="11">
        <v>0</v>
      </c>
      <c r="BS181" s="11">
        <v>0</v>
      </c>
      <c r="BT181" s="11">
        <v>0</v>
      </c>
      <c r="BU181" s="11">
        <v>0</v>
      </c>
      <c r="BV181" s="11">
        <v>0</v>
      </c>
      <c r="BW181" s="11">
        <v>0</v>
      </c>
      <c r="BX181" s="11">
        <v>0</v>
      </c>
      <c r="BY181" s="11">
        <v>0</v>
      </c>
      <c r="BZ181" s="11">
        <v>0</v>
      </c>
      <c r="CA181" s="11">
        <v>0</v>
      </c>
      <c r="CB181" s="11">
        <v>0</v>
      </c>
      <c r="CC181" s="11">
        <v>0</v>
      </c>
      <c r="CD181" s="11">
        <v>0</v>
      </c>
      <c r="CE181" s="11">
        <v>0</v>
      </c>
      <c r="CF181" s="11">
        <v>0</v>
      </c>
      <c r="CG181" s="11">
        <v>0</v>
      </c>
      <c r="CH181" s="11">
        <v>0</v>
      </c>
      <c r="CI181" s="11">
        <v>0</v>
      </c>
      <c r="CJ181" s="11">
        <v>0</v>
      </c>
      <c r="CK181" s="11">
        <v>0</v>
      </c>
    </row>
    <row r="182" spans="1:89" x14ac:dyDescent="0.2">
      <c r="A182" s="25" t="s">
        <v>264</v>
      </c>
      <c r="B182" s="11">
        <v>0</v>
      </c>
      <c r="C182" s="11">
        <v>0</v>
      </c>
      <c r="D182" s="11">
        <v>7938.86</v>
      </c>
      <c r="E182" s="11">
        <v>7938.86</v>
      </c>
      <c r="F182" s="11">
        <v>0</v>
      </c>
      <c r="G182" s="11">
        <v>0</v>
      </c>
      <c r="H182" s="11">
        <v>55</v>
      </c>
      <c r="I182" s="11">
        <v>0</v>
      </c>
      <c r="J182" s="11">
        <v>0</v>
      </c>
      <c r="K182" s="11">
        <v>0</v>
      </c>
      <c r="L182" s="11">
        <v>-902.6</v>
      </c>
      <c r="M182" s="11">
        <v>0</v>
      </c>
      <c r="N182" s="11">
        <v>-3475.16</v>
      </c>
      <c r="O182" s="11">
        <v>434947.59</v>
      </c>
      <c r="P182" s="11">
        <v>434947.59</v>
      </c>
      <c r="Q182" s="11">
        <v>601588.66</v>
      </c>
      <c r="R182" s="11">
        <v>-1252</v>
      </c>
      <c r="S182" s="11">
        <v>0</v>
      </c>
      <c r="T182" s="11">
        <v>0</v>
      </c>
      <c r="U182" s="11">
        <v>19538.580000000002</v>
      </c>
      <c r="V182" s="11">
        <v>19538.580000000002</v>
      </c>
      <c r="W182" s="11">
        <v>0</v>
      </c>
      <c r="X182" s="11">
        <v>0</v>
      </c>
      <c r="Y182" s="11">
        <v>0</v>
      </c>
      <c r="Z182" s="11">
        <v>0</v>
      </c>
      <c r="AA182" s="11">
        <v>134</v>
      </c>
      <c r="AB182" s="11">
        <v>219359.53</v>
      </c>
      <c r="AC182" s="11">
        <v>219359.53</v>
      </c>
      <c r="AD182" s="11">
        <v>0</v>
      </c>
      <c r="AE182" s="11">
        <v>0</v>
      </c>
      <c r="AF182" s="11">
        <v>-99207.98</v>
      </c>
      <c r="AG182" s="11">
        <v>-77228</v>
      </c>
      <c r="AH182" s="11">
        <v>61275.53</v>
      </c>
      <c r="AI182" s="11">
        <v>61077.53</v>
      </c>
      <c r="AJ182" s="11">
        <v>0</v>
      </c>
      <c r="AK182" s="11">
        <v>0</v>
      </c>
      <c r="AL182" s="11">
        <v>-94</v>
      </c>
      <c r="AM182" s="11">
        <v>5848</v>
      </c>
      <c r="AN182" s="11">
        <v>5377</v>
      </c>
      <c r="AO182" s="11">
        <v>5461</v>
      </c>
      <c r="AP182" s="11">
        <v>5461</v>
      </c>
      <c r="AQ182" s="11">
        <v>0.52999999999974534</v>
      </c>
      <c r="AR182" s="11">
        <v>-2.5468516184901091E-13</v>
      </c>
      <c r="AS182" s="11">
        <v>-2.5468516184901091E-13</v>
      </c>
      <c r="AT182" s="11">
        <v>-116581.72</v>
      </c>
      <c r="AU182" s="11">
        <v>86</v>
      </c>
      <c r="AV182" s="11">
        <v>252</v>
      </c>
      <c r="AW182" s="11">
        <v>252</v>
      </c>
      <c r="AX182" s="11">
        <v>252</v>
      </c>
      <c r="AY182" s="11">
        <v>252</v>
      </c>
      <c r="AZ182" s="11">
        <v>0</v>
      </c>
      <c r="BA182" s="11">
        <v>1740.27</v>
      </c>
      <c r="BB182" s="11">
        <v>-868.42999999999984</v>
      </c>
      <c r="BC182" s="11">
        <v>-868.42999999999984</v>
      </c>
      <c r="BD182" s="11">
        <v>2327.88</v>
      </c>
      <c r="BE182" s="11">
        <v>0</v>
      </c>
      <c r="BF182" s="11">
        <v>0</v>
      </c>
      <c r="BG182" s="11">
        <v>0</v>
      </c>
      <c r="BH182" s="11">
        <v>0</v>
      </c>
      <c r="BI182" s="11">
        <v>0</v>
      </c>
      <c r="BJ182" s="11">
        <v>0</v>
      </c>
      <c r="BK182" s="11">
        <v>0</v>
      </c>
      <c r="BL182" s="11">
        <v>0</v>
      </c>
      <c r="BM182" s="11">
        <v>661.89</v>
      </c>
      <c r="BN182" s="11">
        <v>1827.4299999999998</v>
      </c>
      <c r="BO182" s="11">
        <v>-2.2737367544323206E-13</v>
      </c>
      <c r="BP182" s="11">
        <v>3505.3099999999995</v>
      </c>
      <c r="BQ182" s="11">
        <v>-4.5474735088646412E-13</v>
      </c>
      <c r="BR182" s="11">
        <v>-4.5474735088646412E-13</v>
      </c>
      <c r="BS182" s="11">
        <v>-4.5474735088646412E-13</v>
      </c>
      <c r="BT182" s="11">
        <v>-4.5474735088646412E-13</v>
      </c>
      <c r="BU182" s="11">
        <v>-4.5474735088646412E-13</v>
      </c>
      <c r="BV182" s="11">
        <v>55102.35</v>
      </c>
      <c r="BW182" s="11">
        <v>0</v>
      </c>
      <c r="BX182" s="11">
        <v>0</v>
      </c>
      <c r="BY182" s="11">
        <v>0</v>
      </c>
      <c r="BZ182" s="11">
        <v>0</v>
      </c>
      <c r="CA182" s="11">
        <v>0</v>
      </c>
      <c r="CB182" s="11">
        <v>0</v>
      </c>
      <c r="CC182" s="11">
        <v>0</v>
      </c>
      <c r="CD182" s="11">
        <v>-436</v>
      </c>
      <c r="CE182" s="11">
        <v>0</v>
      </c>
      <c r="CF182" s="11">
        <v>0</v>
      </c>
      <c r="CG182" s="11">
        <v>0</v>
      </c>
      <c r="CH182" s="11">
        <v>0</v>
      </c>
      <c r="CI182" s="11">
        <v>0</v>
      </c>
      <c r="CJ182" s="11">
        <v>0</v>
      </c>
      <c r="CK182" s="11">
        <v>0</v>
      </c>
    </row>
    <row r="183" spans="1:89" x14ac:dyDescent="0.2">
      <c r="A183" s="25" t="s">
        <v>265</v>
      </c>
      <c r="B183" s="11">
        <v>10221.040000000001</v>
      </c>
      <c r="C183" s="11">
        <v>10221.040000000001</v>
      </c>
      <c r="D183" s="11">
        <v>1252.6200000000008</v>
      </c>
      <c r="E183" s="11">
        <v>819.27000000000078</v>
      </c>
      <c r="F183" s="11">
        <v>-51.419999999999277</v>
      </c>
      <c r="G183" s="11">
        <v>-199.52999999999929</v>
      </c>
      <c r="H183" s="11">
        <v>-51.419999999999277</v>
      </c>
      <c r="I183" s="11">
        <v>-51.419999999999277</v>
      </c>
      <c r="J183" s="11">
        <v>-51.419999999999277</v>
      </c>
      <c r="K183" s="11">
        <v>-51.419999999999277</v>
      </c>
      <c r="L183" s="11">
        <v>-87.199999999999278</v>
      </c>
      <c r="M183" s="11">
        <v>0.93000000000071736</v>
      </c>
      <c r="N183" s="11">
        <v>1.8300000000007173</v>
      </c>
      <c r="O183" s="11">
        <v>14689.69</v>
      </c>
      <c r="P183" s="11">
        <v>14689.69</v>
      </c>
      <c r="Q183" s="11">
        <v>-4459.4999999999982</v>
      </c>
      <c r="R183" s="11">
        <v>-712.66999999999825</v>
      </c>
      <c r="S183" s="11">
        <v>-1410.3699999999983</v>
      </c>
      <c r="T183" s="11">
        <v>-698.59999999999832</v>
      </c>
      <c r="U183" s="11">
        <v>1516.3500000000015</v>
      </c>
      <c r="V183" s="11">
        <v>-679.70999999999844</v>
      </c>
      <c r="W183" s="11">
        <v>-743.70999999999844</v>
      </c>
      <c r="X183" s="11">
        <v>-491.95999999999844</v>
      </c>
      <c r="Y183" s="11">
        <v>-824.82999999999845</v>
      </c>
      <c r="Z183" s="11">
        <v>-812.82999999999845</v>
      </c>
      <c r="AA183" s="11">
        <v>-1019.8299999999984</v>
      </c>
      <c r="AB183" s="11">
        <v>22407.760000000002</v>
      </c>
      <c r="AC183" s="11">
        <v>22407.760000000002</v>
      </c>
      <c r="AD183" s="11">
        <v>22407.77</v>
      </c>
      <c r="AE183" s="11">
        <v>3835.010000000002</v>
      </c>
      <c r="AF183" s="11">
        <v>4821.8100000000022</v>
      </c>
      <c r="AG183" s="11">
        <v>1835.0200000000023</v>
      </c>
      <c r="AH183" s="11">
        <v>1835.0200000000023</v>
      </c>
      <c r="AI183" s="11">
        <v>3835.0300000000025</v>
      </c>
      <c r="AJ183" s="11">
        <v>3835.0300000000025</v>
      </c>
      <c r="AK183" s="11">
        <v>2959.1900000000023</v>
      </c>
      <c r="AL183" s="11">
        <v>3835.0300000000025</v>
      </c>
      <c r="AM183" s="11">
        <v>5897.7700000000023</v>
      </c>
      <c r="AN183" s="11">
        <v>3835.0300000000025</v>
      </c>
      <c r="AO183" s="11">
        <v>17357.600000000002</v>
      </c>
      <c r="AP183" s="11">
        <v>17357.600000000002</v>
      </c>
      <c r="AQ183" s="11">
        <v>3.637978807091713E-12</v>
      </c>
      <c r="AR183" s="11">
        <v>3.637978807091713E-12</v>
      </c>
      <c r="AS183" s="11">
        <v>3.637978807091713E-12</v>
      </c>
      <c r="AT183" s="11">
        <v>3.637978807091713E-12</v>
      </c>
      <c r="AU183" s="11">
        <v>-117.02999999999636</v>
      </c>
      <c r="AV183" s="11">
        <v>-57.639999999996363</v>
      </c>
      <c r="AW183" s="11">
        <v>1195.5900000000036</v>
      </c>
      <c r="AX183" s="11">
        <v>-57.639999999996462</v>
      </c>
      <c r="AY183" s="11">
        <v>-57.639999999996462</v>
      </c>
      <c r="AZ183" s="11">
        <v>-20.82999999999646</v>
      </c>
      <c r="BA183" s="11">
        <v>-337.59999999999644</v>
      </c>
      <c r="BB183" s="11">
        <v>59.390000000003567</v>
      </c>
      <c r="BC183" s="11">
        <v>59.390000000003567</v>
      </c>
      <c r="BD183" s="11">
        <v>1349.2300000000034</v>
      </c>
      <c r="BE183" s="11">
        <v>3201.7100000000037</v>
      </c>
      <c r="BF183" s="11">
        <v>-1725.7799999999961</v>
      </c>
      <c r="BG183" s="11">
        <v>58.30000000000382</v>
      </c>
      <c r="BH183" s="11">
        <v>76.810000000003825</v>
      </c>
      <c r="BI183" s="11">
        <v>-6618.3699999999963</v>
      </c>
      <c r="BJ183" s="11">
        <v>-8352.149999999996</v>
      </c>
      <c r="BK183" s="11">
        <v>3.637978807091713E-12</v>
      </c>
      <c r="BL183" s="11">
        <v>3.637978807091713E-12</v>
      </c>
      <c r="BM183" s="11">
        <v>3.637978807091713E-12</v>
      </c>
      <c r="BN183" s="11">
        <v>3.637978807091713E-12</v>
      </c>
      <c r="BO183" s="11">
        <v>3.637978807091713E-12</v>
      </c>
      <c r="BP183" s="11">
        <v>3.637978807091713E-12</v>
      </c>
      <c r="BQ183" s="11">
        <v>266.90000000000362</v>
      </c>
      <c r="BR183" s="11">
        <v>3.637978807091713E-12</v>
      </c>
      <c r="BS183" s="11">
        <v>-185.57999999999637</v>
      </c>
      <c r="BT183" s="11">
        <v>3.637978807091713E-12</v>
      </c>
      <c r="BU183" s="11">
        <v>3.637978807091713E-12</v>
      </c>
      <c r="BV183" s="11">
        <v>3.637978807091713E-12</v>
      </c>
      <c r="BW183" s="11">
        <v>3.637978807091713E-12</v>
      </c>
      <c r="BX183" s="11">
        <v>1232.0000000000036</v>
      </c>
      <c r="BY183" s="11">
        <v>3.637978807091713E-12</v>
      </c>
      <c r="BZ183" s="11">
        <v>3.637978807091713E-12</v>
      </c>
      <c r="CA183" s="11">
        <v>14637.330000000004</v>
      </c>
      <c r="CB183" s="11">
        <v>14637.330000000004</v>
      </c>
      <c r="CC183" s="11">
        <v>-430.74999999999636</v>
      </c>
      <c r="CD183" s="11">
        <v>-1807.7899999999963</v>
      </c>
      <c r="CE183" s="11">
        <v>-3087.2699999999963</v>
      </c>
      <c r="CF183" s="11">
        <v>-3087.2699999999963</v>
      </c>
      <c r="CG183" s="11">
        <v>-5523.8299999999963</v>
      </c>
      <c r="CH183" s="11">
        <v>-2494.0999999999963</v>
      </c>
      <c r="CI183" s="11">
        <v>-3111.1299999999965</v>
      </c>
      <c r="CJ183" s="11">
        <v>-3111.1299999999965</v>
      </c>
      <c r="CK183" s="11">
        <v>-3111.1299999999965</v>
      </c>
    </row>
    <row r="184" spans="1:89" x14ac:dyDescent="0.2">
      <c r="A184" s="25" t="s">
        <v>266</v>
      </c>
      <c r="B184" s="11">
        <v>-1497.62</v>
      </c>
      <c r="C184" s="11">
        <v>-1497.62</v>
      </c>
      <c r="D184" s="11">
        <v>-197.67999999999984</v>
      </c>
      <c r="E184" s="11">
        <v>-2011.8899999999999</v>
      </c>
      <c r="F184" s="11">
        <v>4388.9400000000005</v>
      </c>
      <c r="G184" s="11">
        <v>1491.1800000000003</v>
      </c>
      <c r="H184" s="11">
        <v>1948.2400000000002</v>
      </c>
      <c r="I184" s="11">
        <v>10207.41</v>
      </c>
      <c r="J184" s="11">
        <v>926.31999999999971</v>
      </c>
      <c r="K184" s="11">
        <v>2544.6399999999994</v>
      </c>
      <c r="L184" s="11">
        <v>-2064.2500000000009</v>
      </c>
      <c r="M184" s="11">
        <v>-1980.5300000000009</v>
      </c>
      <c r="N184" s="11">
        <v>490.07999999999925</v>
      </c>
      <c r="O184" s="11">
        <v>3317.1499999999996</v>
      </c>
      <c r="P184" s="11">
        <v>3317.1499999999996</v>
      </c>
      <c r="Q184" s="11">
        <v>4177.2699999999995</v>
      </c>
      <c r="R184" s="11">
        <v>-811.97000000000025</v>
      </c>
      <c r="S184" s="11">
        <v>-1276.9000000000003</v>
      </c>
      <c r="T184" s="11">
        <v>-446.69000000000028</v>
      </c>
      <c r="U184" s="11">
        <v>4410.2499999999991</v>
      </c>
      <c r="V184" s="11">
        <v>999.63999999999896</v>
      </c>
      <c r="W184" s="11">
        <v>144.28999999999894</v>
      </c>
      <c r="X184" s="11">
        <v>-666.57000000000107</v>
      </c>
      <c r="Y184" s="11">
        <v>-220.39000000000107</v>
      </c>
      <c r="Z184" s="11">
        <v>-701.0400000000011</v>
      </c>
      <c r="AA184" s="11">
        <v>3045.1599999999989</v>
      </c>
      <c r="AB184" s="11">
        <v>-2813.0300000000007</v>
      </c>
      <c r="AC184" s="11">
        <v>-2813.0300000000007</v>
      </c>
      <c r="AD184" s="11">
        <v>-2773.6400000000008</v>
      </c>
      <c r="AE184" s="11">
        <v>-2357.7900000000009</v>
      </c>
      <c r="AF184" s="11">
        <v>-2014.4300000000007</v>
      </c>
      <c r="AG184" s="11">
        <v>-1862.1600000000008</v>
      </c>
      <c r="AH184" s="11">
        <v>-1182.6000000000008</v>
      </c>
      <c r="AI184" s="11">
        <v>-888.83000000000084</v>
      </c>
      <c r="AJ184" s="11">
        <v>-798.15000000000077</v>
      </c>
      <c r="AK184" s="11">
        <v>-381.59000000000077</v>
      </c>
      <c r="AL184" s="11">
        <v>-3.7300000000007572</v>
      </c>
      <c r="AM184" s="11">
        <v>-198.13000000000076</v>
      </c>
      <c r="AN184" s="11">
        <v>-135.74000000000075</v>
      </c>
      <c r="AO184" s="11">
        <v>-48.80000000000075</v>
      </c>
      <c r="AP184" s="11">
        <v>-48.80000000000075</v>
      </c>
      <c r="AQ184" s="11">
        <v>-490.80000000000075</v>
      </c>
      <c r="AR184" s="11">
        <v>-403.16000000000076</v>
      </c>
      <c r="AS184" s="11">
        <v>-138.25000000000074</v>
      </c>
      <c r="AT184" s="11">
        <v>138.83999999999924</v>
      </c>
      <c r="AU184" s="11">
        <v>746.03999999999928</v>
      </c>
      <c r="AV184" s="11">
        <v>313.0799999999993</v>
      </c>
      <c r="AW184" s="11">
        <v>-127.46000000000072</v>
      </c>
      <c r="AX184" s="11">
        <v>574.6399999999993</v>
      </c>
      <c r="AY184" s="11">
        <v>387.75999999999931</v>
      </c>
      <c r="AZ184" s="11">
        <v>533.07999999999925</v>
      </c>
      <c r="BA184" s="11">
        <v>-441.4900000000008</v>
      </c>
      <c r="BB184" s="11">
        <v>-1949.7500000000009</v>
      </c>
      <c r="BC184" s="11">
        <v>-1949.7500000000009</v>
      </c>
      <c r="BD184" s="11">
        <v>-608.97000000000094</v>
      </c>
      <c r="BE184" s="11">
        <v>-634.43000000000097</v>
      </c>
      <c r="BF184" s="11">
        <v>-659.88000000000102</v>
      </c>
      <c r="BG184" s="11">
        <v>-293.33000000000101</v>
      </c>
      <c r="BH184" s="11">
        <v>2014.9999999999989</v>
      </c>
      <c r="BI184" s="11">
        <v>7232.8899999999994</v>
      </c>
      <c r="BJ184" s="11">
        <v>9241.2199999999993</v>
      </c>
      <c r="BK184" s="11">
        <v>1308.4699999999993</v>
      </c>
      <c r="BL184" s="11">
        <v>1892.4699999999993</v>
      </c>
      <c r="BM184" s="11">
        <v>2192.4699999999993</v>
      </c>
      <c r="BN184" s="11">
        <v>2492.4699999999993</v>
      </c>
      <c r="BO184" s="11">
        <v>92.769999999999527</v>
      </c>
      <c r="BP184" s="11">
        <v>92.769999999999527</v>
      </c>
      <c r="BQ184" s="11">
        <v>392.76999999999953</v>
      </c>
      <c r="BR184" s="11">
        <v>692.75999999999954</v>
      </c>
      <c r="BS184" s="11">
        <v>92.749999999999545</v>
      </c>
      <c r="BT184" s="11">
        <v>-1.0000000000459863E-2</v>
      </c>
      <c r="BU184" s="11">
        <v>-2.0000000000459865E-2</v>
      </c>
      <c r="BV184" s="11">
        <v>-4.598647851405957E-13</v>
      </c>
      <c r="BW184" s="11">
        <v>-4.598647851405957E-13</v>
      </c>
      <c r="BX184" s="11">
        <v>-4.7600000000004599</v>
      </c>
      <c r="BY184" s="11">
        <v>-9.5200000000004597</v>
      </c>
      <c r="BZ184" s="11">
        <v>-217.76000000000047</v>
      </c>
      <c r="CA184" s="11">
        <v>-4.8316906031686813E-13</v>
      </c>
      <c r="CB184" s="11">
        <v>-4.8316906031686813E-13</v>
      </c>
      <c r="CC184" s="11">
        <v>-363.31000000000051</v>
      </c>
      <c r="CD184" s="11">
        <v>-134.58000000000052</v>
      </c>
      <c r="CE184" s="11">
        <v>-134.58000000000052</v>
      </c>
      <c r="CF184" s="11">
        <v>-134.58000000000052</v>
      </c>
      <c r="CG184" s="11">
        <v>-371.13000000000056</v>
      </c>
      <c r="CH184" s="11">
        <v>-78.30000000000058</v>
      </c>
      <c r="CI184" s="11">
        <v>-20300.989999999998</v>
      </c>
      <c r="CJ184" s="11">
        <v>-20300.989999999998</v>
      </c>
      <c r="CK184" s="11">
        <v>-20300.989999999998</v>
      </c>
    </row>
    <row r="185" spans="1:89" x14ac:dyDescent="0.2">
      <c r="A185" s="25" t="s">
        <v>267</v>
      </c>
      <c r="B185" s="11">
        <v>0</v>
      </c>
      <c r="C185" s="11">
        <v>0</v>
      </c>
      <c r="D185" s="11">
        <v>0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-269.64</v>
      </c>
      <c r="AX185" s="11">
        <v>-269.64</v>
      </c>
      <c r="AY185" s="11">
        <v>216.10000000000002</v>
      </c>
      <c r="AZ185" s="11">
        <v>2.8421709430404007E-14</v>
      </c>
      <c r="BA185" s="11">
        <v>2.8421709430404007E-14</v>
      </c>
      <c r="BB185" s="11">
        <v>2.8421709430404007E-14</v>
      </c>
      <c r="BC185" s="11">
        <v>2.8421709430404007E-14</v>
      </c>
      <c r="BD185" s="11">
        <v>2.8421709430404007E-14</v>
      </c>
      <c r="BE185" s="11">
        <v>2.8421709430404007E-14</v>
      </c>
      <c r="BF185" s="11">
        <v>2.8421709430404007E-14</v>
      </c>
      <c r="BG185" s="11">
        <v>2.8421709430404007E-14</v>
      </c>
      <c r="BH185" s="11">
        <v>2.8421709430404007E-14</v>
      </c>
      <c r="BI185" s="11">
        <v>2.8421709430404007E-14</v>
      </c>
      <c r="BJ185" s="11">
        <v>2.8421709430404007E-14</v>
      </c>
      <c r="BK185" s="11">
        <v>2.8421709430404007E-14</v>
      </c>
      <c r="BL185" s="11">
        <v>2.8421709430404007E-14</v>
      </c>
      <c r="BM185" s="11">
        <v>2.8421709430404007E-14</v>
      </c>
      <c r="BN185" s="11">
        <v>2.8421709430404007E-14</v>
      </c>
      <c r="BO185" s="11">
        <v>2.8421709430404007E-14</v>
      </c>
      <c r="BP185" s="11">
        <v>2.8421709430404007E-14</v>
      </c>
      <c r="BQ185" s="11">
        <v>2.8421709430404007E-14</v>
      </c>
      <c r="BR185" s="11">
        <v>2.8421709430404007E-14</v>
      </c>
      <c r="BS185" s="11">
        <v>2.8421709430404007E-14</v>
      </c>
      <c r="BT185" s="11">
        <v>2.8421709430404007E-14</v>
      </c>
      <c r="BU185" s="11">
        <v>2.8421709430404007E-14</v>
      </c>
      <c r="BV185" s="11">
        <v>2.8421709430404007E-14</v>
      </c>
      <c r="BW185" s="11">
        <v>2.8421709430404007E-14</v>
      </c>
      <c r="BX185" s="11">
        <v>2.8421709430404007E-14</v>
      </c>
      <c r="BY185" s="11">
        <v>2.8421709430404007E-14</v>
      </c>
      <c r="BZ185" s="11">
        <v>2.8421709430404007E-14</v>
      </c>
      <c r="CA185" s="11">
        <v>1533.87</v>
      </c>
      <c r="CB185" s="11">
        <v>1533.87</v>
      </c>
      <c r="CC185" s="11">
        <v>105</v>
      </c>
      <c r="CD185" s="11">
        <v>220</v>
      </c>
      <c r="CE185" s="11">
        <v>18.139999999999986</v>
      </c>
      <c r="CF185" s="11">
        <v>27.519999999999989</v>
      </c>
      <c r="CG185" s="11">
        <v>36.899999999999991</v>
      </c>
      <c r="CH185" s="11">
        <v>455.15999999999997</v>
      </c>
      <c r="CI185" s="11">
        <v>464.53999999999996</v>
      </c>
      <c r="CJ185" s="11">
        <v>464.53999999999996</v>
      </c>
      <c r="CK185" s="11">
        <v>464.53999999999996</v>
      </c>
    </row>
    <row r="186" spans="1:89" x14ac:dyDescent="0.2">
      <c r="A186" s="25" t="s">
        <v>268</v>
      </c>
      <c r="B186" s="11">
        <v>0</v>
      </c>
      <c r="C186" s="11">
        <v>0</v>
      </c>
      <c r="D186" s="11">
        <v>0</v>
      </c>
      <c r="E186" s="11">
        <v>0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0</v>
      </c>
      <c r="AX186" s="11">
        <v>0</v>
      </c>
      <c r="AY186" s="11">
        <v>0</v>
      </c>
      <c r="AZ186" s="11">
        <v>0</v>
      </c>
      <c r="BA186" s="11">
        <v>0</v>
      </c>
      <c r="BB186" s="11">
        <v>0</v>
      </c>
      <c r="BC186" s="11">
        <v>0</v>
      </c>
      <c r="BD186" s="11">
        <v>0</v>
      </c>
      <c r="BE186" s="11">
        <v>0</v>
      </c>
      <c r="BF186" s="11">
        <v>0</v>
      </c>
      <c r="BG186" s="11">
        <v>0</v>
      </c>
      <c r="BH186" s="11">
        <v>0</v>
      </c>
      <c r="BI186" s="11">
        <v>0</v>
      </c>
      <c r="BJ186" s="11">
        <v>0</v>
      </c>
      <c r="BK186" s="11">
        <v>0</v>
      </c>
      <c r="BL186" s="11">
        <v>0</v>
      </c>
      <c r="BM186" s="11">
        <v>0</v>
      </c>
      <c r="BN186" s="11">
        <v>0</v>
      </c>
      <c r="BO186" s="11">
        <v>0</v>
      </c>
      <c r="BP186" s="11">
        <v>0</v>
      </c>
      <c r="BQ186" s="11">
        <v>0</v>
      </c>
      <c r="BR186" s="11">
        <v>0</v>
      </c>
      <c r="BS186" s="11">
        <v>0</v>
      </c>
      <c r="BT186" s="11">
        <v>0</v>
      </c>
      <c r="BU186" s="11">
        <v>0</v>
      </c>
      <c r="BV186" s="11">
        <v>0</v>
      </c>
      <c r="BW186" s="11">
        <v>0</v>
      </c>
      <c r="BX186" s="11">
        <v>0</v>
      </c>
      <c r="BY186" s="11">
        <v>0</v>
      </c>
      <c r="BZ186" s="11">
        <v>0</v>
      </c>
      <c r="CA186" s="11">
        <v>0</v>
      </c>
      <c r="CB186" s="11">
        <v>0</v>
      </c>
      <c r="CC186" s="11">
        <v>0</v>
      </c>
      <c r="CD186" s="11">
        <v>0</v>
      </c>
      <c r="CE186" s="11">
        <v>0</v>
      </c>
      <c r="CF186" s="11">
        <v>224</v>
      </c>
      <c r="CG186" s="11">
        <v>448</v>
      </c>
      <c r="CH186" s="11">
        <v>672</v>
      </c>
      <c r="CI186" s="11">
        <v>896</v>
      </c>
      <c r="CJ186" s="11">
        <v>896</v>
      </c>
      <c r="CK186" s="11">
        <v>896</v>
      </c>
    </row>
    <row r="187" spans="1:89" x14ac:dyDescent="0.2">
      <c r="A187" s="25" t="s">
        <v>269</v>
      </c>
      <c r="B187" s="11">
        <v>0</v>
      </c>
      <c r="C187" s="11">
        <v>0</v>
      </c>
      <c r="D187" s="11">
        <v>0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  <c r="AX187" s="11">
        <v>0</v>
      </c>
      <c r="AY187" s="11">
        <v>0</v>
      </c>
      <c r="AZ187" s="11">
        <v>0</v>
      </c>
      <c r="BA187" s="11">
        <v>0</v>
      </c>
      <c r="BB187" s="11">
        <v>0</v>
      </c>
      <c r="BC187" s="11">
        <v>0</v>
      </c>
      <c r="BD187" s="11">
        <v>0</v>
      </c>
      <c r="BE187" s="11">
        <v>0</v>
      </c>
      <c r="BF187" s="11">
        <v>0</v>
      </c>
      <c r="BG187" s="11">
        <v>0</v>
      </c>
      <c r="BH187" s="11">
        <v>0</v>
      </c>
      <c r="BI187" s="11">
        <v>0</v>
      </c>
      <c r="BJ187" s="11">
        <v>0</v>
      </c>
      <c r="BK187" s="11">
        <v>0</v>
      </c>
      <c r="BL187" s="11">
        <v>0</v>
      </c>
      <c r="BM187" s="11">
        <v>0</v>
      </c>
      <c r="BN187" s="11">
        <v>0</v>
      </c>
      <c r="BO187" s="11">
        <v>0</v>
      </c>
      <c r="BP187" s="11">
        <v>0</v>
      </c>
      <c r="BQ187" s="11">
        <v>0</v>
      </c>
      <c r="BR187" s="11">
        <v>0</v>
      </c>
      <c r="BS187" s="11">
        <v>0</v>
      </c>
      <c r="BT187" s="11">
        <v>0</v>
      </c>
      <c r="BU187" s="11">
        <v>259.29000000000002</v>
      </c>
      <c r="BV187" s="11">
        <v>518.58000000000004</v>
      </c>
      <c r="BW187" s="11">
        <v>0</v>
      </c>
      <c r="BX187" s="11">
        <v>0</v>
      </c>
      <c r="BY187" s="11">
        <v>0</v>
      </c>
      <c r="BZ187" s="11">
        <v>0</v>
      </c>
      <c r="CA187" s="11">
        <v>0</v>
      </c>
      <c r="CB187" s="11">
        <v>0</v>
      </c>
      <c r="CC187" s="11">
        <v>0</v>
      </c>
      <c r="CD187" s="11">
        <v>0</v>
      </c>
      <c r="CE187" s="11">
        <v>0</v>
      </c>
      <c r="CF187" s="11">
        <v>0</v>
      </c>
      <c r="CG187" s="11">
        <v>0</v>
      </c>
      <c r="CH187" s="11">
        <v>0</v>
      </c>
      <c r="CI187" s="11">
        <v>0</v>
      </c>
      <c r="CJ187" s="11">
        <v>0</v>
      </c>
      <c r="CK187" s="11">
        <v>0</v>
      </c>
    </row>
    <row r="188" spans="1:89" x14ac:dyDescent="0.2">
      <c r="A188" s="25" t="s">
        <v>270</v>
      </c>
      <c r="B188" s="11">
        <v>0</v>
      </c>
      <c r="C188" s="11">
        <v>0</v>
      </c>
      <c r="D188" s="11">
        <v>0</v>
      </c>
      <c r="E188" s="11">
        <v>0</v>
      </c>
      <c r="F188" s="11">
        <v>0</v>
      </c>
      <c r="G188" s="11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230</v>
      </c>
      <c r="AX188" s="11">
        <v>0</v>
      </c>
      <c r="AY188" s="11">
        <v>0</v>
      </c>
      <c r="AZ188" s="11">
        <v>0</v>
      </c>
      <c r="BA188" s="11">
        <v>0</v>
      </c>
      <c r="BB188" s="11">
        <v>0</v>
      </c>
      <c r="BC188" s="11">
        <v>0</v>
      </c>
      <c r="BD188" s="11">
        <v>0</v>
      </c>
      <c r="BE188" s="11">
        <v>0</v>
      </c>
      <c r="BF188" s="11">
        <v>0</v>
      </c>
      <c r="BG188" s="11">
        <v>0</v>
      </c>
      <c r="BH188" s="11">
        <v>0</v>
      </c>
      <c r="BI188" s="11">
        <v>0</v>
      </c>
      <c r="BJ188" s="11">
        <v>0</v>
      </c>
      <c r="BK188" s="11">
        <v>0</v>
      </c>
      <c r="BL188" s="11">
        <v>0</v>
      </c>
      <c r="BM188" s="11">
        <v>0</v>
      </c>
      <c r="BN188" s="11">
        <v>0</v>
      </c>
      <c r="BO188" s="11">
        <v>0</v>
      </c>
      <c r="BP188" s="11">
        <v>0</v>
      </c>
      <c r="BQ188" s="11">
        <v>0</v>
      </c>
      <c r="BR188" s="11">
        <v>0</v>
      </c>
      <c r="BS188" s="11">
        <v>0</v>
      </c>
      <c r="BT188" s="11">
        <v>0</v>
      </c>
      <c r="BU188" s="11">
        <v>0</v>
      </c>
      <c r="BV188" s="11">
        <v>0</v>
      </c>
      <c r="BW188" s="11">
        <v>0</v>
      </c>
      <c r="BX188" s="11">
        <v>0</v>
      </c>
      <c r="BY188" s="11">
        <v>0</v>
      </c>
      <c r="BZ188" s="11">
        <v>0</v>
      </c>
      <c r="CA188" s="11">
        <v>282</v>
      </c>
      <c r="CB188" s="11">
        <v>282</v>
      </c>
      <c r="CC188" s="11">
        <v>0</v>
      </c>
      <c r="CD188" s="11">
        <v>0</v>
      </c>
      <c r="CE188" s="11">
        <v>0</v>
      </c>
      <c r="CF188" s="11">
        <v>84.4</v>
      </c>
      <c r="CG188" s="11">
        <v>0</v>
      </c>
      <c r="CH188" s="11">
        <v>0</v>
      </c>
      <c r="CI188" s="11">
        <v>0</v>
      </c>
      <c r="CJ188" s="11">
        <v>0</v>
      </c>
      <c r="CK188" s="11">
        <v>0</v>
      </c>
    </row>
    <row r="189" spans="1:89" x14ac:dyDescent="0.2">
      <c r="A189" s="25" t="s">
        <v>271</v>
      </c>
      <c r="B189" s="11">
        <v>0</v>
      </c>
      <c r="C189" s="11">
        <v>0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196</v>
      </c>
      <c r="AX189" s="11">
        <v>392</v>
      </c>
      <c r="AY189" s="11">
        <v>0</v>
      </c>
      <c r="AZ189" s="11">
        <v>196</v>
      </c>
      <c r="BA189" s="11">
        <v>392</v>
      </c>
      <c r="BB189" s="11">
        <v>0</v>
      </c>
      <c r="BC189" s="11">
        <v>0</v>
      </c>
      <c r="BD189" s="11">
        <v>196</v>
      </c>
      <c r="BE189" s="11">
        <v>392</v>
      </c>
      <c r="BF189" s="11">
        <v>392</v>
      </c>
      <c r="BG189" s="11">
        <v>0</v>
      </c>
      <c r="BH189" s="11">
        <v>0</v>
      </c>
      <c r="BI189" s="11">
        <v>0</v>
      </c>
      <c r="BJ189" s="11">
        <v>0</v>
      </c>
      <c r="BK189" s="11">
        <v>0</v>
      </c>
      <c r="BL189" s="11">
        <v>0</v>
      </c>
      <c r="BM189" s="11">
        <v>0</v>
      </c>
      <c r="BN189" s="11">
        <v>0</v>
      </c>
      <c r="BO189" s="11">
        <v>0</v>
      </c>
      <c r="BP189" s="11">
        <v>0</v>
      </c>
      <c r="BQ189" s="11">
        <v>0</v>
      </c>
      <c r="BR189" s="11">
        <v>0</v>
      </c>
      <c r="BS189" s="11">
        <v>0</v>
      </c>
      <c r="BT189" s="11">
        <v>0</v>
      </c>
      <c r="BU189" s="11">
        <v>0</v>
      </c>
      <c r="BV189" s="11">
        <v>0</v>
      </c>
      <c r="BW189" s="11">
        <v>0</v>
      </c>
      <c r="BX189" s="11">
        <v>0</v>
      </c>
      <c r="BY189" s="11">
        <v>0</v>
      </c>
      <c r="BZ189" s="11">
        <v>0</v>
      </c>
      <c r="CA189" s="11">
        <v>0</v>
      </c>
      <c r="CB189" s="11">
        <v>0</v>
      </c>
      <c r="CC189" s="11">
        <v>0</v>
      </c>
      <c r="CD189" s="11">
        <v>0</v>
      </c>
      <c r="CE189" s="11">
        <v>0</v>
      </c>
      <c r="CF189" s="11">
        <v>196</v>
      </c>
      <c r="CG189" s="11">
        <v>0</v>
      </c>
      <c r="CH189" s="11">
        <v>0</v>
      </c>
      <c r="CI189" s="11">
        <v>0</v>
      </c>
      <c r="CJ189" s="11">
        <v>0</v>
      </c>
      <c r="CK189" s="11">
        <v>0</v>
      </c>
    </row>
    <row r="190" spans="1:89" x14ac:dyDescent="0.2">
      <c r="A190" s="25" t="s">
        <v>272</v>
      </c>
      <c r="B190" s="11">
        <v>0</v>
      </c>
      <c r="C190" s="11">
        <v>0</v>
      </c>
      <c r="D190" s="11">
        <v>0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>
        <v>0</v>
      </c>
      <c r="AU190" s="11">
        <v>0</v>
      </c>
      <c r="AV190" s="11">
        <v>0</v>
      </c>
      <c r="AW190" s="11">
        <v>-341.27</v>
      </c>
      <c r="AX190" s="11">
        <v>-3906.32</v>
      </c>
      <c r="AY190" s="11">
        <v>-776.15000000000009</v>
      </c>
      <c r="AZ190" s="11">
        <v>-1448.68</v>
      </c>
      <c r="BA190" s="11">
        <v>-567.81000000000006</v>
      </c>
      <c r="BB190" s="11">
        <v>341.28999999999996</v>
      </c>
      <c r="BC190" s="11">
        <v>341.28999999999996</v>
      </c>
      <c r="BD190" s="11">
        <v>14.399999999999977</v>
      </c>
      <c r="BE190" s="11">
        <v>253.73</v>
      </c>
      <c r="BF190" s="11">
        <v>416.15</v>
      </c>
      <c r="BG190" s="11">
        <v>90.009999999999991</v>
      </c>
      <c r="BH190" s="11">
        <v>330.09000000000003</v>
      </c>
      <c r="BI190" s="11">
        <v>492.51</v>
      </c>
      <c r="BJ190" s="11">
        <v>166.37</v>
      </c>
      <c r="BK190" s="11">
        <v>-573.30999999999995</v>
      </c>
      <c r="BL190" s="11">
        <v>-720.33999999999992</v>
      </c>
      <c r="BM190" s="11">
        <v>-1071.9299999999998</v>
      </c>
      <c r="BN190" s="11">
        <v>-81.139999999999873</v>
      </c>
      <c r="BO190" s="11">
        <v>55.830000000000126</v>
      </c>
      <c r="BP190" s="11">
        <v>-306.49999999999989</v>
      </c>
      <c r="BQ190" s="11">
        <v>-86.509999999999877</v>
      </c>
      <c r="BR190" s="11">
        <v>54.270000000000124</v>
      </c>
      <c r="BS190" s="11">
        <v>-307.27999999999986</v>
      </c>
      <c r="BT190" s="11">
        <v>-86.509999999999849</v>
      </c>
      <c r="BU190" s="11">
        <v>54.270000000000152</v>
      </c>
      <c r="BV190" s="11">
        <v>-307.27999999999986</v>
      </c>
      <c r="BW190" s="11">
        <v>-86.509999999999849</v>
      </c>
      <c r="BX190" s="11">
        <v>54.270000000000152</v>
      </c>
      <c r="BY190" s="11">
        <v>-307.27999999999986</v>
      </c>
      <c r="BZ190" s="11">
        <v>-86.509999999999849</v>
      </c>
      <c r="CA190" s="11">
        <v>53.320000000000164</v>
      </c>
      <c r="CB190" s="11">
        <v>53.320000000000164</v>
      </c>
      <c r="CC190" s="11">
        <v>22.860000000000163</v>
      </c>
      <c r="CD190" s="11">
        <v>601.95000000000016</v>
      </c>
      <c r="CE190" s="11">
        <v>747.9100000000002</v>
      </c>
      <c r="CF190" s="11">
        <v>349.1600000000002</v>
      </c>
      <c r="CG190" s="11">
        <v>589.73000000000025</v>
      </c>
      <c r="CH190" s="11">
        <v>747.91000000000031</v>
      </c>
      <c r="CI190" s="11">
        <v>349.16000000000031</v>
      </c>
      <c r="CJ190" s="11">
        <v>349.16000000000031</v>
      </c>
      <c r="CK190" s="11">
        <v>349.16000000000031</v>
      </c>
    </row>
    <row r="191" spans="1:89" x14ac:dyDescent="0.2">
      <c r="A191" s="25" t="s">
        <v>273</v>
      </c>
      <c r="B191" s="11">
        <v>179601.08</v>
      </c>
      <c r="C191" s="11">
        <v>179601.08</v>
      </c>
      <c r="D191" s="11">
        <v>82111.649999999994</v>
      </c>
      <c r="E191" s="11">
        <v>83280.479999999996</v>
      </c>
      <c r="F191" s="11">
        <v>391702.11</v>
      </c>
      <c r="G191" s="11">
        <v>92364.02999999997</v>
      </c>
      <c r="H191" s="11">
        <v>89861.289999999964</v>
      </c>
      <c r="I191" s="11">
        <v>161028.55999999997</v>
      </c>
      <c r="J191" s="11">
        <v>92216.27999999997</v>
      </c>
      <c r="K191" s="11">
        <v>94345.469999999972</v>
      </c>
      <c r="L191" s="11">
        <v>96544.149999999965</v>
      </c>
      <c r="M191" s="11">
        <v>108173.98999999996</v>
      </c>
      <c r="N191" s="11">
        <v>99551.949999999953</v>
      </c>
      <c r="O191" s="11">
        <v>219016.01999999996</v>
      </c>
      <c r="P191" s="11">
        <v>219016.01999999996</v>
      </c>
      <c r="Q191" s="11">
        <v>104991.83999999997</v>
      </c>
      <c r="R191" s="11">
        <v>99443.689999999973</v>
      </c>
      <c r="S191" s="11">
        <v>456867.87</v>
      </c>
      <c r="T191" s="11">
        <v>106170.68</v>
      </c>
      <c r="U191" s="11">
        <v>104798.79</v>
      </c>
      <c r="V191" s="11">
        <v>184917.15</v>
      </c>
      <c r="W191" s="11">
        <v>104057.67</v>
      </c>
      <c r="X191" s="11">
        <v>98769.65</v>
      </c>
      <c r="Y191" s="11">
        <v>103125.22</v>
      </c>
      <c r="Z191" s="11">
        <v>101626.67</v>
      </c>
      <c r="AA191" s="11">
        <v>104991.61</v>
      </c>
      <c r="AB191" s="11">
        <v>230861.78999999998</v>
      </c>
      <c r="AC191" s="11">
        <v>230861.78999999998</v>
      </c>
      <c r="AD191" s="11">
        <v>102749.17999999998</v>
      </c>
      <c r="AE191" s="11">
        <v>101485.46999999997</v>
      </c>
      <c r="AF191" s="11">
        <v>484374.11</v>
      </c>
      <c r="AG191" s="11">
        <v>115370.77999999997</v>
      </c>
      <c r="AH191" s="11">
        <v>113462.75999999997</v>
      </c>
      <c r="AI191" s="11">
        <v>111696.90999999996</v>
      </c>
      <c r="AJ191" s="11">
        <v>112872.09999999996</v>
      </c>
      <c r="AK191" s="11">
        <v>110042.44999999997</v>
      </c>
      <c r="AL191" s="11">
        <v>108624.52999999997</v>
      </c>
      <c r="AM191" s="11">
        <v>113289.29999999997</v>
      </c>
      <c r="AN191" s="11">
        <v>113721.36999999998</v>
      </c>
      <c r="AO191" s="11">
        <v>97562.199999999983</v>
      </c>
      <c r="AP191" s="11">
        <v>97562.199999999983</v>
      </c>
      <c r="AQ191" s="11">
        <v>104816.83999999998</v>
      </c>
      <c r="AR191" s="11">
        <v>103968.17999999998</v>
      </c>
      <c r="AS191" s="11">
        <v>272427.75999999995</v>
      </c>
      <c r="AT191" s="11">
        <v>76959.319999999949</v>
      </c>
      <c r="AU191" s="11">
        <v>74997.149999999951</v>
      </c>
      <c r="AV191" s="11">
        <v>80622.599999999948</v>
      </c>
      <c r="AW191" s="11">
        <v>97866.859999999942</v>
      </c>
      <c r="AX191" s="11">
        <v>104422.62999999995</v>
      </c>
      <c r="AY191" s="11">
        <v>106840.70999999995</v>
      </c>
      <c r="AZ191" s="11">
        <v>110721.66999999995</v>
      </c>
      <c r="BA191" s="11">
        <v>124443.79999999996</v>
      </c>
      <c r="BB191" s="11">
        <v>107599.95999999996</v>
      </c>
      <c r="BC191" s="11">
        <v>107599.95999999996</v>
      </c>
      <c r="BD191" s="11">
        <v>110878.33999999997</v>
      </c>
      <c r="BE191" s="11">
        <v>109355.12999999996</v>
      </c>
      <c r="BF191" s="11">
        <v>270108.58999999997</v>
      </c>
      <c r="BG191" s="11">
        <v>114381.59999999998</v>
      </c>
      <c r="BH191" s="11">
        <v>115532.18999999997</v>
      </c>
      <c r="BI191" s="11">
        <v>209934.78999999998</v>
      </c>
      <c r="BJ191" s="11">
        <v>112416.36999999998</v>
      </c>
      <c r="BK191" s="11">
        <v>113726.59999999998</v>
      </c>
      <c r="BL191" s="11">
        <v>113502.57999999997</v>
      </c>
      <c r="BM191" s="11">
        <v>118049.46999999997</v>
      </c>
      <c r="BN191" s="11">
        <v>119367.60999999997</v>
      </c>
      <c r="BO191" s="11">
        <v>221852.32999999996</v>
      </c>
      <c r="BP191" s="11">
        <v>111592.86999999995</v>
      </c>
      <c r="BQ191" s="11">
        <v>112262.00999999995</v>
      </c>
      <c r="BR191" s="11">
        <v>310074.17999999993</v>
      </c>
      <c r="BS191" s="11">
        <v>118201.15999999995</v>
      </c>
      <c r="BT191" s="11">
        <v>119811.70999999995</v>
      </c>
      <c r="BU191" s="11">
        <v>225414.91999999995</v>
      </c>
      <c r="BV191" s="11">
        <v>108625.83999999995</v>
      </c>
      <c r="BW191" s="11">
        <v>79797.619999999952</v>
      </c>
      <c r="BX191" s="11">
        <v>132061.34999999995</v>
      </c>
      <c r="BY191" s="11">
        <v>123487.69999999995</v>
      </c>
      <c r="BZ191" s="11">
        <v>136998.02999999994</v>
      </c>
      <c r="CA191" s="11">
        <v>232826.93999999994</v>
      </c>
      <c r="CB191" s="11">
        <v>232826.93999999994</v>
      </c>
      <c r="CC191" s="11">
        <v>113811.78999999995</v>
      </c>
      <c r="CD191" s="11">
        <v>112550.24999999996</v>
      </c>
      <c r="CE191" s="11">
        <v>683263.84</v>
      </c>
      <c r="CF191" s="11">
        <v>132525.28999999992</v>
      </c>
      <c r="CG191" s="11">
        <v>136409.69999999992</v>
      </c>
      <c r="CH191" s="11">
        <v>256255.57999999993</v>
      </c>
      <c r="CI191" s="11">
        <v>18.19999999992433</v>
      </c>
      <c r="CJ191" s="11">
        <v>18.19999999992433</v>
      </c>
      <c r="CK191" s="11">
        <v>18.19999999992433</v>
      </c>
    </row>
    <row r="192" spans="1:89" x14ac:dyDescent="0.2">
      <c r="A192" s="25" t="s">
        <v>274</v>
      </c>
      <c r="B192" s="11">
        <v>-1842.64</v>
      </c>
      <c r="C192" s="11">
        <v>-1842.64</v>
      </c>
      <c r="D192" s="11">
        <v>2872.3899999999994</v>
      </c>
      <c r="E192" s="11">
        <v>-506.05000000000064</v>
      </c>
      <c r="F192" s="11">
        <v>-339.8400000000006</v>
      </c>
      <c r="G192" s="11">
        <v>-2731.6000000000008</v>
      </c>
      <c r="H192" s="11">
        <v>-1421.7300000000009</v>
      </c>
      <c r="I192" s="11">
        <v>-3594.940000000001</v>
      </c>
      <c r="J192" s="11">
        <v>-683.57000000000107</v>
      </c>
      <c r="K192" s="11">
        <v>-7470.2000000000007</v>
      </c>
      <c r="L192" s="11">
        <v>-1366.380000000001</v>
      </c>
      <c r="M192" s="11">
        <v>-1174.620000000001</v>
      </c>
      <c r="N192" s="11">
        <v>1377.3499999999988</v>
      </c>
      <c r="O192" s="11">
        <v>4749.8999999999987</v>
      </c>
      <c r="P192" s="11">
        <v>4749.8999999999987</v>
      </c>
      <c r="Q192" s="11">
        <v>7241.8499999999985</v>
      </c>
      <c r="R192" s="11">
        <v>6613.659999999998</v>
      </c>
      <c r="S192" s="11">
        <v>3774.2499999999982</v>
      </c>
      <c r="T192" s="11">
        <v>4228.949999999998</v>
      </c>
      <c r="U192" s="11">
        <v>4211.2999999999984</v>
      </c>
      <c r="V192" s="11">
        <v>7576.2799999999988</v>
      </c>
      <c r="W192" s="11">
        <v>5159.2799999999988</v>
      </c>
      <c r="X192" s="11">
        <v>1013.6699999999992</v>
      </c>
      <c r="Y192" s="11">
        <v>4559.57</v>
      </c>
      <c r="Z192" s="11">
        <v>3633.29</v>
      </c>
      <c r="AA192" s="11">
        <v>2765.76</v>
      </c>
      <c r="AB192" s="11">
        <v>1684.7800000000002</v>
      </c>
      <c r="AC192" s="11">
        <v>1684.7800000000002</v>
      </c>
      <c r="AD192" s="11">
        <v>3631.33</v>
      </c>
      <c r="AE192" s="11">
        <v>5154.49</v>
      </c>
      <c r="AF192" s="11">
        <v>5933.29</v>
      </c>
      <c r="AG192" s="11">
        <v>4619.25</v>
      </c>
      <c r="AH192" s="11">
        <v>7787.29</v>
      </c>
      <c r="AI192" s="11">
        <v>4839.6399999999994</v>
      </c>
      <c r="AJ192" s="11">
        <v>4861.16</v>
      </c>
      <c r="AK192" s="11">
        <v>4938.6899999999996</v>
      </c>
      <c r="AL192" s="11">
        <v>5609.7699999999995</v>
      </c>
      <c r="AM192" s="11">
        <v>5835.7999999999993</v>
      </c>
      <c r="AN192" s="11">
        <v>5146.1599999999989</v>
      </c>
      <c r="AO192" s="11">
        <v>2547.0899999999988</v>
      </c>
      <c r="AP192" s="11">
        <v>2547.0899999999988</v>
      </c>
      <c r="AQ192" s="11">
        <v>15071.219999999998</v>
      </c>
      <c r="AR192" s="11">
        <v>5857.9299999999967</v>
      </c>
      <c r="AS192" s="11">
        <v>5108.5099999999966</v>
      </c>
      <c r="AT192" s="11">
        <v>5133.5599999999968</v>
      </c>
      <c r="AU192" s="11">
        <v>4743.0499999999965</v>
      </c>
      <c r="AV192" s="11">
        <v>4672.1899999999969</v>
      </c>
      <c r="AW192" s="11">
        <v>3921.8899999999967</v>
      </c>
      <c r="AX192" s="11">
        <v>3567.7799999999966</v>
      </c>
      <c r="AY192" s="11">
        <v>4389.8699999999963</v>
      </c>
      <c r="AZ192" s="11">
        <v>4961.5499999999965</v>
      </c>
      <c r="BA192" s="11">
        <v>5093.4699999999966</v>
      </c>
      <c r="BB192" s="11">
        <v>4254.2299999999968</v>
      </c>
      <c r="BC192" s="11">
        <v>4254.2299999999968</v>
      </c>
      <c r="BD192" s="11">
        <v>4063.529999999997</v>
      </c>
      <c r="BE192" s="11">
        <v>4124.5099999999966</v>
      </c>
      <c r="BF192" s="11">
        <v>3949.3899999999967</v>
      </c>
      <c r="BG192" s="11">
        <v>4511.1799999999967</v>
      </c>
      <c r="BH192" s="11">
        <v>3415.4099999999967</v>
      </c>
      <c r="BI192" s="11">
        <v>4087.9099999999967</v>
      </c>
      <c r="BJ192" s="11">
        <v>4035.1999999999966</v>
      </c>
      <c r="BK192" s="11">
        <v>4087.9099999999967</v>
      </c>
      <c r="BL192" s="11">
        <v>3892.7899999999968</v>
      </c>
      <c r="BM192" s="11">
        <v>3982.5099999999966</v>
      </c>
      <c r="BN192" s="11">
        <v>3870.0599999999968</v>
      </c>
      <c r="BO192" s="11">
        <v>4490.1699999999964</v>
      </c>
      <c r="BP192" s="11">
        <v>4175.4899999999961</v>
      </c>
      <c r="BQ192" s="11">
        <v>3843.6599999999962</v>
      </c>
      <c r="BR192" s="11">
        <v>4267.2199999999966</v>
      </c>
      <c r="BS192" s="11">
        <v>3979.6599999999967</v>
      </c>
      <c r="BT192" s="11">
        <v>3819.8599999999965</v>
      </c>
      <c r="BU192" s="11">
        <v>3585.7099999999964</v>
      </c>
      <c r="BV192" s="11">
        <v>5254.2499999999964</v>
      </c>
      <c r="BW192" s="11">
        <v>3137.3899999999962</v>
      </c>
      <c r="BX192" s="11">
        <v>3879.0699999999961</v>
      </c>
      <c r="BY192" s="11">
        <v>4050.0799999999963</v>
      </c>
      <c r="BZ192" s="11">
        <v>4087.9099999999962</v>
      </c>
      <c r="CA192" s="11">
        <v>4213.8699999999963</v>
      </c>
      <c r="CB192" s="11">
        <v>4213.8699999999963</v>
      </c>
      <c r="CC192" s="11">
        <v>4137.4099999999962</v>
      </c>
      <c r="CD192" s="11">
        <v>4162.689999999996</v>
      </c>
      <c r="CE192" s="11">
        <v>3898.2599999999961</v>
      </c>
      <c r="CF192" s="11">
        <v>3735.0999999999963</v>
      </c>
      <c r="CG192" s="11">
        <v>4028.5999999999963</v>
      </c>
      <c r="CH192" s="11">
        <v>4011.6199999999963</v>
      </c>
      <c r="CI192" s="11">
        <v>4011.6199999999963</v>
      </c>
      <c r="CJ192" s="11">
        <v>4011.6199999999963</v>
      </c>
      <c r="CK192" s="11">
        <v>4011.6199999999963</v>
      </c>
    </row>
    <row r="193" spans="1:89" x14ac:dyDescent="0.2">
      <c r="A193" s="25" t="s">
        <v>275</v>
      </c>
      <c r="B193" s="11">
        <v>0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</v>
      </c>
      <c r="AW193" s="11">
        <v>0</v>
      </c>
      <c r="AX193" s="11">
        <v>0</v>
      </c>
      <c r="AY193" s="11">
        <v>0</v>
      </c>
      <c r="AZ193" s="11">
        <v>0</v>
      </c>
      <c r="BA193" s="11">
        <v>0</v>
      </c>
      <c r="BB193" s="11">
        <v>0</v>
      </c>
      <c r="BC193" s="11">
        <v>0</v>
      </c>
      <c r="BD193" s="11">
        <v>0</v>
      </c>
      <c r="BE193" s="11">
        <v>0</v>
      </c>
      <c r="BF193" s="11">
        <v>0</v>
      </c>
      <c r="BG193" s="11">
        <v>0</v>
      </c>
      <c r="BH193" s="11">
        <v>0</v>
      </c>
      <c r="BI193" s="11">
        <v>0</v>
      </c>
      <c r="BJ193" s="11">
        <v>0</v>
      </c>
      <c r="BK193" s="11">
        <v>0</v>
      </c>
      <c r="BL193" s="11">
        <v>0</v>
      </c>
      <c r="BM193" s="11">
        <v>0</v>
      </c>
      <c r="BN193" s="11">
        <v>0</v>
      </c>
      <c r="BO193" s="11">
        <v>0</v>
      </c>
      <c r="BP193" s="11">
        <v>0</v>
      </c>
      <c r="BQ193" s="11">
        <v>0</v>
      </c>
      <c r="BR193" s="11">
        <v>0</v>
      </c>
      <c r="BS193" s="11">
        <v>0</v>
      </c>
      <c r="BT193" s="11">
        <v>0</v>
      </c>
      <c r="BU193" s="11">
        <v>244</v>
      </c>
      <c r="BV193" s="11">
        <v>0</v>
      </c>
      <c r="BW193" s="11">
        <v>0</v>
      </c>
      <c r="BX193" s="11">
        <v>0</v>
      </c>
      <c r="BY193" s="11">
        <v>0</v>
      </c>
      <c r="BZ193" s="11">
        <v>0</v>
      </c>
      <c r="CA193" s="11">
        <v>0</v>
      </c>
      <c r="CB193" s="11">
        <v>0</v>
      </c>
      <c r="CC193" s="11">
        <v>0</v>
      </c>
      <c r="CD193" s="11">
        <v>0</v>
      </c>
      <c r="CE193" s="11">
        <v>0</v>
      </c>
      <c r="CF193" s="11">
        <v>0</v>
      </c>
      <c r="CG193" s="11">
        <v>0</v>
      </c>
      <c r="CH193" s="11">
        <v>0</v>
      </c>
      <c r="CI193" s="11">
        <v>0</v>
      </c>
      <c r="CJ193" s="11">
        <v>0</v>
      </c>
      <c r="CK193" s="11">
        <v>0</v>
      </c>
    </row>
    <row r="194" spans="1:89" x14ac:dyDescent="0.2">
      <c r="A194" s="25" t="s">
        <v>276</v>
      </c>
      <c r="B194" s="11">
        <v>0</v>
      </c>
      <c r="C194" s="11">
        <v>0</v>
      </c>
      <c r="D194" s="11">
        <v>0</v>
      </c>
      <c r="E194" s="11">
        <v>0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0</v>
      </c>
      <c r="AW194" s="11">
        <v>0</v>
      </c>
      <c r="AX194" s="11">
        <v>0</v>
      </c>
      <c r="AY194" s="11">
        <v>0</v>
      </c>
      <c r="AZ194" s="11">
        <v>0</v>
      </c>
      <c r="BA194" s="11">
        <v>0</v>
      </c>
      <c r="BB194" s="11">
        <v>0</v>
      </c>
      <c r="BC194" s="11">
        <v>0</v>
      </c>
      <c r="BD194" s="11">
        <v>0</v>
      </c>
      <c r="BE194" s="11">
        <v>0</v>
      </c>
      <c r="BF194" s="11">
        <v>0</v>
      </c>
      <c r="BG194" s="11">
        <v>0</v>
      </c>
      <c r="BH194" s="11">
        <v>0</v>
      </c>
      <c r="BI194" s="11">
        <v>0</v>
      </c>
      <c r="BJ194" s="11">
        <v>0</v>
      </c>
      <c r="BK194" s="11">
        <v>0</v>
      </c>
      <c r="BL194" s="11">
        <v>0</v>
      </c>
      <c r="BM194" s="11">
        <v>0</v>
      </c>
      <c r="BN194" s="11">
        <v>0</v>
      </c>
      <c r="BO194" s="11">
        <v>0</v>
      </c>
      <c r="BP194" s="11">
        <v>0</v>
      </c>
      <c r="BQ194" s="11">
        <v>0</v>
      </c>
      <c r="BR194" s="11">
        <v>0</v>
      </c>
      <c r="BS194" s="11">
        <v>0</v>
      </c>
      <c r="BT194" s="11">
        <v>0</v>
      </c>
      <c r="BU194" s="11">
        <v>0</v>
      </c>
      <c r="BV194" s="11">
        <v>0</v>
      </c>
      <c r="BW194" s="11">
        <v>0</v>
      </c>
      <c r="BX194" s="11">
        <v>0</v>
      </c>
      <c r="BY194" s="11">
        <v>0</v>
      </c>
      <c r="BZ194" s="11">
        <v>0</v>
      </c>
      <c r="CA194" s="11">
        <v>0</v>
      </c>
      <c r="CB194" s="11">
        <v>0</v>
      </c>
      <c r="CC194" s="11">
        <v>0</v>
      </c>
      <c r="CD194" s="11">
        <v>0</v>
      </c>
      <c r="CE194" s="11">
        <v>0</v>
      </c>
      <c r="CF194" s="11">
        <v>0</v>
      </c>
      <c r="CG194" s="11">
        <v>0</v>
      </c>
      <c r="CH194" s="11">
        <v>0</v>
      </c>
      <c r="CI194" s="11">
        <v>-2449.2399999999998</v>
      </c>
      <c r="CJ194" s="11">
        <v>-2449.2399999999998</v>
      </c>
      <c r="CK194" s="11">
        <v>-2449.2399999999998</v>
      </c>
    </row>
    <row r="195" spans="1:89" x14ac:dyDescent="0.2">
      <c r="A195" s="25" t="s">
        <v>277</v>
      </c>
      <c r="B195" s="11">
        <v>0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X195" s="11">
        <v>0</v>
      </c>
      <c r="AY195" s="11">
        <v>0</v>
      </c>
      <c r="AZ195" s="11">
        <v>0</v>
      </c>
      <c r="BA195" s="11">
        <v>0</v>
      </c>
      <c r="BB195" s="11">
        <v>0</v>
      </c>
      <c r="BC195" s="11">
        <v>0</v>
      </c>
      <c r="BD195" s="11">
        <v>0</v>
      </c>
      <c r="BE195" s="11">
        <v>0</v>
      </c>
      <c r="BF195" s="11">
        <v>0</v>
      </c>
      <c r="BG195" s="11">
        <v>0</v>
      </c>
      <c r="BH195" s="11">
        <v>0</v>
      </c>
      <c r="BI195" s="11">
        <v>0</v>
      </c>
      <c r="BJ195" s="11">
        <v>0</v>
      </c>
      <c r="BK195" s="11">
        <v>0</v>
      </c>
      <c r="BL195" s="11">
        <v>0</v>
      </c>
      <c r="BM195" s="11">
        <v>0</v>
      </c>
      <c r="BN195" s="11">
        <v>0</v>
      </c>
      <c r="BO195" s="11">
        <v>0</v>
      </c>
      <c r="BP195" s="11">
        <v>0</v>
      </c>
      <c r="BQ195" s="11">
        <v>0</v>
      </c>
      <c r="BR195" s="11">
        <v>0</v>
      </c>
      <c r="BS195" s="11">
        <v>0</v>
      </c>
      <c r="BT195" s="11">
        <v>0</v>
      </c>
      <c r="BU195" s="11">
        <v>0</v>
      </c>
      <c r="BV195" s="11">
        <v>0</v>
      </c>
      <c r="BW195" s="11">
        <v>0</v>
      </c>
      <c r="BX195" s="11">
        <v>0</v>
      </c>
      <c r="BY195" s="11">
        <v>0</v>
      </c>
      <c r="BZ195" s="11">
        <v>0</v>
      </c>
      <c r="CA195" s="11">
        <v>0</v>
      </c>
      <c r="CB195" s="11">
        <v>0</v>
      </c>
      <c r="CC195" s="11">
        <v>0</v>
      </c>
      <c r="CD195" s="11">
        <v>0</v>
      </c>
      <c r="CE195" s="11">
        <v>0</v>
      </c>
      <c r="CF195" s="11">
        <v>0</v>
      </c>
      <c r="CG195" s="11">
        <v>0</v>
      </c>
      <c r="CH195" s="11">
        <v>0</v>
      </c>
      <c r="CI195" s="11">
        <v>-3241.38</v>
      </c>
      <c r="CJ195" s="11">
        <v>-3241.38</v>
      </c>
      <c r="CK195" s="11">
        <v>-3241.38</v>
      </c>
    </row>
    <row r="196" spans="1:89" x14ac:dyDescent="0.2">
      <c r="A196" s="25" t="s">
        <v>278</v>
      </c>
      <c r="B196" s="11">
        <v>0</v>
      </c>
      <c r="C196" s="11">
        <v>0</v>
      </c>
      <c r="D196" s="11">
        <v>0</v>
      </c>
      <c r="E196" s="11">
        <v>0</v>
      </c>
      <c r="F196" s="11">
        <v>0</v>
      </c>
      <c r="G196" s="11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>
        <v>0</v>
      </c>
      <c r="AU196" s="11">
        <v>0</v>
      </c>
      <c r="AV196" s="11">
        <v>0</v>
      </c>
      <c r="AW196" s="11">
        <v>0</v>
      </c>
      <c r="AX196" s="11">
        <v>0</v>
      </c>
      <c r="AY196" s="11">
        <v>0</v>
      </c>
      <c r="AZ196" s="11">
        <v>0</v>
      </c>
      <c r="BA196" s="11">
        <v>0</v>
      </c>
      <c r="BB196" s="11">
        <v>0</v>
      </c>
      <c r="BC196" s="11">
        <v>0</v>
      </c>
      <c r="BD196" s="11">
        <v>0</v>
      </c>
      <c r="BE196" s="11">
        <v>0</v>
      </c>
      <c r="BF196" s="11">
        <v>0</v>
      </c>
      <c r="BG196" s="11">
        <v>0</v>
      </c>
      <c r="BH196" s="11">
        <v>0</v>
      </c>
      <c r="BI196" s="11">
        <v>0</v>
      </c>
      <c r="BJ196" s="11">
        <v>0</v>
      </c>
      <c r="BK196" s="11">
        <v>0</v>
      </c>
      <c r="BL196" s="11">
        <v>0</v>
      </c>
      <c r="BM196" s="11">
        <v>0</v>
      </c>
      <c r="BN196" s="11">
        <v>0</v>
      </c>
      <c r="BO196" s="11">
        <v>0</v>
      </c>
      <c r="BP196" s="11">
        <v>0</v>
      </c>
      <c r="BQ196" s="11">
        <v>0</v>
      </c>
      <c r="BR196" s="11">
        <v>0</v>
      </c>
      <c r="BS196" s="11">
        <v>0</v>
      </c>
      <c r="BT196" s="11">
        <v>0</v>
      </c>
      <c r="BU196" s="11">
        <v>0</v>
      </c>
      <c r="BV196" s="11">
        <v>0</v>
      </c>
      <c r="BW196" s="11">
        <v>0</v>
      </c>
      <c r="BX196" s="11">
        <v>0</v>
      </c>
      <c r="BY196" s="11">
        <v>0</v>
      </c>
      <c r="BZ196" s="11">
        <v>0</v>
      </c>
      <c r="CA196" s="11">
        <v>0</v>
      </c>
      <c r="CB196" s="11">
        <v>0</v>
      </c>
      <c r="CC196" s="11">
        <v>0</v>
      </c>
      <c r="CD196" s="11">
        <v>0</v>
      </c>
      <c r="CE196" s="11">
        <v>0</v>
      </c>
      <c r="CF196" s="11">
        <v>0</v>
      </c>
      <c r="CG196" s="11">
        <v>0</v>
      </c>
      <c r="CH196" s="11">
        <v>0</v>
      </c>
      <c r="CI196" s="11">
        <v>-2369.81</v>
      </c>
      <c r="CJ196" s="11">
        <v>-2369.81</v>
      </c>
      <c r="CK196" s="11">
        <v>-2369.81</v>
      </c>
    </row>
    <row r="197" spans="1:89" x14ac:dyDescent="0.2">
      <c r="A197" s="25" t="s">
        <v>279</v>
      </c>
      <c r="B197" s="11">
        <v>0</v>
      </c>
      <c r="C197" s="11">
        <v>0</v>
      </c>
      <c r="D197" s="11">
        <v>0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  <c r="AX197" s="11">
        <v>0</v>
      </c>
      <c r="AY197" s="11">
        <v>0</v>
      </c>
      <c r="AZ197" s="11">
        <v>0</v>
      </c>
      <c r="BA197" s="11">
        <v>0</v>
      </c>
      <c r="BB197" s="11">
        <v>0</v>
      </c>
      <c r="BC197" s="11">
        <v>0</v>
      </c>
      <c r="BD197" s="11">
        <v>0</v>
      </c>
      <c r="BE197" s="11">
        <v>0</v>
      </c>
      <c r="BF197" s="11">
        <v>0</v>
      </c>
      <c r="BG197" s="11">
        <v>0</v>
      </c>
      <c r="BH197" s="11">
        <v>0</v>
      </c>
      <c r="BI197" s="11">
        <v>0</v>
      </c>
      <c r="BJ197" s="11">
        <v>0</v>
      </c>
      <c r="BK197" s="11">
        <v>0</v>
      </c>
      <c r="BL197" s="11">
        <v>0</v>
      </c>
      <c r="BM197" s="11">
        <v>0</v>
      </c>
      <c r="BN197" s="11">
        <v>0</v>
      </c>
      <c r="BO197" s="11">
        <v>0</v>
      </c>
      <c r="BP197" s="11">
        <v>0</v>
      </c>
      <c r="BQ197" s="11">
        <v>0</v>
      </c>
      <c r="BR197" s="11">
        <v>0</v>
      </c>
      <c r="BS197" s="11">
        <v>0</v>
      </c>
      <c r="BT197" s="11">
        <v>0</v>
      </c>
      <c r="BU197" s="11">
        <v>0</v>
      </c>
      <c r="BV197" s="11">
        <v>0</v>
      </c>
      <c r="BW197" s="11">
        <v>0</v>
      </c>
      <c r="BX197" s="11">
        <v>0</v>
      </c>
      <c r="BY197" s="11">
        <v>0</v>
      </c>
      <c r="BZ197" s="11">
        <v>0</v>
      </c>
      <c r="CA197" s="11">
        <v>0</v>
      </c>
      <c r="CB197" s="11">
        <v>0</v>
      </c>
      <c r="CC197" s="11">
        <v>0</v>
      </c>
      <c r="CD197" s="11">
        <v>0</v>
      </c>
      <c r="CE197" s="11">
        <v>0</v>
      </c>
      <c r="CF197" s="11">
        <v>0</v>
      </c>
      <c r="CG197" s="11">
        <v>0</v>
      </c>
      <c r="CH197" s="11">
        <v>0</v>
      </c>
      <c r="CI197" s="11">
        <v>-2388.46</v>
      </c>
      <c r="CJ197" s="11">
        <v>-2388.46</v>
      </c>
      <c r="CK197" s="11">
        <v>-2388.46</v>
      </c>
    </row>
    <row r="198" spans="1:89" x14ac:dyDescent="0.2">
      <c r="A198" s="25" t="s">
        <v>280</v>
      </c>
      <c r="B198" s="11">
        <v>0</v>
      </c>
      <c r="C198" s="11">
        <v>0</v>
      </c>
      <c r="D198" s="11">
        <v>0</v>
      </c>
      <c r="E198" s="11">
        <v>0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0</v>
      </c>
      <c r="AT198" s="11">
        <v>0</v>
      </c>
      <c r="AU198" s="11">
        <v>0</v>
      </c>
      <c r="AV198" s="11">
        <v>0</v>
      </c>
      <c r="AW198" s="11">
        <v>0</v>
      </c>
      <c r="AX198" s="11">
        <v>0</v>
      </c>
      <c r="AY198" s="11">
        <v>0</v>
      </c>
      <c r="AZ198" s="11">
        <v>0</v>
      </c>
      <c r="BA198" s="11">
        <v>0</v>
      </c>
      <c r="BB198" s="11">
        <v>0</v>
      </c>
      <c r="BC198" s="11">
        <v>0</v>
      </c>
      <c r="BD198" s="11">
        <v>0</v>
      </c>
      <c r="BE198" s="11">
        <v>0</v>
      </c>
      <c r="BF198" s="11">
        <v>0</v>
      </c>
      <c r="BG198" s="11">
        <v>0</v>
      </c>
      <c r="BH198" s="11">
        <v>0</v>
      </c>
      <c r="BI198" s="11">
        <v>0</v>
      </c>
      <c r="BJ198" s="11">
        <v>0</v>
      </c>
      <c r="BK198" s="11">
        <v>0</v>
      </c>
      <c r="BL198" s="11">
        <v>0</v>
      </c>
      <c r="BM198" s="11">
        <v>0</v>
      </c>
      <c r="BN198" s="11">
        <v>0</v>
      </c>
      <c r="BO198" s="11">
        <v>0</v>
      </c>
      <c r="BP198" s="11">
        <v>0</v>
      </c>
      <c r="BQ198" s="11">
        <v>0</v>
      </c>
      <c r="BR198" s="11">
        <v>0</v>
      </c>
      <c r="BS198" s="11">
        <v>0</v>
      </c>
      <c r="BT198" s="11">
        <v>0</v>
      </c>
      <c r="BU198" s="11">
        <v>0</v>
      </c>
      <c r="BV198" s="11">
        <v>0</v>
      </c>
      <c r="BW198" s="11">
        <v>0</v>
      </c>
      <c r="BX198" s="11">
        <v>0</v>
      </c>
      <c r="BY198" s="11">
        <v>0</v>
      </c>
      <c r="BZ198" s="11">
        <v>0</v>
      </c>
      <c r="CA198" s="11">
        <v>0</v>
      </c>
      <c r="CB198" s="11">
        <v>0</v>
      </c>
      <c r="CC198" s="11">
        <v>0</v>
      </c>
      <c r="CD198" s="11">
        <v>0</v>
      </c>
      <c r="CE198" s="11">
        <v>0</v>
      </c>
      <c r="CF198" s="11">
        <v>0</v>
      </c>
      <c r="CG198" s="11">
        <v>0</v>
      </c>
      <c r="CH198" s="11">
        <v>0</v>
      </c>
      <c r="CI198" s="11">
        <v>-1482.84</v>
      </c>
      <c r="CJ198" s="11">
        <v>-1482.84</v>
      </c>
      <c r="CK198" s="11">
        <v>-1482.84</v>
      </c>
    </row>
    <row r="199" spans="1:89" x14ac:dyDescent="0.2">
      <c r="A199" s="25" t="s">
        <v>281</v>
      </c>
      <c r="B199" s="11">
        <v>0</v>
      </c>
      <c r="C199" s="11">
        <v>0</v>
      </c>
      <c r="D199" s="11">
        <v>0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0</v>
      </c>
      <c r="AW199" s="11">
        <v>0</v>
      </c>
      <c r="AX199" s="11">
        <v>0</v>
      </c>
      <c r="AY199" s="11">
        <v>0</v>
      </c>
      <c r="AZ199" s="11">
        <v>0</v>
      </c>
      <c r="BA199" s="11">
        <v>0</v>
      </c>
      <c r="BB199" s="11">
        <v>0</v>
      </c>
      <c r="BC199" s="11">
        <v>0</v>
      </c>
      <c r="BD199" s="11">
        <v>0</v>
      </c>
      <c r="BE199" s="11">
        <v>0</v>
      </c>
      <c r="BF199" s="11">
        <v>0</v>
      </c>
      <c r="BG199" s="11">
        <v>0</v>
      </c>
      <c r="BH199" s="11">
        <v>0</v>
      </c>
      <c r="BI199" s="11">
        <v>0</v>
      </c>
      <c r="BJ199" s="11">
        <v>0</v>
      </c>
      <c r="BK199" s="11">
        <v>0</v>
      </c>
      <c r="BL199" s="11">
        <v>0</v>
      </c>
      <c r="BM199" s="11">
        <v>0</v>
      </c>
      <c r="BN199" s="11">
        <v>0</v>
      </c>
      <c r="BO199" s="11">
        <v>0</v>
      </c>
      <c r="BP199" s="11">
        <v>0</v>
      </c>
      <c r="BQ199" s="11">
        <v>0</v>
      </c>
      <c r="BR199" s="11">
        <v>0</v>
      </c>
      <c r="BS199" s="11">
        <v>0</v>
      </c>
      <c r="BT199" s="11">
        <v>0</v>
      </c>
      <c r="BU199" s="11">
        <v>0</v>
      </c>
      <c r="BV199" s="11">
        <v>0</v>
      </c>
      <c r="BW199" s="11">
        <v>0</v>
      </c>
      <c r="BX199" s="11">
        <v>0</v>
      </c>
      <c r="BY199" s="11">
        <v>0</v>
      </c>
      <c r="BZ199" s="11">
        <v>0</v>
      </c>
      <c r="CA199" s="11">
        <v>0</v>
      </c>
      <c r="CB199" s="11">
        <v>0</v>
      </c>
      <c r="CC199" s="11">
        <v>0</v>
      </c>
      <c r="CD199" s="11">
        <v>0</v>
      </c>
      <c r="CE199" s="11">
        <v>0</v>
      </c>
      <c r="CF199" s="11">
        <v>0</v>
      </c>
      <c r="CG199" s="11">
        <v>0</v>
      </c>
      <c r="CH199" s="11">
        <v>0</v>
      </c>
      <c r="CI199" s="11">
        <v>-2702.39</v>
      </c>
      <c r="CJ199" s="11">
        <v>-2702.39</v>
      </c>
      <c r="CK199" s="11">
        <v>-2702.39</v>
      </c>
    </row>
    <row r="200" spans="1:89" x14ac:dyDescent="0.2">
      <c r="A200" s="25" t="s">
        <v>282</v>
      </c>
      <c r="B200" s="11">
        <v>0</v>
      </c>
      <c r="C200" s="11">
        <v>0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0</v>
      </c>
      <c r="AW200" s="11">
        <v>0</v>
      </c>
      <c r="AX200" s="11">
        <v>0</v>
      </c>
      <c r="AY200" s="11">
        <v>0</v>
      </c>
      <c r="AZ200" s="11">
        <v>0</v>
      </c>
      <c r="BA200" s="11">
        <v>0</v>
      </c>
      <c r="BB200" s="11">
        <v>0</v>
      </c>
      <c r="BC200" s="11">
        <v>0</v>
      </c>
      <c r="BD200" s="11">
        <v>0</v>
      </c>
      <c r="BE200" s="11">
        <v>0</v>
      </c>
      <c r="BF200" s="11">
        <v>0</v>
      </c>
      <c r="BG200" s="11">
        <v>0</v>
      </c>
      <c r="BH200" s="11">
        <v>0</v>
      </c>
      <c r="BI200" s="11">
        <v>0</v>
      </c>
      <c r="BJ200" s="11">
        <v>0</v>
      </c>
      <c r="BK200" s="11">
        <v>0</v>
      </c>
      <c r="BL200" s="11">
        <v>0</v>
      </c>
      <c r="BM200" s="11">
        <v>0</v>
      </c>
      <c r="BN200" s="11">
        <v>0</v>
      </c>
      <c r="BO200" s="11">
        <v>0</v>
      </c>
      <c r="BP200" s="11">
        <v>0</v>
      </c>
      <c r="BQ200" s="11">
        <v>0</v>
      </c>
      <c r="BR200" s="11">
        <v>0</v>
      </c>
      <c r="BS200" s="11">
        <v>0</v>
      </c>
      <c r="BT200" s="11">
        <v>0</v>
      </c>
      <c r="BU200" s="11">
        <v>0</v>
      </c>
      <c r="BV200" s="11">
        <v>0</v>
      </c>
      <c r="BW200" s="11">
        <v>0</v>
      </c>
      <c r="BX200" s="11">
        <v>0</v>
      </c>
      <c r="BY200" s="11">
        <v>0</v>
      </c>
      <c r="BZ200" s="11">
        <v>0</v>
      </c>
      <c r="CA200" s="11">
        <v>0</v>
      </c>
      <c r="CB200" s="11">
        <v>0</v>
      </c>
      <c r="CC200" s="11">
        <v>0</v>
      </c>
      <c r="CD200" s="11">
        <v>0</v>
      </c>
      <c r="CE200" s="11">
        <v>0</v>
      </c>
      <c r="CF200" s="11">
        <v>0</v>
      </c>
      <c r="CG200" s="11">
        <v>0</v>
      </c>
      <c r="CH200" s="11">
        <v>0</v>
      </c>
      <c r="CI200" s="11">
        <v>-1577.76</v>
      </c>
      <c r="CJ200" s="11">
        <v>-1577.76</v>
      </c>
      <c r="CK200" s="11">
        <v>-1577.76</v>
      </c>
    </row>
    <row r="201" spans="1:89" x14ac:dyDescent="0.2">
      <c r="A201" s="25" t="s">
        <v>283</v>
      </c>
      <c r="B201" s="11">
        <v>0</v>
      </c>
      <c r="C201" s="11">
        <v>0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11">
        <v>0</v>
      </c>
      <c r="AZ201" s="11">
        <v>0</v>
      </c>
      <c r="BA201" s="11">
        <v>0</v>
      </c>
      <c r="BB201" s="11">
        <v>0</v>
      </c>
      <c r="BC201" s="11">
        <v>0</v>
      </c>
      <c r="BD201" s="11">
        <v>0</v>
      </c>
      <c r="BE201" s="11">
        <v>0</v>
      </c>
      <c r="BF201" s="11">
        <v>0</v>
      </c>
      <c r="BG201" s="11">
        <v>0</v>
      </c>
      <c r="BH201" s="11">
        <v>0</v>
      </c>
      <c r="BI201" s="11">
        <v>0</v>
      </c>
      <c r="BJ201" s="11">
        <v>0</v>
      </c>
      <c r="BK201" s="11">
        <v>0</v>
      </c>
      <c r="BL201" s="11">
        <v>0</v>
      </c>
      <c r="BM201" s="11">
        <v>0</v>
      </c>
      <c r="BN201" s="11">
        <v>0</v>
      </c>
      <c r="BO201" s="11">
        <v>0</v>
      </c>
      <c r="BP201" s="11">
        <v>0</v>
      </c>
      <c r="BQ201" s="11">
        <v>0</v>
      </c>
      <c r="BR201" s="11">
        <v>0</v>
      </c>
      <c r="BS201" s="11">
        <v>0</v>
      </c>
      <c r="BT201" s="11">
        <v>0</v>
      </c>
      <c r="BU201" s="11">
        <v>0</v>
      </c>
      <c r="BV201" s="11">
        <v>0</v>
      </c>
      <c r="BW201" s="11">
        <v>0</v>
      </c>
      <c r="BX201" s="11">
        <v>0</v>
      </c>
      <c r="BY201" s="11">
        <v>0</v>
      </c>
      <c r="BZ201" s="11">
        <v>0</v>
      </c>
      <c r="CA201" s="11">
        <v>0</v>
      </c>
      <c r="CB201" s="11">
        <v>0</v>
      </c>
      <c r="CC201" s="11">
        <v>0</v>
      </c>
      <c r="CD201" s="11">
        <v>0</v>
      </c>
      <c r="CE201" s="11">
        <v>0</v>
      </c>
      <c r="CF201" s="11">
        <v>0</v>
      </c>
      <c r="CG201" s="11">
        <v>0</v>
      </c>
      <c r="CH201" s="11">
        <v>0</v>
      </c>
      <c r="CI201" s="11">
        <v>-5565.86</v>
      </c>
      <c r="CJ201" s="11">
        <v>-5565.86</v>
      </c>
      <c r="CK201" s="11">
        <v>-5565.86</v>
      </c>
    </row>
    <row r="202" spans="1:89" x14ac:dyDescent="0.2">
      <c r="A202" s="25" t="s">
        <v>284</v>
      </c>
      <c r="B202" s="11">
        <v>0</v>
      </c>
      <c r="C202" s="11">
        <v>0</v>
      </c>
      <c r="D202" s="11">
        <v>0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0</v>
      </c>
      <c r="AW202" s="11">
        <v>0</v>
      </c>
      <c r="AX202" s="11">
        <v>0</v>
      </c>
      <c r="AY202" s="11">
        <v>0</v>
      </c>
      <c r="AZ202" s="11">
        <v>0</v>
      </c>
      <c r="BA202" s="11">
        <v>0</v>
      </c>
      <c r="BB202" s="11">
        <v>0</v>
      </c>
      <c r="BC202" s="11">
        <v>0</v>
      </c>
      <c r="BD202" s="11">
        <v>0</v>
      </c>
      <c r="BE202" s="11">
        <v>0</v>
      </c>
      <c r="BF202" s="11">
        <v>0</v>
      </c>
      <c r="BG202" s="11">
        <v>0</v>
      </c>
      <c r="BH202" s="11">
        <v>0</v>
      </c>
      <c r="BI202" s="11">
        <v>0</v>
      </c>
      <c r="BJ202" s="11">
        <v>0</v>
      </c>
      <c r="BK202" s="11">
        <v>0</v>
      </c>
      <c r="BL202" s="11">
        <v>0</v>
      </c>
      <c r="BM202" s="11">
        <v>0</v>
      </c>
      <c r="BN202" s="11">
        <v>0</v>
      </c>
      <c r="BO202" s="11">
        <v>0</v>
      </c>
      <c r="BP202" s="11">
        <v>0</v>
      </c>
      <c r="BQ202" s="11">
        <v>0</v>
      </c>
      <c r="BR202" s="11">
        <v>0</v>
      </c>
      <c r="BS202" s="11">
        <v>0</v>
      </c>
      <c r="BT202" s="11">
        <v>0</v>
      </c>
      <c r="BU202" s="11">
        <v>0</v>
      </c>
      <c r="BV202" s="11">
        <v>0</v>
      </c>
      <c r="BW202" s="11">
        <v>0</v>
      </c>
      <c r="BX202" s="11">
        <v>0</v>
      </c>
      <c r="BY202" s="11">
        <v>0</v>
      </c>
      <c r="BZ202" s="11">
        <v>0</v>
      </c>
      <c r="CA202" s="11">
        <v>0</v>
      </c>
      <c r="CB202" s="11">
        <v>0</v>
      </c>
      <c r="CC202" s="11">
        <v>0</v>
      </c>
      <c r="CD202" s="11">
        <v>0</v>
      </c>
      <c r="CE202" s="11">
        <v>0</v>
      </c>
      <c r="CF202" s="11">
        <v>0</v>
      </c>
      <c r="CG202" s="11">
        <v>0</v>
      </c>
      <c r="CH202" s="11">
        <v>0</v>
      </c>
      <c r="CI202" s="11">
        <v>-1824.42</v>
      </c>
      <c r="CJ202" s="11">
        <v>-1824.42</v>
      </c>
      <c r="CK202" s="11">
        <v>-1824.42</v>
      </c>
    </row>
    <row r="203" spans="1:89" x14ac:dyDescent="0.2">
      <c r="A203" s="25" t="s">
        <v>285</v>
      </c>
      <c r="B203" s="11">
        <v>0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0</v>
      </c>
      <c r="AU203" s="11">
        <v>0</v>
      </c>
      <c r="AV203" s="11">
        <v>0</v>
      </c>
      <c r="AW203" s="11">
        <v>0</v>
      </c>
      <c r="AX203" s="11">
        <v>0</v>
      </c>
      <c r="AY203" s="11">
        <v>0</v>
      </c>
      <c r="AZ203" s="11">
        <v>0</v>
      </c>
      <c r="BA203" s="11">
        <v>0</v>
      </c>
      <c r="BB203" s="11">
        <v>0</v>
      </c>
      <c r="BC203" s="11">
        <v>0</v>
      </c>
      <c r="BD203" s="11">
        <v>0</v>
      </c>
      <c r="BE203" s="11">
        <v>0</v>
      </c>
      <c r="BF203" s="11">
        <v>0</v>
      </c>
      <c r="BG203" s="11">
        <v>0</v>
      </c>
      <c r="BH203" s="11">
        <v>0</v>
      </c>
      <c r="BI203" s="11">
        <v>0</v>
      </c>
      <c r="BJ203" s="11">
        <v>0</v>
      </c>
      <c r="BK203" s="11">
        <v>0</v>
      </c>
      <c r="BL203" s="11">
        <v>0</v>
      </c>
      <c r="BM203" s="11">
        <v>0</v>
      </c>
      <c r="BN203" s="11">
        <v>0</v>
      </c>
      <c r="BO203" s="11">
        <v>0</v>
      </c>
      <c r="BP203" s="11">
        <v>0</v>
      </c>
      <c r="BQ203" s="11">
        <v>0</v>
      </c>
      <c r="BR203" s="11">
        <v>0</v>
      </c>
      <c r="BS203" s="11">
        <v>0</v>
      </c>
      <c r="BT203" s="11">
        <v>0</v>
      </c>
      <c r="BU203" s="11">
        <v>0</v>
      </c>
      <c r="BV203" s="11">
        <v>0</v>
      </c>
      <c r="BW203" s="11">
        <v>0</v>
      </c>
      <c r="BX203" s="11">
        <v>0</v>
      </c>
      <c r="BY203" s="11">
        <v>0</v>
      </c>
      <c r="BZ203" s="11">
        <v>0</v>
      </c>
      <c r="CA203" s="11">
        <v>0</v>
      </c>
      <c r="CB203" s="11">
        <v>0</v>
      </c>
      <c r="CC203" s="11">
        <v>0</v>
      </c>
      <c r="CD203" s="11">
        <v>0</v>
      </c>
      <c r="CE203" s="11">
        <v>0</v>
      </c>
      <c r="CF203" s="11">
        <v>0</v>
      </c>
      <c r="CG203" s="11">
        <v>0</v>
      </c>
      <c r="CH203" s="11">
        <v>0</v>
      </c>
      <c r="CI203" s="11">
        <v>-4557.57</v>
      </c>
      <c r="CJ203" s="11">
        <v>-4557.57</v>
      </c>
      <c r="CK203" s="11">
        <v>-4557.57</v>
      </c>
    </row>
    <row r="204" spans="1:89" x14ac:dyDescent="0.2">
      <c r="A204" s="25" t="s">
        <v>286</v>
      </c>
      <c r="B204" s="11">
        <v>0</v>
      </c>
      <c r="C204" s="11">
        <v>0</v>
      </c>
      <c r="D204" s="11">
        <v>0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0</v>
      </c>
      <c r="AX204" s="11">
        <v>0</v>
      </c>
      <c r="AY204" s="11">
        <v>0</v>
      </c>
      <c r="AZ204" s="11">
        <v>0</v>
      </c>
      <c r="BA204" s="11">
        <v>0</v>
      </c>
      <c r="BB204" s="11">
        <v>0</v>
      </c>
      <c r="BC204" s="11">
        <v>0</v>
      </c>
      <c r="BD204" s="11">
        <v>0</v>
      </c>
      <c r="BE204" s="11">
        <v>0</v>
      </c>
      <c r="BF204" s="11">
        <v>0</v>
      </c>
      <c r="BG204" s="11">
        <v>0</v>
      </c>
      <c r="BH204" s="11">
        <v>0</v>
      </c>
      <c r="BI204" s="11">
        <v>0</v>
      </c>
      <c r="BJ204" s="11">
        <v>0</v>
      </c>
      <c r="BK204" s="11">
        <v>0</v>
      </c>
      <c r="BL204" s="11">
        <v>0</v>
      </c>
      <c r="BM204" s="11">
        <v>0</v>
      </c>
      <c r="BN204" s="11">
        <v>0</v>
      </c>
      <c r="BO204" s="11">
        <v>0</v>
      </c>
      <c r="BP204" s="11">
        <v>0</v>
      </c>
      <c r="BQ204" s="11">
        <v>0</v>
      </c>
      <c r="BR204" s="11">
        <v>0</v>
      </c>
      <c r="BS204" s="11">
        <v>0</v>
      </c>
      <c r="BT204" s="11">
        <v>0</v>
      </c>
      <c r="BU204" s="11">
        <v>0</v>
      </c>
      <c r="BV204" s="11">
        <v>0</v>
      </c>
      <c r="BW204" s="11">
        <v>0</v>
      </c>
      <c r="BX204" s="11">
        <v>0</v>
      </c>
      <c r="BY204" s="11">
        <v>0</v>
      </c>
      <c r="BZ204" s="11">
        <v>0</v>
      </c>
      <c r="CA204" s="11">
        <v>0</v>
      </c>
      <c r="CB204" s="11">
        <v>0</v>
      </c>
      <c r="CC204" s="11">
        <v>0</v>
      </c>
      <c r="CD204" s="11">
        <v>0</v>
      </c>
      <c r="CE204" s="11">
        <v>0</v>
      </c>
      <c r="CF204" s="11">
        <v>0</v>
      </c>
      <c r="CG204" s="11">
        <v>0</v>
      </c>
      <c r="CH204" s="11">
        <v>0</v>
      </c>
      <c r="CI204" s="11">
        <v>-4292.3</v>
      </c>
      <c r="CJ204" s="11">
        <v>-4292.3</v>
      </c>
      <c r="CK204" s="11">
        <v>-4292.3</v>
      </c>
    </row>
    <row r="205" spans="1:89" x14ac:dyDescent="0.2">
      <c r="A205" s="25" t="s">
        <v>287</v>
      </c>
      <c r="B205" s="11">
        <v>0</v>
      </c>
      <c r="C205" s="11">
        <v>0</v>
      </c>
      <c r="D205" s="11">
        <v>0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0</v>
      </c>
      <c r="AU205" s="11">
        <v>0</v>
      </c>
      <c r="AV205" s="11">
        <v>0</v>
      </c>
      <c r="AW205" s="11">
        <v>0</v>
      </c>
      <c r="AX205" s="11">
        <v>0</v>
      </c>
      <c r="AY205" s="11">
        <v>0</v>
      </c>
      <c r="AZ205" s="11">
        <v>0</v>
      </c>
      <c r="BA205" s="11">
        <v>0</v>
      </c>
      <c r="BB205" s="11">
        <v>0</v>
      </c>
      <c r="BC205" s="11">
        <v>0</v>
      </c>
      <c r="BD205" s="11">
        <v>0</v>
      </c>
      <c r="BE205" s="11">
        <v>0</v>
      </c>
      <c r="BF205" s="11">
        <v>0</v>
      </c>
      <c r="BG205" s="11">
        <v>0</v>
      </c>
      <c r="BH205" s="11">
        <v>0</v>
      </c>
      <c r="BI205" s="11">
        <v>0</v>
      </c>
      <c r="BJ205" s="11">
        <v>0</v>
      </c>
      <c r="BK205" s="11">
        <v>0</v>
      </c>
      <c r="BL205" s="11">
        <v>0</v>
      </c>
      <c r="BM205" s="11">
        <v>0</v>
      </c>
      <c r="BN205" s="11">
        <v>0</v>
      </c>
      <c r="BO205" s="11">
        <v>0</v>
      </c>
      <c r="BP205" s="11">
        <v>0</v>
      </c>
      <c r="BQ205" s="11">
        <v>0</v>
      </c>
      <c r="BR205" s="11">
        <v>0</v>
      </c>
      <c r="BS205" s="11">
        <v>0</v>
      </c>
      <c r="BT205" s="11">
        <v>0</v>
      </c>
      <c r="BU205" s="11">
        <v>0</v>
      </c>
      <c r="BV205" s="11">
        <v>0</v>
      </c>
      <c r="BW205" s="11">
        <v>-45.8</v>
      </c>
      <c r="BX205" s="11">
        <v>0</v>
      </c>
      <c r="BY205" s="11">
        <v>0</v>
      </c>
      <c r="BZ205" s="11">
        <v>0</v>
      </c>
      <c r="CA205" s="11">
        <v>0</v>
      </c>
      <c r="CB205" s="11">
        <v>0</v>
      </c>
      <c r="CC205" s="11">
        <v>0</v>
      </c>
      <c r="CD205" s="11">
        <v>0</v>
      </c>
      <c r="CE205" s="11">
        <v>0</v>
      </c>
      <c r="CF205" s="11">
        <v>0</v>
      </c>
      <c r="CG205" s="11">
        <v>0</v>
      </c>
      <c r="CH205" s="11">
        <v>0</v>
      </c>
      <c r="CI205" s="11">
        <v>-2012</v>
      </c>
      <c r="CJ205" s="11">
        <v>-2012</v>
      </c>
      <c r="CK205" s="11">
        <v>-2012</v>
      </c>
    </row>
    <row r="206" spans="1:89" x14ac:dyDescent="0.2">
      <c r="A206" s="25" t="s">
        <v>288</v>
      </c>
      <c r="B206" s="11">
        <v>0</v>
      </c>
      <c r="C206" s="11">
        <v>0</v>
      </c>
      <c r="D206" s="11">
        <v>0</v>
      </c>
      <c r="E206" s="11">
        <v>0</v>
      </c>
      <c r="F206" s="11">
        <v>0</v>
      </c>
      <c r="G206" s="11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0</v>
      </c>
      <c r="AU206" s="11">
        <v>0</v>
      </c>
      <c r="AV206" s="11">
        <v>0</v>
      </c>
      <c r="AW206" s="11">
        <v>0</v>
      </c>
      <c r="AX206" s="11">
        <v>0</v>
      </c>
      <c r="AY206" s="11">
        <v>0</v>
      </c>
      <c r="AZ206" s="11">
        <v>0</v>
      </c>
      <c r="BA206" s="11">
        <v>0</v>
      </c>
      <c r="BB206" s="11">
        <v>0</v>
      </c>
      <c r="BC206" s="11">
        <v>0</v>
      </c>
      <c r="BD206" s="11">
        <v>0</v>
      </c>
      <c r="BE206" s="11">
        <v>0</v>
      </c>
      <c r="BF206" s="11">
        <v>0</v>
      </c>
      <c r="BG206" s="11">
        <v>0</v>
      </c>
      <c r="BH206" s="11">
        <v>0</v>
      </c>
      <c r="BI206" s="11">
        <v>0</v>
      </c>
      <c r="BJ206" s="11">
        <v>0</v>
      </c>
      <c r="BK206" s="11">
        <v>0</v>
      </c>
      <c r="BL206" s="11">
        <v>0</v>
      </c>
      <c r="BM206" s="11">
        <v>0</v>
      </c>
      <c r="BN206" s="11">
        <v>0</v>
      </c>
      <c r="BO206" s="11">
        <v>0</v>
      </c>
      <c r="BP206" s="11">
        <v>0</v>
      </c>
      <c r="BQ206" s="11">
        <v>0</v>
      </c>
      <c r="BR206" s="11">
        <v>0</v>
      </c>
      <c r="BS206" s="11">
        <v>0</v>
      </c>
      <c r="BT206" s="11">
        <v>0</v>
      </c>
      <c r="BU206" s="11">
        <v>0</v>
      </c>
      <c r="BV206" s="11">
        <v>0</v>
      </c>
      <c r="BW206" s="11">
        <v>0</v>
      </c>
      <c r="BX206" s="11">
        <v>0</v>
      </c>
      <c r="BY206" s="11">
        <v>0</v>
      </c>
      <c r="BZ206" s="11">
        <v>0</v>
      </c>
      <c r="CA206" s="11">
        <v>0</v>
      </c>
      <c r="CB206" s="11">
        <v>0</v>
      </c>
      <c r="CC206" s="11">
        <v>0</v>
      </c>
      <c r="CD206" s="11">
        <v>0</v>
      </c>
      <c r="CE206" s="11">
        <v>0</v>
      </c>
      <c r="CF206" s="11">
        <v>0</v>
      </c>
      <c r="CG206" s="11">
        <v>0</v>
      </c>
      <c r="CH206" s="11">
        <v>0</v>
      </c>
      <c r="CI206" s="11">
        <v>-1595.78</v>
      </c>
      <c r="CJ206" s="11">
        <v>-1595.78</v>
      </c>
      <c r="CK206" s="11">
        <v>-1595.78</v>
      </c>
    </row>
    <row r="207" spans="1:89" x14ac:dyDescent="0.2">
      <c r="A207" s="25" t="s">
        <v>289</v>
      </c>
      <c r="B207" s="11">
        <v>0</v>
      </c>
      <c r="C207" s="11">
        <v>0</v>
      </c>
      <c r="D207" s="11">
        <v>0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0</v>
      </c>
      <c r="AW207" s="11">
        <v>0</v>
      </c>
      <c r="AX207" s="11">
        <v>0</v>
      </c>
      <c r="AY207" s="11">
        <v>0</v>
      </c>
      <c r="AZ207" s="11">
        <v>0</v>
      </c>
      <c r="BA207" s="11">
        <v>-1314.2</v>
      </c>
      <c r="BB207" s="11">
        <v>0</v>
      </c>
      <c r="BC207" s="11">
        <v>0</v>
      </c>
      <c r="BD207" s="11">
        <v>0</v>
      </c>
      <c r="BE207" s="11">
        <v>60.8</v>
      </c>
      <c r="BF207" s="11">
        <v>0</v>
      </c>
      <c r="BG207" s="11">
        <v>0</v>
      </c>
      <c r="BH207" s="11">
        <v>0</v>
      </c>
      <c r="BI207" s="11">
        <v>0</v>
      </c>
      <c r="BJ207" s="11">
        <v>0</v>
      </c>
      <c r="BK207" s="11">
        <v>0</v>
      </c>
      <c r="BL207" s="11">
        <v>0</v>
      </c>
      <c r="BM207" s="11">
        <v>0</v>
      </c>
      <c r="BN207" s="11">
        <v>0</v>
      </c>
      <c r="BO207" s="11">
        <v>0</v>
      </c>
      <c r="BP207" s="11">
        <v>0</v>
      </c>
      <c r="BQ207" s="11">
        <v>0</v>
      </c>
      <c r="BR207" s="11">
        <v>0</v>
      </c>
      <c r="BS207" s="11">
        <v>0</v>
      </c>
      <c r="BT207" s="11">
        <v>0</v>
      </c>
      <c r="BU207" s="11">
        <v>0</v>
      </c>
      <c r="BV207" s="11">
        <v>0</v>
      </c>
      <c r="BW207" s="11">
        <v>0</v>
      </c>
      <c r="BX207" s="11">
        <v>0</v>
      </c>
      <c r="BY207" s="11">
        <v>0</v>
      </c>
      <c r="BZ207" s="11">
        <v>0</v>
      </c>
      <c r="CA207" s="11">
        <v>0</v>
      </c>
      <c r="CB207" s="11">
        <v>0</v>
      </c>
      <c r="CC207" s="11">
        <v>0</v>
      </c>
      <c r="CD207" s="11">
        <v>0</v>
      </c>
      <c r="CE207" s="11">
        <v>0</v>
      </c>
      <c r="CF207" s="11">
        <v>0</v>
      </c>
      <c r="CG207" s="11">
        <v>0</v>
      </c>
      <c r="CH207" s="11">
        <v>0</v>
      </c>
      <c r="CI207" s="11">
        <v>-473.26</v>
      </c>
      <c r="CJ207" s="11">
        <v>-473.26</v>
      </c>
      <c r="CK207" s="11">
        <v>-473.26</v>
      </c>
    </row>
    <row r="208" spans="1:89" x14ac:dyDescent="0.2">
      <c r="A208" s="25" t="s">
        <v>290</v>
      </c>
      <c r="B208" s="11">
        <v>0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>
        <v>0</v>
      </c>
      <c r="AU208" s="11">
        <v>0</v>
      </c>
      <c r="AV208" s="11">
        <v>0</v>
      </c>
      <c r="AW208" s="11">
        <v>0</v>
      </c>
      <c r="AX208" s="11">
        <v>0</v>
      </c>
      <c r="AY208" s="11">
        <v>0</v>
      </c>
      <c r="AZ208" s="11">
        <v>0</v>
      </c>
      <c r="BA208" s="11">
        <v>0</v>
      </c>
      <c r="BB208" s="11">
        <v>-161.6</v>
      </c>
      <c r="BC208" s="11">
        <v>-161.6</v>
      </c>
      <c r="BD208" s="11">
        <v>0</v>
      </c>
      <c r="BE208" s="11">
        <v>0</v>
      </c>
      <c r="BF208" s="11">
        <v>0</v>
      </c>
      <c r="BG208" s="11">
        <v>0</v>
      </c>
      <c r="BH208" s="11">
        <v>0</v>
      </c>
      <c r="BI208" s="11">
        <v>-527.01</v>
      </c>
      <c r="BJ208" s="11">
        <v>0</v>
      </c>
      <c r="BK208" s="11">
        <v>-52.71</v>
      </c>
      <c r="BL208" s="11">
        <v>0</v>
      </c>
      <c r="BM208" s="11">
        <v>0</v>
      </c>
      <c r="BN208" s="11">
        <v>0</v>
      </c>
      <c r="BO208" s="11">
        <v>-217.85</v>
      </c>
      <c r="BP208" s="11">
        <v>0</v>
      </c>
      <c r="BQ208" s="11">
        <v>0</v>
      </c>
      <c r="BR208" s="11">
        <v>0</v>
      </c>
      <c r="BS208" s="11">
        <v>0</v>
      </c>
      <c r="BT208" s="11">
        <v>0</v>
      </c>
      <c r="BU208" s="11">
        <v>0</v>
      </c>
      <c r="BV208" s="11">
        <v>0</v>
      </c>
      <c r="BW208" s="11">
        <v>0</v>
      </c>
      <c r="BX208" s="11">
        <v>0</v>
      </c>
      <c r="BY208" s="11">
        <v>0</v>
      </c>
      <c r="BZ208" s="11">
        <v>0</v>
      </c>
      <c r="CA208" s="11">
        <v>0</v>
      </c>
      <c r="CB208" s="11">
        <v>0</v>
      </c>
      <c r="CC208" s="11">
        <v>0</v>
      </c>
      <c r="CD208" s="11">
        <v>0</v>
      </c>
      <c r="CE208" s="11">
        <v>0</v>
      </c>
      <c r="CF208" s="11">
        <v>0</v>
      </c>
      <c r="CG208" s="11">
        <v>0</v>
      </c>
      <c r="CH208" s="11">
        <v>0</v>
      </c>
      <c r="CI208" s="11">
        <v>-28.27</v>
      </c>
      <c r="CJ208" s="11">
        <v>-28.27</v>
      </c>
      <c r="CK208" s="11">
        <v>-28.27</v>
      </c>
    </row>
    <row r="209" spans="1:89" x14ac:dyDescent="0.2">
      <c r="A209" s="25" t="s">
        <v>291</v>
      </c>
      <c r="B209" s="11">
        <v>0</v>
      </c>
      <c r="C209" s="11">
        <v>0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  <c r="AX209" s="11">
        <v>0</v>
      </c>
      <c r="AY209" s="11">
        <v>0</v>
      </c>
      <c r="AZ209" s="11">
        <v>0</v>
      </c>
      <c r="BA209" s="11">
        <v>0</v>
      </c>
      <c r="BB209" s="11">
        <v>0</v>
      </c>
      <c r="BC209" s="11">
        <v>0</v>
      </c>
      <c r="BD209" s="11">
        <v>0</v>
      </c>
      <c r="BE209" s="11">
        <v>0</v>
      </c>
      <c r="BF209" s="11">
        <v>0</v>
      </c>
      <c r="BG209" s="11">
        <v>0</v>
      </c>
      <c r="BH209" s="11">
        <v>0</v>
      </c>
      <c r="BI209" s="11">
        <v>0</v>
      </c>
      <c r="BJ209" s="11">
        <v>0</v>
      </c>
      <c r="BK209" s="11">
        <v>0</v>
      </c>
      <c r="BL209" s="11">
        <v>0</v>
      </c>
      <c r="BM209" s="11">
        <v>0</v>
      </c>
      <c r="BN209" s="11">
        <v>0</v>
      </c>
      <c r="BO209" s="11">
        <v>0</v>
      </c>
      <c r="BP209" s="11">
        <v>0</v>
      </c>
      <c r="BQ209" s="11">
        <v>0</v>
      </c>
      <c r="BR209" s="11">
        <v>0</v>
      </c>
      <c r="BS209" s="11">
        <v>0</v>
      </c>
      <c r="BT209" s="11">
        <v>0</v>
      </c>
      <c r="BU209" s="11">
        <v>0</v>
      </c>
      <c r="BV209" s="11">
        <v>0</v>
      </c>
      <c r="BW209" s="11">
        <v>0</v>
      </c>
      <c r="BX209" s="11">
        <v>0</v>
      </c>
      <c r="BY209" s="11">
        <v>0</v>
      </c>
      <c r="BZ209" s="11">
        <v>0</v>
      </c>
      <c r="CA209" s="11">
        <v>0</v>
      </c>
      <c r="CB209" s="11">
        <v>0</v>
      </c>
      <c r="CC209" s="11">
        <v>0</v>
      </c>
      <c r="CD209" s="11">
        <v>0</v>
      </c>
      <c r="CE209" s="11">
        <v>0</v>
      </c>
      <c r="CF209" s="11">
        <v>0</v>
      </c>
      <c r="CG209" s="11">
        <v>0</v>
      </c>
      <c r="CH209" s="11">
        <v>0</v>
      </c>
      <c r="CI209" s="11">
        <v>-5595.78</v>
      </c>
      <c r="CJ209" s="11">
        <v>-5595.78</v>
      </c>
      <c r="CK209" s="11">
        <v>-5595.78</v>
      </c>
    </row>
    <row r="210" spans="1:89" x14ac:dyDescent="0.2">
      <c r="A210" s="25" t="s">
        <v>292</v>
      </c>
      <c r="B210" s="11">
        <v>0</v>
      </c>
      <c r="C210" s="11">
        <v>0</v>
      </c>
      <c r="D210" s="11">
        <v>0</v>
      </c>
      <c r="E210" s="11">
        <v>0</v>
      </c>
      <c r="F210" s="11">
        <v>0</v>
      </c>
      <c r="G210" s="11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0</v>
      </c>
      <c r="AW210" s="11">
        <v>0</v>
      </c>
      <c r="AX210" s="11">
        <v>0</v>
      </c>
      <c r="AY210" s="11">
        <v>0</v>
      </c>
      <c r="AZ210" s="11">
        <v>0</v>
      </c>
      <c r="BA210" s="11">
        <v>0</v>
      </c>
      <c r="BB210" s="11">
        <v>0</v>
      </c>
      <c r="BC210" s="11">
        <v>0</v>
      </c>
      <c r="BD210" s="11">
        <v>0</v>
      </c>
      <c r="BE210" s="11">
        <v>0</v>
      </c>
      <c r="BF210" s="11">
        <v>0</v>
      </c>
      <c r="BG210" s="11">
        <v>0</v>
      </c>
      <c r="BH210" s="11">
        <v>0</v>
      </c>
      <c r="BI210" s="11">
        <v>-4329.29</v>
      </c>
      <c r="BJ210" s="11">
        <v>0</v>
      </c>
      <c r="BK210" s="11">
        <v>0</v>
      </c>
      <c r="BL210" s="11">
        <v>0</v>
      </c>
      <c r="BM210" s="11">
        <v>0</v>
      </c>
      <c r="BN210" s="11">
        <v>0</v>
      </c>
      <c r="BO210" s="11">
        <v>0</v>
      </c>
      <c r="BP210" s="11">
        <v>0</v>
      </c>
      <c r="BQ210" s="11">
        <v>0</v>
      </c>
      <c r="BR210" s="11">
        <v>0</v>
      </c>
      <c r="BS210" s="11">
        <v>0</v>
      </c>
      <c r="BT210" s="11">
        <v>0</v>
      </c>
      <c r="BU210" s="11">
        <v>0</v>
      </c>
      <c r="BV210" s="11">
        <v>0</v>
      </c>
      <c r="BW210" s="11">
        <v>0</v>
      </c>
      <c r="BX210" s="11">
        <v>0</v>
      </c>
      <c r="BY210" s="11">
        <v>0</v>
      </c>
      <c r="BZ210" s="11">
        <v>0</v>
      </c>
      <c r="CA210" s="11">
        <v>0</v>
      </c>
      <c r="CB210" s="11">
        <v>0</v>
      </c>
      <c r="CC210" s="11">
        <v>0</v>
      </c>
      <c r="CD210" s="11">
        <v>0</v>
      </c>
      <c r="CE210" s="11">
        <v>0</v>
      </c>
      <c r="CF210" s="11">
        <v>0</v>
      </c>
      <c r="CG210" s="11">
        <v>0</v>
      </c>
      <c r="CH210" s="11">
        <v>0</v>
      </c>
      <c r="CI210" s="11">
        <v>0</v>
      </c>
      <c r="CJ210" s="11">
        <v>0</v>
      </c>
      <c r="CK210" s="11">
        <v>0</v>
      </c>
    </row>
    <row r="211" spans="1:89" x14ac:dyDescent="0.2">
      <c r="A211" s="25" t="s">
        <v>293</v>
      </c>
      <c r="B211" s="11">
        <v>0</v>
      </c>
      <c r="C211" s="11">
        <v>0</v>
      </c>
      <c r="D211" s="11">
        <v>0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>
        <v>0</v>
      </c>
      <c r="AU211" s="11">
        <v>0</v>
      </c>
      <c r="AV211" s="11">
        <v>0</v>
      </c>
      <c r="AW211" s="11">
        <v>0</v>
      </c>
      <c r="AX211" s="11">
        <v>0</v>
      </c>
      <c r="AY211" s="11">
        <v>0</v>
      </c>
      <c r="AZ211" s="11">
        <v>0</v>
      </c>
      <c r="BA211" s="11">
        <v>0</v>
      </c>
      <c r="BB211" s="11">
        <v>0</v>
      </c>
      <c r="BC211" s="11">
        <v>0</v>
      </c>
      <c r="BD211" s="11">
        <v>0</v>
      </c>
      <c r="BE211" s="11">
        <v>0</v>
      </c>
      <c r="BF211" s="11">
        <v>0</v>
      </c>
      <c r="BG211" s="11">
        <v>0</v>
      </c>
      <c r="BH211" s="11">
        <v>0</v>
      </c>
      <c r="BI211" s="11">
        <v>0</v>
      </c>
      <c r="BJ211" s="11">
        <v>0</v>
      </c>
      <c r="BK211" s="11">
        <v>0</v>
      </c>
      <c r="BL211" s="11">
        <v>0</v>
      </c>
      <c r="BM211" s="11">
        <v>0</v>
      </c>
      <c r="BN211" s="11">
        <v>0</v>
      </c>
      <c r="BO211" s="11">
        <v>0</v>
      </c>
      <c r="BP211" s="11">
        <v>0</v>
      </c>
      <c r="BQ211" s="11">
        <v>0</v>
      </c>
      <c r="BR211" s="11">
        <v>0</v>
      </c>
      <c r="BS211" s="11">
        <v>0</v>
      </c>
      <c r="BT211" s="11">
        <v>0</v>
      </c>
      <c r="BU211" s="11">
        <v>0</v>
      </c>
      <c r="BV211" s="11">
        <v>82.36</v>
      </c>
      <c r="BW211" s="11">
        <v>0</v>
      </c>
      <c r="BX211" s="11">
        <v>0</v>
      </c>
      <c r="BY211" s="11">
        <v>0</v>
      </c>
      <c r="BZ211" s="11">
        <v>0</v>
      </c>
      <c r="CA211" s="11">
        <v>0</v>
      </c>
      <c r="CB211" s="11">
        <v>0</v>
      </c>
      <c r="CC211" s="11">
        <v>0</v>
      </c>
      <c r="CD211" s="11">
        <v>0</v>
      </c>
      <c r="CE211" s="11">
        <v>0</v>
      </c>
      <c r="CF211" s="11">
        <v>0</v>
      </c>
      <c r="CG211" s="11">
        <v>0</v>
      </c>
      <c r="CH211" s="11">
        <v>0</v>
      </c>
      <c r="CI211" s="11">
        <v>-2045.39</v>
      </c>
      <c r="CJ211" s="11">
        <v>-2045.39</v>
      </c>
      <c r="CK211" s="11">
        <v>-2045.39</v>
      </c>
    </row>
    <row r="212" spans="1:89" x14ac:dyDescent="0.2">
      <c r="A212" s="25" t="s">
        <v>294</v>
      </c>
      <c r="B212" s="11">
        <v>0</v>
      </c>
      <c r="C212" s="11">
        <v>0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0</v>
      </c>
      <c r="AW212" s="11">
        <v>0</v>
      </c>
      <c r="AX212" s="11">
        <v>0</v>
      </c>
      <c r="AY212" s="11">
        <v>0</v>
      </c>
      <c r="AZ212" s="11">
        <v>0</v>
      </c>
      <c r="BA212" s="11">
        <v>0</v>
      </c>
      <c r="BB212" s="11">
        <v>0</v>
      </c>
      <c r="BC212" s="11">
        <v>0</v>
      </c>
      <c r="BD212" s="11">
        <v>0</v>
      </c>
      <c r="BE212" s="11">
        <v>0</v>
      </c>
      <c r="BF212" s="11">
        <v>0</v>
      </c>
      <c r="BG212" s="11">
        <v>0</v>
      </c>
      <c r="BH212" s="11">
        <v>0</v>
      </c>
      <c r="BI212" s="11">
        <v>0</v>
      </c>
      <c r="BJ212" s="11">
        <v>0</v>
      </c>
      <c r="BK212" s="11">
        <v>0</v>
      </c>
      <c r="BL212" s="11">
        <v>0</v>
      </c>
      <c r="BM212" s="11">
        <v>0</v>
      </c>
      <c r="BN212" s="11">
        <v>0</v>
      </c>
      <c r="BO212" s="11">
        <v>0</v>
      </c>
      <c r="BP212" s="11">
        <v>0</v>
      </c>
      <c r="BQ212" s="11">
        <v>0</v>
      </c>
      <c r="BR212" s="11">
        <v>0</v>
      </c>
      <c r="BS212" s="11">
        <v>0</v>
      </c>
      <c r="BT212" s="11">
        <v>0</v>
      </c>
      <c r="BU212" s="11">
        <v>0</v>
      </c>
      <c r="BV212" s="11">
        <v>0</v>
      </c>
      <c r="BW212" s="11">
        <v>0</v>
      </c>
      <c r="BX212" s="11">
        <v>0</v>
      </c>
      <c r="BY212" s="11">
        <v>0</v>
      </c>
      <c r="BZ212" s="11">
        <v>0</v>
      </c>
      <c r="CA212" s="11">
        <v>0</v>
      </c>
      <c r="CB212" s="11">
        <v>0</v>
      </c>
      <c r="CC212" s="11">
        <v>0</v>
      </c>
      <c r="CD212" s="11">
        <v>0</v>
      </c>
      <c r="CE212" s="11">
        <v>0</v>
      </c>
      <c r="CF212" s="11">
        <v>0</v>
      </c>
      <c r="CG212" s="11">
        <v>0</v>
      </c>
      <c r="CH212" s="11">
        <v>0</v>
      </c>
      <c r="CI212" s="11">
        <v>-2559.9899999999998</v>
      </c>
      <c r="CJ212" s="11">
        <v>-2559.9899999999998</v>
      </c>
      <c r="CK212" s="11">
        <v>-2559.9899999999998</v>
      </c>
    </row>
    <row r="213" spans="1:89" x14ac:dyDescent="0.2">
      <c r="A213" s="25" t="s">
        <v>295</v>
      </c>
      <c r="B213" s="11">
        <v>0</v>
      </c>
      <c r="C213" s="11">
        <v>0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0</v>
      </c>
      <c r="BB213" s="11">
        <v>0</v>
      </c>
      <c r="BC213" s="11">
        <v>0</v>
      </c>
      <c r="BD213" s="11">
        <v>0</v>
      </c>
      <c r="BE213" s="11">
        <v>0</v>
      </c>
      <c r="BF213" s="11">
        <v>0</v>
      </c>
      <c r="BG213" s="11">
        <v>0</v>
      </c>
      <c r="BH213" s="11">
        <v>0</v>
      </c>
      <c r="BI213" s="11">
        <v>0</v>
      </c>
      <c r="BJ213" s="11">
        <v>0</v>
      </c>
      <c r="BK213" s="11">
        <v>0</v>
      </c>
      <c r="BL213" s="11">
        <v>0</v>
      </c>
      <c r="BM213" s="11">
        <v>0</v>
      </c>
      <c r="BN213" s="11">
        <v>0</v>
      </c>
      <c r="BO213" s="11">
        <v>0</v>
      </c>
      <c r="BP213" s="11">
        <v>0</v>
      </c>
      <c r="BQ213" s="11">
        <v>0</v>
      </c>
      <c r="BR213" s="11">
        <v>0</v>
      </c>
      <c r="BS213" s="11">
        <v>0</v>
      </c>
      <c r="BT213" s="11">
        <v>0</v>
      </c>
      <c r="BU213" s="11">
        <v>0</v>
      </c>
      <c r="BV213" s="11">
        <v>0</v>
      </c>
      <c r="BW213" s="11">
        <v>0</v>
      </c>
      <c r="BX213" s="11">
        <v>0</v>
      </c>
      <c r="BY213" s="11">
        <v>0</v>
      </c>
      <c r="BZ213" s="11">
        <v>0</v>
      </c>
      <c r="CA213" s="11">
        <v>0</v>
      </c>
      <c r="CB213" s="11">
        <v>0</v>
      </c>
      <c r="CC213" s="11">
        <v>0</v>
      </c>
      <c r="CD213" s="11">
        <v>0</v>
      </c>
      <c r="CE213" s="11">
        <v>0</v>
      </c>
      <c r="CF213" s="11">
        <v>0</v>
      </c>
      <c r="CG213" s="11">
        <v>0</v>
      </c>
      <c r="CH213" s="11">
        <v>0</v>
      </c>
      <c r="CI213" s="11">
        <v>-451.12</v>
      </c>
      <c r="CJ213" s="11">
        <v>-451.12</v>
      </c>
      <c r="CK213" s="11">
        <v>-451.12</v>
      </c>
    </row>
    <row r="214" spans="1:89" x14ac:dyDescent="0.2">
      <c r="A214" s="25" t="s">
        <v>296</v>
      </c>
      <c r="B214" s="11">
        <v>0</v>
      </c>
      <c r="C214" s="11">
        <v>0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0</v>
      </c>
      <c r="AT214" s="11">
        <v>0</v>
      </c>
      <c r="AU214" s="11">
        <v>0</v>
      </c>
      <c r="AV214" s="11">
        <v>0</v>
      </c>
      <c r="AW214" s="11">
        <v>0</v>
      </c>
      <c r="AX214" s="11">
        <v>0</v>
      </c>
      <c r="AY214" s="11">
        <v>0</v>
      </c>
      <c r="AZ214" s="11">
        <v>0</v>
      </c>
      <c r="BA214" s="11">
        <v>0</v>
      </c>
      <c r="BB214" s="11">
        <v>0</v>
      </c>
      <c r="BC214" s="11">
        <v>0</v>
      </c>
      <c r="BD214" s="11">
        <v>0</v>
      </c>
      <c r="BE214" s="11">
        <v>0</v>
      </c>
      <c r="BF214" s="11">
        <v>0</v>
      </c>
      <c r="BG214" s="11">
        <v>0</v>
      </c>
      <c r="BH214" s="11">
        <v>0</v>
      </c>
      <c r="BI214" s="11">
        <v>0</v>
      </c>
      <c r="BJ214" s="11">
        <v>0</v>
      </c>
      <c r="BK214" s="11">
        <v>0</v>
      </c>
      <c r="BL214" s="11">
        <v>0</v>
      </c>
      <c r="BM214" s="11">
        <v>0</v>
      </c>
      <c r="BN214" s="11">
        <v>0</v>
      </c>
      <c r="BO214" s="11">
        <v>0</v>
      </c>
      <c r="BP214" s="11">
        <v>0</v>
      </c>
      <c r="BQ214" s="11">
        <v>0</v>
      </c>
      <c r="BR214" s="11">
        <v>0</v>
      </c>
      <c r="BS214" s="11">
        <v>0</v>
      </c>
      <c r="BT214" s="11">
        <v>0</v>
      </c>
      <c r="BU214" s="11">
        <v>215.62</v>
      </c>
      <c r="BV214" s="11">
        <v>215.62</v>
      </c>
      <c r="BW214" s="11">
        <v>0</v>
      </c>
      <c r="BX214" s="11">
        <v>0</v>
      </c>
      <c r="BY214" s="11">
        <v>0</v>
      </c>
      <c r="BZ214" s="11">
        <v>0</v>
      </c>
      <c r="CA214" s="11">
        <v>0</v>
      </c>
      <c r="CB214" s="11">
        <v>0</v>
      </c>
      <c r="CC214" s="11">
        <v>0</v>
      </c>
      <c r="CD214" s="11">
        <v>0</v>
      </c>
      <c r="CE214" s="11">
        <v>0</v>
      </c>
      <c r="CF214" s="11">
        <v>0</v>
      </c>
      <c r="CG214" s="11">
        <v>0</v>
      </c>
      <c r="CH214" s="11">
        <v>0</v>
      </c>
      <c r="CI214" s="11">
        <v>-1823.79</v>
      </c>
      <c r="CJ214" s="11">
        <v>-1823.79</v>
      </c>
      <c r="CK214" s="11">
        <v>-1823.79</v>
      </c>
    </row>
    <row r="215" spans="1:89" x14ac:dyDescent="0.2">
      <c r="A215" s="25" t="s">
        <v>297</v>
      </c>
      <c r="B215" s="11">
        <v>0</v>
      </c>
      <c r="C215" s="11">
        <v>0</v>
      </c>
      <c r="D215" s="11">
        <v>0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</v>
      </c>
      <c r="AX215" s="11">
        <v>0</v>
      </c>
      <c r="AY215" s="11">
        <v>0</v>
      </c>
      <c r="AZ215" s="11">
        <v>0</v>
      </c>
      <c r="BA215" s="11">
        <v>0</v>
      </c>
      <c r="BB215" s="11">
        <v>0</v>
      </c>
      <c r="BC215" s="11">
        <v>0</v>
      </c>
      <c r="BD215" s="11">
        <v>0</v>
      </c>
      <c r="BE215" s="11">
        <v>0</v>
      </c>
      <c r="BF215" s="11">
        <v>0</v>
      </c>
      <c r="BG215" s="11">
        <v>0</v>
      </c>
      <c r="BH215" s="11">
        <v>0</v>
      </c>
      <c r="BI215" s="11">
        <v>0</v>
      </c>
      <c r="BJ215" s="11">
        <v>0</v>
      </c>
      <c r="BK215" s="11">
        <v>0</v>
      </c>
      <c r="BL215" s="11">
        <v>0</v>
      </c>
      <c r="BM215" s="11">
        <v>0</v>
      </c>
      <c r="BN215" s="11">
        <v>0</v>
      </c>
      <c r="BO215" s="11">
        <v>0</v>
      </c>
      <c r="BP215" s="11">
        <v>0</v>
      </c>
      <c r="BQ215" s="11">
        <v>0</v>
      </c>
      <c r="BR215" s="11">
        <v>0</v>
      </c>
      <c r="BS215" s="11">
        <v>0</v>
      </c>
      <c r="BT215" s="11">
        <v>0</v>
      </c>
      <c r="BU215" s="11">
        <v>0</v>
      </c>
      <c r="BV215" s="11">
        <v>0</v>
      </c>
      <c r="BW215" s="11">
        <v>0</v>
      </c>
      <c r="BX215" s="11">
        <v>0</v>
      </c>
      <c r="BY215" s="11">
        <v>0</v>
      </c>
      <c r="BZ215" s="11">
        <v>0</v>
      </c>
      <c r="CA215" s="11">
        <v>0</v>
      </c>
      <c r="CB215" s="11">
        <v>0</v>
      </c>
      <c r="CC215" s="11">
        <v>0</v>
      </c>
      <c r="CD215" s="11">
        <v>0</v>
      </c>
      <c r="CE215" s="11">
        <v>0</v>
      </c>
      <c r="CF215" s="11">
        <v>0</v>
      </c>
      <c r="CG215" s="11">
        <v>0</v>
      </c>
      <c r="CH215" s="11">
        <v>0</v>
      </c>
      <c r="CI215" s="11">
        <v>-1858.18</v>
      </c>
      <c r="CJ215" s="11">
        <v>-1858.18</v>
      </c>
      <c r="CK215" s="11">
        <v>-1858.18</v>
      </c>
    </row>
    <row r="216" spans="1:89" x14ac:dyDescent="0.2">
      <c r="A216" s="25" t="s">
        <v>298</v>
      </c>
      <c r="B216" s="11">
        <v>0</v>
      </c>
      <c r="C216" s="11">
        <v>0</v>
      </c>
      <c r="D216" s="11">
        <v>0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0</v>
      </c>
      <c r="AU216" s="11">
        <v>0</v>
      </c>
      <c r="AV216" s="11">
        <v>0</v>
      </c>
      <c r="AW216" s="11">
        <v>0</v>
      </c>
      <c r="AX216" s="11">
        <v>0</v>
      </c>
      <c r="AY216" s="11">
        <v>0</v>
      </c>
      <c r="AZ216" s="11">
        <v>0</v>
      </c>
      <c r="BA216" s="11">
        <v>0</v>
      </c>
      <c r="BB216" s="11">
        <v>0</v>
      </c>
      <c r="BC216" s="11">
        <v>0</v>
      </c>
      <c r="BD216" s="11">
        <v>0</v>
      </c>
      <c r="BE216" s="11">
        <v>0</v>
      </c>
      <c r="BF216" s="11">
        <v>0</v>
      </c>
      <c r="BG216" s="11">
        <v>0</v>
      </c>
      <c r="BH216" s="11">
        <v>0</v>
      </c>
      <c r="BI216" s="11">
        <v>0</v>
      </c>
      <c r="BJ216" s="11">
        <v>0</v>
      </c>
      <c r="BK216" s="11">
        <v>0</v>
      </c>
      <c r="BL216" s="11">
        <v>0</v>
      </c>
      <c r="BM216" s="11">
        <v>0</v>
      </c>
      <c r="BN216" s="11">
        <v>0</v>
      </c>
      <c r="BO216" s="11">
        <v>0</v>
      </c>
      <c r="BP216" s="11">
        <v>0</v>
      </c>
      <c r="BQ216" s="11">
        <v>0</v>
      </c>
      <c r="BR216" s="11">
        <v>0</v>
      </c>
      <c r="BS216" s="11">
        <v>0</v>
      </c>
      <c r="BT216" s="11">
        <v>0</v>
      </c>
      <c r="BU216" s="11">
        <v>0</v>
      </c>
      <c r="BV216" s="11">
        <v>0</v>
      </c>
      <c r="BW216" s="11">
        <v>0</v>
      </c>
      <c r="BX216" s="11">
        <v>0</v>
      </c>
      <c r="BY216" s="11">
        <v>0</v>
      </c>
      <c r="BZ216" s="11">
        <v>0</v>
      </c>
      <c r="CA216" s="11">
        <v>0</v>
      </c>
      <c r="CB216" s="11">
        <v>0</v>
      </c>
      <c r="CC216" s="11">
        <v>0</v>
      </c>
      <c r="CD216" s="11">
        <v>0</v>
      </c>
      <c r="CE216" s="11">
        <v>0</v>
      </c>
      <c r="CF216" s="11">
        <v>0</v>
      </c>
      <c r="CG216" s="11">
        <v>0</v>
      </c>
      <c r="CH216" s="11">
        <v>0</v>
      </c>
      <c r="CI216" s="11">
        <v>-1874.7</v>
      </c>
      <c r="CJ216" s="11">
        <v>-1874.7</v>
      </c>
      <c r="CK216" s="11">
        <v>-1874.7</v>
      </c>
    </row>
    <row r="217" spans="1:89" x14ac:dyDescent="0.2">
      <c r="A217" s="25" t="s">
        <v>299</v>
      </c>
      <c r="B217" s="11">
        <v>0</v>
      </c>
      <c r="C217" s="11">
        <v>0</v>
      </c>
      <c r="D217" s="11">
        <v>0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  <c r="AZ217" s="11">
        <v>0</v>
      </c>
      <c r="BA217" s="11">
        <v>0</v>
      </c>
      <c r="BB217" s="11">
        <v>0</v>
      </c>
      <c r="BC217" s="11">
        <v>0</v>
      </c>
      <c r="BD217" s="11">
        <v>0</v>
      </c>
      <c r="BE217" s="11">
        <v>0</v>
      </c>
      <c r="BF217" s="11">
        <v>0</v>
      </c>
      <c r="BG217" s="11">
        <v>0</v>
      </c>
      <c r="BH217" s="11">
        <v>0</v>
      </c>
      <c r="BI217" s="11">
        <v>0</v>
      </c>
      <c r="BJ217" s="11">
        <v>0</v>
      </c>
      <c r="BK217" s="11">
        <v>0</v>
      </c>
      <c r="BL217" s="11">
        <v>0</v>
      </c>
      <c r="BM217" s="11">
        <v>0</v>
      </c>
      <c r="BN217" s="11">
        <v>0</v>
      </c>
      <c r="BO217" s="11">
        <v>0</v>
      </c>
      <c r="BP217" s="11">
        <v>0</v>
      </c>
      <c r="BQ217" s="11">
        <v>0</v>
      </c>
      <c r="BR217" s="11">
        <v>0</v>
      </c>
      <c r="BS217" s="11">
        <v>0</v>
      </c>
      <c r="BT217" s="11">
        <v>0</v>
      </c>
      <c r="BU217" s="11">
        <v>0</v>
      </c>
      <c r="BV217" s="11">
        <v>0</v>
      </c>
      <c r="BW217" s="11">
        <v>0</v>
      </c>
      <c r="BX217" s="11">
        <v>0</v>
      </c>
      <c r="BY217" s="11">
        <v>0</v>
      </c>
      <c r="BZ217" s="11">
        <v>0</v>
      </c>
      <c r="CA217" s="11">
        <v>0</v>
      </c>
      <c r="CB217" s="11">
        <v>0</v>
      </c>
      <c r="CC217" s="11">
        <v>0</v>
      </c>
      <c r="CD217" s="11">
        <v>0</v>
      </c>
      <c r="CE217" s="11">
        <v>0</v>
      </c>
      <c r="CF217" s="11">
        <v>0</v>
      </c>
      <c r="CG217" s="11">
        <v>0</v>
      </c>
      <c r="CH217" s="11">
        <v>0</v>
      </c>
      <c r="CI217" s="11">
        <v>-1765.58</v>
      </c>
      <c r="CJ217" s="11">
        <v>-1765.58</v>
      </c>
      <c r="CK217" s="11">
        <v>-1765.58</v>
      </c>
    </row>
    <row r="218" spans="1:89" x14ac:dyDescent="0.2">
      <c r="A218" s="25" t="s">
        <v>300</v>
      </c>
      <c r="B218" s="11">
        <v>0</v>
      </c>
      <c r="C218" s="11">
        <v>0</v>
      </c>
      <c r="D218" s="11">
        <v>0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>
        <v>0</v>
      </c>
      <c r="AU218" s="11">
        <v>0</v>
      </c>
      <c r="AV218" s="11">
        <v>0</v>
      </c>
      <c r="AW218" s="11">
        <v>0</v>
      </c>
      <c r="AX218" s="11">
        <v>0</v>
      </c>
      <c r="AY218" s="11">
        <v>0</v>
      </c>
      <c r="AZ218" s="11">
        <v>0</v>
      </c>
      <c r="BA218" s="11">
        <v>0</v>
      </c>
      <c r="BB218" s="11">
        <v>0</v>
      </c>
      <c r="BC218" s="11">
        <v>0</v>
      </c>
      <c r="BD218" s="11">
        <v>0</v>
      </c>
      <c r="BE218" s="11">
        <v>0</v>
      </c>
      <c r="BF218" s="11">
        <v>0</v>
      </c>
      <c r="BG218" s="11">
        <v>0</v>
      </c>
      <c r="BH218" s="11">
        <v>0</v>
      </c>
      <c r="BI218" s="11">
        <v>0</v>
      </c>
      <c r="BJ218" s="11">
        <v>0</v>
      </c>
      <c r="BK218" s="11">
        <v>0</v>
      </c>
      <c r="BL218" s="11">
        <v>0</v>
      </c>
      <c r="BM218" s="11">
        <v>0</v>
      </c>
      <c r="BN218" s="11">
        <v>0</v>
      </c>
      <c r="BO218" s="11">
        <v>0</v>
      </c>
      <c r="BP218" s="11">
        <v>0</v>
      </c>
      <c r="BQ218" s="11">
        <v>0</v>
      </c>
      <c r="BR218" s="11">
        <v>0</v>
      </c>
      <c r="BS218" s="11">
        <v>0</v>
      </c>
      <c r="BT218" s="11">
        <v>0</v>
      </c>
      <c r="BU218" s="11">
        <v>0</v>
      </c>
      <c r="BV218" s="11">
        <v>0</v>
      </c>
      <c r="BW218" s="11">
        <v>0</v>
      </c>
      <c r="BX218" s="11">
        <v>0</v>
      </c>
      <c r="BY218" s="11">
        <v>0</v>
      </c>
      <c r="BZ218" s="11">
        <v>0</v>
      </c>
      <c r="CA218" s="11">
        <v>0</v>
      </c>
      <c r="CB218" s="11">
        <v>0</v>
      </c>
      <c r="CC218" s="11">
        <v>0</v>
      </c>
      <c r="CD218" s="11">
        <v>0</v>
      </c>
      <c r="CE218" s="11">
        <v>0</v>
      </c>
      <c r="CF218" s="11">
        <v>0</v>
      </c>
      <c r="CG218" s="11">
        <v>0</v>
      </c>
      <c r="CH218" s="11">
        <v>0</v>
      </c>
      <c r="CI218" s="11">
        <v>-1252.8</v>
      </c>
      <c r="CJ218" s="11">
        <v>-1252.8</v>
      </c>
      <c r="CK218" s="11">
        <v>-1252.8</v>
      </c>
    </row>
    <row r="219" spans="1:89" x14ac:dyDescent="0.2">
      <c r="A219" s="25" t="s">
        <v>301</v>
      </c>
      <c r="B219" s="11">
        <v>0</v>
      </c>
      <c r="C219" s="11">
        <v>0</v>
      </c>
      <c r="D219" s="11">
        <v>0</v>
      </c>
      <c r="E219" s="11">
        <v>0</v>
      </c>
      <c r="F219" s="11">
        <v>0</v>
      </c>
      <c r="G219" s="11">
        <v>0</v>
      </c>
      <c r="H219" s="11">
        <v>0</v>
      </c>
      <c r="I219" s="11">
        <v>0.01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0.02</v>
      </c>
      <c r="U219" s="11">
        <v>2916.84</v>
      </c>
      <c r="V219" s="11">
        <v>2787.8</v>
      </c>
      <c r="W219" s="11">
        <v>1766.71</v>
      </c>
      <c r="X219" s="11">
        <v>1766.71</v>
      </c>
      <c r="Y219" s="11">
        <v>1909.6100000000001</v>
      </c>
      <c r="Z219" s="11">
        <v>1897.6100000000001</v>
      </c>
      <c r="AA219" s="11">
        <v>1079.2400000000002</v>
      </c>
      <c r="AB219" s="11">
        <v>2.2737367544323206E-13</v>
      </c>
      <c r="AC219" s="11">
        <v>2.2737367544323206E-13</v>
      </c>
      <c r="AD219" s="11">
        <v>1.0000000000227374E-2</v>
      </c>
      <c r="AE219" s="11">
        <v>2.0000000000227374E-2</v>
      </c>
      <c r="AF219" s="11">
        <v>2.2737367544323206E-13</v>
      </c>
      <c r="AG219" s="11">
        <v>-155.30999999999977</v>
      </c>
      <c r="AH219" s="11">
        <v>-261.44999999999976</v>
      </c>
      <c r="AI219" s="11">
        <v>-9.9999999997635314E-3</v>
      </c>
      <c r="AJ219" s="11">
        <v>-9.9999999997635314E-3</v>
      </c>
      <c r="AK219" s="11">
        <v>-9.9999999997635314E-3</v>
      </c>
      <c r="AL219" s="11">
        <v>-9.9999999997635314E-3</v>
      </c>
      <c r="AM219" s="11">
        <v>-9.9999999997635314E-3</v>
      </c>
      <c r="AN219" s="11">
        <v>-599.99999999999977</v>
      </c>
      <c r="AO219" s="11">
        <v>2.2737367544323206E-13</v>
      </c>
      <c r="AP219" s="11">
        <v>2.2737367544323206E-13</v>
      </c>
      <c r="AQ219" s="11">
        <v>2.2737367544323206E-13</v>
      </c>
      <c r="AR219" s="11">
        <v>2.2737367544323206E-13</v>
      </c>
      <c r="AS219" s="11">
        <v>2.2737367544323206E-13</v>
      </c>
      <c r="AT219" s="11">
        <v>2.2737367544323206E-13</v>
      </c>
      <c r="AU219" s="11">
        <v>2.2737367544323206E-13</v>
      </c>
      <c r="AV219" s="11">
        <v>2.2737367544323206E-13</v>
      </c>
      <c r="AW219" s="11">
        <v>2982.6900000000005</v>
      </c>
      <c r="AX219" s="11">
        <v>4.5474735088646412E-13</v>
      </c>
      <c r="AY219" s="11">
        <v>4.5474735088646412E-13</v>
      </c>
      <c r="AZ219" s="11">
        <v>4.5474735088646412E-13</v>
      </c>
      <c r="BA219" s="11">
        <v>4.5474735088646412E-13</v>
      </c>
      <c r="BB219" s="11">
        <v>1655.4500000000005</v>
      </c>
      <c r="BC219" s="11">
        <v>1655.4500000000005</v>
      </c>
      <c r="BD219" s="11">
        <v>1033.2100000000005</v>
      </c>
      <c r="BE219" s="11">
        <v>410.97000000000048</v>
      </c>
      <c r="BF219" s="11">
        <v>16.500000000000455</v>
      </c>
      <c r="BG219" s="11">
        <v>4.5474735088646412E-13</v>
      </c>
      <c r="BH219" s="11">
        <v>4.5474735088646412E-13</v>
      </c>
      <c r="BI219" s="11">
        <v>4.5474735088646412E-13</v>
      </c>
      <c r="BJ219" s="11">
        <v>4.5474735088646412E-13</v>
      </c>
      <c r="BK219" s="11">
        <v>4.5474735088646412E-13</v>
      </c>
      <c r="BL219" s="11">
        <v>4.5474735088646412E-13</v>
      </c>
      <c r="BM219" s="11">
        <v>4.5474735088646412E-13</v>
      </c>
      <c r="BN219" s="11">
        <v>4.5474735088646412E-13</v>
      </c>
      <c r="BO219" s="11">
        <v>4.5474735088646412E-13</v>
      </c>
      <c r="BP219" s="11">
        <v>4.5474735088646412E-13</v>
      </c>
      <c r="BQ219" s="11">
        <v>4.5474735088646412E-13</v>
      </c>
      <c r="BR219" s="11">
        <v>4.5474735088646412E-13</v>
      </c>
      <c r="BS219" s="11">
        <v>4.5474735088646412E-13</v>
      </c>
      <c r="BT219" s="11">
        <v>4.5474735088646412E-13</v>
      </c>
      <c r="BU219" s="11">
        <v>4.5474735088646412E-13</v>
      </c>
      <c r="BV219" s="11">
        <v>4.5474735088646412E-13</v>
      </c>
      <c r="BW219" s="11">
        <v>4.5474735088646412E-13</v>
      </c>
      <c r="BX219" s="11">
        <v>4.5474735088646412E-13</v>
      </c>
      <c r="BY219" s="11">
        <v>4.5474735088646412E-13</v>
      </c>
      <c r="BZ219" s="11">
        <v>4.5474735088646412E-13</v>
      </c>
      <c r="CA219" s="11">
        <v>4.5474735088646412E-13</v>
      </c>
      <c r="CB219" s="11">
        <v>4.5474735088646412E-13</v>
      </c>
      <c r="CC219" s="11">
        <v>4.5474735088646412E-13</v>
      </c>
      <c r="CD219" s="11">
        <v>4.5474735088646412E-13</v>
      </c>
      <c r="CE219" s="11">
        <v>4.5474735088646412E-13</v>
      </c>
      <c r="CF219" s="11">
        <v>4.5474735088646412E-13</v>
      </c>
      <c r="CG219" s="11">
        <v>4.5474735088646412E-13</v>
      </c>
      <c r="CH219" s="11">
        <v>4.5474735088646412E-13</v>
      </c>
      <c r="CI219" s="11">
        <v>4.5474735088646412E-13</v>
      </c>
      <c r="CJ219" s="11">
        <v>4.5474735088646412E-13</v>
      </c>
      <c r="CK219" s="11">
        <v>4.5474735088646412E-13</v>
      </c>
    </row>
    <row r="220" spans="1:89" x14ac:dyDescent="0.2">
      <c r="A220" s="25" t="s">
        <v>302</v>
      </c>
      <c r="B220" s="11">
        <v>0</v>
      </c>
      <c r="C220" s="11">
        <v>0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127.55</v>
      </c>
      <c r="P220" s="11">
        <v>0</v>
      </c>
      <c r="Q220" s="11">
        <v>40.700000000000003</v>
      </c>
      <c r="R220" s="11">
        <v>40.700000000000003</v>
      </c>
      <c r="S220" s="11">
        <v>53.09</v>
      </c>
      <c r="T220" s="11">
        <v>72.89</v>
      </c>
      <c r="U220" s="11">
        <v>222.45</v>
      </c>
      <c r="V220" s="11">
        <v>222.45</v>
      </c>
      <c r="W220" s="11">
        <v>251.16</v>
      </c>
      <c r="X220" s="11">
        <v>254.29</v>
      </c>
      <c r="Y220" s="11">
        <v>276.05</v>
      </c>
      <c r="Z220" s="11">
        <v>276.05</v>
      </c>
      <c r="AA220" s="11">
        <v>276.05</v>
      </c>
      <c r="AB220" s="11">
        <v>276.05</v>
      </c>
      <c r="AC220" s="11">
        <v>0</v>
      </c>
      <c r="AD220" s="11">
        <v>25.51</v>
      </c>
      <c r="AE220" s="11">
        <v>102.82000000000001</v>
      </c>
      <c r="AF220" s="11">
        <v>161.19</v>
      </c>
      <c r="AG220" s="11">
        <v>161.19</v>
      </c>
      <c r="AH220" s="11">
        <v>165.92</v>
      </c>
      <c r="AI220" s="11">
        <v>165.92</v>
      </c>
      <c r="AJ220" s="11">
        <v>165.92</v>
      </c>
      <c r="AK220" s="11">
        <v>165.92</v>
      </c>
      <c r="AL220" s="11">
        <v>178.67999999999998</v>
      </c>
      <c r="AM220" s="11">
        <v>219.05999999999997</v>
      </c>
      <c r="AN220" s="11">
        <v>219.05999999999997</v>
      </c>
      <c r="AO220" s="11">
        <v>219.05999999999997</v>
      </c>
      <c r="AP220" s="11">
        <v>-2.8421709430404007E-14</v>
      </c>
      <c r="AQ220" s="11">
        <v>56.50999999999997</v>
      </c>
      <c r="AR220" s="11">
        <v>56.50999999999997</v>
      </c>
      <c r="AS220" s="11">
        <v>56.50999999999997</v>
      </c>
      <c r="AT220" s="11">
        <v>56.50999999999997</v>
      </c>
      <c r="AU220" s="11">
        <v>56.50999999999997</v>
      </c>
      <c r="AV220" s="11">
        <v>56.50999999999997</v>
      </c>
      <c r="AW220" s="11">
        <v>56.50999999999997</v>
      </c>
      <c r="AX220" s="11">
        <v>56.50999999999997</v>
      </c>
      <c r="AY220" s="11">
        <v>151.74999999999997</v>
      </c>
      <c r="AZ220" s="11">
        <v>174.18999999999997</v>
      </c>
      <c r="BA220" s="11">
        <v>164.15999999999997</v>
      </c>
      <c r="BB220" s="11">
        <v>-2.8421709430404007E-14</v>
      </c>
      <c r="BC220" s="11">
        <v>-2.8421709430404007E-14</v>
      </c>
      <c r="BD220" s="11">
        <v>49.459999999999972</v>
      </c>
      <c r="BE220" s="11">
        <v>63.919999999999973</v>
      </c>
      <c r="BF220" s="11">
        <v>71.159999999999968</v>
      </c>
      <c r="BG220" s="11">
        <v>80.389999999999972</v>
      </c>
      <c r="BH220" s="11">
        <v>85.96999999999997</v>
      </c>
      <c r="BI220" s="11">
        <v>177.22999999999996</v>
      </c>
      <c r="BJ220" s="11">
        <v>186.35999999999996</v>
      </c>
      <c r="BK220" s="11">
        <v>204.13999999999996</v>
      </c>
      <c r="BL220" s="11">
        <v>232.01999999999995</v>
      </c>
      <c r="BM220" s="11">
        <v>251.70999999999995</v>
      </c>
      <c r="BN220" s="11">
        <v>251.70999999999995</v>
      </c>
      <c r="BO220" s="11">
        <v>-5.6843418860808015E-14</v>
      </c>
      <c r="BP220" s="11">
        <v>19.409999999999943</v>
      </c>
      <c r="BQ220" s="11">
        <v>142.43999999999994</v>
      </c>
      <c r="BR220" s="11">
        <v>155.61999999999995</v>
      </c>
      <c r="BS220" s="11">
        <v>158.27999999999994</v>
      </c>
      <c r="BT220" s="11">
        <v>177.90999999999994</v>
      </c>
      <c r="BU220" s="11">
        <v>378.86999999999995</v>
      </c>
      <c r="BV220" s="11">
        <v>651.47</v>
      </c>
      <c r="BW220" s="11">
        <v>695.2</v>
      </c>
      <c r="BX220" s="11">
        <v>754.30000000000007</v>
      </c>
      <c r="BY220" s="11">
        <v>784.16000000000008</v>
      </c>
      <c r="BZ220" s="11">
        <v>820.83</v>
      </c>
      <c r="CA220" s="11">
        <v>823.98</v>
      </c>
      <c r="CB220" s="11">
        <v>0</v>
      </c>
      <c r="CC220" s="11">
        <v>109.25</v>
      </c>
      <c r="CD220" s="11">
        <v>155.01</v>
      </c>
      <c r="CE220" s="11">
        <v>165.26999999999998</v>
      </c>
      <c r="CF220" s="11">
        <v>394.16999999999996</v>
      </c>
      <c r="CG220" s="11">
        <v>430.59</v>
      </c>
      <c r="CH220" s="11">
        <v>763.49</v>
      </c>
      <c r="CI220" s="11">
        <v>763.49</v>
      </c>
      <c r="CJ220" s="11">
        <v>763.49</v>
      </c>
      <c r="CK220" s="11">
        <v>763.49</v>
      </c>
    </row>
    <row r="221" spans="1:89" x14ac:dyDescent="0.2">
      <c r="A221" s="25" t="s">
        <v>303</v>
      </c>
      <c r="B221" s="11">
        <v>0</v>
      </c>
      <c r="C221" s="11">
        <v>0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161831.48000000001</v>
      </c>
      <c r="AX221" s="11">
        <v>332706.86</v>
      </c>
      <c r="AY221" s="11">
        <v>470665.8</v>
      </c>
      <c r="AZ221" s="11">
        <v>592061.37</v>
      </c>
      <c r="BA221" s="11">
        <v>720399.61</v>
      </c>
      <c r="BB221" s="11">
        <v>0</v>
      </c>
      <c r="BC221" s="11">
        <v>0</v>
      </c>
      <c r="BD221" s="11">
        <v>0</v>
      </c>
      <c r="BE221" s="11">
        <v>0</v>
      </c>
      <c r="BF221" s="11">
        <v>52.37</v>
      </c>
      <c r="BG221" s="11">
        <v>104.74</v>
      </c>
      <c r="BH221" s="11">
        <v>157.10999999999999</v>
      </c>
      <c r="BI221" s="11">
        <v>209.48</v>
      </c>
      <c r="BJ221" s="11">
        <v>261.84999999999997</v>
      </c>
      <c r="BK221" s="11">
        <v>314.21999999999997</v>
      </c>
      <c r="BL221" s="11">
        <v>366.59</v>
      </c>
      <c r="BM221" s="11">
        <v>418.96</v>
      </c>
      <c r="BN221" s="11">
        <v>471.33</v>
      </c>
      <c r="BO221" s="11">
        <v>0</v>
      </c>
      <c r="BP221" s="11">
        <v>0</v>
      </c>
      <c r="BQ221" s="11">
        <v>0</v>
      </c>
      <c r="BR221" s="11">
        <v>0</v>
      </c>
      <c r="BS221" s="11">
        <v>0</v>
      </c>
      <c r="BT221" s="11">
        <v>0</v>
      </c>
      <c r="BU221" s="11">
        <v>0</v>
      </c>
      <c r="BV221" s="11">
        <v>0</v>
      </c>
      <c r="BW221" s="11">
        <v>0</v>
      </c>
      <c r="BX221" s="11">
        <v>0</v>
      </c>
      <c r="BY221" s="11">
        <v>0</v>
      </c>
      <c r="BZ221" s="11">
        <v>0</v>
      </c>
      <c r="CA221" s="11">
        <v>0</v>
      </c>
      <c r="CB221" s="11">
        <v>0</v>
      </c>
      <c r="CC221" s="11">
        <v>0</v>
      </c>
      <c r="CD221" s="11">
        <v>0</v>
      </c>
      <c r="CE221" s="11">
        <v>0</v>
      </c>
      <c r="CF221" s="11">
        <v>0</v>
      </c>
      <c r="CG221" s="11">
        <v>0</v>
      </c>
      <c r="CH221" s="11">
        <v>0</v>
      </c>
      <c r="CI221" s="11">
        <v>0</v>
      </c>
      <c r="CJ221" s="11">
        <v>0</v>
      </c>
      <c r="CK221" s="11">
        <v>0</v>
      </c>
    </row>
    <row r="222" spans="1:89" x14ac:dyDescent="0.2">
      <c r="A222" s="25" t="s">
        <v>304</v>
      </c>
      <c r="B222" s="11">
        <v>0</v>
      </c>
      <c r="C222" s="11">
        <v>0</v>
      </c>
      <c r="D222" s="11">
        <v>130850.49</v>
      </c>
      <c r="E222" s="11">
        <v>261321.96000000002</v>
      </c>
      <c r="F222" s="11">
        <v>546025.1100000001</v>
      </c>
      <c r="G222" s="11">
        <v>709631.03000000014</v>
      </c>
      <c r="H222" s="11">
        <v>1109662.4300000002</v>
      </c>
      <c r="I222" s="11">
        <v>1308827.3600000001</v>
      </c>
      <c r="J222" s="11">
        <v>1512448.25</v>
      </c>
      <c r="K222" s="11">
        <v>1711456.01</v>
      </c>
      <c r="L222" s="11">
        <v>1930448.81</v>
      </c>
      <c r="M222" s="11">
        <v>2118769.63</v>
      </c>
      <c r="N222" s="11">
        <v>2323296.54</v>
      </c>
      <c r="O222" s="11">
        <v>2622740.12</v>
      </c>
      <c r="P222" s="11">
        <v>0</v>
      </c>
      <c r="Q222" s="11">
        <v>377495.55</v>
      </c>
      <c r="R222" s="11">
        <v>539346.93999999994</v>
      </c>
      <c r="S222" s="11">
        <v>773931.27999999991</v>
      </c>
      <c r="T222" s="11">
        <v>975432.21</v>
      </c>
      <c r="U222" s="11">
        <v>1188199.48</v>
      </c>
      <c r="V222" s="11">
        <v>1379617.37</v>
      </c>
      <c r="W222" s="11">
        <v>1765425.62</v>
      </c>
      <c r="X222" s="11">
        <v>1923480.9000000001</v>
      </c>
      <c r="Y222" s="11">
        <v>2058965.4400000002</v>
      </c>
      <c r="Z222" s="11">
        <v>2224775.56</v>
      </c>
      <c r="AA222" s="11">
        <v>2450666.87</v>
      </c>
      <c r="AB222" s="11">
        <v>2496302.29</v>
      </c>
      <c r="AC222" s="11">
        <v>0</v>
      </c>
      <c r="AD222" s="11">
        <v>173763.8</v>
      </c>
      <c r="AE222" s="11">
        <v>348790.1</v>
      </c>
      <c r="AF222" s="11">
        <v>594811.39</v>
      </c>
      <c r="AG222" s="11">
        <v>746364.62</v>
      </c>
      <c r="AH222" s="11">
        <v>944861.1</v>
      </c>
      <c r="AI222" s="11">
        <v>1095907.75</v>
      </c>
      <c r="AJ222" s="11">
        <v>1289492.3700000001</v>
      </c>
      <c r="AK222" s="11">
        <v>1461248.7000000002</v>
      </c>
      <c r="AL222" s="11">
        <v>1591578.2900000003</v>
      </c>
      <c r="AM222" s="11">
        <v>1769927.1300000004</v>
      </c>
      <c r="AN222" s="11">
        <v>1932057.6400000004</v>
      </c>
      <c r="AO222" s="11">
        <v>2054845.0800000003</v>
      </c>
      <c r="AP222" s="11">
        <v>2.3283064365386963E-10</v>
      </c>
      <c r="AQ222" s="11">
        <v>148581.34000000023</v>
      </c>
      <c r="AR222" s="11">
        <v>297921.33000000019</v>
      </c>
      <c r="AS222" s="11">
        <v>478184.42000000016</v>
      </c>
      <c r="AT222" s="11">
        <v>610062.63000000012</v>
      </c>
      <c r="AU222" s="11">
        <v>759954.70000000019</v>
      </c>
      <c r="AV222" s="11">
        <v>899593.64000000013</v>
      </c>
      <c r="AW222" s="11">
        <v>914136.07000000018</v>
      </c>
      <c r="AX222" s="11">
        <v>931230.91000000015</v>
      </c>
      <c r="AY222" s="11">
        <v>931948.35000000009</v>
      </c>
      <c r="AZ222" s="11">
        <v>939482.15000000014</v>
      </c>
      <c r="BA222" s="11">
        <v>940682.95000000019</v>
      </c>
      <c r="BB222" s="11">
        <v>2.3283064365386963E-10</v>
      </c>
      <c r="BC222" s="11">
        <v>2.3283064365386963E-10</v>
      </c>
      <c r="BD222" s="11">
        <v>157605.09000000023</v>
      </c>
      <c r="BE222" s="11">
        <v>295733.26000000024</v>
      </c>
      <c r="BF222" s="11">
        <v>527149.39000000025</v>
      </c>
      <c r="BG222" s="11">
        <v>776169.19000000018</v>
      </c>
      <c r="BH222" s="11">
        <v>985497.23000000021</v>
      </c>
      <c r="BI222" s="11">
        <v>1154726.1300000001</v>
      </c>
      <c r="BJ222" s="11">
        <v>1336646.53</v>
      </c>
      <c r="BK222" s="11">
        <v>1495403.75</v>
      </c>
      <c r="BL222" s="11">
        <v>1666491.3900000001</v>
      </c>
      <c r="BM222" s="11">
        <v>1824136.8800000001</v>
      </c>
      <c r="BN222" s="11">
        <v>1999250.9100000001</v>
      </c>
      <c r="BO222" s="11">
        <v>2.3283064365386963E-10</v>
      </c>
      <c r="BP222" s="11">
        <v>181608.01000000024</v>
      </c>
      <c r="BQ222" s="11">
        <v>333654.52000000025</v>
      </c>
      <c r="BR222" s="11">
        <v>479915.04000000027</v>
      </c>
      <c r="BS222" s="11">
        <v>628931.58000000031</v>
      </c>
      <c r="BT222" s="11">
        <v>780506.73000000033</v>
      </c>
      <c r="BU222" s="11">
        <v>965454.22000000032</v>
      </c>
      <c r="BV222" s="11">
        <v>1124320.1800000004</v>
      </c>
      <c r="BW222" s="11">
        <v>1285539.4500000004</v>
      </c>
      <c r="BX222" s="11">
        <v>1446077.7900000005</v>
      </c>
      <c r="BY222" s="11">
        <v>1672343.7500000005</v>
      </c>
      <c r="BZ222" s="11">
        <v>1874941.7900000005</v>
      </c>
      <c r="CA222" s="11">
        <v>2040492.5300000005</v>
      </c>
      <c r="CB222" s="11">
        <v>4.6566128730773926E-10</v>
      </c>
      <c r="CC222" s="11">
        <v>220685.60000000047</v>
      </c>
      <c r="CD222" s="11">
        <v>421236.87000000046</v>
      </c>
      <c r="CE222" s="11">
        <v>730811.42000000039</v>
      </c>
      <c r="CF222" s="11">
        <v>944548.04000000039</v>
      </c>
      <c r="CG222" s="11">
        <v>1160084.2800000003</v>
      </c>
      <c r="CH222" s="11">
        <v>1376490.4000000004</v>
      </c>
      <c r="CI222" s="11">
        <v>1610413.7300000004</v>
      </c>
      <c r="CJ222" s="11">
        <v>1616037.7300000004</v>
      </c>
      <c r="CK222" s="11">
        <v>1616037.7300000004</v>
      </c>
    </row>
    <row r="223" spans="1:89" x14ac:dyDescent="0.2">
      <c r="A223" s="25" t="s">
        <v>305</v>
      </c>
      <c r="B223" s="11">
        <v>0</v>
      </c>
      <c r="C223" s="11">
        <v>0</v>
      </c>
      <c r="D223" s="11">
        <v>0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39.89</v>
      </c>
      <c r="AX223" s="11">
        <v>90.990000000000009</v>
      </c>
      <c r="AY223" s="11">
        <v>1845.49</v>
      </c>
      <c r="AZ223" s="11">
        <v>15369.18</v>
      </c>
      <c r="BA223" s="11">
        <v>24729.23</v>
      </c>
      <c r="BB223" s="11">
        <v>38749.599999999999</v>
      </c>
      <c r="BC223" s="11">
        <v>0</v>
      </c>
      <c r="BD223" s="11">
        <v>0</v>
      </c>
      <c r="BE223" s="11">
        <v>0</v>
      </c>
      <c r="BF223" s="11">
        <v>0</v>
      </c>
      <c r="BG223" s="11">
        <v>0</v>
      </c>
      <c r="BH223" s="11">
        <v>0</v>
      </c>
      <c r="BI223" s="11">
        <v>0</v>
      </c>
      <c r="BJ223" s="11">
        <v>0</v>
      </c>
      <c r="BK223" s="11">
        <v>0</v>
      </c>
      <c r="BL223" s="11">
        <v>0</v>
      </c>
      <c r="BM223" s="11">
        <v>0</v>
      </c>
      <c r="BN223" s="11">
        <v>0</v>
      </c>
      <c r="BO223" s="11">
        <v>0</v>
      </c>
      <c r="BP223" s="11">
        <v>0</v>
      </c>
      <c r="BQ223" s="11">
        <v>0</v>
      </c>
      <c r="BR223" s="11">
        <v>0</v>
      </c>
      <c r="BS223" s="11">
        <v>0</v>
      </c>
      <c r="BT223" s="11">
        <v>0</v>
      </c>
      <c r="BU223" s="11">
        <v>0</v>
      </c>
      <c r="BV223" s="11">
        <v>0</v>
      </c>
      <c r="BW223" s="11">
        <v>0</v>
      </c>
      <c r="BX223" s="11">
        <v>0</v>
      </c>
      <c r="BY223" s="11">
        <v>0</v>
      </c>
      <c r="BZ223" s="11">
        <v>0</v>
      </c>
      <c r="CA223" s="11">
        <v>0</v>
      </c>
      <c r="CB223" s="11">
        <v>0</v>
      </c>
      <c r="CC223" s="11">
        <v>0</v>
      </c>
      <c r="CD223" s="11">
        <v>0</v>
      </c>
      <c r="CE223" s="11">
        <v>0</v>
      </c>
      <c r="CF223" s="11">
        <v>0</v>
      </c>
      <c r="CG223" s="11">
        <v>0</v>
      </c>
      <c r="CH223" s="11">
        <v>0</v>
      </c>
      <c r="CI223" s="11">
        <v>0</v>
      </c>
      <c r="CJ223" s="11">
        <v>0</v>
      </c>
      <c r="CK223" s="11">
        <v>0</v>
      </c>
    </row>
    <row r="224" spans="1:89" x14ac:dyDescent="0.2">
      <c r="A224" s="25" t="s">
        <v>306</v>
      </c>
      <c r="B224" s="11">
        <v>0</v>
      </c>
      <c r="C224" s="11">
        <v>0</v>
      </c>
      <c r="D224" s="11">
        <v>0</v>
      </c>
      <c r="E224" s="11">
        <v>-102074.12</v>
      </c>
      <c r="F224" s="11">
        <v>-198736.66999999998</v>
      </c>
      <c r="G224" s="11">
        <v>-418681.05</v>
      </c>
      <c r="H224" s="11">
        <v>-556721.32999999996</v>
      </c>
      <c r="I224" s="11">
        <v>-929223.53</v>
      </c>
      <c r="J224" s="11">
        <v>-942663.64</v>
      </c>
      <c r="K224" s="11">
        <v>-1122001.4099999999</v>
      </c>
      <c r="L224" s="11">
        <v>-1299232.5799999998</v>
      </c>
      <c r="M224" s="11">
        <v>-1460560.44</v>
      </c>
      <c r="N224" s="11">
        <v>-1607930.6099999999</v>
      </c>
      <c r="O224" s="11">
        <v>-1780786.2</v>
      </c>
      <c r="P224" s="11">
        <v>0</v>
      </c>
      <c r="Q224" s="11">
        <v>0</v>
      </c>
      <c r="R224" s="11">
        <v>-286934.23</v>
      </c>
      <c r="S224" s="11">
        <v>-423404.44999999995</v>
      </c>
      <c r="T224" s="11">
        <v>-592977.76</v>
      </c>
      <c r="U224" s="11">
        <v>-747521.22</v>
      </c>
      <c r="V224" s="11">
        <v>-924087.38</v>
      </c>
      <c r="W224" s="11">
        <v>-1052692.08</v>
      </c>
      <c r="X224" s="11">
        <v>-1408174.6600000001</v>
      </c>
      <c r="Y224" s="11">
        <v>-1533127.7500000002</v>
      </c>
      <c r="Z224" s="11">
        <v>-1637892.0600000003</v>
      </c>
      <c r="AA224" s="11">
        <v>-1771765.7600000002</v>
      </c>
      <c r="AB224" s="11">
        <v>-1922265.0600000003</v>
      </c>
      <c r="AC224" s="11">
        <v>-2.3283064365386963E-10</v>
      </c>
      <c r="AD224" s="11">
        <v>-2.3283064365386963E-10</v>
      </c>
      <c r="AE224" s="11">
        <v>-142293.84000000023</v>
      </c>
      <c r="AF224" s="11">
        <v>-286833.63000000024</v>
      </c>
      <c r="AG224" s="11">
        <v>-451213.25000000023</v>
      </c>
      <c r="AH224" s="11">
        <v>-572821.33000000019</v>
      </c>
      <c r="AI224" s="11">
        <v>-725210.78000000026</v>
      </c>
      <c r="AJ224" s="11">
        <v>-818487.2200000002</v>
      </c>
      <c r="AK224" s="11">
        <v>-978285.02000000025</v>
      </c>
      <c r="AL224" s="11">
        <v>-1118707.4000000004</v>
      </c>
      <c r="AM224" s="11">
        <v>-1207438.9600000004</v>
      </c>
      <c r="AN224" s="11">
        <v>-1346024.2000000004</v>
      </c>
      <c r="AO224" s="11">
        <v>-1477522.8900000004</v>
      </c>
      <c r="AP224" s="11">
        <v>-4.6566128730773926E-10</v>
      </c>
      <c r="AQ224" s="11">
        <v>-4.6566128730773926E-10</v>
      </c>
      <c r="AR224" s="11">
        <v>-117097.10000000047</v>
      </c>
      <c r="AS224" s="11">
        <v>-233515.91000000047</v>
      </c>
      <c r="AT224" s="11">
        <v>-233515.91000000047</v>
      </c>
      <c r="AU224" s="11">
        <v>-233515.91000000047</v>
      </c>
      <c r="AV224" s="11">
        <v>-233515.91000000047</v>
      </c>
      <c r="AW224" s="11">
        <v>-349487.85000000044</v>
      </c>
      <c r="AX224" s="11">
        <v>-621054.38000000047</v>
      </c>
      <c r="AY224" s="11">
        <v>-841554.42000000051</v>
      </c>
      <c r="AZ224" s="11">
        <v>-1017503.6700000005</v>
      </c>
      <c r="BA224" s="11">
        <v>-1117915.0400000005</v>
      </c>
      <c r="BB224" s="11">
        <v>-4.6566128730773926E-10</v>
      </c>
      <c r="BC224" s="11">
        <v>-4.6566128730773926E-10</v>
      </c>
      <c r="BD224" s="11">
        <v>-4.6566128730773926E-10</v>
      </c>
      <c r="BE224" s="11">
        <v>-127214.27000000047</v>
      </c>
      <c r="BF224" s="11">
        <v>-240036.34000000049</v>
      </c>
      <c r="BG224" s="11">
        <v>-400573.42000000051</v>
      </c>
      <c r="BH224" s="11">
        <v>-620177.81000000052</v>
      </c>
      <c r="BI224" s="11">
        <v>-715459.65000000049</v>
      </c>
      <c r="BJ224" s="11">
        <v>-830636.40000000049</v>
      </c>
      <c r="BK224" s="11">
        <v>-983858.18000000052</v>
      </c>
      <c r="BL224" s="11">
        <v>-1115678.5800000005</v>
      </c>
      <c r="BM224" s="11">
        <v>-1246877.9900000005</v>
      </c>
      <c r="BN224" s="11">
        <v>-1373008.1100000003</v>
      </c>
      <c r="BO224" s="11">
        <v>-2.3283064365386963E-10</v>
      </c>
      <c r="BP224" s="11">
        <v>-2.3283064365386963E-10</v>
      </c>
      <c r="BQ224" s="11">
        <v>-145818.66000000024</v>
      </c>
      <c r="BR224" s="11">
        <v>-262110.09000000023</v>
      </c>
      <c r="BS224" s="11">
        <v>-372293.78000000026</v>
      </c>
      <c r="BT224" s="11">
        <v>-479226.89000000025</v>
      </c>
      <c r="BU224" s="11">
        <v>-592160.77000000025</v>
      </c>
      <c r="BV224" s="11">
        <v>-710349.51000000024</v>
      </c>
      <c r="BW224" s="11">
        <v>-834449.24000000022</v>
      </c>
      <c r="BX224" s="11">
        <v>-941970.99000000022</v>
      </c>
      <c r="BY224" s="11">
        <v>-1070736.6400000001</v>
      </c>
      <c r="BZ224" s="11">
        <v>-1239558.0900000001</v>
      </c>
      <c r="CA224" s="11">
        <v>-1515885.86</v>
      </c>
      <c r="CB224" s="11">
        <v>0</v>
      </c>
      <c r="CC224" s="11">
        <v>0</v>
      </c>
      <c r="CD224" s="11">
        <v>-184649.42</v>
      </c>
      <c r="CE224" s="11">
        <v>-345697.57</v>
      </c>
      <c r="CF224" s="11">
        <v>-583519.19999999995</v>
      </c>
      <c r="CG224" s="11">
        <v>-766197.48</v>
      </c>
      <c r="CH224" s="11">
        <v>-951337.33</v>
      </c>
      <c r="CI224" s="11">
        <v>-1126988.3999999999</v>
      </c>
      <c r="CJ224" s="11">
        <v>-1126988.3999999999</v>
      </c>
      <c r="CK224" s="11">
        <v>-1126988.3999999999</v>
      </c>
    </row>
    <row r="225" spans="1:89" x14ac:dyDescent="0.2">
      <c r="A225" s="25" t="s">
        <v>307</v>
      </c>
      <c r="B225" s="11">
        <v>0</v>
      </c>
      <c r="C225" s="11">
        <v>0</v>
      </c>
      <c r="D225" s="11">
        <v>9662.0300000000007</v>
      </c>
      <c r="E225" s="11">
        <v>18879.830000000002</v>
      </c>
      <c r="F225" s="11">
        <v>27967.520000000004</v>
      </c>
      <c r="G225" s="11">
        <v>35671.94</v>
      </c>
      <c r="H225" s="11">
        <v>44821.53</v>
      </c>
      <c r="I225" s="11">
        <v>51800.479999999996</v>
      </c>
      <c r="J225" s="11">
        <v>59984.439999999995</v>
      </c>
      <c r="K225" s="11">
        <v>68747.289999999994</v>
      </c>
      <c r="L225" s="11">
        <v>78056.62999999999</v>
      </c>
      <c r="M225" s="11">
        <v>85067.62999999999</v>
      </c>
      <c r="N225" s="11">
        <v>92017.449999999983</v>
      </c>
      <c r="O225" s="11">
        <v>95961.00999999998</v>
      </c>
      <c r="P225" s="11">
        <v>-1.4551915228366852E-11</v>
      </c>
      <c r="Q225" s="11">
        <v>2459.0199999999854</v>
      </c>
      <c r="R225" s="11">
        <v>4918.0399999999854</v>
      </c>
      <c r="S225" s="11">
        <v>7372.8199999999852</v>
      </c>
      <c r="T225" s="11">
        <v>13433.229999999985</v>
      </c>
      <c r="U225" s="11">
        <v>32247.189999999984</v>
      </c>
      <c r="V225" s="11">
        <v>34714.849999999984</v>
      </c>
      <c r="W225" s="11">
        <v>25005.169999999984</v>
      </c>
      <c r="X225" s="11">
        <v>32135.729999999985</v>
      </c>
      <c r="Y225" s="11">
        <v>38660.289999999986</v>
      </c>
      <c r="Z225" s="11">
        <v>42428.01999999999</v>
      </c>
      <c r="AA225" s="11">
        <v>46295.369999999988</v>
      </c>
      <c r="AB225" s="11">
        <v>46295.369999999988</v>
      </c>
      <c r="AC225" s="11">
        <v>-1.4551915228366852E-11</v>
      </c>
      <c r="AD225" s="11">
        <v>609.57999999998549</v>
      </c>
      <c r="AE225" s="11">
        <v>609.57999999998549</v>
      </c>
      <c r="AF225" s="11">
        <v>609.57999999998549</v>
      </c>
      <c r="AG225" s="11">
        <v>368.46999999998548</v>
      </c>
      <c r="AH225" s="11">
        <v>2843.9799999999859</v>
      </c>
      <c r="AI225" s="11">
        <v>2847.399999999986</v>
      </c>
      <c r="AJ225" s="11">
        <v>2849.129999999986</v>
      </c>
      <c r="AK225" s="11">
        <v>375.36999999998579</v>
      </c>
      <c r="AL225" s="11">
        <v>377.12999999998578</v>
      </c>
      <c r="AM225" s="11">
        <v>378.86999999998579</v>
      </c>
      <c r="AN225" s="11">
        <v>380.61999999998579</v>
      </c>
      <c r="AO225" s="11">
        <v>-253.45000000001426</v>
      </c>
      <c r="AP225" s="11">
        <v>-1.4267698134062812E-11</v>
      </c>
      <c r="AQ225" s="11">
        <v>1.7499999999857323</v>
      </c>
      <c r="AR225" s="11">
        <v>1.7499999999857323</v>
      </c>
      <c r="AS225" s="11">
        <v>3.5599999999857324</v>
      </c>
      <c r="AT225" s="11">
        <v>5.3499999999857319</v>
      </c>
      <c r="AU225" s="11">
        <v>7.1199999999857315</v>
      </c>
      <c r="AV225" s="11">
        <v>8.8399999999857322</v>
      </c>
      <c r="AW225" s="11">
        <v>75.879999999985742</v>
      </c>
      <c r="AX225" s="11">
        <v>154.35999999998575</v>
      </c>
      <c r="AY225" s="11">
        <v>221.54999999998574</v>
      </c>
      <c r="AZ225" s="11">
        <v>-1535.3000000000143</v>
      </c>
      <c r="BA225" s="11">
        <v>-3869.1900000000142</v>
      </c>
      <c r="BB225" s="11">
        <v>-1.4097167877480388E-11</v>
      </c>
      <c r="BC225" s="11">
        <v>-1.4097167877480388E-11</v>
      </c>
      <c r="BD225" s="11">
        <v>-552.1200000000141</v>
      </c>
      <c r="BE225" s="11">
        <v>-462.6200000000141</v>
      </c>
      <c r="BF225" s="11">
        <v>-1328.6100000000142</v>
      </c>
      <c r="BG225" s="11">
        <v>1155.6299999999856</v>
      </c>
      <c r="BH225" s="11">
        <v>-5276.0400000000145</v>
      </c>
      <c r="BI225" s="11">
        <v>-6563.9700000000148</v>
      </c>
      <c r="BJ225" s="11">
        <v>-6234.0800000000145</v>
      </c>
      <c r="BK225" s="11">
        <v>-6144.4700000000148</v>
      </c>
      <c r="BL225" s="11">
        <v>-6150.2900000000145</v>
      </c>
      <c r="BM225" s="11">
        <v>-6115.5400000000145</v>
      </c>
      <c r="BN225" s="11">
        <v>-3375.6400000000144</v>
      </c>
      <c r="BO225" s="11">
        <v>-1.4551915228366852E-11</v>
      </c>
      <c r="BP225" s="11">
        <v>-1159.6200000000144</v>
      </c>
      <c r="BQ225" s="11">
        <v>-5624.3400000000147</v>
      </c>
      <c r="BR225" s="11">
        <v>-8693.310000000014</v>
      </c>
      <c r="BS225" s="11">
        <v>-6167.0500000000138</v>
      </c>
      <c r="BT225" s="11">
        <v>-6086.1900000000142</v>
      </c>
      <c r="BU225" s="11">
        <v>-6005.2300000000141</v>
      </c>
      <c r="BV225" s="11">
        <v>-5779.2600000000139</v>
      </c>
      <c r="BW225" s="11">
        <v>-4811.4600000000137</v>
      </c>
      <c r="BX225" s="11">
        <v>-4384.3800000000138</v>
      </c>
      <c r="BY225" s="11">
        <v>-4189.8700000000135</v>
      </c>
      <c r="BZ225" s="11">
        <v>-1450.0000000000136</v>
      </c>
      <c r="CA225" s="11">
        <v>-1356.6300000000138</v>
      </c>
      <c r="CB225" s="11">
        <v>-1.3642420526593924E-11</v>
      </c>
      <c r="CC225" s="11">
        <v>102.88999999998636</v>
      </c>
      <c r="CD225" s="11">
        <v>626.89999999998633</v>
      </c>
      <c r="CE225" s="11">
        <v>2463.6899999999864</v>
      </c>
      <c r="CF225" s="11">
        <v>2496.2999999999865</v>
      </c>
      <c r="CG225" s="11">
        <v>2912.9099999999867</v>
      </c>
      <c r="CH225" s="11">
        <v>2970.8099999999868</v>
      </c>
      <c r="CI225" s="11">
        <v>3001.6599999999867</v>
      </c>
      <c r="CJ225" s="11">
        <v>3001.6599999999867</v>
      </c>
      <c r="CK225" s="11">
        <v>3001.6599999999867</v>
      </c>
    </row>
    <row r="226" spans="1:89" x14ac:dyDescent="0.2">
      <c r="A226" s="25" t="s">
        <v>308</v>
      </c>
      <c r="B226" s="11">
        <v>0</v>
      </c>
      <c r="C226" s="11">
        <v>0</v>
      </c>
      <c r="D226" s="11">
        <v>2574.08</v>
      </c>
      <c r="E226" s="11">
        <v>28004.489999999998</v>
      </c>
      <c r="F226" s="11">
        <v>41907.379999999997</v>
      </c>
      <c r="G226" s="11">
        <v>57537.789999999994</v>
      </c>
      <c r="H226" s="11">
        <v>67207.839999999997</v>
      </c>
      <c r="I226" s="11">
        <v>80184.289999999994</v>
      </c>
      <c r="J226" s="11">
        <v>89125.47</v>
      </c>
      <c r="K226" s="11">
        <v>89399.07</v>
      </c>
      <c r="L226" s="11">
        <v>89842.57</v>
      </c>
      <c r="M226" s="11">
        <v>91112.23000000001</v>
      </c>
      <c r="N226" s="11">
        <v>104631.33000000002</v>
      </c>
      <c r="O226" s="11">
        <v>106801.78000000001</v>
      </c>
      <c r="P226" s="11">
        <v>1.4551915228366852E-11</v>
      </c>
      <c r="Q226" s="11">
        <v>7623.6200000000144</v>
      </c>
      <c r="R226" s="11">
        <v>14376.750000000015</v>
      </c>
      <c r="S226" s="11">
        <v>14949.520000000015</v>
      </c>
      <c r="T226" s="11">
        <v>26738.140000000014</v>
      </c>
      <c r="U226" s="11">
        <v>30743.430000000015</v>
      </c>
      <c r="V226" s="11">
        <v>36441.090000000011</v>
      </c>
      <c r="W226" s="11">
        <v>42249.970000000008</v>
      </c>
      <c r="X226" s="11">
        <v>47775.740000000005</v>
      </c>
      <c r="Y226" s="11">
        <v>52525.680000000008</v>
      </c>
      <c r="Z226" s="11">
        <v>53765.220000000008</v>
      </c>
      <c r="AA226" s="11">
        <v>55579.710000000006</v>
      </c>
      <c r="AB226" s="11">
        <v>108687.79000000001</v>
      </c>
      <c r="AC226" s="11">
        <v>1.4551915228366852E-11</v>
      </c>
      <c r="AD226" s="11">
        <v>53.19000000001455</v>
      </c>
      <c r="AE226" s="11">
        <v>774.25000000001455</v>
      </c>
      <c r="AF226" s="11">
        <v>1760.8600000000147</v>
      </c>
      <c r="AG226" s="11">
        <v>2024.0000000000146</v>
      </c>
      <c r="AH226" s="11">
        <v>2077.1900000000146</v>
      </c>
      <c r="AI226" s="11">
        <v>2828.8100000000145</v>
      </c>
      <c r="AJ226" s="11">
        <v>2882.0000000000146</v>
      </c>
      <c r="AK226" s="11">
        <v>5410.7000000000144</v>
      </c>
      <c r="AL226" s="11">
        <v>9708.7500000000146</v>
      </c>
      <c r="AM226" s="11">
        <v>9921.4000000000142</v>
      </c>
      <c r="AN226" s="11">
        <v>9974.5900000000147</v>
      </c>
      <c r="AO226" s="11">
        <v>10848.840000000015</v>
      </c>
      <c r="AP226" s="11">
        <v>1.4551915228366852E-11</v>
      </c>
      <c r="AQ226" s="11">
        <v>53.19000000001455</v>
      </c>
      <c r="AR226" s="11">
        <v>2838.8300000000145</v>
      </c>
      <c r="AS226" s="11">
        <v>3514.5300000000143</v>
      </c>
      <c r="AT226" s="11">
        <v>3554.4200000000142</v>
      </c>
      <c r="AU226" s="11">
        <v>3594.310000000014</v>
      </c>
      <c r="AV226" s="11">
        <v>4270.0100000000139</v>
      </c>
      <c r="AW226" s="11">
        <v>4270.0100000000139</v>
      </c>
      <c r="AX226" s="11">
        <v>4270.0100000000139</v>
      </c>
      <c r="AY226" s="11">
        <v>4270.0100000000139</v>
      </c>
      <c r="AZ226" s="11">
        <v>4270.0100000000139</v>
      </c>
      <c r="BA226" s="11">
        <v>4270.0100000000139</v>
      </c>
      <c r="BB226" s="11">
        <v>-38749.599999999984</v>
      </c>
      <c r="BC226" s="11">
        <v>1.4551915228366852E-11</v>
      </c>
      <c r="BD226" s="11">
        <v>1069.8800000000147</v>
      </c>
      <c r="BE226" s="11">
        <v>2241.560000000015</v>
      </c>
      <c r="BF226" s="11">
        <v>6268.1900000000151</v>
      </c>
      <c r="BG226" s="11">
        <v>19875.980000000018</v>
      </c>
      <c r="BH226" s="11">
        <v>27812.720000000016</v>
      </c>
      <c r="BI226" s="11">
        <v>38072.590000000018</v>
      </c>
      <c r="BJ226" s="11">
        <v>44603.830000000016</v>
      </c>
      <c r="BK226" s="11">
        <v>54604.260000000017</v>
      </c>
      <c r="BL226" s="11">
        <v>56815.85000000002</v>
      </c>
      <c r="BM226" s="11">
        <v>63692.520000000019</v>
      </c>
      <c r="BN226" s="11">
        <v>65134.470000000016</v>
      </c>
      <c r="BO226" s="11">
        <v>1.4551915228366852E-11</v>
      </c>
      <c r="BP226" s="11">
        <v>2195.7300000000146</v>
      </c>
      <c r="BQ226" s="11">
        <v>6005.2400000000143</v>
      </c>
      <c r="BR226" s="11">
        <v>11649.110000000015</v>
      </c>
      <c r="BS226" s="11">
        <v>16923.880000000016</v>
      </c>
      <c r="BT226" s="11">
        <v>24342.310000000016</v>
      </c>
      <c r="BU226" s="11">
        <v>33517.410000000018</v>
      </c>
      <c r="BV226" s="11">
        <v>35798.35000000002</v>
      </c>
      <c r="BW226" s="11">
        <v>54204.090000000026</v>
      </c>
      <c r="BX226" s="11">
        <v>69537.910000000033</v>
      </c>
      <c r="BY226" s="11">
        <v>83407.570000000036</v>
      </c>
      <c r="BZ226" s="11">
        <v>92833.47000000003</v>
      </c>
      <c r="CA226" s="11">
        <v>98097.750000000029</v>
      </c>
      <c r="CB226" s="11">
        <v>2.9103830456733704E-11</v>
      </c>
      <c r="CC226" s="11">
        <v>8306.29000000003</v>
      </c>
      <c r="CD226" s="11">
        <v>18800.800000000032</v>
      </c>
      <c r="CE226" s="11">
        <v>32745.520000000033</v>
      </c>
      <c r="CF226" s="11">
        <v>38043.400000000031</v>
      </c>
      <c r="CG226" s="11">
        <v>58003.160000000033</v>
      </c>
      <c r="CH226" s="11">
        <v>80171.140000000029</v>
      </c>
      <c r="CI226" s="11">
        <v>85979.350000000035</v>
      </c>
      <c r="CJ226" s="11">
        <v>85979.350000000035</v>
      </c>
      <c r="CK226" s="11">
        <v>85979.350000000035</v>
      </c>
    </row>
    <row r="227" spans="1:89" x14ac:dyDescent="0.2">
      <c r="A227" s="25" t="s">
        <v>309</v>
      </c>
      <c r="B227" s="11">
        <v>286411.09999999998</v>
      </c>
      <c r="C227" s="11">
        <v>286411.09999999998</v>
      </c>
      <c r="D227" s="11">
        <v>4421.289999999979</v>
      </c>
      <c r="E227" s="11">
        <v>-0.17000000002099114</v>
      </c>
      <c r="F227" s="11">
        <v>-0.17000000002099114</v>
      </c>
      <c r="G227" s="11">
        <v>-0.17000000002099114</v>
      </c>
      <c r="H227" s="11">
        <v>-0.17000000002099114</v>
      </c>
      <c r="I227" s="11">
        <v>-2.0991125504465913E-11</v>
      </c>
      <c r="J227" s="11">
        <v>-2.0991125504465913E-11</v>
      </c>
      <c r="K227" s="11">
        <v>-2.0991125504465913E-11</v>
      </c>
      <c r="L227" s="11">
        <v>-2.0991125504465913E-11</v>
      </c>
      <c r="M227" s="11">
        <v>-2.0991125504465913E-11</v>
      </c>
      <c r="N227" s="11">
        <v>-2.0991125504465913E-11</v>
      </c>
      <c r="O227" s="11">
        <v>-2.0991125504465913E-11</v>
      </c>
      <c r="P227" s="11">
        <v>160677.70999999996</v>
      </c>
      <c r="Q227" s="11">
        <v>250.80999999996857</v>
      </c>
      <c r="R227" s="11">
        <v>250.80999999996857</v>
      </c>
      <c r="S227" s="11">
        <v>250.80999999996857</v>
      </c>
      <c r="T227" s="11">
        <v>250.80999999996857</v>
      </c>
      <c r="U227" s="11">
        <v>250.80999999996857</v>
      </c>
      <c r="V227" s="11">
        <v>250.80999999996857</v>
      </c>
      <c r="W227" s="11">
        <v>250.80999999996857</v>
      </c>
      <c r="X227" s="11">
        <v>250.80999999996857</v>
      </c>
      <c r="Y227" s="11">
        <v>250.80999999996857</v>
      </c>
      <c r="Z227" s="11">
        <v>250.80999999996857</v>
      </c>
      <c r="AA227" s="11">
        <v>-3.1434410630026832E-11</v>
      </c>
      <c r="AB227" s="11">
        <v>-3.1434410630026832E-11</v>
      </c>
      <c r="AC227" s="11">
        <v>-3.1434410630026832E-11</v>
      </c>
      <c r="AD227" s="11">
        <v>-3.1434410630026832E-11</v>
      </c>
      <c r="AE227" s="11">
        <v>-3.1434410630026832E-11</v>
      </c>
      <c r="AF227" s="11">
        <v>-3.1434410630026832E-11</v>
      </c>
      <c r="AG227" s="11">
        <v>-3.1434410630026832E-11</v>
      </c>
      <c r="AH227" s="11">
        <v>-3.1434410630026832E-11</v>
      </c>
      <c r="AI227" s="11">
        <v>-3.1434410630026832E-11</v>
      </c>
      <c r="AJ227" s="11">
        <v>-3.1434410630026832E-11</v>
      </c>
      <c r="AK227" s="11">
        <v>-3.1434410630026832E-11</v>
      </c>
      <c r="AL227" s="11">
        <v>-3.1434410630026832E-11</v>
      </c>
      <c r="AM227" s="11">
        <v>-3.1434410630026832E-11</v>
      </c>
      <c r="AN227" s="11">
        <v>-3.1434410630026832E-11</v>
      </c>
      <c r="AO227" s="11">
        <v>-3.1434410630026832E-11</v>
      </c>
      <c r="AP227" s="11">
        <v>91715.089999999967</v>
      </c>
      <c r="AQ227" s="11">
        <v>1458.2199999999721</v>
      </c>
      <c r="AR227" s="11">
        <v>1458.2199999999721</v>
      </c>
      <c r="AS227" s="11">
        <v>1532.9399999999721</v>
      </c>
      <c r="AT227" s="11">
        <v>1532.9399999999721</v>
      </c>
      <c r="AU227" s="11">
        <v>1532.9399999999721</v>
      </c>
      <c r="AV227" s="11">
        <v>1532.9399999999721</v>
      </c>
      <c r="AW227" s="11">
        <v>1532.9399999999721</v>
      </c>
      <c r="AX227" s="11">
        <v>-2.7966962079517543E-11</v>
      </c>
      <c r="AY227" s="11">
        <v>-2.7966962079517543E-11</v>
      </c>
      <c r="AZ227" s="11">
        <v>-2.7966962079517543E-11</v>
      </c>
      <c r="BA227" s="11">
        <v>-2.7966962079517543E-11</v>
      </c>
      <c r="BB227" s="11">
        <v>-2.7966962079517543E-11</v>
      </c>
      <c r="BC227" s="11">
        <v>-2.7966962079517543E-11</v>
      </c>
      <c r="BD227" s="11">
        <v>-2.7966962079517543E-11</v>
      </c>
      <c r="BE227" s="11">
        <v>-2.7966962079517543E-11</v>
      </c>
      <c r="BF227" s="11">
        <v>-2.7966962079517543E-11</v>
      </c>
      <c r="BG227" s="11">
        <v>-2.7966962079517543E-11</v>
      </c>
      <c r="BH227" s="11">
        <v>-2.7966962079517543E-11</v>
      </c>
      <c r="BI227" s="11">
        <v>-2.7966962079517543E-11</v>
      </c>
      <c r="BJ227" s="11">
        <v>-2.7966962079517543E-11</v>
      </c>
      <c r="BK227" s="11">
        <v>-2.7966962079517543E-11</v>
      </c>
      <c r="BL227" s="11">
        <v>-2.7966962079517543E-11</v>
      </c>
      <c r="BM227" s="11">
        <v>-2.7966962079517543E-11</v>
      </c>
      <c r="BN227" s="11">
        <v>-2.7966962079517543E-11</v>
      </c>
      <c r="BO227" s="11">
        <v>-2.7966962079517543E-11</v>
      </c>
      <c r="BP227" s="11">
        <v>-2.7966962079517543E-11</v>
      </c>
      <c r="BQ227" s="11">
        <v>-2.7966962079517543E-11</v>
      </c>
      <c r="BR227" s="11">
        <v>-2.7966962079517543E-11</v>
      </c>
      <c r="BS227" s="11">
        <v>-2.7966962079517543E-11</v>
      </c>
      <c r="BT227" s="11">
        <v>-2.7966962079517543E-11</v>
      </c>
      <c r="BU227" s="11">
        <v>-2.7966962079517543E-11</v>
      </c>
      <c r="BV227" s="11">
        <v>-2.7966962079517543E-11</v>
      </c>
      <c r="BW227" s="11">
        <v>-2.7966962079517543E-11</v>
      </c>
      <c r="BX227" s="11">
        <v>-2.7966962079517543E-11</v>
      </c>
      <c r="BY227" s="11">
        <v>-2.7966962079517543E-11</v>
      </c>
      <c r="BZ227" s="11">
        <v>-2.7966962079517543E-11</v>
      </c>
      <c r="CA227" s="11">
        <v>-2.7966962079517543E-11</v>
      </c>
      <c r="CB227" s="11">
        <v>-2.7966962079517543E-11</v>
      </c>
      <c r="CC227" s="11">
        <v>-2.7966962079517543E-11</v>
      </c>
      <c r="CD227" s="11">
        <v>-2.7966962079517543E-11</v>
      </c>
      <c r="CE227" s="11">
        <v>-2.7966962079517543E-11</v>
      </c>
      <c r="CF227" s="11">
        <v>-2.7966962079517543E-11</v>
      </c>
      <c r="CG227" s="11">
        <v>-2.7966962079517543E-11</v>
      </c>
      <c r="CH227" s="11">
        <v>-2.7966962079517543E-11</v>
      </c>
      <c r="CI227" s="11">
        <v>-2.7966962079517543E-11</v>
      </c>
      <c r="CJ227" s="11">
        <v>-2.7966962079517543E-11</v>
      </c>
      <c r="CK227" s="11">
        <v>-2.7966962079517543E-11</v>
      </c>
    </row>
    <row r="228" spans="1:89" x14ac:dyDescent="0.2">
      <c r="A228" s="25" t="s">
        <v>310</v>
      </c>
      <c r="B228" s="11">
        <v>0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>
        <v>0</v>
      </c>
      <c r="AU228" s="11">
        <v>0</v>
      </c>
      <c r="AV228" s="11">
        <v>0</v>
      </c>
      <c r="AW228" s="11">
        <v>0</v>
      </c>
      <c r="AX228" s="11">
        <v>0</v>
      </c>
      <c r="AY228" s="11">
        <v>0</v>
      </c>
      <c r="AZ228" s="11">
        <v>0</v>
      </c>
      <c r="BA228" s="11">
        <v>0</v>
      </c>
      <c r="BB228" s="11">
        <v>0</v>
      </c>
      <c r="BC228" s="11">
        <v>0</v>
      </c>
      <c r="BD228" s="11">
        <v>0</v>
      </c>
      <c r="BE228" s="11">
        <v>0</v>
      </c>
      <c r="BF228" s="11">
        <v>0</v>
      </c>
      <c r="BG228" s="11">
        <v>0</v>
      </c>
      <c r="BH228" s="11">
        <v>0</v>
      </c>
      <c r="BI228" s="11">
        <v>0</v>
      </c>
      <c r="BJ228" s="11">
        <v>0</v>
      </c>
      <c r="BK228" s="11">
        <v>0</v>
      </c>
      <c r="BL228" s="11">
        <v>0</v>
      </c>
      <c r="BM228" s="11">
        <v>0</v>
      </c>
      <c r="BN228" s="11">
        <v>0</v>
      </c>
      <c r="BO228" s="11">
        <v>0</v>
      </c>
      <c r="BP228" s="11">
        <v>0</v>
      </c>
      <c r="BQ228" s="11">
        <v>0</v>
      </c>
      <c r="BR228" s="11">
        <v>0</v>
      </c>
      <c r="BS228" s="11">
        <v>0</v>
      </c>
      <c r="BT228" s="11">
        <v>0</v>
      </c>
      <c r="BU228" s="11">
        <v>0</v>
      </c>
      <c r="BV228" s="11">
        <v>4376.3999999999996</v>
      </c>
      <c r="BW228" s="11">
        <v>0</v>
      </c>
      <c r="BX228" s="11">
        <v>0</v>
      </c>
      <c r="BY228" s="11">
        <v>0</v>
      </c>
      <c r="BZ228" s="11">
        <v>0</v>
      </c>
      <c r="CA228" s="11">
        <v>0</v>
      </c>
      <c r="CB228" s="11">
        <v>0</v>
      </c>
      <c r="CC228" s="11">
        <v>0</v>
      </c>
      <c r="CD228" s="11">
        <v>0</v>
      </c>
      <c r="CE228" s="11">
        <v>0</v>
      </c>
      <c r="CF228" s="11">
        <v>0</v>
      </c>
      <c r="CG228" s="11">
        <v>0</v>
      </c>
      <c r="CH228" s="11">
        <v>0</v>
      </c>
      <c r="CI228" s="11">
        <v>0</v>
      </c>
      <c r="CJ228" s="11">
        <v>0</v>
      </c>
      <c r="CK228" s="11">
        <v>0</v>
      </c>
    </row>
    <row r="229" spans="1:89" x14ac:dyDescent="0.2">
      <c r="A229" s="25" t="s">
        <v>311</v>
      </c>
      <c r="B229" s="11">
        <v>0</v>
      </c>
      <c r="C229" s="11">
        <v>0</v>
      </c>
      <c r="D229" s="11">
        <v>0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>
        <v>0</v>
      </c>
      <c r="AU229" s="11">
        <v>0</v>
      </c>
      <c r="AV229" s="11">
        <v>0</v>
      </c>
      <c r="AW229" s="11">
        <v>0</v>
      </c>
      <c r="AX229" s="11">
        <v>0</v>
      </c>
      <c r="AY229" s="11">
        <v>0</v>
      </c>
      <c r="AZ229" s="11">
        <v>0</v>
      </c>
      <c r="BA229" s="11">
        <v>0</v>
      </c>
      <c r="BB229" s="11">
        <v>109060.54</v>
      </c>
      <c r="BC229" s="11">
        <v>109060.54</v>
      </c>
      <c r="BD229" s="11">
        <v>-3054.4000000000087</v>
      </c>
      <c r="BE229" s="11">
        <v>-712.16000000000895</v>
      </c>
      <c r="BF229" s="11">
        <v>-8.9812601800076663E-12</v>
      </c>
      <c r="BG229" s="11">
        <v>-8.9812601800076663E-12</v>
      </c>
      <c r="BH229" s="11">
        <v>-8.9812601800076663E-12</v>
      </c>
      <c r="BI229" s="11">
        <v>-8.9812601800076663E-12</v>
      </c>
      <c r="BJ229" s="11">
        <v>-8.9812601800076663E-12</v>
      </c>
      <c r="BK229" s="11">
        <v>-8.9812601800076663E-12</v>
      </c>
      <c r="BL229" s="11">
        <v>-8.9812601800076663E-12</v>
      </c>
      <c r="BM229" s="11">
        <v>-8.9812601800076663E-12</v>
      </c>
      <c r="BN229" s="11">
        <v>-8.9812601800076663E-12</v>
      </c>
      <c r="BO229" s="11">
        <v>129060.67999999998</v>
      </c>
      <c r="BP229" s="11">
        <v>-1.4551915228366852E-11</v>
      </c>
      <c r="BQ229" s="11">
        <v>-1.4551915228366852E-11</v>
      </c>
      <c r="BR229" s="11">
        <v>-1.4551915228366852E-11</v>
      </c>
      <c r="BS229" s="11">
        <v>-1.4551915228366852E-11</v>
      </c>
      <c r="BT229" s="11">
        <v>-1.4551915228366852E-11</v>
      </c>
      <c r="BU229" s="11">
        <v>-1.4551915228366852E-11</v>
      </c>
      <c r="BV229" s="11">
        <v>-1.4551915228366852E-11</v>
      </c>
      <c r="BW229" s="11">
        <v>-1.4551915228366852E-11</v>
      </c>
      <c r="BX229" s="11">
        <v>-1.4551915228366852E-11</v>
      </c>
      <c r="BY229" s="11">
        <v>-1.4551915228366852E-11</v>
      </c>
      <c r="BZ229" s="11">
        <v>-1.4551915228366852E-11</v>
      </c>
      <c r="CA229" s="11">
        <v>133818.54999999999</v>
      </c>
      <c r="CB229" s="11">
        <v>133818.54999999999</v>
      </c>
      <c r="CC229" s="11">
        <v>5761.839999999982</v>
      </c>
      <c r="CD229" s="11">
        <v>5761.839999999982</v>
      </c>
      <c r="CE229" s="11">
        <v>5761.839999999982</v>
      </c>
      <c r="CF229" s="11">
        <v>5761.839999999982</v>
      </c>
      <c r="CG229" s="11">
        <v>5761.839999999982</v>
      </c>
      <c r="CH229" s="11">
        <v>5761.839999999982</v>
      </c>
      <c r="CI229" s="11">
        <v>5761.839999999982</v>
      </c>
      <c r="CJ229" s="11">
        <v>5761.839999999982</v>
      </c>
      <c r="CK229" s="11">
        <v>5761.839999999982</v>
      </c>
    </row>
    <row r="230" spans="1:89" x14ac:dyDescent="0.2">
      <c r="A230" s="14" t="s">
        <v>312</v>
      </c>
      <c r="B230" s="15">
        <f t="shared" ref="B230:AG230" si="93">SUM(B165:B229)</f>
        <v>558401.48</v>
      </c>
      <c r="C230" s="15">
        <f t="shared" si="93"/>
        <v>558401.48</v>
      </c>
      <c r="D230" s="15">
        <f t="shared" si="93"/>
        <v>278953.55</v>
      </c>
      <c r="E230" s="15">
        <f t="shared" si="93"/>
        <v>277040.98</v>
      </c>
      <c r="F230" s="15">
        <f t="shared" si="93"/>
        <v>704412.78</v>
      </c>
      <c r="G230" s="15">
        <f t="shared" si="93"/>
        <v>311257.06</v>
      </c>
      <c r="H230" s="15">
        <f t="shared" si="93"/>
        <v>546610.60000000009</v>
      </c>
      <c r="I230" s="15">
        <f t="shared" si="93"/>
        <v>265762.52999999997</v>
      </c>
      <c r="J230" s="15">
        <f t="shared" si="93"/>
        <v>360783.99</v>
      </c>
      <c r="K230" s="15">
        <f t="shared" si="93"/>
        <v>354178.47000000009</v>
      </c>
      <c r="L230" s="15">
        <f t="shared" si="93"/>
        <v>340426.70000000024</v>
      </c>
      <c r="M230" s="15">
        <f t="shared" si="93"/>
        <v>341811.84999999974</v>
      </c>
      <c r="N230" s="15">
        <f t="shared" si="93"/>
        <v>363304.90000000014</v>
      </c>
      <c r="O230" s="15">
        <f t="shared" si="93"/>
        <v>865474.36999999988</v>
      </c>
      <c r="P230" s="15">
        <f t="shared" si="93"/>
        <v>865474.36999999988</v>
      </c>
      <c r="Q230" s="15">
        <f t="shared" si="93"/>
        <v>1030420.4499999997</v>
      </c>
      <c r="R230" s="15">
        <f t="shared" si="93"/>
        <v>262346.5299999998</v>
      </c>
      <c r="S230" s="15">
        <f t="shared" si="93"/>
        <v>660588.45999999973</v>
      </c>
      <c r="T230" s="15">
        <f t="shared" si="93"/>
        <v>294424.30999999982</v>
      </c>
      <c r="U230" s="15">
        <f t="shared" si="93"/>
        <v>339332.04999999981</v>
      </c>
      <c r="V230" s="15">
        <f t="shared" si="93"/>
        <v>366273.64</v>
      </c>
      <c r="W230" s="15">
        <f t="shared" si="93"/>
        <v>482280.70999999973</v>
      </c>
      <c r="X230" s="15">
        <f t="shared" si="93"/>
        <v>260056.16999999984</v>
      </c>
      <c r="Y230" s="15">
        <f t="shared" si="93"/>
        <v>231776.60999999978</v>
      </c>
      <c r="Z230" s="15">
        <f t="shared" si="93"/>
        <v>259442.56999999951</v>
      </c>
      <c r="AA230" s="15">
        <f t="shared" si="93"/>
        <v>283607.13999999978</v>
      </c>
      <c r="AB230" s="15">
        <f t="shared" si="93"/>
        <v>479642.2199999998</v>
      </c>
      <c r="AC230" s="15">
        <f t="shared" si="93"/>
        <v>480330.30999999976</v>
      </c>
      <c r="AD230" s="15">
        <f t="shared" si="93"/>
        <v>284934.39999999967</v>
      </c>
      <c r="AE230" s="15">
        <f t="shared" si="93"/>
        <v>270923.33999999968</v>
      </c>
      <c r="AF230" s="15">
        <f t="shared" si="93"/>
        <v>579966.02999999968</v>
      </c>
      <c r="AG230" s="15">
        <f t="shared" si="93"/>
        <v>177288.5799999997</v>
      </c>
      <c r="AH230" s="15">
        <f t="shared" ref="AH230:BM230" si="94">SUM(AH165:AH229)</f>
        <v>363292.02999999968</v>
      </c>
      <c r="AI230" s="15">
        <f t="shared" si="94"/>
        <v>284817.44999999966</v>
      </c>
      <c r="AJ230" s="15">
        <f t="shared" si="94"/>
        <v>297996.83999999991</v>
      </c>
      <c r="AK230" s="15">
        <f t="shared" si="94"/>
        <v>273427.1599999998</v>
      </c>
      <c r="AL230" s="15">
        <f t="shared" si="94"/>
        <v>236173.70999999982</v>
      </c>
      <c r="AM230" s="15">
        <f t="shared" si="94"/>
        <v>282861.4499999999</v>
      </c>
      <c r="AN230" s="15">
        <f t="shared" si="94"/>
        <v>273762.87999999989</v>
      </c>
      <c r="AO230" s="15">
        <f t="shared" si="94"/>
        <v>224284.82999999993</v>
      </c>
      <c r="AP230" s="15">
        <f t="shared" si="94"/>
        <v>224284.82999999978</v>
      </c>
      <c r="AQ230" s="15">
        <f t="shared" si="94"/>
        <v>255956.65999999974</v>
      </c>
      <c r="AR230" s="15">
        <f t="shared" si="94"/>
        <v>242320.87999999968</v>
      </c>
      <c r="AS230" s="15">
        <f t="shared" si="94"/>
        <v>399751.88999999961</v>
      </c>
      <c r="AT230" s="15">
        <f t="shared" si="94"/>
        <v>195726.57999999964</v>
      </c>
      <c r="AU230" s="15">
        <f t="shared" si="94"/>
        <v>408016.27999999962</v>
      </c>
      <c r="AV230" s="15">
        <f t="shared" si="94"/>
        <v>494543.98999999953</v>
      </c>
      <c r="AW230" s="15">
        <f t="shared" si="94"/>
        <v>558078.08999999962</v>
      </c>
      <c r="AX230" s="15">
        <f t="shared" si="94"/>
        <v>414072.43999999959</v>
      </c>
      <c r="AY230" s="15">
        <f t="shared" si="94"/>
        <v>303313.15999999951</v>
      </c>
      <c r="AZ230" s="15">
        <f t="shared" si="94"/>
        <v>219825.3399999995</v>
      </c>
      <c r="BA230" s="15">
        <f t="shared" si="94"/>
        <v>246420.71999999988</v>
      </c>
      <c r="BB230" s="15">
        <f t="shared" si="94"/>
        <v>222267.5999999998</v>
      </c>
      <c r="BC230" s="15">
        <f t="shared" si="94"/>
        <v>222267.59999999977</v>
      </c>
      <c r="BD230" s="15">
        <f t="shared" si="94"/>
        <v>245066.69999999978</v>
      </c>
      <c r="BE230" s="15">
        <f t="shared" si="94"/>
        <v>231467.80999999976</v>
      </c>
      <c r="BF230" s="15">
        <f t="shared" si="94"/>
        <v>440355.1599999998</v>
      </c>
      <c r="BG230" s="15">
        <f t="shared" si="94"/>
        <v>342725.49999999983</v>
      </c>
      <c r="BH230" s="15">
        <f t="shared" si="94"/>
        <v>218135.00999999981</v>
      </c>
      <c r="BI230" s="15">
        <f t="shared" si="94"/>
        <v>265684.96999999974</v>
      </c>
      <c r="BJ230" s="15">
        <f t="shared" si="94"/>
        <v>270571.15999999957</v>
      </c>
      <c r="BK230" s="15">
        <f t="shared" si="94"/>
        <v>251274.84999999945</v>
      </c>
      <c r="BL230" s="15">
        <f t="shared" si="94"/>
        <v>252532.9099999996</v>
      </c>
      <c r="BM230" s="15">
        <f t="shared" si="94"/>
        <v>262413.47999999975</v>
      </c>
      <c r="BN230" s="15">
        <f t="shared" ref="BN230:CS230" si="95">SUM(BN165:BN229)</f>
        <v>259438.61999999979</v>
      </c>
      <c r="BO230" s="15">
        <f t="shared" si="95"/>
        <v>359188.55999999988</v>
      </c>
      <c r="BP230" s="15">
        <f t="shared" si="95"/>
        <v>268733.81</v>
      </c>
      <c r="BQ230" s="15">
        <f t="shared" si="95"/>
        <v>240514.5799999999</v>
      </c>
      <c r="BR230" s="15">
        <f t="shared" si="95"/>
        <v>436594.09000000008</v>
      </c>
      <c r="BS230" s="15">
        <f t="shared" si="95"/>
        <v>237467.41999999993</v>
      </c>
      <c r="BT230" s="15">
        <f t="shared" si="95"/>
        <v>244023</v>
      </c>
      <c r="BU230" s="15">
        <f t="shared" si="95"/>
        <v>357542.32</v>
      </c>
      <c r="BV230" s="15">
        <f t="shared" si="95"/>
        <v>304338.0400000001</v>
      </c>
      <c r="BW230" s="15">
        <f t="shared" si="95"/>
        <v>197835.5500000001</v>
      </c>
      <c r="BX230" s="15">
        <f t="shared" si="95"/>
        <v>279907.8200000003</v>
      </c>
      <c r="BY230" s="15">
        <f t="shared" si="95"/>
        <v>311627.10000000038</v>
      </c>
      <c r="BZ230" s="15">
        <f t="shared" si="95"/>
        <v>292493.77000000054</v>
      </c>
      <c r="CA230" s="15">
        <f t="shared" si="95"/>
        <v>396430.38000000018</v>
      </c>
      <c r="CB230" s="15">
        <f t="shared" si="95"/>
        <v>396430.38000000053</v>
      </c>
      <c r="CC230" s="15">
        <f t="shared" si="95"/>
        <v>319090.22000000055</v>
      </c>
      <c r="CD230" s="15">
        <f t="shared" si="95"/>
        <v>295782.54000000044</v>
      </c>
      <c r="CE230" s="15">
        <f t="shared" si="95"/>
        <v>939482.21000000031</v>
      </c>
      <c r="CF230" s="15">
        <f t="shared" si="95"/>
        <v>333842.48000000039</v>
      </c>
      <c r="CG230" s="15">
        <f t="shared" si="95"/>
        <v>342066.84000000026</v>
      </c>
      <c r="CH230" s="15">
        <f t="shared" si="95"/>
        <v>457092.83000000037</v>
      </c>
      <c r="CI230" s="15">
        <f t="shared" si="95"/>
        <v>148267.73000000033</v>
      </c>
      <c r="CJ230" s="15">
        <f t="shared" si="95"/>
        <v>153885.35000000021</v>
      </c>
      <c r="CK230" s="15">
        <f t="shared" si="95"/>
        <v>153885.35000000021</v>
      </c>
    </row>
    <row r="231" spans="1:89" x14ac:dyDescent="0.2">
      <c r="A231" s="17" t="s">
        <v>313</v>
      </c>
      <c r="B231" s="18">
        <f t="shared" ref="B231:AG231" si="96">0+0+B149+B156+0+B163+0+B230</f>
        <v>867549.6</v>
      </c>
      <c r="C231" s="18">
        <f t="shared" si="96"/>
        <v>867141.69</v>
      </c>
      <c r="D231" s="18">
        <f t="shared" si="96"/>
        <v>536898.53</v>
      </c>
      <c r="E231" s="18">
        <f t="shared" si="96"/>
        <v>601715.38</v>
      </c>
      <c r="F231" s="18">
        <f t="shared" si="96"/>
        <v>1085249.3</v>
      </c>
      <c r="G231" s="18">
        <f t="shared" si="96"/>
        <v>502516.67000000004</v>
      </c>
      <c r="H231" s="18">
        <f t="shared" si="96"/>
        <v>778736.75000000012</v>
      </c>
      <c r="I231" s="18">
        <f t="shared" si="96"/>
        <v>672882.73</v>
      </c>
      <c r="J231" s="18">
        <f t="shared" si="96"/>
        <v>605299.92000000004</v>
      </c>
      <c r="K231" s="18">
        <f t="shared" si="96"/>
        <v>510370.35000000009</v>
      </c>
      <c r="L231" s="18">
        <f t="shared" si="96"/>
        <v>612691.41000000027</v>
      </c>
      <c r="M231" s="18">
        <f t="shared" si="96"/>
        <v>484504.71999999974</v>
      </c>
      <c r="N231" s="18">
        <f t="shared" si="96"/>
        <v>570464.66000000015</v>
      </c>
      <c r="O231" s="18">
        <f t="shared" si="96"/>
        <v>1597460.21</v>
      </c>
      <c r="P231" s="18">
        <f t="shared" si="96"/>
        <v>1597868.1199999999</v>
      </c>
      <c r="Q231" s="18">
        <f t="shared" si="96"/>
        <v>1124510.7199999997</v>
      </c>
      <c r="R231" s="18">
        <f t="shared" si="96"/>
        <v>357043.88999999978</v>
      </c>
      <c r="S231" s="18">
        <f t="shared" si="96"/>
        <v>937863.90999999968</v>
      </c>
      <c r="T231" s="18">
        <f t="shared" si="96"/>
        <v>688388.68999999983</v>
      </c>
      <c r="U231" s="18">
        <f t="shared" si="96"/>
        <v>461182.45999999985</v>
      </c>
      <c r="V231" s="18">
        <f t="shared" si="96"/>
        <v>572277.59000000008</v>
      </c>
      <c r="W231" s="18">
        <f t="shared" si="96"/>
        <v>708519.36999999976</v>
      </c>
      <c r="X231" s="18">
        <f t="shared" si="96"/>
        <v>480528.24999999988</v>
      </c>
      <c r="Y231" s="18">
        <f t="shared" si="96"/>
        <v>511228.82999999984</v>
      </c>
      <c r="Z231" s="18">
        <f t="shared" si="96"/>
        <v>386340.59999999951</v>
      </c>
      <c r="AA231" s="18">
        <f t="shared" si="96"/>
        <v>598746.97999999975</v>
      </c>
      <c r="AB231" s="18">
        <f t="shared" si="96"/>
        <v>619103.36999999988</v>
      </c>
      <c r="AC231" s="18">
        <f t="shared" si="96"/>
        <v>693000.25999999978</v>
      </c>
      <c r="AD231" s="18">
        <f t="shared" si="96"/>
        <v>351824.52999999968</v>
      </c>
      <c r="AE231" s="18">
        <f t="shared" si="96"/>
        <v>333306.28999999969</v>
      </c>
      <c r="AF231" s="18">
        <f t="shared" si="96"/>
        <v>893644.65999999968</v>
      </c>
      <c r="AG231" s="18">
        <f t="shared" si="96"/>
        <v>515816.26999999967</v>
      </c>
      <c r="AH231" s="18">
        <f t="shared" ref="AH231:BM231" si="97">0+0+AH149+AH156+0+AH163+0+AH230</f>
        <v>534595.99999999965</v>
      </c>
      <c r="AI231" s="18">
        <f t="shared" si="97"/>
        <v>551735.94999999972</v>
      </c>
      <c r="AJ231" s="18">
        <f t="shared" si="97"/>
        <v>499498.79999999993</v>
      </c>
      <c r="AK231" s="18">
        <f t="shared" si="97"/>
        <v>298765.66999999981</v>
      </c>
      <c r="AL231" s="18">
        <f t="shared" si="97"/>
        <v>349906.7799999998</v>
      </c>
      <c r="AM231" s="18">
        <f t="shared" si="97"/>
        <v>381947.96999999986</v>
      </c>
      <c r="AN231" s="18">
        <f t="shared" si="97"/>
        <v>334637.72999999986</v>
      </c>
      <c r="AO231" s="18">
        <f t="shared" si="97"/>
        <v>244855.71999999991</v>
      </c>
      <c r="AP231" s="18">
        <f t="shared" si="97"/>
        <v>244855.71999999977</v>
      </c>
      <c r="AQ231" s="18">
        <f t="shared" si="97"/>
        <v>318320.62999999971</v>
      </c>
      <c r="AR231" s="18">
        <f t="shared" si="97"/>
        <v>324000.84999999963</v>
      </c>
      <c r="AS231" s="18">
        <f t="shared" si="97"/>
        <v>682880.73999999953</v>
      </c>
      <c r="AT231" s="18">
        <f t="shared" si="97"/>
        <v>255280.21999999962</v>
      </c>
      <c r="AU231" s="18">
        <f t="shared" si="97"/>
        <v>477345.40999999963</v>
      </c>
      <c r="AV231" s="18">
        <f t="shared" si="97"/>
        <v>506573.87999999954</v>
      </c>
      <c r="AW231" s="18">
        <f t="shared" si="97"/>
        <v>583863.43999999959</v>
      </c>
      <c r="AX231" s="18">
        <f t="shared" si="97"/>
        <v>722147.12999999966</v>
      </c>
      <c r="AY231" s="18">
        <f t="shared" si="97"/>
        <v>396575.75999999954</v>
      </c>
      <c r="AZ231" s="18">
        <f t="shared" si="97"/>
        <v>303951.29999999952</v>
      </c>
      <c r="BA231" s="18">
        <f t="shared" si="97"/>
        <v>313159.02999999991</v>
      </c>
      <c r="BB231" s="18">
        <f t="shared" si="97"/>
        <v>250760.72999999981</v>
      </c>
      <c r="BC231" s="18">
        <f t="shared" si="97"/>
        <v>250760.72999999978</v>
      </c>
      <c r="BD231" s="18">
        <f t="shared" si="97"/>
        <v>329617.51999999979</v>
      </c>
      <c r="BE231" s="18">
        <f t="shared" si="97"/>
        <v>320145.36999999976</v>
      </c>
      <c r="BF231" s="18">
        <f t="shared" si="97"/>
        <v>783427.83999999985</v>
      </c>
      <c r="BG231" s="18">
        <f t="shared" si="97"/>
        <v>495200.29999999981</v>
      </c>
      <c r="BH231" s="18">
        <f t="shared" si="97"/>
        <v>674312.62999999977</v>
      </c>
      <c r="BI231" s="18">
        <f t="shared" si="97"/>
        <v>609032.79999999981</v>
      </c>
      <c r="BJ231" s="18">
        <f t="shared" si="97"/>
        <v>346254.1299999996</v>
      </c>
      <c r="BK231" s="18">
        <f t="shared" si="97"/>
        <v>316623.25999999949</v>
      </c>
      <c r="BL231" s="18">
        <f t="shared" si="97"/>
        <v>327531.98999999964</v>
      </c>
      <c r="BM231" s="18">
        <f t="shared" si="97"/>
        <v>354461.07999999978</v>
      </c>
      <c r="BN231" s="18">
        <f t="shared" ref="BN231:CS231" si="98">0+0+BN149+BN156+0+BN163+0+BN230</f>
        <v>489505.06999999983</v>
      </c>
      <c r="BO231" s="18">
        <f t="shared" si="98"/>
        <v>531301.49999999988</v>
      </c>
      <c r="BP231" s="18">
        <f t="shared" si="98"/>
        <v>389947.5</v>
      </c>
      <c r="BQ231" s="18">
        <f t="shared" si="98"/>
        <v>405937.2099999999</v>
      </c>
      <c r="BR231" s="18">
        <f t="shared" si="98"/>
        <v>589205.45000000007</v>
      </c>
      <c r="BS231" s="18">
        <f t="shared" si="98"/>
        <v>505974.79999999993</v>
      </c>
      <c r="BT231" s="18">
        <f t="shared" si="98"/>
        <v>446020.04000000004</v>
      </c>
      <c r="BU231" s="18">
        <f t="shared" si="98"/>
        <v>788539.85000000009</v>
      </c>
      <c r="BV231" s="18">
        <f t="shared" si="98"/>
        <v>643278.24000000011</v>
      </c>
      <c r="BW231" s="18">
        <f t="shared" si="98"/>
        <v>741673.60000000009</v>
      </c>
      <c r="BX231" s="18">
        <f t="shared" si="98"/>
        <v>654196.87000000034</v>
      </c>
      <c r="BY231" s="18">
        <f t="shared" si="98"/>
        <v>564630.44000000041</v>
      </c>
      <c r="BZ231" s="18">
        <f t="shared" si="98"/>
        <v>625321.26000000047</v>
      </c>
      <c r="CA231" s="18">
        <f t="shared" si="98"/>
        <v>447757.96000000014</v>
      </c>
      <c r="CB231" s="18">
        <f t="shared" si="98"/>
        <v>447757.96000000049</v>
      </c>
      <c r="CC231" s="18">
        <f t="shared" si="98"/>
        <v>422150.06000000052</v>
      </c>
      <c r="CD231" s="18">
        <f t="shared" si="98"/>
        <v>418454.23000000045</v>
      </c>
      <c r="CE231" s="18">
        <f t="shared" si="98"/>
        <v>1259771.4000000004</v>
      </c>
      <c r="CF231" s="18">
        <f t="shared" si="98"/>
        <v>583524.9300000004</v>
      </c>
      <c r="CG231" s="18">
        <f t="shared" si="98"/>
        <v>495417.52000000025</v>
      </c>
      <c r="CH231" s="18">
        <f t="shared" si="98"/>
        <v>564677.29000000039</v>
      </c>
      <c r="CI231" s="18">
        <f t="shared" si="98"/>
        <v>264515.40000000037</v>
      </c>
      <c r="CJ231" s="18">
        <f t="shared" si="98"/>
        <v>189503.79000000021</v>
      </c>
      <c r="CK231" s="18">
        <f t="shared" si="98"/>
        <v>189503.79000000021</v>
      </c>
    </row>
    <row r="232" spans="1:89" x14ac:dyDescent="0.2">
      <c r="A232" s="19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</row>
    <row r="233" spans="1:89" ht="12" x14ac:dyDescent="0.2">
      <c r="A233" s="5" t="s">
        <v>314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</row>
    <row r="234" spans="1:89" x14ac:dyDescent="0.2">
      <c r="A234" s="20" t="s">
        <v>315</v>
      </c>
      <c r="B234" s="11">
        <v>784120.19</v>
      </c>
      <c r="C234" s="11">
        <v>784120.19</v>
      </c>
      <c r="D234" s="11">
        <v>303391.67999999993</v>
      </c>
      <c r="E234" s="11">
        <v>26133.719999999914</v>
      </c>
      <c r="F234" s="11">
        <v>13407.119999999913</v>
      </c>
      <c r="G234" s="11">
        <v>9567.1199999999135</v>
      </c>
      <c r="H234" s="11">
        <v>886479.61999999988</v>
      </c>
      <c r="I234" s="11">
        <v>10235.619999999879</v>
      </c>
      <c r="J234" s="11">
        <v>10689.47999999988</v>
      </c>
      <c r="K234" s="11">
        <v>10689.47999999988</v>
      </c>
      <c r="L234" s="11">
        <v>14333.14999999988</v>
      </c>
      <c r="M234" s="11">
        <v>22758.649999999878</v>
      </c>
      <c r="N234" s="11">
        <v>24725.419999999878</v>
      </c>
      <c r="O234" s="11">
        <v>29052.08999999988</v>
      </c>
      <c r="P234" s="11">
        <v>29052.08999999988</v>
      </c>
      <c r="Q234" s="11">
        <v>924949.58999999985</v>
      </c>
      <c r="R234" s="11">
        <v>744499.58999999985</v>
      </c>
      <c r="S234" s="11">
        <v>625619.58999999985</v>
      </c>
      <c r="T234" s="11">
        <v>405345.37999999989</v>
      </c>
      <c r="U234" s="11">
        <v>388915.37999999989</v>
      </c>
      <c r="V234" s="11">
        <v>8816.5299999999115</v>
      </c>
      <c r="W234" s="11">
        <v>953157.52999999991</v>
      </c>
      <c r="X234" s="11">
        <v>765543.92999999993</v>
      </c>
      <c r="Y234" s="11">
        <v>574789.32999999996</v>
      </c>
      <c r="Z234" s="11">
        <v>574789.32999999996</v>
      </c>
      <c r="AA234" s="11">
        <v>580966.79999999993</v>
      </c>
      <c r="AB234" s="11">
        <v>22506.669999999925</v>
      </c>
      <c r="AC234" s="11">
        <v>22506.669999999925</v>
      </c>
      <c r="AD234" s="11">
        <v>22506.669999999925</v>
      </c>
      <c r="AE234" s="11">
        <v>22506.669999999925</v>
      </c>
      <c r="AF234" s="11">
        <v>18705.999999999927</v>
      </c>
      <c r="AG234" s="11">
        <v>18705.999999999927</v>
      </c>
      <c r="AH234" s="11">
        <v>18705.999999999927</v>
      </c>
      <c r="AI234" s="11">
        <v>13060.329999999927</v>
      </c>
      <c r="AJ234" s="11">
        <v>15435.329999999927</v>
      </c>
      <c r="AK234" s="11">
        <v>15528.329999999927</v>
      </c>
      <c r="AL234" s="11">
        <v>27067.109999999928</v>
      </c>
      <c r="AM234" s="11">
        <v>43958.109999999928</v>
      </c>
      <c r="AN234" s="11">
        <v>45925.109999999928</v>
      </c>
      <c r="AO234" s="11">
        <v>52597.999999999927</v>
      </c>
      <c r="AP234" s="11">
        <v>52597.999999999927</v>
      </c>
      <c r="AQ234" s="11">
        <v>54044.999999999927</v>
      </c>
      <c r="AR234" s="11">
        <v>54852.999999999927</v>
      </c>
      <c r="AS234" s="11">
        <v>33481.999999999927</v>
      </c>
      <c r="AT234" s="11">
        <v>36409.999999999927</v>
      </c>
      <c r="AU234" s="11">
        <v>36409.999999999927</v>
      </c>
      <c r="AV234" s="11">
        <v>20868.999999999927</v>
      </c>
      <c r="AW234" s="11">
        <v>22423.999999999927</v>
      </c>
      <c r="AX234" s="11">
        <v>23006.999999999927</v>
      </c>
      <c r="AY234" s="11">
        <v>29636.999999999927</v>
      </c>
      <c r="AZ234" s="11">
        <v>39315.999999999927</v>
      </c>
      <c r="BA234" s="11">
        <v>44252.999999999927</v>
      </c>
      <c r="BB234" s="11">
        <v>43554.999999999927</v>
      </c>
      <c r="BC234" s="11">
        <v>43554.999999999927</v>
      </c>
      <c r="BD234" s="11">
        <v>-7.2759576141834259E-11</v>
      </c>
      <c r="BE234" s="11">
        <v>-7.2759576141834259E-11</v>
      </c>
      <c r="BF234" s="11">
        <v>-7.2759576141834259E-11</v>
      </c>
      <c r="BG234" s="11">
        <v>-7.2759576141834259E-11</v>
      </c>
      <c r="BH234" s="11">
        <v>-7.2759576141834259E-11</v>
      </c>
      <c r="BI234" s="11">
        <v>-7.2759576141834259E-11</v>
      </c>
      <c r="BJ234" s="11">
        <v>-7.2759576141834259E-11</v>
      </c>
      <c r="BK234" s="11">
        <v>-7.2759576141834259E-11</v>
      </c>
      <c r="BL234" s="11">
        <v>-7.2759576141834259E-11</v>
      </c>
      <c r="BM234" s="11">
        <v>-7.2759576141834259E-11</v>
      </c>
      <c r="BN234" s="11">
        <v>-7.2759576141834259E-11</v>
      </c>
      <c r="BO234" s="11">
        <v>-7.2759576141834259E-11</v>
      </c>
      <c r="BP234" s="11">
        <v>-7.2759576141834259E-11</v>
      </c>
      <c r="BQ234" s="11">
        <v>-7.2759576141834259E-11</v>
      </c>
      <c r="BR234" s="11">
        <v>-7.2759576141834259E-11</v>
      </c>
      <c r="BS234" s="11">
        <v>-7.2759576141834259E-11</v>
      </c>
      <c r="BT234" s="11">
        <v>-7.2759576141834259E-11</v>
      </c>
      <c r="BU234" s="11">
        <v>-7.2759576141834259E-11</v>
      </c>
      <c r="BV234" s="11">
        <v>-7.2759576141834259E-11</v>
      </c>
      <c r="BW234" s="11">
        <v>-7.2759576141834259E-11</v>
      </c>
      <c r="BX234" s="11">
        <v>-7.2759576141834259E-11</v>
      </c>
      <c r="BY234" s="11">
        <v>-7.2759576141834259E-11</v>
      </c>
      <c r="BZ234" s="11">
        <v>-7.2759576141834259E-11</v>
      </c>
      <c r="CA234" s="11">
        <v>-7.2759576141834259E-11</v>
      </c>
      <c r="CB234" s="11">
        <v>-7.2759576141834259E-11</v>
      </c>
      <c r="CC234" s="11">
        <v>-7.2759576141834259E-11</v>
      </c>
      <c r="CD234" s="11">
        <v>-7.2759576141834259E-11</v>
      </c>
      <c r="CE234" s="11">
        <v>-7.2759576141834259E-11</v>
      </c>
      <c r="CF234" s="11">
        <v>-7.2759576141834259E-11</v>
      </c>
      <c r="CG234" s="11">
        <v>-7.2759576141834259E-11</v>
      </c>
      <c r="CH234" s="11">
        <v>-7.2759576141834259E-11</v>
      </c>
      <c r="CI234" s="11">
        <v>-7.2759576141834259E-11</v>
      </c>
      <c r="CJ234" s="11">
        <v>-7.2759576141834259E-11</v>
      </c>
      <c r="CK234" s="11">
        <v>-7.2759576141834259E-11</v>
      </c>
    </row>
    <row r="235" spans="1:89" x14ac:dyDescent="0.2">
      <c r="A235" s="20" t="s">
        <v>316</v>
      </c>
      <c r="B235" s="11">
        <v>0</v>
      </c>
      <c r="C235" s="11">
        <v>0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1">
        <v>0</v>
      </c>
      <c r="AT235" s="11">
        <v>0</v>
      </c>
      <c r="AU235" s="11">
        <v>0</v>
      </c>
      <c r="AV235" s="11">
        <v>0</v>
      </c>
      <c r="AW235" s="11">
        <v>0</v>
      </c>
      <c r="AX235" s="11">
        <v>0</v>
      </c>
      <c r="AY235" s="11">
        <v>0</v>
      </c>
      <c r="AZ235" s="11">
        <v>0</v>
      </c>
      <c r="BA235" s="11">
        <v>0</v>
      </c>
      <c r="BB235" s="11">
        <v>7242.25</v>
      </c>
      <c r="BC235" s="11">
        <v>7242.25</v>
      </c>
      <c r="BD235" s="11">
        <v>68307.11</v>
      </c>
      <c r="BE235" s="11">
        <v>55056.7</v>
      </c>
      <c r="BF235" s="11">
        <v>45371.06</v>
      </c>
      <c r="BG235" s="11">
        <v>95634.15</v>
      </c>
      <c r="BH235" s="11">
        <v>88030.31</v>
      </c>
      <c r="BI235" s="11">
        <v>84353.13</v>
      </c>
      <c r="BJ235" s="11">
        <v>109200.17000000001</v>
      </c>
      <c r="BK235" s="11">
        <v>74851.750000000015</v>
      </c>
      <c r="BL235" s="11">
        <v>62294.640000000014</v>
      </c>
      <c r="BM235" s="11">
        <v>87189.530000000013</v>
      </c>
      <c r="BN235" s="11">
        <v>65845.360000000015</v>
      </c>
      <c r="BO235" s="11">
        <v>50129.030000000013</v>
      </c>
      <c r="BP235" s="11">
        <v>105236.93000000002</v>
      </c>
      <c r="BQ235" s="11">
        <v>84340.360000000015</v>
      </c>
      <c r="BR235" s="11">
        <v>86096.530000000013</v>
      </c>
      <c r="BS235" s="11">
        <v>110366.11000000002</v>
      </c>
      <c r="BT235" s="11">
        <v>86542.760000000009</v>
      </c>
      <c r="BU235" s="11">
        <v>67242.750000000015</v>
      </c>
      <c r="BV235" s="11">
        <v>84945.210000000021</v>
      </c>
      <c r="BW235" s="11">
        <v>61661.870000000024</v>
      </c>
      <c r="BX235" s="11">
        <v>44746.170000000027</v>
      </c>
      <c r="BY235" s="11">
        <v>70842.900000000023</v>
      </c>
      <c r="BZ235" s="11">
        <v>88833.810000000027</v>
      </c>
      <c r="CA235" s="11">
        <v>70968.290000000023</v>
      </c>
      <c r="CB235" s="11">
        <v>70968.290000000023</v>
      </c>
      <c r="CC235" s="11">
        <v>121598.49000000002</v>
      </c>
      <c r="CD235" s="11">
        <v>98778.970000000016</v>
      </c>
      <c r="CE235" s="11">
        <v>268995.42000000004</v>
      </c>
      <c r="CF235" s="11">
        <v>309395.63000000006</v>
      </c>
      <c r="CG235" s="11">
        <v>270132.33000000007</v>
      </c>
      <c r="CH235" s="11">
        <v>234766.89000000007</v>
      </c>
      <c r="CI235" s="11">
        <v>288779.69000000006</v>
      </c>
      <c r="CJ235" s="11">
        <v>288779.69000000006</v>
      </c>
      <c r="CK235" s="11">
        <v>288779.69000000006</v>
      </c>
    </row>
    <row r="236" spans="1:89" x14ac:dyDescent="0.2">
      <c r="A236" s="21" t="s">
        <v>317</v>
      </c>
      <c r="B236" s="15">
        <f t="shared" ref="B236:AG236" si="99">SUM(B234:B235)</f>
        <v>784120.19</v>
      </c>
      <c r="C236" s="15">
        <f t="shared" si="99"/>
        <v>784120.19</v>
      </c>
      <c r="D236" s="15">
        <f t="shared" si="99"/>
        <v>303391.67999999993</v>
      </c>
      <c r="E236" s="15">
        <f t="shared" si="99"/>
        <v>26133.719999999914</v>
      </c>
      <c r="F236" s="15">
        <f t="shared" si="99"/>
        <v>13407.119999999913</v>
      </c>
      <c r="G236" s="15">
        <f t="shared" si="99"/>
        <v>9567.1199999999135</v>
      </c>
      <c r="H236" s="15">
        <f t="shared" si="99"/>
        <v>886479.61999999988</v>
      </c>
      <c r="I236" s="15">
        <f t="shared" si="99"/>
        <v>10235.619999999879</v>
      </c>
      <c r="J236" s="15">
        <f t="shared" si="99"/>
        <v>10689.47999999988</v>
      </c>
      <c r="K236" s="15">
        <f t="shared" si="99"/>
        <v>10689.47999999988</v>
      </c>
      <c r="L236" s="15">
        <f t="shared" si="99"/>
        <v>14333.14999999988</v>
      </c>
      <c r="M236" s="15">
        <f t="shared" si="99"/>
        <v>22758.649999999878</v>
      </c>
      <c r="N236" s="15">
        <f t="shared" si="99"/>
        <v>24725.419999999878</v>
      </c>
      <c r="O236" s="15">
        <f t="shared" si="99"/>
        <v>29052.08999999988</v>
      </c>
      <c r="P236" s="15">
        <f t="shared" si="99"/>
        <v>29052.08999999988</v>
      </c>
      <c r="Q236" s="15">
        <f t="shared" si="99"/>
        <v>924949.58999999985</v>
      </c>
      <c r="R236" s="15">
        <f t="shared" si="99"/>
        <v>744499.58999999985</v>
      </c>
      <c r="S236" s="15">
        <f t="shared" si="99"/>
        <v>625619.58999999985</v>
      </c>
      <c r="T236" s="15">
        <f t="shared" si="99"/>
        <v>405345.37999999989</v>
      </c>
      <c r="U236" s="15">
        <f t="shared" si="99"/>
        <v>388915.37999999989</v>
      </c>
      <c r="V236" s="15">
        <f t="shared" si="99"/>
        <v>8816.5299999999115</v>
      </c>
      <c r="W236" s="15">
        <f t="shared" si="99"/>
        <v>953157.52999999991</v>
      </c>
      <c r="X236" s="15">
        <f t="shared" si="99"/>
        <v>765543.92999999993</v>
      </c>
      <c r="Y236" s="15">
        <f t="shared" si="99"/>
        <v>574789.32999999996</v>
      </c>
      <c r="Z236" s="15">
        <f t="shared" si="99"/>
        <v>574789.32999999996</v>
      </c>
      <c r="AA236" s="15">
        <f t="shared" si="99"/>
        <v>580966.79999999993</v>
      </c>
      <c r="AB236" s="15">
        <f t="shared" si="99"/>
        <v>22506.669999999925</v>
      </c>
      <c r="AC236" s="15">
        <f t="shared" si="99"/>
        <v>22506.669999999925</v>
      </c>
      <c r="AD236" s="15">
        <f t="shared" si="99"/>
        <v>22506.669999999925</v>
      </c>
      <c r="AE236" s="15">
        <f t="shared" si="99"/>
        <v>22506.669999999925</v>
      </c>
      <c r="AF236" s="15">
        <f t="shared" si="99"/>
        <v>18705.999999999927</v>
      </c>
      <c r="AG236" s="15">
        <f t="shared" si="99"/>
        <v>18705.999999999927</v>
      </c>
      <c r="AH236" s="15">
        <f t="shared" ref="AH236:BM236" si="100">SUM(AH234:AH235)</f>
        <v>18705.999999999927</v>
      </c>
      <c r="AI236" s="15">
        <f t="shared" si="100"/>
        <v>13060.329999999927</v>
      </c>
      <c r="AJ236" s="15">
        <f t="shared" si="100"/>
        <v>15435.329999999927</v>
      </c>
      <c r="AK236" s="15">
        <f t="shared" si="100"/>
        <v>15528.329999999927</v>
      </c>
      <c r="AL236" s="15">
        <f t="shared" si="100"/>
        <v>27067.109999999928</v>
      </c>
      <c r="AM236" s="15">
        <f t="shared" si="100"/>
        <v>43958.109999999928</v>
      </c>
      <c r="AN236" s="15">
        <f t="shared" si="100"/>
        <v>45925.109999999928</v>
      </c>
      <c r="AO236" s="15">
        <f t="shared" si="100"/>
        <v>52597.999999999927</v>
      </c>
      <c r="AP236" s="15">
        <f t="shared" si="100"/>
        <v>52597.999999999927</v>
      </c>
      <c r="AQ236" s="15">
        <f t="shared" si="100"/>
        <v>54044.999999999927</v>
      </c>
      <c r="AR236" s="15">
        <f t="shared" si="100"/>
        <v>54852.999999999927</v>
      </c>
      <c r="AS236" s="15">
        <f t="shared" si="100"/>
        <v>33481.999999999927</v>
      </c>
      <c r="AT236" s="15">
        <f t="shared" si="100"/>
        <v>36409.999999999927</v>
      </c>
      <c r="AU236" s="15">
        <f t="shared" si="100"/>
        <v>36409.999999999927</v>
      </c>
      <c r="AV236" s="15">
        <f t="shared" si="100"/>
        <v>20868.999999999927</v>
      </c>
      <c r="AW236" s="15">
        <f t="shared" si="100"/>
        <v>22423.999999999927</v>
      </c>
      <c r="AX236" s="15">
        <f t="shared" si="100"/>
        <v>23006.999999999927</v>
      </c>
      <c r="AY236" s="15">
        <f t="shared" si="100"/>
        <v>29636.999999999927</v>
      </c>
      <c r="AZ236" s="15">
        <f t="shared" si="100"/>
        <v>39315.999999999927</v>
      </c>
      <c r="BA236" s="15">
        <f t="shared" si="100"/>
        <v>44252.999999999927</v>
      </c>
      <c r="BB236" s="15">
        <f t="shared" si="100"/>
        <v>50797.249999999927</v>
      </c>
      <c r="BC236" s="15">
        <f t="shared" si="100"/>
        <v>50797.249999999927</v>
      </c>
      <c r="BD236" s="15">
        <f t="shared" si="100"/>
        <v>68307.109999999928</v>
      </c>
      <c r="BE236" s="15">
        <f t="shared" si="100"/>
        <v>55056.699999999924</v>
      </c>
      <c r="BF236" s="15">
        <f t="shared" si="100"/>
        <v>45371.059999999925</v>
      </c>
      <c r="BG236" s="15">
        <f t="shared" si="100"/>
        <v>95634.149999999921</v>
      </c>
      <c r="BH236" s="15">
        <f t="shared" si="100"/>
        <v>88030.309999999925</v>
      </c>
      <c r="BI236" s="15">
        <f t="shared" si="100"/>
        <v>84353.129999999932</v>
      </c>
      <c r="BJ236" s="15">
        <f t="shared" si="100"/>
        <v>109200.16999999994</v>
      </c>
      <c r="BK236" s="15">
        <f t="shared" si="100"/>
        <v>74851.749999999942</v>
      </c>
      <c r="BL236" s="15">
        <f t="shared" si="100"/>
        <v>62294.639999999941</v>
      </c>
      <c r="BM236" s="15">
        <f t="shared" si="100"/>
        <v>87189.529999999941</v>
      </c>
      <c r="BN236" s="15">
        <f t="shared" ref="BN236:CS236" si="101">SUM(BN234:BN235)</f>
        <v>65845.359999999942</v>
      </c>
      <c r="BO236" s="15">
        <f t="shared" si="101"/>
        <v>50129.029999999941</v>
      </c>
      <c r="BP236" s="15">
        <f t="shared" si="101"/>
        <v>105236.92999999995</v>
      </c>
      <c r="BQ236" s="15">
        <f t="shared" si="101"/>
        <v>84340.359999999942</v>
      </c>
      <c r="BR236" s="15">
        <f t="shared" si="101"/>
        <v>86096.529999999941</v>
      </c>
      <c r="BS236" s="15">
        <f t="shared" si="101"/>
        <v>110366.10999999994</v>
      </c>
      <c r="BT236" s="15">
        <f t="shared" si="101"/>
        <v>86542.759999999937</v>
      </c>
      <c r="BU236" s="15">
        <f t="shared" si="101"/>
        <v>67242.749999999942</v>
      </c>
      <c r="BV236" s="15">
        <f t="shared" si="101"/>
        <v>84945.209999999948</v>
      </c>
      <c r="BW236" s="15">
        <f t="shared" si="101"/>
        <v>61661.869999999952</v>
      </c>
      <c r="BX236" s="15">
        <f t="shared" si="101"/>
        <v>44746.169999999955</v>
      </c>
      <c r="BY236" s="15">
        <f t="shared" si="101"/>
        <v>70842.899999999951</v>
      </c>
      <c r="BZ236" s="15">
        <f t="shared" si="101"/>
        <v>88833.809999999954</v>
      </c>
      <c r="CA236" s="15">
        <f t="shared" si="101"/>
        <v>70968.28999999995</v>
      </c>
      <c r="CB236" s="15">
        <f t="shared" si="101"/>
        <v>70968.28999999995</v>
      </c>
      <c r="CC236" s="15">
        <f t="shared" si="101"/>
        <v>121598.48999999995</v>
      </c>
      <c r="CD236" s="15">
        <f t="shared" si="101"/>
        <v>98778.969999999943</v>
      </c>
      <c r="CE236" s="15">
        <f t="shared" si="101"/>
        <v>268995.42</v>
      </c>
      <c r="CF236" s="15">
        <f t="shared" si="101"/>
        <v>309395.63</v>
      </c>
      <c r="CG236" s="15">
        <f t="shared" si="101"/>
        <v>270132.33</v>
      </c>
      <c r="CH236" s="15">
        <f t="shared" si="101"/>
        <v>234766.89</v>
      </c>
      <c r="CI236" s="15">
        <f t="shared" si="101"/>
        <v>288779.69</v>
      </c>
      <c r="CJ236" s="15">
        <f t="shared" si="101"/>
        <v>288779.69</v>
      </c>
      <c r="CK236" s="15">
        <f t="shared" si="101"/>
        <v>288779.69</v>
      </c>
    </row>
    <row r="237" spans="1:89" ht="12" thickBot="1" x14ac:dyDescent="0.25">
      <c r="A237" s="19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</row>
    <row r="238" spans="1:89" ht="12.75" thickTop="1" x14ac:dyDescent="0.2">
      <c r="A238" s="22" t="s">
        <v>318</v>
      </c>
      <c r="B238" s="23">
        <f t="shared" ref="B238:AG238" si="102">B126+B127+B144+B145+B231+B232+B236+B237+0</f>
        <v>7158348.4699999988</v>
      </c>
      <c r="C238" s="23">
        <f t="shared" si="102"/>
        <v>7158343.3399999999</v>
      </c>
      <c r="D238" s="23">
        <f t="shared" si="102"/>
        <v>6870993.9599999804</v>
      </c>
      <c r="E238" s="23">
        <f t="shared" si="102"/>
        <v>6827403.7599999895</v>
      </c>
      <c r="F238" s="23">
        <f t="shared" si="102"/>
        <v>7194307.9199999897</v>
      </c>
      <c r="G238" s="23">
        <f t="shared" si="102"/>
        <v>6868896.3499999801</v>
      </c>
      <c r="H238" s="23">
        <f t="shared" si="102"/>
        <v>8585912.8799999896</v>
      </c>
      <c r="I238" s="23">
        <f t="shared" si="102"/>
        <v>6774326.8499999801</v>
      </c>
      <c r="J238" s="23">
        <f t="shared" si="102"/>
        <v>7204215.5899999896</v>
      </c>
      <c r="K238" s="23">
        <f t="shared" si="102"/>
        <v>7600121.2499999898</v>
      </c>
      <c r="L238" s="23">
        <f t="shared" si="102"/>
        <v>7947813.6199999889</v>
      </c>
      <c r="M238" s="23">
        <f t="shared" si="102"/>
        <v>8058028.3399999794</v>
      </c>
      <c r="N238" s="23">
        <f t="shared" si="102"/>
        <v>8369304.8999999799</v>
      </c>
      <c r="O238" s="23">
        <f t="shared" si="102"/>
        <v>8914543.3599999994</v>
      </c>
      <c r="P238" s="23">
        <f t="shared" si="102"/>
        <v>8914548.4900000002</v>
      </c>
      <c r="Q238" s="23">
        <f t="shared" si="102"/>
        <v>9233936.5399999991</v>
      </c>
      <c r="R238" s="23">
        <f t="shared" si="102"/>
        <v>8546328.3199999891</v>
      </c>
      <c r="S238" s="23">
        <f t="shared" si="102"/>
        <v>8387522.8799999896</v>
      </c>
      <c r="T238" s="23">
        <f t="shared" si="102"/>
        <v>8282498.9199999897</v>
      </c>
      <c r="U238" s="23">
        <f t="shared" si="102"/>
        <v>8236694.3199999891</v>
      </c>
      <c r="V238" s="23">
        <f t="shared" si="102"/>
        <v>8185812.2499999907</v>
      </c>
      <c r="W238" s="23">
        <f t="shared" si="102"/>
        <v>9651506.9299999699</v>
      </c>
      <c r="X238" s="23">
        <f t="shared" si="102"/>
        <v>8272277.2999999896</v>
      </c>
      <c r="Y238" s="23">
        <f t="shared" si="102"/>
        <v>8108924.8499999698</v>
      </c>
      <c r="Z238" s="23">
        <f t="shared" si="102"/>
        <v>8135146.6099999798</v>
      </c>
      <c r="AA238" s="23">
        <f t="shared" si="102"/>
        <v>8322290.8599999789</v>
      </c>
      <c r="AB238" s="23">
        <f t="shared" si="102"/>
        <v>7167764.3799999701</v>
      </c>
      <c r="AC238" s="23">
        <f t="shared" si="102"/>
        <v>7241661.2699999698</v>
      </c>
      <c r="AD238" s="23">
        <f t="shared" si="102"/>
        <v>7037196.3199999789</v>
      </c>
      <c r="AE238" s="23">
        <f t="shared" si="102"/>
        <v>7014021.6899999995</v>
      </c>
      <c r="AF238" s="23">
        <f t="shared" si="102"/>
        <v>6822878.4100000001</v>
      </c>
      <c r="AG238" s="23">
        <f t="shared" si="102"/>
        <v>6302105.48999999</v>
      </c>
      <c r="AH238" s="23">
        <f t="shared" ref="AH238:BM238" si="103">AH126+AH127+AH144+AH145+AH231+AH232+AH236+AH237+0</f>
        <v>6298798.1799999997</v>
      </c>
      <c r="AI238" s="23">
        <f t="shared" si="103"/>
        <v>6092441.9900000002</v>
      </c>
      <c r="AJ238" s="23">
        <f t="shared" si="103"/>
        <v>6316257.6499999994</v>
      </c>
      <c r="AK238" s="23">
        <f t="shared" si="103"/>
        <v>5549574.8399999896</v>
      </c>
      <c r="AL238" s="23">
        <f t="shared" si="103"/>
        <v>5498102.4599999906</v>
      </c>
      <c r="AM238" s="23">
        <f t="shared" si="103"/>
        <v>5650354.1799999895</v>
      </c>
      <c r="AN238" s="23">
        <f t="shared" si="103"/>
        <v>5796490.1699999897</v>
      </c>
      <c r="AO238" s="23">
        <f t="shared" si="103"/>
        <v>5743776.8599999892</v>
      </c>
      <c r="AP238" s="23">
        <f t="shared" si="103"/>
        <v>5743776.8599999892</v>
      </c>
      <c r="AQ238" s="23">
        <f t="shared" si="103"/>
        <v>5835389.2099999795</v>
      </c>
      <c r="AR238" s="23">
        <f t="shared" si="103"/>
        <v>5856411.6399999801</v>
      </c>
      <c r="AS238" s="23">
        <f t="shared" si="103"/>
        <v>5635940.2699999893</v>
      </c>
      <c r="AT238" s="23">
        <f t="shared" si="103"/>
        <v>5422935.05999998</v>
      </c>
      <c r="AU238" s="23">
        <f t="shared" si="103"/>
        <v>5693873.8699999694</v>
      </c>
      <c r="AV238" s="23">
        <f t="shared" si="103"/>
        <v>5665570.54999997</v>
      </c>
      <c r="AW238" s="23">
        <f t="shared" si="103"/>
        <v>6220814.7899999693</v>
      </c>
      <c r="AX238" s="23">
        <f t="shared" si="103"/>
        <v>6584289.0499999793</v>
      </c>
      <c r="AY238" s="23">
        <f t="shared" si="103"/>
        <v>6326440.8299999591</v>
      </c>
      <c r="AZ238" s="23">
        <f t="shared" si="103"/>
        <v>6203881.9199999599</v>
      </c>
      <c r="BA238" s="23">
        <f t="shared" si="103"/>
        <v>6341368.2199999802</v>
      </c>
      <c r="BB238" s="23">
        <f t="shared" si="103"/>
        <v>6255710.5699999584</v>
      </c>
      <c r="BC238" s="23">
        <f t="shared" si="103"/>
        <v>6255710.5699999696</v>
      </c>
      <c r="BD238" s="23">
        <f t="shared" si="103"/>
        <v>6422618.9299999792</v>
      </c>
      <c r="BE238" s="23">
        <f t="shared" si="103"/>
        <v>6362602.5999999791</v>
      </c>
      <c r="BF238" s="23">
        <f t="shared" si="103"/>
        <v>6744162.6399999894</v>
      </c>
      <c r="BG238" s="23">
        <f t="shared" si="103"/>
        <v>7045594.7699999502</v>
      </c>
      <c r="BH238" s="23">
        <f t="shared" si="103"/>
        <v>7110978.5399999693</v>
      </c>
      <c r="BI238" s="23">
        <f t="shared" si="103"/>
        <v>6919798.8299999898</v>
      </c>
      <c r="BJ238" s="23">
        <f t="shared" si="103"/>
        <v>6939912.3199999901</v>
      </c>
      <c r="BK238" s="23">
        <f t="shared" si="103"/>
        <v>6975622.5099999998</v>
      </c>
      <c r="BL238" s="23">
        <f t="shared" si="103"/>
        <v>7175915.879999999</v>
      </c>
      <c r="BM238" s="23">
        <f t="shared" si="103"/>
        <v>6764060.19000002</v>
      </c>
      <c r="BN238" s="23">
        <f t="shared" ref="BN238:CS238" si="104">BN126+BN127+BN144+BN145+BN231+BN232+BN236+BN237+0</f>
        <v>7060981.1499999994</v>
      </c>
      <c r="BO238" s="23">
        <f t="shared" si="104"/>
        <v>6963237.9999999693</v>
      </c>
      <c r="BP238" s="23">
        <f t="shared" si="104"/>
        <v>7031350.6600000001</v>
      </c>
      <c r="BQ238" s="23">
        <f t="shared" si="104"/>
        <v>7260240.939999979</v>
      </c>
      <c r="BR238" s="23">
        <f t="shared" si="104"/>
        <v>7144658.3499999698</v>
      </c>
      <c r="BS238" s="23">
        <f t="shared" si="104"/>
        <v>7282597.1999999695</v>
      </c>
      <c r="BT238" s="23">
        <f t="shared" si="104"/>
        <v>7404697.8499999596</v>
      </c>
      <c r="BU238" s="23">
        <f t="shared" si="104"/>
        <v>7728170.0499999709</v>
      </c>
      <c r="BV238" s="23">
        <f t="shared" si="104"/>
        <v>7491961.33999997</v>
      </c>
      <c r="BW238" s="23">
        <f t="shared" si="104"/>
        <v>8174932.7999999998</v>
      </c>
      <c r="BX238" s="23">
        <f t="shared" si="104"/>
        <v>8230331.0500000091</v>
      </c>
      <c r="BY238" s="23">
        <f t="shared" si="104"/>
        <v>7762741.3800000306</v>
      </c>
      <c r="BZ238" s="23">
        <f t="shared" si="104"/>
        <v>8261461.4700000295</v>
      </c>
      <c r="CA238" s="23">
        <f t="shared" si="104"/>
        <v>8450848.1300000288</v>
      </c>
      <c r="CB238" s="23">
        <f t="shared" si="104"/>
        <v>8450848.1300000306</v>
      </c>
      <c r="CC238" s="23">
        <f t="shared" si="104"/>
        <v>8910285.96000004</v>
      </c>
      <c r="CD238" s="23">
        <f t="shared" si="104"/>
        <v>9314936.3600000292</v>
      </c>
      <c r="CE238" s="23">
        <f t="shared" si="104"/>
        <v>9273489.4800000004</v>
      </c>
      <c r="CF238" s="23">
        <f t="shared" si="104"/>
        <v>8893180.1400000099</v>
      </c>
      <c r="CG238" s="23">
        <f t="shared" si="104"/>
        <v>9040544.7900000196</v>
      </c>
      <c r="CH238" s="23">
        <f t="shared" si="104"/>
        <v>8924151.6300000194</v>
      </c>
      <c r="CI238" s="23">
        <f t="shared" si="104"/>
        <v>10034134.49000006</v>
      </c>
      <c r="CJ238" s="23">
        <f t="shared" si="104"/>
        <v>9968069.9600000512</v>
      </c>
      <c r="CK238" s="23">
        <f t="shared" si="104"/>
        <v>9968069.9600000512</v>
      </c>
    </row>
  </sheetData>
  <mergeCells count="3">
    <mergeCell ref="A1:CK1"/>
    <mergeCell ref="A2:CK2"/>
    <mergeCell ref="A3:CK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PGBalanceSheetbyEntityand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2023-08-08T18:23:38Z</dcterms:created>
  <dcterms:modified xsi:type="dcterms:W3CDTF">2023-08-08T18:30:55Z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