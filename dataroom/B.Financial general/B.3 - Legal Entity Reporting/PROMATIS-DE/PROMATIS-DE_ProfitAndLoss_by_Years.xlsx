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DE\"/>
    </mc:Choice>
  </mc:AlternateContent>
  <xr:revisionPtr revIDLastSave="0" documentId="13_ncr:40009_{72A2217F-3A99-40DF-86FB-A031521AFE0F}" xr6:coauthVersionLast="47" xr6:coauthVersionMax="47" xr10:uidLastSave="{00000000-0000-0000-0000-000000000000}"/>
  <bookViews>
    <workbookView xWindow="-1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1" i="1" l="1"/>
  <c r="D211" i="1"/>
  <c r="C211" i="1"/>
  <c r="B211" i="1"/>
  <c r="F210" i="1"/>
  <c r="F209" i="1"/>
  <c r="E207" i="1"/>
  <c r="D207" i="1"/>
  <c r="C207" i="1"/>
  <c r="B207" i="1"/>
  <c r="F206" i="1"/>
  <c r="F205" i="1"/>
  <c r="F204" i="1"/>
  <c r="F203" i="1"/>
  <c r="F202" i="1"/>
  <c r="F201" i="1"/>
  <c r="E198" i="1"/>
  <c r="D198" i="1"/>
  <c r="C198" i="1"/>
  <c r="B198" i="1"/>
  <c r="F197" i="1"/>
  <c r="F196" i="1"/>
  <c r="F195" i="1"/>
  <c r="E193" i="1"/>
  <c r="D193" i="1"/>
  <c r="C193" i="1"/>
  <c r="B193" i="1"/>
  <c r="F192" i="1"/>
  <c r="F191" i="1"/>
  <c r="F193" i="1" s="1"/>
  <c r="E189" i="1"/>
  <c r="E199" i="1" s="1"/>
  <c r="D189" i="1"/>
  <c r="D199" i="1" s="1"/>
  <c r="C189" i="1"/>
  <c r="C199" i="1" s="1"/>
  <c r="B189" i="1"/>
  <c r="F188" i="1"/>
  <c r="F189" i="1" s="1"/>
  <c r="E183" i="1"/>
  <c r="D183" i="1"/>
  <c r="C183" i="1"/>
  <c r="B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E96" i="1"/>
  <c r="E97" i="1" s="1"/>
  <c r="D96" i="1"/>
  <c r="D97" i="1" s="1"/>
  <c r="C96" i="1"/>
  <c r="C97" i="1" s="1"/>
  <c r="B96" i="1"/>
  <c r="B97" i="1" s="1"/>
  <c r="F95" i="1"/>
  <c r="F94" i="1"/>
  <c r="F93" i="1"/>
  <c r="F92" i="1"/>
  <c r="F91" i="1"/>
  <c r="E87" i="1"/>
  <c r="D87" i="1"/>
  <c r="C87" i="1"/>
  <c r="B87" i="1"/>
  <c r="F86" i="1"/>
  <c r="F85" i="1"/>
  <c r="F84" i="1"/>
  <c r="F83" i="1"/>
  <c r="F82" i="1"/>
  <c r="F81" i="1"/>
  <c r="F80" i="1"/>
  <c r="F79" i="1"/>
  <c r="E77" i="1"/>
  <c r="D77" i="1"/>
  <c r="C77" i="1"/>
  <c r="B77" i="1"/>
  <c r="B88" i="1" s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E57" i="1"/>
  <c r="D57" i="1"/>
  <c r="C57" i="1"/>
  <c r="B57" i="1"/>
  <c r="F56" i="1"/>
  <c r="F55" i="1"/>
  <c r="F54" i="1"/>
  <c r="F53" i="1"/>
  <c r="E51" i="1"/>
  <c r="E58" i="1" s="1"/>
  <c r="D51" i="1"/>
  <c r="D58" i="1" s="1"/>
  <c r="C51" i="1"/>
  <c r="C58" i="1" s="1"/>
  <c r="B51" i="1"/>
  <c r="B58" i="1" s="1"/>
  <c r="F50" i="1"/>
  <c r="F49" i="1"/>
  <c r="F48" i="1"/>
  <c r="F47" i="1"/>
  <c r="F46" i="1"/>
  <c r="F45" i="1"/>
  <c r="F44" i="1"/>
  <c r="F43" i="1"/>
  <c r="E39" i="1"/>
  <c r="D39" i="1"/>
  <c r="C39" i="1"/>
  <c r="B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E23" i="1"/>
  <c r="D23" i="1"/>
  <c r="C23" i="1"/>
  <c r="B23" i="1"/>
  <c r="F22" i="1"/>
  <c r="F21" i="1"/>
  <c r="F20" i="1"/>
  <c r="F19" i="1"/>
  <c r="F18" i="1"/>
  <c r="F17" i="1"/>
  <c r="F16" i="1"/>
  <c r="F15" i="1"/>
  <c r="F14" i="1"/>
  <c r="F13" i="1"/>
  <c r="F12" i="1"/>
  <c r="F11" i="1"/>
  <c r="F96" i="1" l="1"/>
  <c r="F97" i="1" s="1"/>
  <c r="C40" i="1"/>
  <c r="F57" i="1"/>
  <c r="F207" i="1"/>
  <c r="C88" i="1"/>
  <c r="C184" i="1" s="1"/>
  <c r="C185" i="1" s="1"/>
  <c r="C212" i="1" s="1"/>
  <c r="F23" i="1"/>
  <c r="F40" i="1" s="1"/>
  <c r="F39" i="1"/>
  <c r="E88" i="1"/>
  <c r="E184" i="1" s="1"/>
  <c r="F51" i="1"/>
  <c r="F77" i="1"/>
  <c r="B40" i="1"/>
  <c r="B59" i="1" s="1"/>
  <c r="B185" i="1" s="1"/>
  <c r="F183" i="1"/>
  <c r="F211" i="1"/>
  <c r="D88" i="1"/>
  <c r="D184" i="1" s="1"/>
  <c r="C59" i="1"/>
  <c r="B199" i="1"/>
  <c r="B184" i="1"/>
  <c r="D40" i="1"/>
  <c r="D59" i="1" s="1"/>
  <c r="F87" i="1"/>
  <c r="E40" i="1"/>
  <c r="E59" i="1" s="1"/>
  <c r="F198" i="1"/>
  <c r="F199" i="1" s="1"/>
  <c r="F58" i="1" l="1"/>
  <c r="F59" i="1" s="1"/>
  <c r="F185" i="1" s="1"/>
  <c r="F212" i="1" s="1"/>
  <c r="B212" i="1"/>
  <c r="E185" i="1"/>
  <c r="E212" i="1" s="1"/>
  <c r="F88" i="1"/>
  <c r="F184" i="1" s="1"/>
  <c r="D185" i="1"/>
  <c r="D212" i="1" s="1"/>
</calcChain>
</file>

<file path=xl/sharedStrings.xml><?xml version="1.0" encoding="utf-8"?>
<sst xmlns="http://schemas.openxmlformats.org/spreadsheetml/2006/main" count="222" uniqueCount="217">
  <si>
    <t>Firma : PROMATIS software GmbH</t>
  </si>
  <si>
    <t>PG P+L by Entity and Month/Quarter/Year</t>
  </si>
  <si>
    <t>From Jan 2020 to Dez 2023</t>
  </si>
  <si>
    <t> </t>
  </si>
  <si>
    <t>FY 2020</t>
  </si>
  <si>
    <t>FY 2021</t>
  </si>
  <si>
    <t>FY 2022</t>
  </si>
  <si>
    <t>FY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</si>
  <si>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</si>
  <si>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</si>
  <si>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</si>
  <si>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</si>
  <si>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</si>
  <si>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</si>
  <si>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</si>
  <si>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400000 - Sales (free text)</t>
  </si>
  <si>
    <t>433600 - Revenue from oth serv. taxable in anoth EU cntry</t>
  </si>
  <si>
    <t>433700 - Revenue from services, recipient bears the tax liability</t>
  </si>
  <si>
    <t>433800 - Rev. from services tax. in a 3.country, not subject  dom tax</t>
  </si>
  <si>
    <t>440000 - Revenue Services- standard VAT</t>
  </si>
  <si>
    <t>473600 - Cash discounts granted, Standard VAT</t>
  </si>
  <si>
    <t>474000 - Volume discounts granted</t>
  </si>
  <si>
    <t>476000 - Volume discounts granted, Standard VAT</t>
  </si>
  <si>
    <t>477000 - Rebates granted</t>
  </si>
  <si>
    <t>477100 - Rebates granted §13b- EU-nation</t>
  </si>
  <si>
    <t>477200 - Discounts granted §13b - Third country</t>
  </si>
  <si>
    <t>479000 - Rebates granted, Standard VAT</t>
  </si>
  <si>
    <t>Total Revenue</t>
  </si>
  <si>
    <t>4. Other operating income</t>
  </si>
  <si>
    <t>454000 - Revenue infrastructure standard VAT</t>
  </si>
  <si>
    <t>483000 - Other operating income</t>
  </si>
  <si>
    <t>483800 - Reimbursed input tax, other countries</t>
  </si>
  <si>
    <t>483900 - Other infrequent income</t>
  </si>
  <si>
    <t>484000 - Realized Foreign Exchange Gain</t>
  </si>
  <si>
    <t>484500 - Revenue from sales of tangible fixed assets, Standard VAT</t>
  </si>
  <si>
    <t>484700 - Rounding Gain/Loss</t>
  </si>
  <si>
    <t>494000 - Allocated other non-cash benefits (excluding goods)</t>
  </si>
  <si>
    <t>494500 - Non-cash benefits, Standard VAT (goods)</t>
  </si>
  <si>
    <t>494700 - Alloc. other non-cash benefits from provi. of car, Std VAT</t>
  </si>
  <si>
    <t>494800 - Allocated other non-cash benefits, Standard VAT</t>
  </si>
  <si>
    <t>494900 - Allocated other non-cash benefits, no VAT</t>
  </si>
  <si>
    <t>497000 - Insurance recoveries and compensation payments</t>
  </si>
  <si>
    <t>498000 - Investment grants (tax-exempt)</t>
  </si>
  <si>
    <t>Total Other operating income</t>
  </si>
  <si>
    <t>Total Operating income</t>
  </si>
  <si>
    <t>5. Cost of materials</t>
  </si>
  <si>
    <t>a) Cost of raw materials, consum, supplies and purchased merch.</t>
  </si>
  <si>
    <t>520000 - Cost of merchandise</t>
  </si>
  <si>
    <t>540000 - Cost of merchandise, Standard input tax</t>
  </si>
  <si>
    <t>542500 - Intra-EU acquisitions, Standard input tax and 7% VAT</t>
  </si>
  <si>
    <t>577000 - Rebates received</t>
  </si>
  <si>
    <t>580010 - Invoice PO price variance standard rate</t>
  </si>
  <si>
    <t>580020 - Invoice PO qty variance standard rate</t>
  </si>
  <si>
    <t>581000 - Invoice PO price variance red. rate</t>
  </si>
  <si>
    <t>581300 - Invoice PO price variance goods third country</t>
  </si>
  <si>
    <t>Total Cost of raw materials, consum, supplies and purchased merch.</t>
  </si>
  <si>
    <t>b) Cost of purchased services</t>
  </si>
  <si>
    <t>590000 - Purchased services standard input tax</t>
  </si>
  <si>
    <t>590600 - Purchased services, Standard input tax</t>
  </si>
  <si>
    <t>592300 - Other serv. supplied by contr. anoth EU cntry, Std input tax</t>
  </si>
  <si>
    <t>592500 - Serv.s supplied by foreign contractor, Std input tax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</si>
  <si>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</si>
  <si>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</si>
  <si>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</si>
  <si>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</si>
  <si>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</si>
  <si>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</si>
  <si>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497200 - Refunds Act on Reimbursement of Employers' Expenses (AAG)</t>
  </si>
  <si>
    <t>600500 - Staff acquisition</t>
  </si>
  <si>
    <t>602000 - Salaries</t>
  </si>
  <si>
    <t>602200 - Vacation pay -provision-</t>
  </si>
  <si>
    <t>602300 - Profit-sharing salary management</t>
  </si>
  <si>
    <t>602400 - Salaries - target bonus</t>
  </si>
  <si>
    <t>603600 - Flat-rate taxes for marginal parttime workers</t>
  </si>
  <si>
    <t>603900 - Flat-rate taxes for employees</t>
  </si>
  <si>
    <t>606000 - Voluntary social benefits subject to wage tax</t>
  </si>
  <si>
    <t>606900 - Flat-rate tax on other benefits (e.g. travel allowances)</t>
  </si>
  <si>
    <t>607200 - Non-cash benefits and services provided to employees</t>
  </si>
  <si>
    <t>607300 - Non-cash bene and services provided to shareholder managers</t>
  </si>
  <si>
    <t>607500 - Employment agency subsidies (credit balances)</t>
  </si>
  <si>
    <t>660700 - HCM Marketing</t>
  </si>
  <si>
    <t>Total Wages and salaries</t>
  </si>
  <si>
    <t>b) Social security, post-employ, and other employee benft costs</t>
  </si>
  <si>
    <t>611000 - Statutory social security expenses</t>
  </si>
  <si>
    <t>612000 - Contributions to occupational health and safety agency</t>
  </si>
  <si>
    <t>612500 - Voluntary contributions to prof association</t>
  </si>
  <si>
    <t>613000 - Voluntary social benefits not subject to wage tax</t>
  </si>
  <si>
    <t>614000 - Cost of old age pensions</t>
  </si>
  <si>
    <t>614900 - Post-employment benefit costs for shareholder managers</t>
  </si>
  <si>
    <t>615000 - Pension funds</t>
  </si>
  <si>
    <t>616500 - company medical officer, occupational safety</t>
  </si>
  <si>
    <t>Total Social security, post-employ, and other employee benft costs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</si>
  <si>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</si>
  <si>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</si>
  <si>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</si>
  <si>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</si>
  <si>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620500 - Goodwill amortisation and write-downs</t>
  </si>
  <si>
    <t>622000 - Depr. of tangible fixed assets (excl. Depr. of vehicles)</t>
  </si>
  <si>
    <t>622200 - Depreciation of motor vehicles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</si>
  <si>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</si>
  <si>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</si>
  <si>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</si>
  <si>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</si>
  <si>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630300 - Purchased services/third-party services</t>
  </si>
  <si>
    <t>630500 - Occupancy costs</t>
  </si>
  <si>
    <t>631000 - Rent (immovable property)</t>
  </si>
  <si>
    <t>632500 - Gas, electricity, water</t>
  </si>
  <si>
    <t>633000 - Cleaning</t>
  </si>
  <si>
    <t>633500 - Maintenance of operating premises</t>
  </si>
  <si>
    <t>634500 - Other occupancy costs</t>
  </si>
  <si>
    <t>639100 - Non-cash benefits, donations for scient. and cult. purposes</t>
  </si>
  <si>
    <t>639200 - Non-cash benefits, donations for charitable purposes</t>
  </si>
  <si>
    <t>639300 - Non-cash benefits, donations for church, non-profit purposes</t>
  </si>
  <si>
    <t>640000 - Insurance premiums</t>
  </si>
  <si>
    <t>642000 - Contributions</t>
  </si>
  <si>
    <t>644000 - Disabled persons equalisation levy</t>
  </si>
  <si>
    <t>646000 - Repairs and maintenance of technical equipment and machinery</t>
  </si>
  <si>
    <t>649000 - Other repairs and maintenance</t>
  </si>
  <si>
    <t>649500 - Hardware and software maintenance expenses</t>
  </si>
  <si>
    <t>650011 - Vehicle expenses KA-S 2730 Skoda Octavia</t>
  </si>
  <si>
    <t>650012 - Vehicle expenses KA-M 3390 Tesla</t>
  </si>
  <si>
    <t>650013 - Vehicle expenses KA-DK 1015 VW T-Roc</t>
  </si>
  <si>
    <t>650014 - Vehicle expenses KA-KS 1186 Mercedes GLA</t>
  </si>
  <si>
    <t>650016 - Vehicle expenses KA-MW 8800 Toyota Verso</t>
  </si>
  <si>
    <t>650017 - Vehicle expenses KA-JM 1075 Skoda Superb</t>
  </si>
  <si>
    <t>650018 - Vehicle expenses KA-B 9883 Skoda Octavia</t>
  </si>
  <si>
    <t>650019 - Vehicle expenses KA-MA 9080 Skoda Superb Combi 1.8 TSI</t>
  </si>
  <si>
    <t>650021 - Vehicle expenses KA-EW 1155 Skoda KODIAQ Drive 2.0 TDI</t>
  </si>
  <si>
    <t>650025 - Vehicle expenses KA-MP 1018 KIA Sportage</t>
  </si>
  <si>
    <t>650026 - Vehicle expenses KA-JR 1012 Audi Q5 2.0 Quattro TDI</t>
  </si>
  <si>
    <t>650027 - Vehicle expenses KA-FS 5712 BMW 740d Drive Limousine</t>
  </si>
  <si>
    <t>650031 - Vehicle expenses KA-AC 3211 Skoda Kodiaq 2.0 TDI</t>
  </si>
  <si>
    <t>650033 - Vehicle expenses  KA-MW 8801 Mazda CX30</t>
  </si>
  <si>
    <t>650034 - Vehicle expenses KA-MP 1019 KIA Xceed 1.4 T-GDI</t>
  </si>
  <si>
    <t>650035 - Vehicle Expenses KA-FS 5712/2 BMW 740d xDrive Limousine</t>
  </si>
  <si>
    <t>650036 - Vehicle expenses KA-B 9884 Skodia Fabia</t>
  </si>
  <si>
    <t>650037 - Vehicle expenses KA-JR 1240 Audi Q3 Sportsback 45 TFSI</t>
  </si>
  <si>
    <t>650042 - Vehicle expenses KA-MA 8090 Skoda Octavia Combi 2.0 TDI</t>
  </si>
  <si>
    <t>656000 - Operating leases (motor vehicles)</t>
  </si>
  <si>
    <t>656300 - Bike leasing</t>
  </si>
  <si>
    <t>660000 - Advertising costs</t>
  </si>
  <si>
    <t>660100 - Trade fare costs</t>
  </si>
  <si>
    <t>660400 - Marketing material</t>
  </si>
  <si>
    <t>660500 - Conception</t>
  </si>
  <si>
    <t>660600 - Sponsoring</t>
  </si>
  <si>
    <t>661000 - Gifts, deductible, without s. 37b EStG</t>
  </si>
  <si>
    <t>662000 - Gifts, non-deductible, without s. 37b EStG</t>
  </si>
  <si>
    <t>662500 - Gifts used exclusively for operating purposes</t>
  </si>
  <si>
    <t>664000 - Entertainment expenses</t>
  </si>
  <si>
    <t>664300 - Small gifts</t>
  </si>
  <si>
    <t>664400 - Non-deductible entertainment expenses</t>
  </si>
  <si>
    <t>665000 - Employee travel expenses</t>
  </si>
  <si>
    <t>665100 - Employee travel expenses 7% input tax</t>
  </si>
  <si>
    <t>665200 - Employee travel expenses, standard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</si>
  <si>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</si>
  <si>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</si>
  <si>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</si>
  <si>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</si>
  <si>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666500 - Employee travel expens, add. sub costs,Income tax liability</t>
  </si>
  <si>
    <t>666800 - Employee mileage reimbursement</t>
  </si>
  <si>
    <t>669900 - Travel costs liability adjustment account</t>
  </si>
  <si>
    <t>678000 - Third-party services (distribution)</t>
  </si>
  <si>
    <t>680000 - Postage</t>
  </si>
  <si>
    <t>680100 - Further training costs §13b UStG Supplier 3. country service</t>
  </si>
  <si>
    <t>680500 - Telephone</t>
  </si>
  <si>
    <t>681000 - Fax and Internet costs</t>
  </si>
  <si>
    <t>681400 - Third country service</t>
  </si>
  <si>
    <t>681500 - Office supplies</t>
  </si>
  <si>
    <t>681600 - data processing demand</t>
  </si>
  <si>
    <t>682000 - Newspapers, books</t>
  </si>
  <si>
    <t>682100 - Training costs</t>
  </si>
  <si>
    <t>682500 - Legal and consulting costs</t>
  </si>
  <si>
    <t>682700 - Period-end closing and audit costs</t>
  </si>
  <si>
    <t>683500 - Rent of fixtures and fittings (movable assets)</t>
  </si>
  <si>
    <t>683600 - Leases (movable assets)</t>
  </si>
  <si>
    <t>683700 - Expenses for temp. transfer of rights(licences, concessions)</t>
  </si>
  <si>
    <t>684000 - Operating leases (mov. assets)</t>
  </si>
  <si>
    <t>685500 - Incidental monetary transaction costs</t>
  </si>
  <si>
    <t>688000 - Currency translation losses</t>
  </si>
  <si>
    <t>688100 - Currency Exchange Losses</t>
  </si>
  <si>
    <t>690000 - Losses on disposal of fixed assets</t>
  </si>
  <si>
    <t>692000 - Transfers to global valuation allowance on receivables</t>
  </si>
  <si>
    <t>692300 - Transfer to specific valuation allowance on receivables</t>
  </si>
  <si>
    <t>696000 - Prior-period expenses if not extraordinary</t>
  </si>
  <si>
    <t>696900 - Other infrequent expenses</t>
  </si>
  <si>
    <t>699400 - Selling expenses</t>
  </si>
  <si>
    <t>699500 - Contra account 6990-6998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</si>
  <si>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</si>
  <si>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</si>
  <si>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</si>
  <si>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</si>
  <si>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</si>
  <si>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</si>
  <si>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</si>
  <si>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</si>
  <si>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701000 - Income from other securities and long-term loans</t>
  </si>
  <si>
    <t>701100 - Income from long-term loans</t>
  </si>
  <si>
    <t>Total Income from other securities and long-term loans</t>
  </si>
  <si>
    <t>11. Other interest and similar income</t>
  </si>
  <si>
    <t>710000 - Other interest and similar income</t>
  </si>
  <si>
    <t>730500 - Interest expenses, section 233a AO, operating taxes</t>
  </si>
  <si>
    <t>730800 - Interest expenses, section 233a AO, section 4(5b) EStG</t>
  </si>
  <si>
    <t>Total Other interest and similar income</t>
  </si>
  <si>
    <t>Total Financial result</t>
  </si>
  <si>
    <t>14. Taxes on income</t>
  </si>
  <si>
    <t>760000 - Corporate income tax</t>
  </si>
  <si>
    <t>760800 - Solidarity surcharge</t>
  </si>
  <si>
    <t>761000 - Trade tax</t>
  </si>
  <si>
    <t>763000 - Withholding tax on investment income, 25%</t>
  </si>
  <si>
    <t>763300 - Allow. solidarity surcharge on w/h tax invest. income, 25%</t>
  </si>
  <si>
    <t>764100 - Backpayments and refunds of trade tax for prior years</t>
  </si>
  <si>
    <t>Total Taxes on income</t>
  </si>
  <si>
    <t>16. Other taxes</t>
  </si>
  <si>
    <t>768500 - Motor vehicle tax</t>
  </si>
  <si>
    <t>769000 - Backpayments of other taxes for prior years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</si>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</sst>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tabSelected="1" zoomScale="130" zoomScaleNormal="130" workbookViewId="0">
      <pane ySplit="5" topLeftCell="A6" activePane="bottomLeft" state="frozen"/>
      <selection pane="bottomLeft" activeCell="A209" sqref="A209:XFD210"/>
    </sheetView>
  </sheetViews>
  <sheetFormatPr baseColWidth="10" defaultRowHeight="11.25" x14ac:dyDescent="0.2"/>
  <cols>
    <col min="1" max="1" width="72.5" bestFit="1" customWidth="1"/>
    <col min="2" max="2" width="13.83203125" bestFit="1" customWidth="1"/>
    <col min="3" max="4" width="14.33203125" bestFit="1" customWidth="1"/>
    <col min="5" max="5" width="13.83203125" bestFit="1" customWidth="1"/>
    <col min="6" max="6" width="14.33203125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ht="18" x14ac:dyDescent="0.25">
      <c r="A2" s="2" t="s">
        <v>1</v>
      </c>
      <c r="B2" s="2"/>
      <c r="C2" s="2"/>
      <c r="D2" s="2"/>
      <c r="E2" s="2"/>
      <c r="F2" s="2"/>
    </row>
    <row r="3" spans="1:6" ht="18" x14ac:dyDescent="0.25">
      <c r="A3" s="2" t="s">
        <v>2</v>
      </c>
      <c r="B3" s="2"/>
      <c r="C3" s="2"/>
      <c r="D3" s="2"/>
      <c r="E3" s="2"/>
      <c r="F3" s="2"/>
    </row>
    <row r="4" spans="1:6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">
      <c r="A5" s="3" t="s">
        <v>3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</row>
    <row r="6" spans="1:6" x14ac:dyDescent="0.2">
      <c r="A6" s="5" t="s">
        <v>10</v>
      </c>
      <c r="B6" s="6"/>
      <c r="C6" s="6"/>
      <c r="D6" s="6"/>
      <c r="E6" s="6"/>
      <c r="F6" s="6"/>
    </row>
    <row r="7" spans="1:6" x14ac:dyDescent="0.2">
      <c r="A7" s="7" t="s">
        <v>11</v>
      </c>
      <c r="B7" s="6"/>
      <c r="C7" s="6"/>
      <c r="D7" s="6"/>
      <c r="E7" s="6"/>
      <c r="F7" s="6"/>
    </row>
    <row r="8" spans="1:6" x14ac:dyDescent="0.2">
      <c r="A8" s="8" t="s">
        <v>12</v>
      </c>
      <c r="B8" s="6"/>
      <c r="C8" s="6"/>
      <c r="D8" s="6"/>
      <c r="E8" s="6"/>
      <c r="F8" s="6"/>
    </row>
    <row r="9" spans="1:6" x14ac:dyDescent="0.2">
      <c r="A9" s="9" t="s">
        <v>13</v>
      </c>
      <c r="B9" s="6"/>
      <c r="C9" s="6"/>
      <c r="D9" s="6"/>
      <c r="E9" s="6"/>
      <c r="F9" s="6"/>
    </row>
    <row r="10" spans="1:6" x14ac:dyDescent="0.2">
      <c r="A10" s="10" t="s">
        <v>14</v>
      </c>
      <c r="B10" s="6">
        <v>10970517.850000001</v>
      </c>
      <c r="C10" s="6">
        <v>13324594.48</v>
      </c>
      <c r="D10" s="6">
        <v>15400096.899999999</v>
      </c>
      <c r="E10" s="6">
        <v>10308221.84</v>
      </c>
      <c r="F10" s="6">
        <v>50003431.070000008</v>
      </c>
    </row>
    <row r="11" spans="1:6" hidden="1" x14ac:dyDescent="0.2">
      <c r="A11" s="11" t="s">
        <v>15</v>
      </c>
      <c r="B11" s="12">
        <v>9701.39</v>
      </c>
      <c r="C11" s="12">
        <v>43555</v>
      </c>
      <c r="D11" s="12">
        <v>0</v>
      </c>
      <c r="E11" s="12">
        <v>0</v>
      </c>
      <c r="F11" s="12">
        <f t="shared" ref="F11:F22" si="0">SUM(B11:E11)</f>
        <v>53256.39</v>
      </c>
    </row>
    <row r="12" spans="1:6" hidden="1" x14ac:dyDescent="0.2">
      <c r="A12" s="11" t="s">
        <v>16</v>
      </c>
      <c r="B12" s="12">
        <v>482042.8</v>
      </c>
      <c r="C12" s="12">
        <v>0</v>
      </c>
      <c r="D12" s="12">
        <v>0</v>
      </c>
      <c r="E12" s="12">
        <v>0</v>
      </c>
      <c r="F12" s="12">
        <f t="shared" si="0"/>
        <v>482042.8</v>
      </c>
    </row>
    <row r="13" spans="1:6" hidden="1" x14ac:dyDescent="0.2">
      <c r="A13" s="11" t="s">
        <v>17</v>
      </c>
      <c r="B13" s="12">
        <v>444103.8</v>
      </c>
      <c r="C13" s="12">
        <v>1155165.8500000001</v>
      </c>
      <c r="D13" s="12">
        <v>3354645.91</v>
      </c>
      <c r="E13" s="12">
        <v>1699628.55</v>
      </c>
      <c r="F13" s="12">
        <f t="shared" si="0"/>
        <v>6653544.1100000003</v>
      </c>
    </row>
    <row r="14" spans="1:6" hidden="1" x14ac:dyDescent="0.2">
      <c r="A14" s="11" t="s">
        <v>18</v>
      </c>
      <c r="B14" s="12">
        <v>357316.3</v>
      </c>
      <c r="C14" s="12">
        <v>1631731.28</v>
      </c>
      <c r="D14" s="12">
        <v>1314782.96</v>
      </c>
      <c r="E14" s="12">
        <v>670248.24</v>
      </c>
      <c r="F14" s="12">
        <f t="shared" si="0"/>
        <v>3974078.7800000003</v>
      </c>
    </row>
    <row r="15" spans="1:6" hidden="1" x14ac:dyDescent="0.2">
      <c r="A15" s="11" t="s">
        <v>19</v>
      </c>
      <c r="B15" s="12">
        <v>9683603.5600000005</v>
      </c>
      <c r="C15" s="12">
        <v>10652678.48</v>
      </c>
      <c r="D15" s="12">
        <v>10748701.01</v>
      </c>
      <c r="E15" s="12">
        <v>8031359.7999999998</v>
      </c>
      <c r="F15" s="12">
        <f t="shared" si="0"/>
        <v>39116342.849999994</v>
      </c>
    </row>
    <row r="16" spans="1:6" hidden="1" x14ac:dyDescent="0.2">
      <c r="A16" s="11" t="s">
        <v>20</v>
      </c>
      <c r="B16" s="12">
        <v>-3750</v>
      </c>
      <c r="C16" s="12">
        <v>0</v>
      </c>
      <c r="D16" s="12">
        <v>0</v>
      </c>
      <c r="E16" s="12">
        <v>-7381.31</v>
      </c>
      <c r="F16" s="12">
        <f t="shared" si="0"/>
        <v>-11131.310000000001</v>
      </c>
    </row>
    <row r="17" spans="1:6" hidden="1" x14ac:dyDescent="0.2">
      <c r="A17" s="11" t="s">
        <v>21</v>
      </c>
      <c r="B17" s="12">
        <v>0</v>
      </c>
      <c r="C17" s="12">
        <v>-146391.93</v>
      </c>
      <c r="D17" s="12">
        <v>146391.93</v>
      </c>
      <c r="E17" s="12">
        <v>-38000</v>
      </c>
      <c r="F17" s="12">
        <f t="shared" si="0"/>
        <v>-38000</v>
      </c>
    </row>
    <row r="18" spans="1:6" hidden="1" x14ac:dyDescent="0.2">
      <c r="A18" s="11" t="s">
        <v>22</v>
      </c>
      <c r="B18" s="12">
        <v>0</v>
      </c>
      <c r="C18" s="12">
        <v>0</v>
      </c>
      <c r="D18" s="12">
        <v>-146391.93</v>
      </c>
      <c r="E18" s="12">
        <v>0</v>
      </c>
      <c r="F18" s="12">
        <f t="shared" si="0"/>
        <v>-146391.93</v>
      </c>
    </row>
    <row r="19" spans="1:6" hidden="1" x14ac:dyDescent="0.2">
      <c r="A19" s="11" t="s">
        <v>23</v>
      </c>
      <c r="B19" s="12">
        <v>-2500</v>
      </c>
      <c r="C19" s="12">
        <v>9494.6</v>
      </c>
      <c r="D19" s="12">
        <v>0</v>
      </c>
      <c r="E19" s="12">
        <v>12888.55</v>
      </c>
      <c r="F19" s="12">
        <f t="shared" si="0"/>
        <v>19883.150000000001</v>
      </c>
    </row>
    <row r="20" spans="1:6" hidden="1" x14ac:dyDescent="0.2">
      <c r="A20" s="11" t="s">
        <v>24</v>
      </c>
      <c r="B20" s="12">
        <v>0</v>
      </c>
      <c r="C20" s="12">
        <v>-2649.6</v>
      </c>
      <c r="D20" s="12">
        <v>-6471.15</v>
      </c>
      <c r="E20" s="12">
        <v>-240.89</v>
      </c>
      <c r="F20" s="12">
        <f t="shared" si="0"/>
        <v>-9361.64</v>
      </c>
    </row>
    <row r="21" spans="1:6" hidden="1" x14ac:dyDescent="0.2">
      <c r="A21" s="11" t="s">
        <v>25</v>
      </c>
      <c r="B21" s="12">
        <v>0</v>
      </c>
      <c r="C21" s="12">
        <v>-18989.2</v>
      </c>
      <c r="D21" s="12">
        <v>-11001.83</v>
      </c>
      <c r="E21" s="12">
        <v>-10516.25</v>
      </c>
      <c r="F21" s="12">
        <f t="shared" si="0"/>
        <v>-40507.279999999999</v>
      </c>
    </row>
    <row r="22" spans="1:6" hidden="1" x14ac:dyDescent="0.2">
      <c r="A22" s="11" t="s">
        <v>26</v>
      </c>
      <c r="B22" s="12">
        <v>0</v>
      </c>
      <c r="C22" s="12">
        <v>0</v>
      </c>
      <c r="D22" s="12">
        <v>-560</v>
      </c>
      <c r="E22" s="12">
        <v>-49764.85</v>
      </c>
      <c r="F22" s="12">
        <f t="shared" si="0"/>
        <v>-50324.85</v>
      </c>
    </row>
    <row r="23" spans="1:6" hidden="1" x14ac:dyDescent="0.2">
      <c r="A23" s="13" t="s">
        <v>27</v>
      </c>
      <c r="B23" s="14">
        <f>SUM(B11:B22)</f>
        <v>10970517.850000001</v>
      </c>
      <c r="C23" s="14">
        <f>SUM(C11:C22)</f>
        <v>13324594.48</v>
      </c>
      <c r="D23" s="14">
        <f>SUM(D11:D22)</f>
        <v>15400096.899999999</v>
      </c>
      <c r="E23" s="14">
        <f>SUM(E11:E22)</f>
        <v>10308221.84</v>
      </c>
      <c r="F23" s="14">
        <f>SUM(F11:F22)</f>
        <v>50003431.069999985</v>
      </c>
    </row>
    <row r="24" spans="1:6" x14ac:dyDescent="0.2">
      <c r="A24" s="10" t="s">
        <v>28</v>
      </c>
      <c r="B24" s="6">
        <v>159561.96000000002</v>
      </c>
      <c r="C24" s="6">
        <v>234663.56999999998</v>
      </c>
      <c r="D24" s="6">
        <v>835879.05</v>
      </c>
      <c r="E24" s="6">
        <v>63002.66</v>
      </c>
      <c r="F24" s="6">
        <v>1293107.24</v>
      </c>
    </row>
    <row r="25" spans="1:6" hidden="1" x14ac:dyDescent="0.2">
      <c r="A25" s="11" t="s">
        <v>29</v>
      </c>
      <c r="B25" s="12">
        <v>42000</v>
      </c>
      <c r="C25" s="12">
        <v>42000</v>
      </c>
      <c r="D25" s="12">
        <v>56400</v>
      </c>
      <c r="E25" s="12">
        <v>14100</v>
      </c>
      <c r="F25" s="12">
        <f t="shared" ref="F25:F38" si="1">SUM(B25:E25)</f>
        <v>154500</v>
      </c>
    </row>
    <row r="26" spans="1:6" hidden="1" x14ac:dyDescent="0.2">
      <c r="A26" s="11" t="s">
        <v>30</v>
      </c>
      <c r="B26" s="12">
        <v>27381.040000000001</v>
      </c>
      <c r="C26" s="12">
        <v>72448.58</v>
      </c>
      <c r="D26" s="12">
        <v>60000.15</v>
      </c>
      <c r="E26" s="12">
        <v>0</v>
      </c>
      <c r="F26" s="12">
        <f t="shared" si="1"/>
        <v>159829.76999999999</v>
      </c>
    </row>
    <row r="27" spans="1:6" hidden="1" x14ac:dyDescent="0.2">
      <c r="A27" s="11" t="s">
        <v>31</v>
      </c>
      <c r="B27" s="12">
        <v>3886.05</v>
      </c>
      <c r="C27" s="12">
        <v>0</v>
      </c>
      <c r="D27" s="12">
        <v>0</v>
      </c>
      <c r="E27" s="12">
        <v>0</v>
      </c>
      <c r="F27" s="12">
        <f t="shared" si="1"/>
        <v>3886.05</v>
      </c>
    </row>
    <row r="28" spans="1:6" hidden="1" x14ac:dyDescent="0.2">
      <c r="A28" s="11" t="s">
        <v>32</v>
      </c>
      <c r="B28" s="12">
        <v>0</v>
      </c>
      <c r="C28" s="12">
        <v>0</v>
      </c>
      <c r="D28" s="12">
        <v>39900</v>
      </c>
      <c r="E28" s="12">
        <v>0</v>
      </c>
      <c r="F28" s="12">
        <f t="shared" si="1"/>
        <v>39900</v>
      </c>
    </row>
    <row r="29" spans="1:6" hidden="1" x14ac:dyDescent="0.2">
      <c r="A29" s="11" t="s">
        <v>33</v>
      </c>
      <c r="B29" s="12">
        <v>-402.95</v>
      </c>
      <c r="C29" s="12">
        <v>39650.160000000003</v>
      </c>
      <c r="D29" s="12">
        <v>73592.75</v>
      </c>
      <c r="E29" s="12">
        <v>4448.9799999999996</v>
      </c>
      <c r="F29" s="12">
        <f t="shared" si="1"/>
        <v>117288.94</v>
      </c>
    </row>
    <row r="30" spans="1:6" hidden="1" x14ac:dyDescent="0.2">
      <c r="A30" s="11" t="s">
        <v>34</v>
      </c>
      <c r="B30" s="12">
        <v>0</v>
      </c>
      <c r="C30" s="12">
        <v>1272.5999999999999</v>
      </c>
      <c r="D30" s="12">
        <v>0</v>
      </c>
      <c r="E30" s="12">
        <v>0</v>
      </c>
      <c r="F30" s="12">
        <f t="shared" si="1"/>
        <v>1272.5999999999999</v>
      </c>
    </row>
    <row r="31" spans="1:6" hidden="1" x14ac:dyDescent="0.2">
      <c r="A31" s="11" t="s">
        <v>35</v>
      </c>
      <c r="B31" s="12">
        <v>0</v>
      </c>
      <c r="C31" s="12">
        <v>0</v>
      </c>
      <c r="D31" s="12">
        <v>0</v>
      </c>
      <c r="E31" s="12">
        <v>-0.01</v>
      </c>
      <c r="F31" s="12">
        <f t="shared" si="1"/>
        <v>-0.01</v>
      </c>
    </row>
    <row r="32" spans="1:6" hidden="1" x14ac:dyDescent="0.2">
      <c r="A32" s="11" t="s">
        <v>36</v>
      </c>
      <c r="B32" s="12">
        <v>0</v>
      </c>
      <c r="C32" s="12">
        <v>0</v>
      </c>
      <c r="D32" s="12">
        <v>25416</v>
      </c>
      <c r="E32" s="12">
        <v>0</v>
      </c>
      <c r="F32" s="12">
        <f t="shared" si="1"/>
        <v>25416</v>
      </c>
    </row>
    <row r="33" spans="1:6" hidden="1" x14ac:dyDescent="0.2">
      <c r="A33" s="11" t="s">
        <v>37</v>
      </c>
      <c r="B33" s="12">
        <v>0</v>
      </c>
      <c r="C33" s="12">
        <v>2430</v>
      </c>
      <c r="D33" s="12">
        <v>0</v>
      </c>
      <c r="E33" s="12">
        <v>0</v>
      </c>
      <c r="F33" s="12">
        <f t="shared" si="1"/>
        <v>2430</v>
      </c>
    </row>
    <row r="34" spans="1:6" hidden="1" x14ac:dyDescent="0.2">
      <c r="A34" s="11" t="s">
        <v>38</v>
      </c>
      <c r="B34" s="12">
        <v>85313.83</v>
      </c>
      <c r="C34" s="12">
        <v>75310.52</v>
      </c>
      <c r="D34" s="12">
        <v>90840.49</v>
      </c>
      <c r="E34" s="12">
        <v>43037.16</v>
      </c>
      <c r="F34" s="12">
        <f t="shared" si="1"/>
        <v>294502</v>
      </c>
    </row>
    <row r="35" spans="1:6" hidden="1" x14ac:dyDescent="0.2">
      <c r="A35" s="11" t="s">
        <v>39</v>
      </c>
      <c r="B35" s="12">
        <v>0</v>
      </c>
      <c r="C35" s="12">
        <v>79</v>
      </c>
      <c r="D35" s="12">
        <v>894.07</v>
      </c>
      <c r="E35" s="12">
        <v>768.95</v>
      </c>
      <c r="F35" s="12">
        <f t="shared" si="1"/>
        <v>1742.02</v>
      </c>
    </row>
    <row r="36" spans="1:6" hidden="1" x14ac:dyDescent="0.2">
      <c r="A36" s="11" t="s">
        <v>40</v>
      </c>
      <c r="B36" s="12">
        <v>1383.99</v>
      </c>
      <c r="C36" s="12">
        <v>1271.9000000000001</v>
      </c>
      <c r="D36" s="12">
        <v>460.59</v>
      </c>
      <c r="E36" s="12">
        <v>647.58000000000004</v>
      </c>
      <c r="F36" s="12">
        <f t="shared" si="1"/>
        <v>3764.0600000000004</v>
      </c>
    </row>
    <row r="37" spans="1:6" hidden="1" x14ac:dyDescent="0.2">
      <c r="A37" s="11" t="s">
        <v>41</v>
      </c>
      <c r="B37" s="12">
        <v>0</v>
      </c>
      <c r="C37" s="12">
        <v>200.81</v>
      </c>
      <c r="D37" s="12">
        <v>0</v>
      </c>
      <c r="E37" s="12">
        <v>0</v>
      </c>
      <c r="F37" s="12">
        <f t="shared" si="1"/>
        <v>200.81</v>
      </c>
    </row>
    <row r="38" spans="1:6" hidden="1" x14ac:dyDescent="0.2">
      <c r="A38" s="11" t="s">
        <v>42</v>
      </c>
      <c r="B38" s="12">
        <v>0</v>
      </c>
      <c r="C38" s="12">
        <v>0</v>
      </c>
      <c r="D38" s="12">
        <v>488375</v>
      </c>
      <c r="E38" s="12">
        <v>0</v>
      </c>
      <c r="F38" s="12">
        <f t="shared" si="1"/>
        <v>488375</v>
      </c>
    </row>
    <row r="39" spans="1:6" hidden="1" x14ac:dyDescent="0.2">
      <c r="A39" s="15" t="s">
        <v>43</v>
      </c>
      <c r="B39" s="16">
        <f>SUM(B25:B38)</f>
        <v>159561.96000000002</v>
      </c>
      <c r="C39" s="16">
        <f>SUM(C25:C38)</f>
        <v>234663.56999999998</v>
      </c>
      <c r="D39" s="16">
        <f>SUM(D25:D38)</f>
        <v>835879.05</v>
      </c>
      <c r="E39" s="16">
        <f>SUM(E25:E38)</f>
        <v>63002.66</v>
      </c>
      <c r="F39" s="16">
        <f>SUM(F25:F38)</f>
        <v>1293107.2400000002</v>
      </c>
    </row>
    <row r="40" spans="1:6" x14ac:dyDescent="0.2">
      <c r="A40" s="17" t="s">
        <v>44</v>
      </c>
      <c r="B40" s="16">
        <f>B23+0+0+B39</f>
        <v>11130079.810000002</v>
      </c>
      <c r="C40" s="16">
        <f>C23+0+0+C39</f>
        <v>13559258.050000001</v>
      </c>
      <c r="D40" s="16">
        <f>D23+0+0+D39</f>
        <v>16235975.949999999</v>
      </c>
      <c r="E40" s="16">
        <f>E23+0+0+E39</f>
        <v>10371224.5</v>
      </c>
      <c r="F40" s="16">
        <f>F23+0+0+F39</f>
        <v>51296538.309999987</v>
      </c>
    </row>
    <row r="41" spans="1:6" x14ac:dyDescent="0.2">
      <c r="A41" s="9" t="s">
        <v>45</v>
      </c>
      <c r="B41" s="6"/>
      <c r="C41" s="6"/>
      <c r="D41" s="6"/>
      <c r="E41" s="6"/>
      <c r="F41" s="6"/>
    </row>
    <row r="42" spans="1:6" x14ac:dyDescent="0.2">
      <c r="A42" s="10" t="s">
        <v>46</v>
      </c>
      <c r="B42" s="6">
        <v>-981814.44000000006</v>
      </c>
      <c r="C42" s="6">
        <v>-846192.07</v>
      </c>
      <c r="D42" s="6">
        <v>-415423.49</v>
      </c>
      <c r="E42" s="6">
        <v>-205262.07999999999</v>
      </c>
      <c r="F42" s="6">
        <v>-2448692.08</v>
      </c>
    </row>
    <row r="43" spans="1:6" hidden="1" x14ac:dyDescent="0.2">
      <c r="A43" s="11" t="s">
        <v>47</v>
      </c>
      <c r="B43" s="12">
        <v>-588700.02</v>
      </c>
      <c r="C43" s="12">
        <v>0</v>
      </c>
      <c r="D43" s="12">
        <v>0</v>
      </c>
      <c r="E43" s="12">
        <v>0</v>
      </c>
      <c r="F43" s="12">
        <f t="shared" ref="F43:F50" si="2">SUM(B43:E43)</f>
        <v>-588700.02</v>
      </c>
    </row>
    <row r="44" spans="1:6" hidden="1" x14ac:dyDescent="0.2">
      <c r="A44" s="11" t="s">
        <v>48</v>
      </c>
      <c r="B44" s="12">
        <v>-376821.84</v>
      </c>
      <c r="C44" s="12">
        <v>-873191.87</v>
      </c>
      <c r="D44" s="12">
        <v>-416583.49</v>
      </c>
      <c r="E44" s="12">
        <v>-205261.9</v>
      </c>
      <c r="F44" s="12">
        <f t="shared" si="2"/>
        <v>-1871859.0999999999</v>
      </c>
    </row>
    <row r="45" spans="1:6" hidden="1" x14ac:dyDescent="0.2">
      <c r="A45" s="11" t="s">
        <v>49</v>
      </c>
      <c r="B45" s="12">
        <v>-19890</v>
      </c>
      <c r="C45" s="12">
        <v>0</v>
      </c>
      <c r="D45" s="12">
        <v>0</v>
      </c>
      <c r="E45" s="12">
        <v>0</v>
      </c>
      <c r="F45" s="12">
        <f t="shared" si="2"/>
        <v>-19890</v>
      </c>
    </row>
    <row r="46" spans="1:6" hidden="1" x14ac:dyDescent="0.2">
      <c r="A46" s="11" t="s">
        <v>50</v>
      </c>
      <c r="B46" s="12">
        <v>3556.55</v>
      </c>
      <c r="C46" s="12">
        <v>0</v>
      </c>
      <c r="D46" s="12">
        <v>0</v>
      </c>
      <c r="E46" s="12">
        <v>0</v>
      </c>
      <c r="F46" s="12">
        <f t="shared" si="2"/>
        <v>3556.55</v>
      </c>
    </row>
    <row r="47" spans="1:6" hidden="1" x14ac:dyDescent="0.2">
      <c r="A47" s="11" t="s">
        <v>51</v>
      </c>
      <c r="B47" s="12">
        <v>40.869999999999997</v>
      </c>
      <c r="C47" s="12">
        <v>-0.2</v>
      </c>
      <c r="D47" s="12">
        <v>20</v>
      </c>
      <c r="E47" s="12">
        <v>0.01</v>
      </c>
      <c r="F47" s="12">
        <f t="shared" si="2"/>
        <v>60.679999999999993</v>
      </c>
    </row>
    <row r="48" spans="1:6" hidden="1" x14ac:dyDescent="0.2">
      <c r="A48" s="11" t="s">
        <v>52</v>
      </c>
      <c r="B48" s="12">
        <v>0</v>
      </c>
      <c r="C48" s="12">
        <v>27000</v>
      </c>
      <c r="D48" s="12">
        <v>1140</v>
      </c>
      <c r="E48" s="12">
        <v>0</v>
      </c>
      <c r="F48" s="12">
        <f t="shared" si="2"/>
        <v>28140</v>
      </c>
    </row>
    <row r="49" spans="1:6" hidden="1" x14ac:dyDescent="0.2">
      <c r="A49" s="11" t="s">
        <v>53</v>
      </c>
      <c r="B49" s="12">
        <v>0</v>
      </c>
      <c r="C49" s="12">
        <v>0</v>
      </c>
      <c r="D49" s="12">
        <v>0</v>
      </c>
      <c r="E49" s="12">
        <v>0.02</v>
      </c>
      <c r="F49" s="12">
        <f t="shared" si="2"/>
        <v>0.02</v>
      </c>
    </row>
    <row r="50" spans="1:6" hidden="1" x14ac:dyDescent="0.2">
      <c r="A50" s="11" t="s">
        <v>54</v>
      </c>
      <c r="B50" s="12">
        <v>0</v>
      </c>
      <c r="C50" s="12">
        <v>0</v>
      </c>
      <c r="D50" s="12">
        <v>0</v>
      </c>
      <c r="E50" s="12">
        <v>-0.21</v>
      </c>
      <c r="F50" s="12">
        <f t="shared" si="2"/>
        <v>-0.21</v>
      </c>
    </row>
    <row r="51" spans="1:6" hidden="1" x14ac:dyDescent="0.2">
      <c r="A51" s="13" t="s">
        <v>55</v>
      </c>
      <c r="B51" s="14">
        <f>SUM(B43:B50)</f>
        <v>-981814.44000000006</v>
      </c>
      <c r="C51" s="14">
        <f>SUM(C43:C50)</f>
        <v>-846192.07</v>
      </c>
      <c r="D51" s="14">
        <f>SUM(D43:D50)</f>
        <v>-415423.49</v>
      </c>
      <c r="E51" s="14">
        <f>SUM(E43:E50)</f>
        <v>-205262.07999999999</v>
      </c>
      <c r="F51" s="14">
        <f>SUM(F43:F50)</f>
        <v>-2448692.08</v>
      </c>
    </row>
    <row r="52" spans="1:6" x14ac:dyDescent="0.2">
      <c r="A52" s="10" t="s">
        <v>56</v>
      </c>
      <c r="B52" s="6">
        <v>-320747.5</v>
      </c>
      <c r="C52" s="6">
        <v>-715746.26</v>
      </c>
      <c r="D52" s="6">
        <v>-549676.90999999992</v>
      </c>
      <c r="E52" s="6">
        <v>-475481.73</v>
      </c>
      <c r="F52" s="6">
        <v>-2061652.4</v>
      </c>
    </row>
    <row r="53" spans="1:6" hidden="1" x14ac:dyDescent="0.2">
      <c r="A53" s="11" t="s">
        <v>57</v>
      </c>
      <c r="B53" s="12">
        <v>0</v>
      </c>
      <c r="C53" s="12">
        <v>-70288.78</v>
      </c>
      <c r="D53" s="12">
        <v>-58433.79</v>
      </c>
      <c r="E53" s="12">
        <v>-40012.74</v>
      </c>
      <c r="F53" s="12">
        <f>SUM(B53:E53)</f>
        <v>-168735.31</v>
      </c>
    </row>
    <row r="54" spans="1:6" hidden="1" x14ac:dyDescent="0.2">
      <c r="A54" s="11" t="s">
        <v>58</v>
      </c>
      <c r="B54" s="12">
        <v>-119962.5</v>
      </c>
      <c r="C54" s="12">
        <v>-342464</v>
      </c>
      <c r="D54" s="12">
        <v>8640</v>
      </c>
      <c r="E54" s="12">
        <v>0</v>
      </c>
      <c r="F54" s="12">
        <f>SUM(B54:E54)</f>
        <v>-453786.5</v>
      </c>
    </row>
    <row r="55" spans="1:6" hidden="1" x14ac:dyDescent="0.2">
      <c r="A55" s="11" t="s">
        <v>59</v>
      </c>
      <c r="B55" s="12">
        <v>-200785</v>
      </c>
      <c r="C55" s="12">
        <v>-302993.48</v>
      </c>
      <c r="D55" s="12">
        <v>-488805.54</v>
      </c>
      <c r="E55" s="12">
        <v>-435468.99</v>
      </c>
      <c r="F55" s="12">
        <f>SUM(B55:E55)</f>
        <v>-1428053.01</v>
      </c>
    </row>
    <row r="56" spans="1:6" hidden="1" x14ac:dyDescent="0.2">
      <c r="A56" s="11" t="s">
        <v>60</v>
      </c>
      <c r="B56" s="12">
        <v>0</v>
      </c>
      <c r="C56" s="12">
        <v>0</v>
      </c>
      <c r="D56" s="12">
        <v>-11077.58</v>
      </c>
      <c r="E56" s="12">
        <v>0</v>
      </c>
      <c r="F56" s="12">
        <f>SUM(B56:E56)</f>
        <v>-11077.58</v>
      </c>
    </row>
    <row r="57" spans="1:6" hidden="1" x14ac:dyDescent="0.2">
      <c r="A57" s="15" t="s">
        <v>61</v>
      </c>
      <c r="B57" s="16">
        <f>SUM(B53:B56)</f>
        <v>-320747.5</v>
      </c>
      <c r="C57" s="16">
        <f>SUM(C53:C56)</f>
        <v>-715746.26</v>
      </c>
      <c r="D57" s="16">
        <f>SUM(D53:D56)</f>
        <v>-549676.90999999992</v>
      </c>
      <c r="E57" s="16">
        <f>SUM(E53:E56)</f>
        <v>-475481.73</v>
      </c>
      <c r="F57" s="16">
        <f>SUM(F53:F56)</f>
        <v>-2061652.4000000001</v>
      </c>
    </row>
    <row r="58" spans="1:6" x14ac:dyDescent="0.2">
      <c r="A58" s="17" t="s">
        <v>62</v>
      </c>
      <c r="B58" s="16">
        <f>B51+B57</f>
        <v>-1302561.94</v>
      </c>
      <c r="C58" s="16">
        <f>C51+C57</f>
        <v>-1561938.33</v>
      </c>
      <c r="D58" s="16">
        <f>D51+D57</f>
        <v>-965100.39999999991</v>
      </c>
      <c r="E58" s="16">
        <f>E51+E57</f>
        <v>-680743.80999999994</v>
      </c>
      <c r="F58" s="16">
        <f>F51+F57</f>
        <v>-4510344.4800000004</v>
      </c>
    </row>
    <row r="59" spans="1:6" x14ac:dyDescent="0.2">
      <c r="A59" s="18" t="s">
        <v>63</v>
      </c>
      <c r="B59" s="16">
        <f>B40+B58</f>
        <v>9827517.8700000029</v>
      </c>
      <c r="C59" s="16">
        <f>C40+C58</f>
        <v>11997319.720000001</v>
      </c>
      <c r="D59" s="16">
        <f>D40+D58</f>
        <v>15270875.549999999</v>
      </c>
      <c r="E59" s="16">
        <f>E40+E58</f>
        <v>9690480.6899999995</v>
      </c>
      <c r="F59" s="16">
        <f>F40+F58</f>
        <v>46786193.829999983</v>
      </c>
    </row>
    <row r="60" spans="1:6" x14ac:dyDescent="0.2">
      <c r="A60" s="8" t="s">
        <v>64</v>
      </c>
      <c r="B60" s="6"/>
      <c r="C60" s="6"/>
      <c r="D60" s="6"/>
      <c r="E60" s="6"/>
      <c r="F60" s="6"/>
    </row>
    <row r="61" spans="1:6" x14ac:dyDescent="0.2">
      <c r="A61" s="9" t="s">
        <v>65</v>
      </c>
      <c r="B61" s="6"/>
      <c r="C61" s="6"/>
      <c r="D61" s="6"/>
      <c r="E61" s="6"/>
      <c r="F61" s="6"/>
    </row>
    <row r="62" spans="1:6" x14ac:dyDescent="0.2">
      <c r="A62" s="10" t="s">
        <v>66</v>
      </c>
      <c r="B62" s="6">
        <v>-6271007.7299999995</v>
      </c>
      <c r="C62" s="6">
        <v>-7869279.6699999999</v>
      </c>
      <c r="D62" s="6">
        <v>-9243191.8300000019</v>
      </c>
      <c r="E62" s="6">
        <v>-5167417.3400000008</v>
      </c>
      <c r="F62" s="6">
        <v>-28550896.57</v>
      </c>
    </row>
    <row r="63" spans="1:6" hidden="1" x14ac:dyDescent="0.2">
      <c r="A63" s="11" t="s">
        <v>67</v>
      </c>
      <c r="B63" s="12">
        <v>6109.29</v>
      </c>
      <c r="C63" s="12">
        <v>13621.59</v>
      </c>
      <c r="D63" s="12">
        <v>3000.21</v>
      </c>
      <c r="E63" s="12">
        <v>0</v>
      </c>
      <c r="F63" s="12">
        <f t="shared" ref="F63:F76" si="3">SUM(B63:E63)</f>
        <v>22731.09</v>
      </c>
    </row>
    <row r="64" spans="1:6" hidden="1" x14ac:dyDescent="0.2">
      <c r="A64" s="11" t="s">
        <v>68</v>
      </c>
      <c r="B64" s="12">
        <v>-86905.79</v>
      </c>
      <c r="C64" s="12">
        <v>-92307.14</v>
      </c>
      <c r="D64" s="12">
        <v>-128753.51</v>
      </c>
      <c r="E64" s="12">
        <v>-223142.37</v>
      </c>
      <c r="F64" s="12">
        <f t="shared" si="3"/>
        <v>-531108.81000000006</v>
      </c>
    </row>
    <row r="65" spans="1:6" hidden="1" x14ac:dyDescent="0.2">
      <c r="A65" s="11" t="s">
        <v>69</v>
      </c>
      <c r="B65" s="12">
        <v>-5751577.25</v>
      </c>
      <c r="C65" s="12">
        <v>-6711745.2199999997</v>
      </c>
      <c r="D65" s="12">
        <v>-6975347.9900000002</v>
      </c>
      <c r="E65" s="12">
        <v>-3965581.22</v>
      </c>
      <c r="F65" s="12">
        <f t="shared" si="3"/>
        <v>-23404251.68</v>
      </c>
    </row>
    <row r="66" spans="1:6" hidden="1" x14ac:dyDescent="0.2">
      <c r="A66" s="11" t="s">
        <v>70</v>
      </c>
      <c r="B66" s="12">
        <v>-17301.64</v>
      </c>
      <c r="C66" s="12">
        <v>2952.32</v>
      </c>
      <c r="D66" s="12">
        <v>-51532.22</v>
      </c>
      <c r="E66" s="12">
        <v>133769.25</v>
      </c>
      <c r="F66" s="12">
        <f t="shared" si="3"/>
        <v>67887.709999999992</v>
      </c>
    </row>
    <row r="67" spans="1:6" hidden="1" x14ac:dyDescent="0.2">
      <c r="A67" s="11" t="s">
        <v>71</v>
      </c>
      <c r="B67" s="12">
        <v>0</v>
      </c>
      <c r="C67" s="12">
        <v>-339730.08</v>
      </c>
      <c r="D67" s="12">
        <v>-665876.73</v>
      </c>
      <c r="E67" s="12">
        <v>-354667.13</v>
      </c>
      <c r="F67" s="12">
        <f t="shared" si="3"/>
        <v>-1360273.94</v>
      </c>
    </row>
    <row r="68" spans="1:6" hidden="1" x14ac:dyDescent="0.2">
      <c r="A68" s="11" t="s">
        <v>72</v>
      </c>
      <c r="B68" s="12">
        <v>-407102.92</v>
      </c>
      <c r="C68" s="12">
        <v>-683897.53</v>
      </c>
      <c r="D68" s="12">
        <v>-1316996.51</v>
      </c>
      <c r="E68" s="12">
        <v>-705166.46</v>
      </c>
      <c r="F68" s="12">
        <f t="shared" si="3"/>
        <v>-3113163.42</v>
      </c>
    </row>
    <row r="69" spans="1:6" hidden="1" x14ac:dyDescent="0.2">
      <c r="A69" s="11" t="s">
        <v>73</v>
      </c>
      <c r="B69" s="12">
        <v>0</v>
      </c>
      <c r="C69" s="12">
        <v>-31.8</v>
      </c>
      <c r="D69" s="12">
        <v>0</v>
      </c>
      <c r="E69" s="12">
        <v>0</v>
      </c>
      <c r="F69" s="12">
        <f t="shared" si="3"/>
        <v>-31.8</v>
      </c>
    </row>
    <row r="70" spans="1:6" hidden="1" x14ac:dyDescent="0.2">
      <c r="A70" s="11" t="s">
        <v>74</v>
      </c>
      <c r="B70" s="12">
        <v>0</v>
      </c>
      <c r="C70" s="12">
        <v>0</v>
      </c>
      <c r="D70" s="12">
        <v>-8387.08</v>
      </c>
      <c r="E70" s="12">
        <v>0</v>
      </c>
      <c r="F70" s="12">
        <f t="shared" si="3"/>
        <v>-8387.08</v>
      </c>
    </row>
    <row r="71" spans="1:6" hidden="1" x14ac:dyDescent="0.2">
      <c r="A71" s="11" t="s">
        <v>75</v>
      </c>
      <c r="B71" s="12">
        <v>-13830.9</v>
      </c>
      <c r="C71" s="12">
        <v>-14330.13</v>
      </c>
      <c r="D71" s="12">
        <v>-15190.71</v>
      </c>
      <c r="E71" s="12">
        <v>-7805.4</v>
      </c>
      <c r="F71" s="12">
        <f t="shared" si="3"/>
        <v>-51157.14</v>
      </c>
    </row>
    <row r="72" spans="1:6" hidden="1" x14ac:dyDescent="0.2">
      <c r="A72" s="11" t="s">
        <v>76</v>
      </c>
      <c r="B72" s="12">
        <v>-398.52</v>
      </c>
      <c r="C72" s="12">
        <v>-397.32</v>
      </c>
      <c r="D72" s="12">
        <v>-9244.07</v>
      </c>
      <c r="E72" s="12">
        <v>-271.76</v>
      </c>
      <c r="F72" s="12">
        <f t="shared" si="3"/>
        <v>-10311.67</v>
      </c>
    </row>
    <row r="73" spans="1:6" hidden="1" x14ac:dyDescent="0.2">
      <c r="A73" s="11" t="s">
        <v>77</v>
      </c>
      <c r="B73" s="12">
        <v>0</v>
      </c>
      <c r="C73" s="12">
        <v>-43414.36</v>
      </c>
      <c r="D73" s="12">
        <v>-85801.81</v>
      </c>
      <c r="E73" s="12">
        <v>-43206.68</v>
      </c>
      <c r="F73" s="12">
        <f t="shared" si="3"/>
        <v>-172422.85</v>
      </c>
    </row>
    <row r="74" spans="1:6" hidden="1" x14ac:dyDescent="0.2">
      <c r="A74" s="11" t="s">
        <v>78</v>
      </c>
      <c r="B74" s="12">
        <v>0</v>
      </c>
      <c r="C74" s="12">
        <v>0</v>
      </c>
      <c r="D74" s="12">
        <v>-25416</v>
      </c>
      <c r="E74" s="12">
        <v>0</v>
      </c>
      <c r="F74" s="12">
        <f t="shared" si="3"/>
        <v>-25416</v>
      </c>
    </row>
    <row r="75" spans="1:6" hidden="1" x14ac:dyDescent="0.2">
      <c r="A75" s="11" t="s">
        <v>79</v>
      </c>
      <c r="B75" s="12">
        <v>0</v>
      </c>
      <c r="C75" s="12">
        <v>0</v>
      </c>
      <c r="D75" s="12">
        <v>38000</v>
      </c>
      <c r="E75" s="12">
        <v>0</v>
      </c>
      <c r="F75" s="12">
        <f t="shared" si="3"/>
        <v>38000</v>
      </c>
    </row>
    <row r="76" spans="1:6" hidden="1" x14ac:dyDescent="0.2">
      <c r="A76" s="11" t="s">
        <v>80</v>
      </c>
      <c r="B76" s="12">
        <v>0</v>
      </c>
      <c r="C76" s="12">
        <v>0</v>
      </c>
      <c r="D76" s="12">
        <v>-1645.41</v>
      </c>
      <c r="E76" s="12">
        <v>-1345.57</v>
      </c>
      <c r="F76" s="12">
        <f t="shared" si="3"/>
        <v>-2990.98</v>
      </c>
    </row>
    <row r="77" spans="1:6" hidden="1" x14ac:dyDescent="0.2">
      <c r="A77" s="15" t="s">
        <v>81</v>
      </c>
      <c r="B77" s="16">
        <f>SUM(B63:B76)</f>
        <v>-6271007.7299999995</v>
      </c>
      <c r="C77" s="16">
        <f>SUM(C63:C76)</f>
        <v>-7869279.6699999999</v>
      </c>
      <c r="D77" s="16">
        <f>SUM(D63:D76)</f>
        <v>-9243191.8300000019</v>
      </c>
      <c r="E77" s="16">
        <f>SUM(E63:E76)</f>
        <v>-5167417.3400000008</v>
      </c>
      <c r="F77" s="16">
        <f>SUM(F63:F76)</f>
        <v>-28550896.57</v>
      </c>
    </row>
    <row r="78" spans="1:6" x14ac:dyDescent="0.2">
      <c r="A78" s="10" t="s">
        <v>82</v>
      </c>
      <c r="B78" s="6">
        <v>-1069110.8800000001</v>
      </c>
      <c r="C78" s="6">
        <v>-1339078.5</v>
      </c>
      <c r="D78" s="6">
        <v>-1496775.4</v>
      </c>
      <c r="E78" s="6">
        <v>-779755.78000000014</v>
      </c>
      <c r="F78" s="6">
        <v>-4684720.5599999996</v>
      </c>
    </row>
    <row r="79" spans="1:6" hidden="1" x14ac:dyDescent="0.2">
      <c r="A79" s="11" t="s">
        <v>83</v>
      </c>
      <c r="B79" s="12">
        <v>-917013.62</v>
      </c>
      <c r="C79" s="12">
        <v>-1172023.32</v>
      </c>
      <c r="D79" s="12">
        <v>-1333454.83</v>
      </c>
      <c r="E79" s="12">
        <v>-645483.05000000005</v>
      </c>
      <c r="F79" s="12">
        <f t="shared" ref="F79:F86" si="4">SUM(B79:E79)</f>
        <v>-4067974.8200000003</v>
      </c>
    </row>
    <row r="80" spans="1:6" hidden="1" x14ac:dyDescent="0.2">
      <c r="A80" s="11" t="s">
        <v>84</v>
      </c>
      <c r="B80" s="12">
        <v>-23194.15</v>
      </c>
      <c r="C80" s="12">
        <v>-28301.25</v>
      </c>
      <c r="D80" s="12">
        <v>-751.88</v>
      </c>
      <c r="E80" s="12">
        <v>-18811.919999999998</v>
      </c>
      <c r="F80" s="12">
        <f t="shared" si="4"/>
        <v>-71059.199999999997</v>
      </c>
    </row>
    <row r="81" spans="1:6" hidden="1" x14ac:dyDescent="0.2">
      <c r="A81" s="11" t="s">
        <v>85</v>
      </c>
      <c r="B81" s="12">
        <v>-1320.45</v>
      </c>
      <c r="C81" s="12">
        <v>-1323.57</v>
      </c>
      <c r="D81" s="12">
        <v>-107.67</v>
      </c>
      <c r="E81" s="12">
        <v>-1079.31</v>
      </c>
      <c r="F81" s="12">
        <f t="shared" si="4"/>
        <v>-3831</v>
      </c>
    </row>
    <row r="82" spans="1:6" hidden="1" x14ac:dyDescent="0.2">
      <c r="A82" s="11" t="s">
        <v>86</v>
      </c>
      <c r="B82" s="12">
        <v>-23364.09</v>
      </c>
      <c r="C82" s="12">
        <v>-20737.990000000002</v>
      </c>
      <c r="D82" s="12">
        <v>-32988.57</v>
      </c>
      <c r="E82" s="12">
        <v>-35016.550000000003</v>
      </c>
      <c r="F82" s="12">
        <f t="shared" si="4"/>
        <v>-112107.2</v>
      </c>
    </row>
    <row r="83" spans="1:6" hidden="1" x14ac:dyDescent="0.2">
      <c r="A83" s="11" t="s">
        <v>87</v>
      </c>
      <c r="B83" s="12">
        <v>-19203.64</v>
      </c>
      <c r="C83" s="12">
        <v>-18678.2</v>
      </c>
      <c r="D83" s="12">
        <v>-24803.11</v>
      </c>
      <c r="E83" s="12">
        <v>-13103.61</v>
      </c>
      <c r="F83" s="12">
        <f t="shared" si="4"/>
        <v>-75788.56</v>
      </c>
    </row>
    <row r="84" spans="1:6" hidden="1" x14ac:dyDescent="0.2">
      <c r="A84" s="11" t="s">
        <v>88</v>
      </c>
      <c r="B84" s="12">
        <v>-3528</v>
      </c>
      <c r="C84" s="12">
        <v>-3689.72</v>
      </c>
      <c r="D84" s="12">
        <v>-3860.49</v>
      </c>
      <c r="E84" s="12">
        <v>-2335.69</v>
      </c>
      <c r="F84" s="12">
        <f t="shared" si="4"/>
        <v>-13413.9</v>
      </c>
    </row>
    <row r="85" spans="1:6" hidden="1" x14ac:dyDescent="0.2">
      <c r="A85" s="11" t="s">
        <v>89</v>
      </c>
      <c r="B85" s="12">
        <v>-79262.880000000005</v>
      </c>
      <c r="C85" s="12">
        <v>-87189.24</v>
      </c>
      <c r="D85" s="12">
        <v>-95908.2</v>
      </c>
      <c r="E85" s="12">
        <v>-60167.43</v>
      </c>
      <c r="F85" s="12">
        <f t="shared" si="4"/>
        <v>-322527.75</v>
      </c>
    </row>
    <row r="86" spans="1:6" hidden="1" x14ac:dyDescent="0.2">
      <c r="A86" s="11" t="s">
        <v>90</v>
      </c>
      <c r="B86" s="12">
        <v>-2224.0500000000002</v>
      </c>
      <c r="C86" s="12">
        <v>-7135.21</v>
      </c>
      <c r="D86" s="12">
        <v>-4900.6499999999996</v>
      </c>
      <c r="E86" s="12">
        <v>-3758.22</v>
      </c>
      <c r="F86" s="12">
        <f t="shared" si="4"/>
        <v>-18018.13</v>
      </c>
    </row>
    <row r="87" spans="1:6" hidden="1" x14ac:dyDescent="0.2">
      <c r="A87" s="15" t="s">
        <v>91</v>
      </c>
      <c r="B87" s="16">
        <f>SUM(B79:B86)</f>
        <v>-1069110.8800000001</v>
      </c>
      <c r="C87" s="16">
        <f>SUM(C79:C86)</f>
        <v>-1339078.5</v>
      </c>
      <c r="D87" s="16">
        <f>SUM(D79:D86)</f>
        <v>-1496775.4</v>
      </c>
      <c r="E87" s="16">
        <f>SUM(E79:E86)</f>
        <v>-779755.78000000014</v>
      </c>
      <c r="F87" s="16">
        <f>SUM(F79:F86)</f>
        <v>-4684720.5600000005</v>
      </c>
    </row>
    <row r="88" spans="1:6" x14ac:dyDescent="0.2">
      <c r="A88" s="17" t="s">
        <v>92</v>
      </c>
      <c r="B88" s="16">
        <f>B77+B87</f>
        <v>-7340118.6099999994</v>
      </c>
      <c r="C88" s="16">
        <f>C77+C87</f>
        <v>-9208358.1699999999</v>
      </c>
      <c r="D88" s="16">
        <f>D77+D87</f>
        <v>-10739967.230000002</v>
      </c>
      <c r="E88" s="16">
        <f>E77+E87</f>
        <v>-5947173.120000001</v>
      </c>
      <c r="F88" s="16">
        <f>F77+F87</f>
        <v>-33235617.130000003</v>
      </c>
    </row>
    <row r="89" spans="1:6" x14ac:dyDescent="0.2">
      <c r="A89" s="9" t="s">
        <v>93</v>
      </c>
      <c r="B89" s="6"/>
      <c r="C89" s="6"/>
      <c r="D89" s="6"/>
      <c r="E89" s="6"/>
      <c r="F89" s="6"/>
    </row>
    <row r="90" spans="1:6" x14ac:dyDescent="0.2">
      <c r="A90" s="10" t="s">
        <v>94</v>
      </c>
      <c r="B90" s="6">
        <v>-15733.72</v>
      </c>
      <c r="C90" s="6">
        <v>-15839.93</v>
      </c>
      <c r="D90" s="6">
        <v>-13056.17</v>
      </c>
      <c r="E90" s="6">
        <v>-8665.61</v>
      </c>
      <c r="F90" s="6">
        <v>-53295.43</v>
      </c>
    </row>
    <row r="91" spans="1:6" hidden="1" x14ac:dyDescent="0.2">
      <c r="A91" s="11" t="s">
        <v>95</v>
      </c>
      <c r="B91" s="12">
        <v>-4981</v>
      </c>
      <c r="C91" s="12">
        <v>-272.23</v>
      </c>
      <c r="D91" s="12">
        <v>-466.68</v>
      </c>
      <c r="E91" s="12">
        <v>-272.23</v>
      </c>
      <c r="F91" s="12">
        <f>SUM(B91:E91)</f>
        <v>-5992.1399999999994</v>
      </c>
    </row>
    <row r="92" spans="1:6" hidden="1" x14ac:dyDescent="0.2">
      <c r="A92" s="11" t="s">
        <v>96</v>
      </c>
      <c r="B92" s="12">
        <v>-77</v>
      </c>
      <c r="C92" s="12">
        <v>0</v>
      </c>
      <c r="D92" s="12">
        <v>0</v>
      </c>
      <c r="E92" s="12">
        <v>0</v>
      </c>
      <c r="F92" s="12">
        <f>SUM(B92:E92)</f>
        <v>-77</v>
      </c>
    </row>
    <row r="93" spans="1:6" hidden="1" x14ac:dyDescent="0.2">
      <c r="A93" s="11" t="s">
        <v>97</v>
      </c>
      <c r="B93" s="12">
        <v>-944</v>
      </c>
      <c r="C93" s="12">
        <v>-800.04</v>
      </c>
      <c r="D93" s="12">
        <v>-799.98</v>
      </c>
      <c r="E93" s="12">
        <v>-466.66</v>
      </c>
      <c r="F93" s="12">
        <f>SUM(B93:E93)</f>
        <v>-3010.68</v>
      </c>
    </row>
    <row r="94" spans="1:6" hidden="1" x14ac:dyDescent="0.2">
      <c r="A94" s="11" t="s">
        <v>98</v>
      </c>
      <c r="B94" s="12">
        <v>-8880</v>
      </c>
      <c r="C94" s="12">
        <v>-8879.2800000000007</v>
      </c>
      <c r="D94" s="12">
        <v>-8879.2800000000007</v>
      </c>
      <c r="E94" s="12">
        <v>-5179.58</v>
      </c>
      <c r="F94" s="12">
        <f>SUM(B94:E94)</f>
        <v>-31818.14</v>
      </c>
    </row>
    <row r="95" spans="1:6" hidden="1" x14ac:dyDescent="0.2">
      <c r="A95" s="11" t="s">
        <v>99</v>
      </c>
      <c r="B95" s="12">
        <v>-851.72</v>
      </c>
      <c r="C95" s="12">
        <v>-5888.38</v>
      </c>
      <c r="D95" s="12">
        <v>-2910.23</v>
      </c>
      <c r="E95" s="12">
        <v>-2747.14</v>
      </c>
      <c r="F95" s="12">
        <f>SUM(B95:E95)</f>
        <v>-12397.47</v>
      </c>
    </row>
    <row r="96" spans="1:6" hidden="1" x14ac:dyDescent="0.2">
      <c r="A96" s="15" t="s">
        <v>100</v>
      </c>
      <c r="B96" s="16">
        <f>SUM(B91:B95)</f>
        <v>-15733.72</v>
      </c>
      <c r="C96" s="16">
        <f>SUM(C91:C95)</f>
        <v>-15839.93</v>
      </c>
      <c r="D96" s="16">
        <f>SUM(D91:D95)</f>
        <v>-13056.17</v>
      </c>
      <c r="E96" s="16">
        <f>SUM(E91:E95)</f>
        <v>-8665.61</v>
      </c>
      <c r="F96" s="16">
        <f>SUM(F91:F95)</f>
        <v>-53295.43</v>
      </c>
    </row>
    <row r="97" spans="1:6" x14ac:dyDescent="0.2">
      <c r="A97" s="17" t="s">
        <v>101</v>
      </c>
      <c r="B97" s="16">
        <f>B96+0</f>
        <v>-15733.72</v>
      </c>
      <c r="C97" s="16">
        <f>C96+0</f>
        <v>-15839.93</v>
      </c>
      <c r="D97" s="16">
        <f>D96+0</f>
        <v>-13056.17</v>
      </c>
      <c r="E97" s="16">
        <f>E96+0</f>
        <v>-8665.61</v>
      </c>
      <c r="F97" s="16">
        <f>F96+0</f>
        <v>-53295.43</v>
      </c>
    </row>
    <row r="98" spans="1:6" x14ac:dyDescent="0.2">
      <c r="A98" s="9" t="s">
        <v>102</v>
      </c>
      <c r="B98" s="6">
        <v>-1851425.0199999996</v>
      </c>
      <c r="C98" s="6">
        <v>-1997200.7900000003</v>
      </c>
      <c r="D98" s="6">
        <v>-2793186.95</v>
      </c>
      <c r="E98" s="6">
        <v>-1203711.8799999999</v>
      </c>
      <c r="F98" s="6">
        <v>-7845524.6399999997</v>
      </c>
    </row>
    <row r="99" spans="1:6" hidden="1" x14ac:dyDescent="0.2">
      <c r="A99" s="19" t="s">
        <v>103</v>
      </c>
      <c r="B99" s="12">
        <v>0</v>
      </c>
      <c r="C99" s="12">
        <v>0</v>
      </c>
      <c r="D99" s="12">
        <v>-87772.800000000003</v>
      </c>
      <c r="E99" s="12">
        <v>0</v>
      </c>
      <c r="F99" s="12">
        <f t="shared" ref="F99:F130" si="5">SUM(B99:E99)</f>
        <v>-87772.800000000003</v>
      </c>
    </row>
    <row r="100" spans="1:6" hidden="1" x14ac:dyDescent="0.2">
      <c r="A100" s="19" t="s">
        <v>104</v>
      </c>
      <c r="B100" s="12">
        <v>0</v>
      </c>
      <c r="C100" s="12">
        <v>0</v>
      </c>
      <c r="D100" s="12">
        <v>0</v>
      </c>
      <c r="E100" s="12">
        <v>-461</v>
      </c>
      <c r="F100" s="12">
        <f t="shared" si="5"/>
        <v>-461</v>
      </c>
    </row>
    <row r="101" spans="1:6" hidden="1" x14ac:dyDescent="0.2">
      <c r="A101" s="19" t="s">
        <v>105</v>
      </c>
      <c r="B101" s="12">
        <v>-323322.88</v>
      </c>
      <c r="C101" s="12">
        <v>-369700.68</v>
      </c>
      <c r="D101" s="12">
        <v>-389756.91</v>
      </c>
      <c r="E101" s="12">
        <v>-255558.33</v>
      </c>
      <c r="F101" s="12">
        <f t="shared" si="5"/>
        <v>-1338338.8</v>
      </c>
    </row>
    <row r="102" spans="1:6" hidden="1" x14ac:dyDescent="0.2">
      <c r="A102" s="19" t="s">
        <v>106</v>
      </c>
      <c r="B102" s="12">
        <v>-84252.42</v>
      </c>
      <c r="C102" s="12">
        <v>-99929.18</v>
      </c>
      <c r="D102" s="12">
        <v>-94879.48</v>
      </c>
      <c r="E102" s="12">
        <v>-70998.649999999994</v>
      </c>
      <c r="F102" s="12">
        <f t="shared" si="5"/>
        <v>-350059.73</v>
      </c>
    </row>
    <row r="103" spans="1:6" hidden="1" x14ac:dyDescent="0.2">
      <c r="A103" s="19" t="s">
        <v>107</v>
      </c>
      <c r="B103" s="12">
        <v>-28417.83</v>
      </c>
      <c r="C103" s="12">
        <v>-33703.39</v>
      </c>
      <c r="D103" s="12">
        <v>-35685.97</v>
      </c>
      <c r="E103" s="12">
        <v>-21362.01</v>
      </c>
      <c r="F103" s="12">
        <f t="shared" si="5"/>
        <v>-119169.2</v>
      </c>
    </row>
    <row r="104" spans="1:6" hidden="1" x14ac:dyDescent="0.2">
      <c r="A104" s="19" t="s">
        <v>108</v>
      </c>
      <c r="B104" s="12">
        <v>-110.75</v>
      </c>
      <c r="C104" s="12">
        <v>0</v>
      </c>
      <c r="D104" s="12">
        <v>-1996.96</v>
      </c>
      <c r="E104" s="12">
        <v>-128.63</v>
      </c>
      <c r="F104" s="12">
        <f t="shared" si="5"/>
        <v>-2236.34</v>
      </c>
    </row>
    <row r="105" spans="1:6" hidden="1" x14ac:dyDescent="0.2">
      <c r="A105" s="19" t="s">
        <v>109</v>
      </c>
      <c r="B105" s="12">
        <v>0</v>
      </c>
      <c r="C105" s="12">
        <v>0</v>
      </c>
      <c r="D105" s="12">
        <v>-7730.86</v>
      </c>
      <c r="E105" s="12">
        <v>0</v>
      </c>
      <c r="F105" s="12">
        <f t="shared" si="5"/>
        <v>-7730.86</v>
      </c>
    </row>
    <row r="106" spans="1:6" hidden="1" x14ac:dyDescent="0.2">
      <c r="A106" s="19" t="s">
        <v>110</v>
      </c>
      <c r="B106" s="12">
        <v>0</v>
      </c>
      <c r="C106" s="12">
        <v>-8190</v>
      </c>
      <c r="D106" s="12">
        <v>-5000</v>
      </c>
      <c r="E106" s="12">
        <v>0</v>
      </c>
      <c r="F106" s="12">
        <f t="shared" si="5"/>
        <v>-13190</v>
      </c>
    </row>
    <row r="107" spans="1:6" hidden="1" x14ac:dyDescent="0.2">
      <c r="A107" s="19" t="s">
        <v>111</v>
      </c>
      <c r="B107" s="12">
        <v>0</v>
      </c>
      <c r="C107" s="12">
        <v>0</v>
      </c>
      <c r="D107" s="12">
        <v>-1513.56</v>
      </c>
      <c r="E107" s="12">
        <v>0</v>
      </c>
      <c r="F107" s="12">
        <f t="shared" si="5"/>
        <v>-1513.56</v>
      </c>
    </row>
    <row r="108" spans="1:6" hidden="1" x14ac:dyDescent="0.2">
      <c r="A108" s="19" t="s">
        <v>112</v>
      </c>
      <c r="B108" s="12">
        <v>-1500</v>
      </c>
      <c r="C108" s="12">
        <v>0</v>
      </c>
      <c r="D108" s="12">
        <v>0</v>
      </c>
      <c r="E108" s="12">
        <v>0</v>
      </c>
      <c r="F108" s="12">
        <f t="shared" si="5"/>
        <v>-1500</v>
      </c>
    </row>
    <row r="109" spans="1:6" hidden="1" x14ac:dyDescent="0.2">
      <c r="A109" s="19" t="s">
        <v>113</v>
      </c>
      <c r="B109" s="12">
        <v>-12928.65</v>
      </c>
      <c r="C109" s="12">
        <v>-12961.96</v>
      </c>
      <c r="D109" s="12">
        <v>-15006.63</v>
      </c>
      <c r="E109" s="12">
        <v>-8423.75</v>
      </c>
      <c r="F109" s="12">
        <f t="shared" si="5"/>
        <v>-49320.99</v>
      </c>
    </row>
    <row r="110" spans="1:6" hidden="1" x14ac:dyDescent="0.2">
      <c r="A110" s="19" t="s">
        <v>114</v>
      </c>
      <c r="B110" s="12">
        <v>-31316.66</v>
      </c>
      <c r="C110" s="12">
        <v>-25746.09</v>
      </c>
      <c r="D110" s="12">
        <v>-36427.300000000003</v>
      </c>
      <c r="E110" s="12">
        <v>-25799.15</v>
      </c>
      <c r="F110" s="12">
        <f t="shared" si="5"/>
        <v>-119289.20000000001</v>
      </c>
    </row>
    <row r="111" spans="1:6" hidden="1" x14ac:dyDescent="0.2">
      <c r="A111" s="19" t="s">
        <v>115</v>
      </c>
      <c r="B111" s="12">
        <v>-1000</v>
      </c>
      <c r="C111" s="12">
        <v>-1540</v>
      </c>
      <c r="D111" s="12">
        <v>-1120</v>
      </c>
      <c r="E111" s="12">
        <v>0</v>
      </c>
      <c r="F111" s="12">
        <f t="shared" si="5"/>
        <v>-3660</v>
      </c>
    </row>
    <row r="112" spans="1:6" hidden="1" x14ac:dyDescent="0.2">
      <c r="A112" s="19" t="s">
        <v>116</v>
      </c>
      <c r="B112" s="12">
        <v>-428</v>
      </c>
      <c r="C112" s="12">
        <v>-140.94999999999999</v>
      </c>
      <c r="D112" s="12">
        <v>-490.4</v>
      </c>
      <c r="E112" s="12">
        <v>-142.5</v>
      </c>
      <c r="F112" s="12">
        <f t="shared" si="5"/>
        <v>-1201.8499999999999</v>
      </c>
    </row>
    <row r="113" spans="1:6" hidden="1" x14ac:dyDescent="0.2">
      <c r="A113" s="19" t="s">
        <v>117</v>
      </c>
      <c r="B113" s="12">
        <v>-3485.04</v>
      </c>
      <c r="C113" s="12">
        <v>-753.6</v>
      </c>
      <c r="D113" s="12">
        <v>-36679.5</v>
      </c>
      <c r="E113" s="12">
        <v>-1319.8</v>
      </c>
      <c r="F113" s="12">
        <f t="shared" si="5"/>
        <v>-42237.94</v>
      </c>
    </row>
    <row r="114" spans="1:6" hidden="1" x14ac:dyDescent="0.2">
      <c r="A114" s="19" t="s">
        <v>118</v>
      </c>
      <c r="B114" s="12">
        <v>-19447.16</v>
      </c>
      <c r="C114" s="12">
        <v>-19368.419999999998</v>
      </c>
      <c r="D114" s="12">
        <v>-19330.990000000002</v>
      </c>
      <c r="E114" s="12">
        <v>-9553.33</v>
      </c>
      <c r="F114" s="12">
        <f t="shared" si="5"/>
        <v>-67699.900000000009</v>
      </c>
    </row>
    <row r="115" spans="1:6" hidden="1" x14ac:dyDescent="0.2">
      <c r="A115" s="19" t="s">
        <v>119</v>
      </c>
      <c r="B115" s="12">
        <v>-4698.47</v>
      </c>
      <c r="C115" s="12">
        <v>-4994.68</v>
      </c>
      <c r="D115" s="12">
        <v>-6332.67</v>
      </c>
      <c r="E115" s="12">
        <v>-2681.43</v>
      </c>
      <c r="F115" s="12">
        <f t="shared" si="5"/>
        <v>-18707.25</v>
      </c>
    </row>
    <row r="116" spans="1:6" hidden="1" x14ac:dyDescent="0.2">
      <c r="A116" s="19" t="s">
        <v>120</v>
      </c>
      <c r="B116" s="12">
        <v>-4486.58</v>
      </c>
      <c r="C116" s="12">
        <v>-3969.7</v>
      </c>
      <c r="D116" s="12">
        <v>-3877.88</v>
      </c>
      <c r="E116" s="12">
        <v>-2376.9499999999998</v>
      </c>
      <c r="F116" s="12">
        <f t="shared" si="5"/>
        <v>-14711.11</v>
      </c>
    </row>
    <row r="117" spans="1:6" hidden="1" x14ac:dyDescent="0.2">
      <c r="A117" s="19" t="s">
        <v>121</v>
      </c>
      <c r="B117" s="12">
        <v>-4698.37</v>
      </c>
      <c r="C117" s="12">
        <v>0</v>
      </c>
      <c r="D117" s="12">
        <v>0</v>
      </c>
      <c r="E117" s="12">
        <v>0</v>
      </c>
      <c r="F117" s="12">
        <f t="shared" si="5"/>
        <v>-4698.37</v>
      </c>
    </row>
    <row r="118" spans="1:6" hidden="1" x14ac:dyDescent="0.2">
      <c r="A118" s="19" t="s">
        <v>122</v>
      </c>
      <c r="B118" s="12">
        <v>-6033.99</v>
      </c>
      <c r="C118" s="12">
        <v>-6139.62</v>
      </c>
      <c r="D118" s="12">
        <v>-6859.45</v>
      </c>
      <c r="E118" s="12">
        <v>-3132.53</v>
      </c>
      <c r="F118" s="12">
        <f t="shared" si="5"/>
        <v>-22165.59</v>
      </c>
    </row>
    <row r="119" spans="1:6" hidden="1" x14ac:dyDescent="0.2">
      <c r="A119" s="19" t="s">
        <v>123</v>
      </c>
      <c r="B119" s="12">
        <v>-3485.71</v>
      </c>
      <c r="C119" s="12">
        <v>-289.48</v>
      </c>
      <c r="D119" s="12">
        <v>0</v>
      </c>
      <c r="E119" s="12">
        <v>0</v>
      </c>
      <c r="F119" s="12">
        <f t="shared" si="5"/>
        <v>-3775.19</v>
      </c>
    </row>
    <row r="120" spans="1:6" hidden="1" x14ac:dyDescent="0.2">
      <c r="A120" s="19" t="s">
        <v>124</v>
      </c>
      <c r="B120" s="12">
        <v>-5482.32</v>
      </c>
      <c r="C120" s="12">
        <v>-5579.93</v>
      </c>
      <c r="D120" s="12">
        <v>-6160.26</v>
      </c>
      <c r="E120" s="12">
        <v>-3743.15</v>
      </c>
      <c r="F120" s="12">
        <f t="shared" si="5"/>
        <v>-20965.660000000003</v>
      </c>
    </row>
    <row r="121" spans="1:6" hidden="1" x14ac:dyDescent="0.2">
      <c r="A121" s="19" t="s">
        <v>125</v>
      </c>
      <c r="B121" s="12">
        <v>-492.3</v>
      </c>
      <c r="C121" s="12">
        <v>-182.41</v>
      </c>
      <c r="D121" s="12">
        <v>0</v>
      </c>
      <c r="E121" s="12">
        <v>0</v>
      </c>
      <c r="F121" s="12">
        <f t="shared" si="5"/>
        <v>-674.71</v>
      </c>
    </row>
    <row r="122" spans="1:6" hidden="1" x14ac:dyDescent="0.2">
      <c r="A122" s="19" t="s">
        <v>126</v>
      </c>
      <c r="B122" s="12">
        <v>-6401.25</v>
      </c>
      <c r="C122" s="12">
        <v>-6689.5</v>
      </c>
      <c r="D122" s="12">
        <v>-559.66</v>
      </c>
      <c r="E122" s="12">
        <v>0</v>
      </c>
      <c r="F122" s="12">
        <f t="shared" si="5"/>
        <v>-13650.41</v>
      </c>
    </row>
    <row r="123" spans="1:6" hidden="1" x14ac:dyDescent="0.2">
      <c r="A123" s="19" t="s">
        <v>127</v>
      </c>
      <c r="B123" s="12">
        <v>-4251.72</v>
      </c>
      <c r="C123" s="12">
        <v>-9712.25</v>
      </c>
      <c r="D123" s="12">
        <v>-11452.12</v>
      </c>
      <c r="E123" s="12">
        <v>-3732.01</v>
      </c>
      <c r="F123" s="12">
        <f t="shared" si="5"/>
        <v>-29148.100000000006</v>
      </c>
    </row>
    <row r="124" spans="1:6" hidden="1" x14ac:dyDescent="0.2">
      <c r="A124" s="19" t="s">
        <v>128</v>
      </c>
      <c r="B124" s="12">
        <v>-6589.86</v>
      </c>
      <c r="C124" s="12">
        <v>-952.55</v>
      </c>
      <c r="D124" s="12">
        <v>0</v>
      </c>
      <c r="E124" s="12">
        <v>0</v>
      </c>
      <c r="F124" s="12">
        <f t="shared" si="5"/>
        <v>-7542.41</v>
      </c>
    </row>
    <row r="125" spans="1:6" hidden="1" x14ac:dyDescent="0.2">
      <c r="A125" s="19" t="s">
        <v>129</v>
      </c>
      <c r="B125" s="12">
        <v>-7113.6</v>
      </c>
      <c r="C125" s="12">
        <v>-1613.93</v>
      </c>
      <c r="D125" s="12">
        <v>0</v>
      </c>
      <c r="E125" s="12">
        <v>0</v>
      </c>
      <c r="F125" s="12">
        <f t="shared" si="5"/>
        <v>-8727.5300000000007</v>
      </c>
    </row>
    <row r="126" spans="1:6" hidden="1" x14ac:dyDescent="0.2">
      <c r="A126" s="19" t="s">
        <v>130</v>
      </c>
      <c r="B126" s="12">
        <v>-70.790000000000006</v>
      </c>
      <c r="C126" s="12">
        <v>0</v>
      </c>
      <c r="D126" s="12">
        <v>0</v>
      </c>
      <c r="E126" s="12">
        <v>0</v>
      </c>
      <c r="F126" s="12">
        <f t="shared" si="5"/>
        <v>-70.790000000000006</v>
      </c>
    </row>
    <row r="127" spans="1:6" hidden="1" x14ac:dyDescent="0.2">
      <c r="A127" s="19" t="s">
        <v>131</v>
      </c>
      <c r="B127" s="12">
        <v>-333.78</v>
      </c>
      <c r="C127" s="12">
        <v>0</v>
      </c>
      <c r="D127" s="12">
        <v>0</v>
      </c>
      <c r="E127" s="12">
        <v>0</v>
      </c>
      <c r="F127" s="12">
        <f t="shared" si="5"/>
        <v>-333.78</v>
      </c>
    </row>
    <row r="128" spans="1:6" hidden="1" x14ac:dyDescent="0.2">
      <c r="A128" s="19" t="s">
        <v>132</v>
      </c>
      <c r="B128" s="12">
        <v>-4421.7</v>
      </c>
      <c r="C128" s="12">
        <v>-4472.09</v>
      </c>
      <c r="D128" s="12">
        <v>-4876.9399999999996</v>
      </c>
      <c r="E128" s="12">
        <v>-3159.27</v>
      </c>
      <c r="F128" s="12">
        <f t="shared" si="5"/>
        <v>-16930</v>
      </c>
    </row>
    <row r="129" spans="1:6" hidden="1" x14ac:dyDescent="0.2">
      <c r="A129" s="19" t="s">
        <v>133</v>
      </c>
      <c r="B129" s="12">
        <v>-3276.05</v>
      </c>
      <c r="C129" s="12">
        <v>-5964.44</v>
      </c>
      <c r="D129" s="12">
        <v>-8546.51</v>
      </c>
      <c r="E129" s="12">
        <v>-4353.55</v>
      </c>
      <c r="F129" s="12">
        <f t="shared" si="5"/>
        <v>-22140.55</v>
      </c>
    </row>
    <row r="130" spans="1:6" hidden="1" x14ac:dyDescent="0.2">
      <c r="A130" s="19" t="s">
        <v>134</v>
      </c>
      <c r="B130" s="12">
        <v>-18942.23</v>
      </c>
      <c r="C130" s="12">
        <v>-16292.68</v>
      </c>
      <c r="D130" s="12">
        <v>-21376.62</v>
      </c>
      <c r="E130" s="12">
        <v>-12478.18</v>
      </c>
      <c r="F130" s="12">
        <f t="shared" si="5"/>
        <v>-69089.709999999992</v>
      </c>
    </row>
    <row r="131" spans="1:6" hidden="1" x14ac:dyDescent="0.2">
      <c r="A131" s="19" t="s">
        <v>135</v>
      </c>
      <c r="B131" s="12">
        <v>-3727.91</v>
      </c>
      <c r="C131" s="12">
        <v>-3991.91</v>
      </c>
      <c r="D131" s="12">
        <v>-4422.7700000000004</v>
      </c>
      <c r="E131" s="12">
        <v>-2116.14</v>
      </c>
      <c r="F131" s="12">
        <f t="shared" ref="F131:F162" si="6">SUM(B131:E131)</f>
        <v>-14258.73</v>
      </c>
    </row>
    <row r="132" spans="1:6" hidden="1" x14ac:dyDescent="0.2">
      <c r="A132" s="19" t="s">
        <v>136</v>
      </c>
      <c r="B132" s="12">
        <v>-4746.78</v>
      </c>
      <c r="C132" s="12">
        <v>-8114.68</v>
      </c>
      <c r="D132" s="12">
        <v>-11380.96</v>
      </c>
      <c r="E132" s="12">
        <v>-7297.13</v>
      </c>
      <c r="F132" s="12">
        <f t="shared" si="6"/>
        <v>-31539.55</v>
      </c>
    </row>
    <row r="133" spans="1:6" hidden="1" x14ac:dyDescent="0.2">
      <c r="A133" s="19" t="s">
        <v>137</v>
      </c>
      <c r="B133" s="12">
        <v>0</v>
      </c>
      <c r="C133" s="12">
        <v>0</v>
      </c>
      <c r="D133" s="12">
        <v>-7563.86</v>
      </c>
      <c r="E133" s="12">
        <v>-3837.52</v>
      </c>
      <c r="F133" s="12">
        <f t="shared" si="6"/>
        <v>-11401.38</v>
      </c>
    </row>
    <row r="134" spans="1:6" hidden="1" x14ac:dyDescent="0.2">
      <c r="A134" s="19" t="s">
        <v>138</v>
      </c>
      <c r="B134" s="12">
        <v>-332.03</v>
      </c>
      <c r="C134" s="12">
        <v>-521.4</v>
      </c>
      <c r="D134" s="12">
        <v>-2136.2199999999998</v>
      </c>
      <c r="E134" s="12">
        <v>-573.04999999999995</v>
      </c>
      <c r="F134" s="12">
        <f t="shared" si="6"/>
        <v>-3562.7</v>
      </c>
    </row>
    <row r="135" spans="1:6" hidden="1" x14ac:dyDescent="0.2">
      <c r="A135" s="19" t="s">
        <v>139</v>
      </c>
      <c r="B135" s="12">
        <v>0</v>
      </c>
      <c r="C135" s="12">
        <v>-1210.0999999999999</v>
      </c>
      <c r="D135" s="12">
        <v>-13663.69</v>
      </c>
      <c r="E135" s="12">
        <v>-15017.41</v>
      </c>
      <c r="F135" s="12">
        <f t="shared" si="6"/>
        <v>-29891.200000000001</v>
      </c>
    </row>
    <row r="136" spans="1:6" hidden="1" x14ac:dyDescent="0.2">
      <c r="A136" s="19" t="s">
        <v>140</v>
      </c>
      <c r="B136" s="12">
        <v>-15311.66</v>
      </c>
      <c r="C136" s="12">
        <v>-15492.9</v>
      </c>
      <c r="D136" s="12">
        <v>-4816.34</v>
      </c>
      <c r="E136" s="12">
        <v>-5217.07</v>
      </c>
      <c r="F136" s="12">
        <f t="shared" si="6"/>
        <v>-40837.969999999994</v>
      </c>
    </row>
    <row r="137" spans="1:6" hidden="1" x14ac:dyDescent="0.2">
      <c r="A137" s="19" t="s">
        <v>141</v>
      </c>
      <c r="B137" s="12">
        <v>0</v>
      </c>
      <c r="C137" s="12">
        <v>0</v>
      </c>
      <c r="D137" s="12">
        <v>-22250.89</v>
      </c>
      <c r="E137" s="12">
        <v>-5691.35</v>
      </c>
      <c r="F137" s="12">
        <f t="shared" si="6"/>
        <v>-27942.239999999998</v>
      </c>
    </row>
    <row r="138" spans="1:6" hidden="1" x14ac:dyDescent="0.2">
      <c r="A138" s="19" t="s">
        <v>142</v>
      </c>
      <c r="B138" s="12">
        <v>0</v>
      </c>
      <c r="C138" s="12">
        <v>0</v>
      </c>
      <c r="D138" s="12">
        <v>-5873.65</v>
      </c>
      <c r="E138" s="12">
        <v>-8893.35</v>
      </c>
      <c r="F138" s="12">
        <f t="shared" si="6"/>
        <v>-14767</v>
      </c>
    </row>
    <row r="139" spans="1:6" hidden="1" x14ac:dyDescent="0.2">
      <c r="A139" s="19" t="s">
        <v>143</v>
      </c>
      <c r="B139" s="12">
        <v>0</v>
      </c>
      <c r="C139" s="12">
        <v>-2240</v>
      </c>
      <c r="D139" s="12">
        <v>-7680</v>
      </c>
      <c r="E139" s="12">
        <v>0</v>
      </c>
      <c r="F139" s="12">
        <f t="shared" si="6"/>
        <v>-9920</v>
      </c>
    </row>
    <row r="140" spans="1:6" hidden="1" x14ac:dyDescent="0.2">
      <c r="A140" s="19" t="s">
        <v>144</v>
      </c>
      <c r="B140" s="12">
        <v>0</v>
      </c>
      <c r="C140" s="12">
        <v>-400</v>
      </c>
      <c r="D140" s="12">
        <v>-1200</v>
      </c>
      <c r="E140" s="12">
        <v>0</v>
      </c>
      <c r="F140" s="12">
        <f t="shared" si="6"/>
        <v>-1600</v>
      </c>
    </row>
    <row r="141" spans="1:6" hidden="1" x14ac:dyDescent="0.2">
      <c r="A141" s="19" t="s">
        <v>145</v>
      </c>
      <c r="B141" s="12">
        <v>-68.62</v>
      </c>
      <c r="C141" s="12">
        <v>0</v>
      </c>
      <c r="D141" s="12">
        <v>-208.95</v>
      </c>
      <c r="E141" s="12">
        <v>0</v>
      </c>
      <c r="F141" s="12">
        <f t="shared" si="6"/>
        <v>-277.57</v>
      </c>
    </row>
    <row r="142" spans="1:6" hidden="1" x14ac:dyDescent="0.2">
      <c r="A142" s="19" t="s">
        <v>146</v>
      </c>
      <c r="B142" s="12">
        <v>-93.28</v>
      </c>
      <c r="C142" s="12">
        <v>-104.87</v>
      </c>
      <c r="D142" s="12">
        <v>-297.5</v>
      </c>
      <c r="E142" s="12">
        <v>-261.60000000000002</v>
      </c>
      <c r="F142" s="12">
        <f t="shared" si="6"/>
        <v>-757.25</v>
      </c>
    </row>
    <row r="143" spans="1:6" hidden="1" x14ac:dyDescent="0.2">
      <c r="A143" s="19" t="s">
        <v>147</v>
      </c>
      <c r="B143" s="12">
        <v>0</v>
      </c>
      <c r="C143" s="12">
        <v>0</v>
      </c>
      <c r="D143" s="12">
        <v>-93.94</v>
      </c>
      <c r="E143" s="12">
        <v>0</v>
      </c>
      <c r="F143" s="12">
        <f t="shared" si="6"/>
        <v>-93.94</v>
      </c>
    </row>
    <row r="144" spans="1:6" hidden="1" x14ac:dyDescent="0.2">
      <c r="A144" s="19" t="s">
        <v>148</v>
      </c>
      <c r="B144" s="12">
        <v>-758.59</v>
      </c>
      <c r="C144" s="12">
        <v>-1538.38</v>
      </c>
      <c r="D144" s="12">
        <v>-3772.22</v>
      </c>
      <c r="E144" s="12">
        <v>-3225.33</v>
      </c>
      <c r="F144" s="12">
        <f t="shared" si="6"/>
        <v>-9294.52</v>
      </c>
    </row>
    <row r="145" spans="1:6" hidden="1" x14ac:dyDescent="0.2">
      <c r="A145" s="19" t="s">
        <v>149</v>
      </c>
      <c r="B145" s="12">
        <v>-12445.78</v>
      </c>
      <c r="C145" s="12">
        <v>-9118.3799999999992</v>
      </c>
      <c r="D145" s="12">
        <v>-16427.88</v>
      </c>
      <c r="E145" s="12">
        <v>-11380.43</v>
      </c>
      <c r="F145" s="12">
        <f t="shared" si="6"/>
        <v>-49372.47</v>
      </c>
    </row>
    <row r="146" spans="1:6" hidden="1" x14ac:dyDescent="0.2">
      <c r="A146" s="19" t="s">
        <v>150</v>
      </c>
      <c r="B146" s="12">
        <v>-325.11</v>
      </c>
      <c r="C146" s="12">
        <v>-659.31</v>
      </c>
      <c r="D146" s="12">
        <v>-1616.67</v>
      </c>
      <c r="E146" s="12">
        <v>-1395.29</v>
      </c>
      <c r="F146" s="12">
        <f t="shared" si="6"/>
        <v>-3996.38</v>
      </c>
    </row>
    <row r="147" spans="1:6" hidden="1" x14ac:dyDescent="0.2">
      <c r="A147" s="19" t="s">
        <v>151</v>
      </c>
      <c r="B147" s="12">
        <v>-20523</v>
      </c>
      <c r="C147" s="12">
        <v>-42168.91</v>
      </c>
      <c r="D147" s="12">
        <v>-131537.23000000001</v>
      </c>
      <c r="E147" s="12">
        <v>-52370.34</v>
      </c>
      <c r="F147" s="12">
        <f t="shared" si="6"/>
        <v>-246599.48</v>
      </c>
    </row>
    <row r="148" spans="1:6" hidden="1" x14ac:dyDescent="0.2">
      <c r="A148" s="19" t="s">
        <v>152</v>
      </c>
      <c r="B148" s="12">
        <v>-37488.769999999997</v>
      </c>
      <c r="C148" s="12">
        <v>-21721.9</v>
      </c>
      <c r="D148" s="12">
        <v>-58665.42</v>
      </c>
      <c r="E148" s="12">
        <v>-34671.339999999997</v>
      </c>
      <c r="F148" s="12">
        <f t="shared" si="6"/>
        <v>-152547.43</v>
      </c>
    </row>
    <row r="149" spans="1:6" hidden="1" x14ac:dyDescent="0.2">
      <c r="A149" s="19" t="s">
        <v>153</v>
      </c>
      <c r="B149" s="12">
        <v>-19953.45</v>
      </c>
      <c r="C149" s="12">
        <v>-6217</v>
      </c>
      <c r="D149" s="12">
        <v>-12874.65</v>
      </c>
      <c r="E149" s="12">
        <v>-9518.5400000000009</v>
      </c>
      <c r="F149" s="12">
        <f t="shared" si="6"/>
        <v>-48563.64</v>
      </c>
    </row>
    <row r="150" spans="1:6" hidden="1" x14ac:dyDescent="0.2">
      <c r="A150" s="19" t="s">
        <v>154</v>
      </c>
      <c r="B150" s="12">
        <v>-11807.93</v>
      </c>
      <c r="C150" s="12">
        <v>-36969.360000000001</v>
      </c>
      <c r="D150" s="12">
        <v>-22347.78</v>
      </c>
      <c r="E150" s="12">
        <v>-18701.990000000002</v>
      </c>
      <c r="F150" s="12">
        <f t="shared" si="6"/>
        <v>-89827.060000000012</v>
      </c>
    </row>
    <row r="151" spans="1:6" hidden="1" x14ac:dyDescent="0.2">
      <c r="A151" s="19" t="s">
        <v>155</v>
      </c>
      <c r="B151" s="12">
        <v>-46757.66</v>
      </c>
      <c r="C151" s="12">
        <v>-16585.75</v>
      </c>
      <c r="D151" s="12">
        <v>-66032.45</v>
      </c>
      <c r="E151" s="12">
        <v>-45276.53</v>
      </c>
      <c r="F151" s="12">
        <f t="shared" si="6"/>
        <v>-174652.39</v>
      </c>
    </row>
    <row r="152" spans="1:6" hidden="1" x14ac:dyDescent="0.2">
      <c r="A152" s="19" t="s">
        <v>156</v>
      </c>
      <c r="B152" s="12">
        <v>-2169.98</v>
      </c>
      <c r="C152" s="12">
        <v>-338.21</v>
      </c>
      <c r="D152" s="12">
        <v>-3008.01</v>
      </c>
      <c r="E152" s="12">
        <v>-1144.05</v>
      </c>
      <c r="F152" s="12">
        <f t="shared" si="6"/>
        <v>-6660.2500000000009</v>
      </c>
    </row>
    <row r="153" spans="1:6" hidden="1" x14ac:dyDescent="0.2">
      <c r="A153" s="19" t="s">
        <v>157</v>
      </c>
      <c r="B153" s="12">
        <v>-23414.2</v>
      </c>
      <c r="C153" s="12">
        <v>-23692.799999999999</v>
      </c>
      <c r="D153" s="12">
        <v>-44092.4</v>
      </c>
      <c r="E153" s="12">
        <v>-18574</v>
      </c>
      <c r="F153" s="12">
        <f t="shared" si="6"/>
        <v>-109773.4</v>
      </c>
    </row>
    <row r="154" spans="1:6" hidden="1" x14ac:dyDescent="0.2">
      <c r="A154" s="19" t="s">
        <v>158</v>
      </c>
      <c r="B154" s="12">
        <v>-10020.799999999999</v>
      </c>
      <c r="C154" s="12">
        <v>-2354</v>
      </c>
      <c r="D154" s="12">
        <v>-2256.8000000000002</v>
      </c>
      <c r="E154" s="12">
        <v>0</v>
      </c>
      <c r="F154" s="12">
        <f t="shared" si="6"/>
        <v>-14631.599999999999</v>
      </c>
    </row>
    <row r="155" spans="1:6" hidden="1" x14ac:dyDescent="0.2">
      <c r="A155" s="19" t="s">
        <v>159</v>
      </c>
      <c r="B155" s="12">
        <v>-16331.8</v>
      </c>
      <c r="C155" s="12">
        <v>-8165.04</v>
      </c>
      <c r="D155" s="12">
        <v>-22843.41</v>
      </c>
      <c r="E155" s="12">
        <v>-8253.8700000000008</v>
      </c>
      <c r="F155" s="12">
        <f t="shared" si="6"/>
        <v>-55594.12</v>
      </c>
    </row>
    <row r="156" spans="1:6" hidden="1" x14ac:dyDescent="0.2">
      <c r="A156" s="19" t="s">
        <v>160</v>
      </c>
      <c r="B156" s="12">
        <v>0</v>
      </c>
      <c r="C156" s="12">
        <v>4459.1499999999996</v>
      </c>
      <c r="D156" s="12">
        <v>-4459.1499999999996</v>
      </c>
      <c r="E156" s="12">
        <v>-248.6</v>
      </c>
      <c r="F156" s="12">
        <f t="shared" si="6"/>
        <v>-248.6</v>
      </c>
    </row>
    <row r="157" spans="1:6" hidden="1" x14ac:dyDescent="0.2">
      <c r="A157" s="19" t="s">
        <v>161</v>
      </c>
      <c r="B157" s="12">
        <v>-500400</v>
      </c>
      <c r="C157" s="12">
        <v>-606800</v>
      </c>
      <c r="D157" s="12">
        <v>-833800</v>
      </c>
      <c r="E157" s="12">
        <v>-232433.75</v>
      </c>
      <c r="F157" s="12">
        <f t="shared" si="6"/>
        <v>-2173433.75</v>
      </c>
    </row>
    <row r="158" spans="1:6" hidden="1" x14ac:dyDescent="0.2">
      <c r="A158" s="19" t="s">
        <v>162</v>
      </c>
      <c r="B158" s="12">
        <v>-1618.69</v>
      </c>
      <c r="C158" s="12">
        <v>-1582.93</v>
      </c>
      <c r="D158" s="12">
        <v>-1888.46</v>
      </c>
      <c r="E158" s="12">
        <v>-467.05</v>
      </c>
      <c r="F158" s="12">
        <f t="shared" si="6"/>
        <v>-5557.13</v>
      </c>
    </row>
    <row r="159" spans="1:6" hidden="1" x14ac:dyDescent="0.2">
      <c r="A159" s="19" t="s">
        <v>163</v>
      </c>
      <c r="B159" s="12">
        <v>0</v>
      </c>
      <c r="C159" s="12">
        <v>0</v>
      </c>
      <c r="D159" s="12">
        <v>-4100.24</v>
      </c>
      <c r="E159" s="12">
        <v>0</v>
      </c>
      <c r="F159" s="12">
        <f t="shared" si="6"/>
        <v>-4100.24</v>
      </c>
    </row>
    <row r="160" spans="1:6" hidden="1" x14ac:dyDescent="0.2">
      <c r="A160" s="19" t="s">
        <v>164</v>
      </c>
      <c r="B160" s="12">
        <v>-30007.75</v>
      </c>
      <c r="C160" s="12">
        <v>-27539.93</v>
      </c>
      <c r="D160" s="12">
        <v>-27157.93</v>
      </c>
      <c r="E160" s="12">
        <v>-15396.01</v>
      </c>
      <c r="F160" s="12">
        <f t="shared" si="6"/>
        <v>-100101.62</v>
      </c>
    </row>
    <row r="161" spans="1:6" hidden="1" x14ac:dyDescent="0.2">
      <c r="A161" s="19" t="s">
        <v>165</v>
      </c>
      <c r="B161" s="12">
        <v>-8965.56</v>
      </c>
      <c r="C161" s="12">
        <v>-6982.28</v>
      </c>
      <c r="D161" s="12">
        <v>-9923.85</v>
      </c>
      <c r="E161" s="12">
        <v>-5842.7</v>
      </c>
      <c r="F161" s="12">
        <f t="shared" si="6"/>
        <v>-31714.390000000003</v>
      </c>
    </row>
    <row r="162" spans="1:6" hidden="1" x14ac:dyDescent="0.2">
      <c r="A162" s="19" t="s">
        <v>166</v>
      </c>
      <c r="B162" s="12">
        <v>-297.47000000000003</v>
      </c>
      <c r="C162" s="12">
        <v>0</v>
      </c>
      <c r="D162" s="12">
        <v>35.450000000000003</v>
      </c>
      <c r="E162" s="12">
        <v>0</v>
      </c>
      <c r="F162" s="12">
        <f t="shared" si="6"/>
        <v>-262.02000000000004</v>
      </c>
    </row>
    <row r="163" spans="1:6" hidden="1" x14ac:dyDescent="0.2">
      <c r="A163" s="19" t="s">
        <v>167</v>
      </c>
      <c r="B163" s="12">
        <v>-5680.55</v>
      </c>
      <c r="C163" s="12">
        <v>-6221.73</v>
      </c>
      <c r="D163" s="12">
        <v>-5897.85</v>
      </c>
      <c r="E163" s="12">
        <v>-6693.39</v>
      </c>
      <c r="F163" s="12">
        <f t="shared" ref="F163:F194" si="7">SUM(B163:E163)</f>
        <v>-24493.519999999997</v>
      </c>
    </row>
    <row r="164" spans="1:6" hidden="1" x14ac:dyDescent="0.2">
      <c r="A164" s="19" t="s">
        <v>168</v>
      </c>
      <c r="B164" s="12">
        <v>-3001.81</v>
      </c>
      <c r="C164" s="12">
        <v>-2498.19</v>
      </c>
      <c r="D164" s="12">
        <v>-8193.9500000000007</v>
      </c>
      <c r="E164" s="12">
        <v>-7240.98</v>
      </c>
      <c r="F164" s="12">
        <f t="shared" si="7"/>
        <v>-20934.93</v>
      </c>
    </row>
    <row r="165" spans="1:6" hidden="1" x14ac:dyDescent="0.2">
      <c r="A165" s="19" t="s">
        <v>169</v>
      </c>
      <c r="B165" s="12">
        <v>-368.22</v>
      </c>
      <c r="C165" s="12">
        <v>-340.7</v>
      </c>
      <c r="D165" s="12">
        <v>-350.67</v>
      </c>
      <c r="E165" s="12">
        <v>-161.66</v>
      </c>
      <c r="F165" s="12">
        <f t="shared" si="7"/>
        <v>-1221.2500000000002</v>
      </c>
    </row>
    <row r="166" spans="1:6" hidden="1" x14ac:dyDescent="0.2">
      <c r="A166" s="19" t="s">
        <v>170</v>
      </c>
      <c r="B166" s="12">
        <v>-12940.07</v>
      </c>
      <c r="C166" s="12">
        <v>-63485.95</v>
      </c>
      <c r="D166" s="12">
        <v>-73315.27</v>
      </c>
      <c r="E166" s="12">
        <v>-10896.33</v>
      </c>
      <c r="F166" s="12">
        <f t="shared" si="7"/>
        <v>-160637.61999999997</v>
      </c>
    </row>
    <row r="167" spans="1:6" hidden="1" x14ac:dyDescent="0.2">
      <c r="A167" s="19" t="s">
        <v>171</v>
      </c>
      <c r="B167" s="12">
        <v>-6589.9</v>
      </c>
      <c r="C167" s="12">
        <v>-671.76</v>
      </c>
      <c r="D167" s="12">
        <v>-11191.97</v>
      </c>
      <c r="E167" s="12">
        <v>-63704.59</v>
      </c>
      <c r="F167" s="12">
        <f t="shared" si="7"/>
        <v>-82158.22</v>
      </c>
    </row>
    <row r="168" spans="1:6" hidden="1" x14ac:dyDescent="0.2">
      <c r="A168" s="19" t="s">
        <v>172</v>
      </c>
      <c r="B168" s="12">
        <v>-13278.17</v>
      </c>
      <c r="C168" s="12">
        <v>-16401.34</v>
      </c>
      <c r="D168" s="12">
        <v>-19201.91</v>
      </c>
      <c r="E168" s="12">
        <v>-616.28</v>
      </c>
      <c r="F168" s="12">
        <f t="shared" si="7"/>
        <v>-49497.7</v>
      </c>
    </row>
    <row r="169" spans="1:6" hidden="1" x14ac:dyDescent="0.2">
      <c r="A169" s="19" t="s">
        <v>173</v>
      </c>
      <c r="B169" s="12">
        <v>-15375</v>
      </c>
      <c r="C169" s="12">
        <v>-9600</v>
      </c>
      <c r="D169" s="12">
        <v>-9600</v>
      </c>
      <c r="E169" s="12">
        <v>-5600</v>
      </c>
      <c r="F169" s="12">
        <f t="shared" si="7"/>
        <v>-40175</v>
      </c>
    </row>
    <row r="170" spans="1:6" hidden="1" x14ac:dyDescent="0.2">
      <c r="A170" s="19" t="s">
        <v>174</v>
      </c>
      <c r="B170" s="12">
        <v>-3988.39</v>
      </c>
      <c r="C170" s="12">
        <v>-4136.24</v>
      </c>
      <c r="D170" s="12">
        <v>-2682.44</v>
      </c>
      <c r="E170" s="12">
        <v>0</v>
      </c>
      <c r="F170" s="12">
        <f t="shared" si="7"/>
        <v>-10807.07</v>
      </c>
    </row>
    <row r="171" spans="1:6" hidden="1" x14ac:dyDescent="0.2">
      <c r="A171" s="19" t="s">
        <v>175</v>
      </c>
      <c r="B171" s="12">
        <v>-29603.64</v>
      </c>
      <c r="C171" s="12">
        <v>-46824.05</v>
      </c>
      <c r="D171" s="12">
        <v>-44623.86</v>
      </c>
      <c r="E171" s="12">
        <v>-35030.6</v>
      </c>
      <c r="F171" s="12">
        <f t="shared" si="7"/>
        <v>-156082.15</v>
      </c>
    </row>
    <row r="172" spans="1:6" hidden="1" x14ac:dyDescent="0.2">
      <c r="A172" s="19" t="s">
        <v>176</v>
      </c>
      <c r="B172" s="12">
        <v>-116975</v>
      </c>
      <c r="C172" s="12">
        <v>-86700</v>
      </c>
      <c r="D172" s="12">
        <v>-107400</v>
      </c>
      <c r="E172" s="12">
        <v>-86800</v>
      </c>
      <c r="F172" s="12">
        <f t="shared" si="7"/>
        <v>-397875</v>
      </c>
    </row>
    <row r="173" spans="1:6" hidden="1" x14ac:dyDescent="0.2">
      <c r="A173" s="19" t="s">
        <v>177</v>
      </c>
      <c r="B173" s="12">
        <v>-16123.14</v>
      </c>
      <c r="C173" s="12">
        <v>-24606.9</v>
      </c>
      <c r="D173" s="12">
        <v>-20928.73</v>
      </c>
      <c r="E173" s="12">
        <v>-4630.67</v>
      </c>
      <c r="F173" s="12">
        <f t="shared" si="7"/>
        <v>-66289.440000000002</v>
      </c>
    </row>
    <row r="174" spans="1:6" hidden="1" x14ac:dyDescent="0.2">
      <c r="A174" s="19" t="s">
        <v>178</v>
      </c>
      <c r="B174" s="12">
        <v>-12572.64</v>
      </c>
      <c r="C174" s="12">
        <v>0</v>
      </c>
      <c r="D174" s="12">
        <v>-39504.870000000003</v>
      </c>
      <c r="E174" s="12">
        <v>-1246.27</v>
      </c>
      <c r="F174" s="12">
        <f t="shared" si="7"/>
        <v>-53323.78</v>
      </c>
    </row>
    <row r="175" spans="1:6" hidden="1" x14ac:dyDescent="0.2">
      <c r="A175" s="19" t="s">
        <v>179</v>
      </c>
      <c r="B175" s="12">
        <v>-2259.61</v>
      </c>
      <c r="C175" s="12">
        <v>20723.400000000001</v>
      </c>
      <c r="D175" s="12">
        <v>403.89</v>
      </c>
      <c r="E175" s="12">
        <v>-34801.480000000003</v>
      </c>
      <c r="F175" s="12">
        <f t="shared" si="7"/>
        <v>-15933.800000000003</v>
      </c>
    </row>
    <row r="176" spans="1:6" hidden="1" x14ac:dyDescent="0.2">
      <c r="A176" s="19" t="s">
        <v>180</v>
      </c>
      <c r="B176" s="12">
        <v>-22828.240000000002</v>
      </c>
      <c r="C176" s="12">
        <v>-7956.04</v>
      </c>
      <c r="D176" s="12">
        <v>-80495.56</v>
      </c>
      <c r="E176" s="12">
        <v>0</v>
      </c>
      <c r="F176" s="12">
        <f t="shared" si="7"/>
        <v>-111279.84</v>
      </c>
    </row>
    <row r="177" spans="1:6" hidden="1" x14ac:dyDescent="0.2">
      <c r="A177" s="19" t="s">
        <v>181</v>
      </c>
      <c r="B177" s="12">
        <v>-1305</v>
      </c>
      <c r="C177" s="12">
        <v>-1698</v>
      </c>
      <c r="D177" s="12">
        <v>753</v>
      </c>
      <c r="E177" s="12">
        <v>0</v>
      </c>
      <c r="F177" s="12">
        <f t="shared" si="7"/>
        <v>-2250</v>
      </c>
    </row>
    <row r="178" spans="1:6" hidden="1" x14ac:dyDescent="0.2">
      <c r="A178" s="19" t="s">
        <v>182</v>
      </c>
      <c r="B178" s="12">
        <v>-19200</v>
      </c>
      <c r="C178" s="12">
        <v>-28800</v>
      </c>
      <c r="D178" s="12">
        <v>0</v>
      </c>
      <c r="E178" s="12">
        <v>0</v>
      </c>
      <c r="F178" s="12">
        <f t="shared" si="7"/>
        <v>-48000</v>
      </c>
    </row>
    <row r="179" spans="1:6" hidden="1" x14ac:dyDescent="0.2">
      <c r="A179" s="19" t="s">
        <v>183</v>
      </c>
      <c r="B179" s="12">
        <v>0</v>
      </c>
      <c r="C179" s="12">
        <v>0</v>
      </c>
      <c r="D179" s="12">
        <v>-3607.96</v>
      </c>
      <c r="E179" s="12">
        <v>0.01</v>
      </c>
      <c r="F179" s="12">
        <f t="shared" si="7"/>
        <v>-3607.95</v>
      </c>
    </row>
    <row r="180" spans="1:6" hidden="1" x14ac:dyDescent="0.2">
      <c r="A180" s="19" t="s">
        <v>184</v>
      </c>
      <c r="B180" s="12">
        <v>-39632</v>
      </c>
      <c r="C180" s="12">
        <v>814</v>
      </c>
      <c r="D180" s="12">
        <v>-30343</v>
      </c>
      <c r="E180" s="12">
        <v>80011</v>
      </c>
      <c r="F180" s="12">
        <f t="shared" si="7"/>
        <v>10850</v>
      </c>
    </row>
    <row r="181" spans="1:6" hidden="1" x14ac:dyDescent="0.2">
      <c r="A181" s="19" t="s">
        <v>185</v>
      </c>
      <c r="B181" s="12">
        <v>-175148.71</v>
      </c>
      <c r="C181" s="12">
        <v>-229750.02</v>
      </c>
      <c r="D181" s="12">
        <v>-185214.46</v>
      </c>
      <c r="E181" s="12">
        <v>-89091.98</v>
      </c>
      <c r="F181" s="12">
        <f t="shared" si="7"/>
        <v>-679205.16999999993</v>
      </c>
    </row>
    <row r="182" spans="1:6" hidden="1" x14ac:dyDescent="0.2">
      <c r="A182" s="19" t="s">
        <v>186</v>
      </c>
      <c r="B182" s="12">
        <v>0</v>
      </c>
      <c r="C182" s="12">
        <v>-10108.85</v>
      </c>
      <c r="D182" s="12">
        <v>0</v>
      </c>
      <c r="E182" s="12">
        <v>0</v>
      </c>
      <c r="F182" s="12">
        <f t="shared" si="7"/>
        <v>-10108.85</v>
      </c>
    </row>
    <row r="183" spans="1:6" hidden="1" x14ac:dyDescent="0.2">
      <c r="A183" s="17" t="s">
        <v>187</v>
      </c>
      <c r="B183" s="16">
        <f>SUM(B99:B182)</f>
        <v>-1851425.0199999996</v>
      </c>
      <c r="C183" s="16">
        <f>SUM(C99:C182)</f>
        <v>-1997200.7900000003</v>
      </c>
      <c r="D183" s="16">
        <f>SUM(D99:D182)</f>
        <v>-2793186.95</v>
      </c>
      <c r="E183" s="16">
        <f>SUM(E99:E182)</f>
        <v>-1203711.8799999999</v>
      </c>
      <c r="F183" s="16">
        <f>SUM(F99:F182)</f>
        <v>-7845524.6400000006</v>
      </c>
    </row>
    <row r="184" spans="1:6" x14ac:dyDescent="0.2">
      <c r="A184" s="18" t="s">
        <v>188</v>
      </c>
      <c r="B184" s="16">
        <f>B88+B97+B183</f>
        <v>-9207277.3499999978</v>
      </c>
      <c r="C184" s="16">
        <f>C88+C97+C183</f>
        <v>-11221398.890000001</v>
      </c>
      <c r="D184" s="16">
        <f>D88+D97+D183</f>
        <v>-13546210.350000001</v>
      </c>
      <c r="E184" s="16">
        <f>E88+E97+E183</f>
        <v>-7159550.6100000013</v>
      </c>
      <c r="F184" s="16">
        <f>F88+F97+F183</f>
        <v>-41134437.200000003</v>
      </c>
    </row>
    <row r="185" spans="1:6" x14ac:dyDescent="0.2">
      <c r="A185" s="20" t="s">
        <v>189</v>
      </c>
      <c r="B185" s="16">
        <f>B59+B184</f>
        <v>620240.52000000514</v>
      </c>
      <c r="C185" s="16">
        <f>C59+C184</f>
        <v>775920.83000000007</v>
      </c>
      <c r="D185" s="16">
        <f>D59+D184</f>
        <v>1724665.1999999974</v>
      </c>
      <c r="E185" s="16">
        <f>E59+E184</f>
        <v>2530930.0799999982</v>
      </c>
      <c r="F185" s="16">
        <f>F59+F184</f>
        <v>5651756.6299999803</v>
      </c>
    </row>
    <row r="186" spans="1:6" x14ac:dyDescent="0.2">
      <c r="A186" s="7" t="s">
        <v>190</v>
      </c>
      <c r="B186" s="6"/>
      <c r="C186" s="6"/>
      <c r="D186" s="6"/>
      <c r="E186" s="6"/>
      <c r="F186" s="6"/>
    </row>
    <row r="187" spans="1:6" x14ac:dyDescent="0.2">
      <c r="A187" s="8" t="s">
        <v>191</v>
      </c>
      <c r="B187" s="6">
        <v>0</v>
      </c>
      <c r="C187" s="6">
        <v>6</v>
      </c>
      <c r="D187" s="6">
        <v>3</v>
      </c>
      <c r="E187" s="6">
        <v>2.21</v>
      </c>
      <c r="F187" s="6">
        <v>11.21</v>
      </c>
    </row>
    <row r="188" spans="1:6" hidden="1" x14ac:dyDescent="0.2">
      <c r="A188" s="21" t="s">
        <v>192</v>
      </c>
      <c r="B188" s="12">
        <v>0</v>
      </c>
      <c r="C188" s="12">
        <v>6</v>
      </c>
      <c r="D188" s="12">
        <v>3</v>
      </c>
      <c r="E188" s="12">
        <v>2.21</v>
      </c>
      <c r="F188" s="12">
        <f>SUM(B188:E188)</f>
        <v>11.21</v>
      </c>
    </row>
    <row r="189" spans="1:6" hidden="1" x14ac:dyDescent="0.2">
      <c r="A189" s="18" t="s">
        <v>193</v>
      </c>
      <c r="B189" s="16">
        <f>SUM(B188)</f>
        <v>0</v>
      </c>
      <c r="C189" s="16">
        <f>SUM(C188)</f>
        <v>6</v>
      </c>
      <c r="D189" s="16">
        <f>SUM(D188)</f>
        <v>3</v>
      </c>
      <c r="E189" s="16">
        <f>SUM(E188)</f>
        <v>2.21</v>
      </c>
      <c r="F189" s="16">
        <f>SUM(F188)</f>
        <v>11.21</v>
      </c>
    </row>
    <row r="190" spans="1:6" x14ac:dyDescent="0.2">
      <c r="A190" s="8" t="s">
        <v>194</v>
      </c>
      <c r="B190" s="6">
        <v>20072.940000000002</v>
      </c>
      <c r="C190" s="6">
        <v>18583.16</v>
      </c>
      <c r="D190" s="6">
        <v>48889.450000000004</v>
      </c>
      <c r="E190" s="6">
        <v>64463.64</v>
      </c>
      <c r="F190" s="6">
        <v>152009.19</v>
      </c>
    </row>
    <row r="191" spans="1:6" hidden="1" x14ac:dyDescent="0.2">
      <c r="A191" s="21" t="s">
        <v>195</v>
      </c>
      <c r="B191" s="12">
        <v>4999.6499999999996</v>
      </c>
      <c r="C191" s="12">
        <v>685.03</v>
      </c>
      <c r="D191" s="12">
        <v>9327.9</v>
      </c>
      <c r="E191" s="12">
        <v>8378.9699999999993</v>
      </c>
      <c r="F191" s="12">
        <f>SUM(B191:E191)</f>
        <v>23391.549999999996</v>
      </c>
    </row>
    <row r="192" spans="1:6" hidden="1" x14ac:dyDescent="0.2">
      <c r="A192" s="21" t="s">
        <v>196</v>
      </c>
      <c r="B192" s="12">
        <v>15073.29</v>
      </c>
      <c r="C192" s="12">
        <v>17898.13</v>
      </c>
      <c r="D192" s="12">
        <v>39561.550000000003</v>
      </c>
      <c r="E192" s="12">
        <v>56084.67</v>
      </c>
      <c r="F192" s="12">
        <f>SUM(B192:E192)</f>
        <v>128617.64</v>
      </c>
    </row>
    <row r="193" spans="1:6" hidden="1" x14ac:dyDescent="0.2">
      <c r="A193" s="18" t="s">
        <v>197</v>
      </c>
      <c r="B193" s="16">
        <f>SUM(B191:B192)</f>
        <v>20072.940000000002</v>
      </c>
      <c r="C193" s="16">
        <f>SUM(C191:C192)</f>
        <v>18583.16</v>
      </c>
      <c r="D193" s="16">
        <f>SUM(D191:D192)</f>
        <v>48889.450000000004</v>
      </c>
      <c r="E193" s="16">
        <f>SUM(E191:E192)</f>
        <v>64463.64</v>
      </c>
      <c r="F193" s="16">
        <f>SUM(F191:F192)</f>
        <v>152009.19</v>
      </c>
    </row>
    <row r="194" spans="1:6" x14ac:dyDescent="0.2">
      <c r="A194" s="8" t="s">
        <v>198</v>
      </c>
      <c r="B194" s="6">
        <v>376.71</v>
      </c>
      <c r="C194" s="6">
        <v>340.89</v>
      </c>
      <c r="D194" s="6">
        <v>206.59</v>
      </c>
      <c r="E194" s="6">
        <v>448.48</v>
      </c>
      <c r="F194" s="6">
        <v>1372.67</v>
      </c>
    </row>
    <row r="195" spans="1:6" hidden="1" x14ac:dyDescent="0.2">
      <c r="A195" s="21" t="s">
        <v>199</v>
      </c>
      <c r="B195" s="12">
        <v>499.71</v>
      </c>
      <c r="C195" s="12">
        <v>340.89</v>
      </c>
      <c r="D195" s="12">
        <v>194.59</v>
      </c>
      <c r="E195" s="12">
        <v>12.48</v>
      </c>
      <c r="F195" s="12">
        <f>SUM(B195:E195)</f>
        <v>1047.6699999999998</v>
      </c>
    </row>
    <row r="196" spans="1:6" hidden="1" x14ac:dyDescent="0.2">
      <c r="A196" s="21" t="s">
        <v>200</v>
      </c>
      <c r="B196" s="12">
        <v>0</v>
      </c>
      <c r="C196" s="12">
        <v>0</v>
      </c>
      <c r="D196" s="12">
        <v>-33</v>
      </c>
      <c r="E196" s="12">
        <v>0</v>
      </c>
      <c r="F196" s="12">
        <f>SUM(B196:E196)</f>
        <v>-33</v>
      </c>
    </row>
    <row r="197" spans="1:6" hidden="1" x14ac:dyDescent="0.2">
      <c r="A197" s="21" t="s">
        <v>201</v>
      </c>
      <c r="B197" s="12">
        <v>-123</v>
      </c>
      <c r="C197" s="12">
        <v>0</v>
      </c>
      <c r="D197" s="12">
        <v>45</v>
      </c>
      <c r="E197" s="12">
        <v>436</v>
      </c>
      <c r="F197" s="12">
        <f>SUM(B197:E197)</f>
        <v>358</v>
      </c>
    </row>
    <row r="198" spans="1:6" hidden="1" x14ac:dyDescent="0.2">
      <c r="A198" s="18" t="s">
        <v>202</v>
      </c>
      <c r="B198" s="16">
        <f>SUM(B195:B197)</f>
        <v>376.71</v>
      </c>
      <c r="C198" s="16">
        <f>SUM(C195:C197)</f>
        <v>340.89</v>
      </c>
      <c r="D198" s="16">
        <f>SUM(D195:D197)</f>
        <v>206.59</v>
      </c>
      <c r="E198" s="16">
        <f>SUM(E195:E197)</f>
        <v>448.48</v>
      </c>
      <c r="F198" s="16">
        <f>SUM(F195:F197)</f>
        <v>1372.6699999999998</v>
      </c>
    </row>
    <row r="199" spans="1:6" x14ac:dyDescent="0.2">
      <c r="A199" s="20" t="s">
        <v>203</v>
      </c>
      <c r="B199" s="16">
        <f>B189+B193+B198+0+0</f>
        <v>20449.650000000001</v>
      </c>
      <c r="C199" s="16">
        <f>C189+C193+C198+0+0</f>
        <v>18930.05</v>
      </c>
      <c r="D199" s="16">
        <f>D189+D193+D198+0+0</f>
        <v>49099.040000000001</v>
      </c>
      <c r="E199" s="16">
        <f>E189+E193+E198+0+0</f>
        <v>64914.33</v>
      </c>
      <c r="F199" s="16">
        <f>F189+F193+F198+0+0</f>
        <v>153393.07</v>
      </c>
    </row>
    <row r="200" spans="1:6" x14ac:dyDescent="0.2">
      <c r="A200" s="7" t="s">
        <v>204</v>
      </c>
      <c r="B200" s="6">
        <v>-187434.06</v>
      </c>
      <c r="C200" s="6">
        <v>-236882.48</v>
      </c>
      <c r="D200" s="6">
        <v>-382316.92</v>
      </c>
      <c r="E200" s="6">
        <v>-132334.39999999999</v>
      </c>
      <c r="F200" s="6">
        <v>-938967.86</v>
      </c>
    </row>
    <row r="201" spans="1:6" hidden="1" x14ac:dyDescent="0.2">
      <c r="A201" s="22" t="s">
        <v>205</v>
      </c>
      <c r="B201" s="12">
        <v>-92575</v>
      </c>
      <c r="C201" s="12">
        <v>-115940</v>
      </c>
      <c r="D201" s="12">
        <v>-189143</v>
      </c>
      <c r="E201" s="12">
        <v>-57970</v>
      </c>
      <c r="F201" s="12">
        <f t="shared" ref="F201:F206" si="8">SUM(B201:E201)</f>
        <v>-455628</v>
      </c>
    </row>
    <row r="202" spans="1:6" hidden="1" x14ac:dyDescent="0.2">
      <c r="A202" s="22" t="s">
        <v>206</v>
      </c>
      <c r="B202" s="12">
        <v>-5091.8500000000004</v>
      </c>
      <c r="C202" s="12">
        <v>-6376.88</v>
      </c>
      <c r="D202" s="12">
        <v>-10402.99</v>
      </c>
      <c r="E202" s="12">
        <v>-3188.34</v>
      </c>
      <c r="F202" s="12">
        <f t="shared" si="8"/>
        <v>-25060.06</v>
      </c>
    </row>
    <row r="203" spans="1:6" hidden="1" x14ac:dyDescent="0.2">
      <c r="A203" s="22" t="s">
        <v>207</v>
      </c>
      <c r="B203" s="12">
        <v>-86313</v>
      </c>
      <c r="C203" s="12">
        <v>-111307</v>
      </c>
      <c r="D203" s="12">
        <v>-178880</v>
      </c>
      <c r="E203" s="12">
        <v>-55650</v>
      </c>
      <c r="F203" s="12">
        <f t="shared" si="8"/>
        <v>-432150</v>
      </c>
    </row>
    <row r="204" spans="1:6" hidden="1" x14ac:dyDescent="0.2">
      <c r="A204" s="22" t="s">
        <v>208</v>
      </c>
      <c r="B204" s="12">
        <v>-3269.55</v>
      </c>
      <c r="C204" s="12">
        <v>-2804.63</v>
      </c>
      <c r="D204" s="12">
        <v>-2983.16</v>
      </c>
      <c r="E204" s="12">
        <v>-14716.72</v>
      </c>
      <c r="F204" s="12">
        <f t="shared" si="8"/>
        <v>-23774.059999999998</v>
      </c>
    </row>
    <row r="205" spans="1:6" hidden="1" x14ac:dyDescent="0.2">
      <c r="A205" s="22" t="s">
        <v>209</v>
      </c>
      <c r="B205" s="12">
        <v>-179.62</v>
      </c>
      <c r="C205" s="12">
        <v>-154.09</v>
      </c>
      <c r="D205" s="12">
        <v>-163.99</v>
      </c>
      <c r="E205" s="12">
        <v>-809.34</v>
      </c>
      <c r="F205" s="12">
        <f t="shared" si="8"/>
        <v>-1307.04</v>
      </c>
    </row>
    <row r="206" spans="1:6" hidden="1" x14ac:dyDescent="0.2">
      <c r="A206" s="22" t="s">
        <v>210</v>
      </c>
      <c r="B206" s="12">
        <v>-5.04</v>
      </c>
      <c r="C206" s="12">
        <v>-299.88</v>
      </c>
      <c r="D206" s="12">
        <v>-743.78</v>
      </c>
      <c r="E206" s="12">
        <v>0</v>
      </c>
      <c r="F206" s="12">
        <f t="shared" si="8"/>
        <v>-1048.7</v>
      </c>
    </row>
    <row r="207" spans="1:6" hidden="1" x14ac:dyDescent="0.2">
      <c r="A207" s="20" t="s">
        <v>211</v>
      </c>
      <c r="B207" s="16">
        <f>SUM(B201:B206)</f>
        <v>-187434.06</v>
      </c>
      <c r="C207" s="16">
        <f>SUM(C201:C206)</f>
        <v>-236882.48</v>
      </c>
      <c r="D207" s="16">
        <f>SUM(D201:D206)</f>
        <v>-382316.92</v>
      </c>
      <c r="E207" s="16">
        <f>SUM(E201:E206)</f>
        <v>-132334.39999999999</v>
      </c>
      <c r="F207" s="16">
        <f>SUM(F201:F206)</f>
        <v>-938967.8600000001</v>
      </c>
    </row>
    <row r="208" spans="1:6" x14ac:dyDescent="0.2">
      <c r="A208" s="7" t="s">
        <v>212</v>
      </c>
      <c r="B208" s="6"/>
      <c r="C208" s="6"/>
      <c r="D208" s="6"/>
      <c r="E208" s="6"/>
      <c r="F208" s="6"/>
    </row>
    <row r="209" spans="1:6" hidden="1" x14ac:dyDescent="0.2">
      <c r="A209" s="22" t="s">
        <v>213</v>
      </c>
      <c r="B209" s="12">
        <v>-2260</v>
      </c>
      <c r="C209" s="12">
        <v>-1959</v>
      </c>
      <c r="D209" s="12">
        <v>-2032</v>
      </c>
      <c r="E209" s="12">
        <v>0</v>
      </c>
      <c r="F209" s="12">
        <f>SUM(B209:E209)</f>
        <v>-6251</v>
      </c>
    </row>
    <row r="210" spans="1:6" hidden="1" x14ac:dyDescent="0.2">
      <c r="A210" s="22" t="s">
        <v>214</v>
      </c>
      <c r="B210" s="12">
        <v>0</v>
      </c>
      <c r="C210" s="12">
        <v>-2021.18</v>
      </c>
      <c r="D210" s="12">
        <v>-4376.3999999999996</v>
      </c>
      <c r="E210" s="12">
        <v>0</v>
      </c>
      <c r="F210" s="12">
        <f>SUM(B210:E210)</f>
        <v>-6397.58</v>
      </c>
    </row>
    <row r="211" spans="1:6" x14ac:dyDescent="0.2">
      <c r="A211" s="20" t="s">
        <v>215</v>
      </c>
      <c r="B211" s="16">
        <f>SUM(B209:B210)</f>
        <v>-2260</v>
      </c>
      <c r="C211" s="16">
        <f>SUM(C209:C210)</f>
        <v>-3980.1800000000003</v>
      </c>
      <c r="D211" s="16">
        <f>SUM(D209:D210)</f>
        <v>-6408.4</v>
      </c>
      <c r="E211" s="16">
        <f>SUM(E209:E210)</f>
        <v>0</v>
      </c>
      <c r="F211" s="16">
        <f>SUM(F209:F210)</f>
        <v>-12648.58</v>
      </c>
    </row>
    <row r="212" spans="1:6" x14ac:dyDescent="0.2">
      <c r="A212" s="23" t="s">
        <v>216</v>
      </c>
      <c r="B212" s="16">
        <f>B185+B199+B207+B211</f>
        <v>450996.11000000517</v>
      </c>
      <c r="C212" s="16">
        <f>C185+C199+C207+C211</f>
        <v>553988.22000000009</v>
      </c>
      <c r="D212" s="16">
        <f>D185+D199+D207+D211</f>
        <v>1385038.9199999976</v>
      </c>
      <c r="E212" s="16">
        <f>E185+E199+E207+E211</f>
        <v>2463510.0099999984</v>
      </c>
      <c r="F212" s="16">
        <f>F185+F199+F207+F211</f>
        <v>4853533.2599999802</v>
      </c>
    </row>
  </sheetData>
  <mergeCells count="3">
    <mergeCell ref="A1:F1"/>
    <mergeCell ref="A2:F2"/>
    <mergeCell ref="A3:F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2023-08-08T18:16:47Z</dcterms:created>
  <dcterms:modified xsi:type="dcterms:W3CDTF">2023-08-08T18:21:37Z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