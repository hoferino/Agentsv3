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DE\"/>
    </mc:Choice>
  </mc:AlternateContent>
  <xr:revisionPtr revIDLastSave="0" documentId="13_ncr:40009_{07FAC1DC-7439-4EA6-BDE8-D477AB745D46}" xr6:coauthVersionLast="47" xr6:coauthVersionMax="47" xr10:uidLastSave="{00000000-0000-0000-0000-000000000000}"/>
  <bookViews>
    <workbookView xWindow="-289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17" i="1" l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W216" i="1"/>
  <c r="AW215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W212" i="1"/>
  <c r="AW211" i="1"/>
  <c r="AW210" i="1"/>
  <c r="AW209" i="1"/>
  <c r="AW208" i="1"/>
  <c r="AW207" i="1"/>
  <c r="AW206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W202" i="1"/>
  <c r="AW201" i="1"/>
  <c r="AW200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W197" i="1"/>
  <c r="AW196" i="1"/>
  <c r="AV194" i="1"/>
  <c r="AU194" i="1"/>
  <c r="AT194" i="1"/>
  <c r="AS194" i="1"/>
  <c r="AR194" i="1"/>
  <c r="AQ194" i="1"/>
  <c r="AQ204" i="1" s="1"/>
  <c r="AP194" i="1"/>
  <c r="AO194" i="1"/>
  <c r="AN194" i="1"/>
  <c r="AM194" i="1"/>
  <c r="AL194" i="1"/>
  <c r="AK194" i="1"/>
  <c r="AJ194" i="1"/>
  <c r="AI194" i="1"/>
  <c r="AI204" i="1" s="1"/>
  <c r="AH194" i="1"/>
  <c r="AG194" i="1"/>
  <c r="AF194" i="1"/>
  <c r="AE194" i="1"/>
  <c r="AD194" i="1"/>
  <c r="AC194" i="1"/>
  <c r="AB194" i="1"/>
  <c r="AA194" i="1"/>
  <c r="AA204" i="1" s="1"/>
  <c r="Z194" i="1"/>
  <c r="Y194" i="1"/>
  <c r="X194" i="1"/>
  <c r="W194" i="1"/>
  <c r="V194" i="1"/>
  <c r="U194" i="1"/>
  <c r="T194" i="1"/>
  <c r="S194" i="1"/>
  <c r="S204" i="1" s="1"/>
  <c r="R194" i="1"/>
  <c r="Q194" i="1"/>
  <c r="P194" i="1"/>
  <c r="O194" i="1"/>
  <c r="N194" i="1"/>
  <c r="M194" i="1"/>
  <c r="L194" i="1"/>
  <c r="K194" i="1"/>
  <c r="K204" i="1" s="1"/>
  <c r="J194" i="1"/>
  <c r="I194" i="1"/>
  <c r="H194" i="1"/>
  <c r="G194" i="1"/>
  <c r="F194" i="1"/>
  <c r="E194" i="1"/>
  <c r="D194" i="1"/>
  <c r="C194" i="1"/>
  <c r="C204" i="1" s="1"/>
  <c r="B194" i="1"/>
  <c r="AW193" i="1"/>
  <c r="AW194" i="1" s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W187" i="1"/>
  <c r="AW186" i="1"/>
  <c r="AW185" i="1"/>
  <c r="AW184" i="1"/>
  <c r="AW183" i="1"/>
  <c r="AW182" i="1"/>
  <c r="AW181" i="1"/>
  <c r="AW180" i="1"/>
  <c r="AW179" i="1"/>
  <c r="AW178" i="1"/>
  <c r="AW177" i="1"/>
  <c r="AW176" i="1"/>
  <c r="AW175" i="1"/>
  <c r="AW174" i="1"/>
  <c r="AW173" i="1"/>
  <c r="AW172" i="1"/>
  <c r="AW171" i="1"/>
  <c r="AW170" i="1"/>
  <c r="AW169" i="1"/>
  <c r="AW168" i="1"/>
  <c r="AW167" i="1"/>
  <c r="AW166" i="1"/>
  <c r="AW165" i="1"/>
  <c r="AW164" i="1"/>
  <c r="AW163" i="1"/>
  <c r="AW162" i="1"/>
  <c r="AW161" i="1"/>
  <c r="AW160" i="1"/>
  <c r="AW159" i="1"/>
  <c r="AW158" i="1"/>
  <c r="AW157" i="1"/>
  <c r="AW156" i="1"/>
  <c r="AW155" i="1"/>
  <c r="AW154" i="1"/>
  <c r="AW153" i="1"/>
  <c r="AW152" i="1"/>
  <c r="AW151" i="1"/>
  <c r="AW150" i="1"/>
  <c r="AW149" i="1"/>
  <c r="AW148" i="1"/>
  <c r="AW147" i="1"/>
  <c r="AW146" i="1"/>
  <c r="AW145" i="1"/>
  <c r="AW144" i="1"/>
  <c r="AW143" i="1"/>
  <c r="AW142" i="1"/>
  <c r="AW141" i="1"/>
  <c r="AW140" i="1"/>
  <c r="AW139" i="1"/>
  <c r="AW138" i="1"/>
  <c r="AW137" i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88" i="1" s="1"/>
  <c r="AV98" i="1"/>
  <c r="AV99" i="1" s="1"/>
  <c r="AU98" i="1"/>
  <c r="AU99" i="1" s="1"/>
  <c r="AT98" i="1"/>
  <c r="AT99" i="1" s="1"/>
  <c r="AS98" i="1"/>
  <c r="AS99" i="1" s="1"/>
  <c r="AR98" i="1"/>
  <c r="AR99" i="1" s="1"/>
  <c r="AQ98" i="1"/>
  <c r="AQ99" i="1" s="1"/>
  <c r="AP98" i="1"/>
  <c r="AP99" i="1" s="1"/>
  <c r="AO98" i="1"/>
  <c r="AO99" i="1" s="1"/>
  <c r="AN98" i="1"/>
  <c r="AN99" i="1" s="1"/>
  <c r="AM98" i="1"/>
  <c r="AM99" i="1" s="1"/>
  <c r="AL98" i="1"/>
  <c r="AL99" i="1" s="1"/>
  <c r="AK98" i="1"/>
  <c r="AK99" i="1" s="1"/>
  <c r="AJ98" i="1"/>
  <c r="AJ99" i="1" s="1"/>
  <c r="AI98" i="1"/>
  <c r="AI99" i="1" s="1"/>
  <c r="AH98" i="1"/>
  <c r="AH99" i="1" s="1"/>
  <c r="AG98" i="1"/>
  <c r="AG99" i="1" s="1"/>
  <c r="AF98" i="1"/>
  <c r="AF99" i="1" s="1"/>
  <c r="AE98" i="1"/>
  <c r="AE99" i="1" s="1"/>
  <c r="AD98" i="1"/>
  <c r="AD99" i="1" s="1"/>
  <c r="AC98" i="1"/>
  <c r="AC99" i="1" s="1"/>
  <c r="AB98" i="1"/>
  <c r="AB99" i="1" s="1"/>
  <c r="AA98" i="1"/>
  <c r="AA99" i="1" s="1"/>
  <c r="Z98" i="1"/>
  <c r="Z99" i="1" s="1"/>
  <c r="Y98" i="1"/>
  <c r="Y99" i="1" s="1"/>
  <c r="X98" i="1"/>
  <c r="X99" i="1" s="1"/>
  <c r="W98" i="1"/>
  <c r="W99" i="1" s="1"/>
  <c r="V98" i="1"/>
  <c r="V99" i="1" s="1"/>
  <c r="U98" i="1"/>
  <c r="U99" i="1" s="1"/>
  <c r="T98" i="1"/>
  <c r="T99" i="1" s="1"/>
  <c r="S98" i="1"/>
  <c r="S99" i="1" s="1"/>
  <c r="R98" i="1"/>
  <c r="R99" i="1" s="1"/>
  <c r="Q98" i="1"/>
  <c r="Q99" i="1" s="1"/>
  <c r="P98" i="1"/>
  <c r="P99" i="1" s="1"/>
  <c r="O98" i="1"/>
  <c r="O99" i="1" s="1"/>
  <c r="N98" i="1"/>
  <c r="N99" i="1" s="1"/>
  <c r="M98" i="1"/>
  <c r="M99" i="1" s="1"/>
  <c r="L98" i="1"/>
  <c r="L99" i="1" s="1"/>
  <c r="K98" i="1"/>
  <c r="K99" i="1" s="1"/>
  <c r="J98" i="1"/>
  <c r="J99" i="1" s="1"/>
  <c r="I98" i="1"/>
  <c r="I99" i="1" s="1"/>
  <c r="H98" i="1"/>
  <c r="H99" i="1" s="1"/>
  <c r="G98" i="1"/>
  <c r="G99" i="1" s="1"/>
  <c r="F98" i="1"/>
  <c r="F99" i="1" s="1"/>
  <c r="E98" i="1"/>
  <c r="E99" i="1" s="1"/>
  <c r="D98" i="1"/>
  <c r="D99" i="1" s="1"/>
  <c r="C98" i="1"/>
  <c r="C99" i="1" s="1"/>
  <c r="B98" i="1"/>
  <c r="B99" i="1" s="1"/>
  <c r="AW97" i="1"/>
  <c r="AW96" i="1"/>
  <c r="AW95" i="1"/>
  <c r="AW94" i="1"/>
  <c r="AW93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W88" i="1"/>
  <c r="AW87" i="1"/>
  <c r="AW86" i="1"/>
  <c r="AW85" i="1"/>
  <c r="AW84" i="1"/>
  <c r="AW83" i="1"/>
  <c r="AW82" i="1"/>
  <c r="AW81" i="1"/>
  <c r="AV79" i="1"/>
  <c r="AU79" i="1"/>
  <c r="AT79" i="1"/>
  <c r="AS79" i="1"/>
  <c r="AR79" i="1"/>
  <c r="AR90" i="1" s="1"/>
  <c r="AQ79" i="1"/>
  <c r="AQ90" i="1" s="1"/>
  <c r="AP79" i="1"/>
  <c r="AP90" i="1" s="1"/>
  <c r="AO79" i="1"/>
  <c r="AO90" i="1" s="1"/>
  <c r="AN79" i="1"/>
  <c r="AM79" i="1"/>
  <c r="AL79" i="1"/>
  <c r="AK79" i="1"/>
  <c r="AJ79" i="1"/>
  <c r="AJ90" i="1" s="1"/>
  <c r="AI79" i="1"/>
  <c r="AI90" i="1" s="1"/>
  <c r="AH79" i="1"/>
  <c r="AH90" i="1" s="1"/>
  <c r="AG79" i="1"/>
  <c r="AG90" i="1" s="1"/>
  <c r="AF79" i="1"/>
  <c r="AE79" i="1"/>
  <c r="AD79" i="1"/>
  <c r="AC79" i="1"/>
  <c r="AB79" i="1"/>
  <c r="AB90" i="1" s="1"/>
  <c r="AA79" i="1"/>
  <c r="AA90" i="1" s="1"/>
  <c r="Z79" i="1"/>
  <c r="Z90" i="1" s="1"/>
  <c r="Y79" i="1"/>
  <c r="Y90" i="1" s="1"/>
  <c r="X79" i="1"/>
  <c r="W79" i="1"/>
  <c r="V79" i="1"/>
  <c r="U79" i="1"/>
  <c r="T79" i="1"/>
  <c r="T90" i="1" s="1"/>
  <c r="S79" i="1"/>
  <c r="S90" i="1" s="1"/>
  <c r="R79" i="1"/>
  <c r="R90" i="1" s="1"/>
  <c r="Q79" i="1"/>
  <c r="Q90" i="1" s="1"/>
  <c r="P79" i="1"/>
  <c r="O79" i="1"/>
  <c r="N79" i="1"/>
  <c r="M79" i="1"/>
  <c r="L79" i="1"/>
  <c r="L90" i="1" s="1"/>
  <c r="K79" i="1"/>
  <c r="K90" i="1" s="1"/>
  <c r="J79" i="1"/>
  <c r="J90" i="1" s="1"/>
  <c r="I79" i="1"/>
  <c r="I90" i="1" s="1"/>
  <c r="H79" i="1"/>
  <c r="G79" i="1"/>
  <c r="F79" i="1"/>
  <c r="E79" i="1"/>
  <c r="D79" i="1"/>
  <c r="D90" i="1" s="1"/>
  <c r="C79" i="1"/>
  <c r="C90" i="1" s="1"/>
  <c r="B79" i="1"/>
  <c r="B90" i="1" s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79" i="1" s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W58" i="1"/>
  <c r="AW59" i="1" s="1"/>
  <c r="AW57" i="1"/>
  <c r="AW56" i="1"/>
  <c r="AW55" i="1"/>
  <c r="AV53" i="1"/>
  <c r="AU53" i="1"/>
  <c r="AU60" i="1" s="1"/>
  <c r="AT53" i="1"/>
  <c r="AT60" i="1" s="1"/>
  <c r="AS53" i="1"/>
  <c r="AR53" i="1"/>
  <c r="AR60" i="1" s="1"/>
  <c r="AQ53" i="1"/>
  <c r="AP53" i="1"/>
  <c r="AO53" i="1"/>
  <c r="AN53" i="1"/>
  <c r="AM53" i="1"/>
  <c r="AM60" i="1" s="1"/>
  <c r="AL53" i="1"/>
  <c r="AL60" i="1" s="1"/>
  <c r="AK53" i="1"/>
  <c r="AJ53" i="1"/>
  <c r="AJ60" i="1" s="1"/>
  <c r="AI53" i="1"/>
  <c r="AH53" i="1"/>
  <c r="AG53" i="1"/>
  <c r="AF53" i="1"/>
  <c r="AE53" i="1"/>
  <c r="AE60" i="1" s="1"/>
  <c r="AD53" i="1"/>
  <c r="AD60" i="1" s="1"/>
  <c r="AC53" i="1"/>
  <c r="AB53" i="1"/>
  <c r="AB60" i="1" s="1"/>
  <c r="AA53" i="1"/>
  <c r="Z53" i="1"/>
  <c r="Y53" i="1"/>
  <c r="X53" i="1"/>
  <c r="W53" i="1"/>
  <c r="W60" i="1" s="1"/>
  <c r="V53" i="1"/>
  <c r="V60" i="1" s="1"/>
  <c r="U53" i="1"/>
  <c r="T53" i="1"/>
  <c r="T60" i="1" s="1"/>
  <c r="S53" i="1"/>
  <c r="R53" i="1"/>
  <c r="Q53" i="1"/>
  <c r="P53" i="1"/>
  <c r="O53" i="1"/>
  <c r="O60" i="1" s="1"/>
  <c r="N53" i="1"/>
  <c r="N60" i="1" s="1"/>
  <c r="M53" i="1"/>
  <c r="L53" i="1"/>
  <c r="L60" i="1" s="1"/>
  <c r="K53" i="1"/>
  <c r="J53" i="1"/>
  <c r="I53" i="1"/>
  <c r="H53" i="1"/>
  <c r="G53" i="1"/>
  <c r="G60" i="1" s="1"/>
  <c r="F53" i="1"/>
  <c r="F60" i="1" s="1"/>
  <c r="E53" i="1"/>
  <c r="D53" i="1"/>
  <c r="D60" i="1" s="1"/>
  <c r="C53" i="1"/>
  <c r="B53" i="1"/>
  <c r="AW52" i="1"/>
  <c r="AW51" i="1"/>
  <c r="AW50" i="1"/>
  <c r="AW49" i="1"/>
  <c r="AW48" i="1"/>
  <c r="AW47" i="1"/>
  <c r="AW46" i="1"/>
  <c r="AW45" i="1"/>
  <c r="AW44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V23" i="1"/>
  <c r="AV41" i="1" s="1"/>
  <c r="AU23" i="1"/>
  <c r="AT23" i="1"/>
  <c r="AS23" i="1"/>
  <c r="AR23" i="1"/>
  <c r="AQ23" i="1"/>
  <c r="AQ41" i="1" s="1"/>
  <c r="AP23" i="1"/>
  <c r="AO23" i="1"/>
  <c r="AO41" i="1" s="1"/>
  <c r="AN23" i="1"/>
  <c r="AN41" i="1" s="1"/>
  <c r="AM23" i="1"/>
  <c r="AL23" i="1"/>
  <c r="AK23" i="1"/>
  <c r="AJ23" i="1"/>
  <c r="AI23" i="1"/>
  <c r="AI41" i="1" s="1"/>
  <c r="AH23" i="1"/>
  <c r="AG23" i="1"/>
  <c r="AG41" i="1" s="1"/>
  <c r="AF23" i="1"/>
  <c r="AF41" i="1" s="1"/>
  <c r="AE23" i="1"/>
  <c r="AD23" i="1"/>
  <c r="AC23" i="1"/>
  <c r="AB23" i="1"/>
  <c r="AA23" i="1"/>
  <c r="AA41" i="1" s="1"/>
  <c r="Z23" i="1"/>
  <c r="Y23" i="1"/>
  <c r="Y41" i="1" s="1"/>
  <c r="X23" i="1"/>
  <c r="X41" i="1" s="1"/>
  <c r="W23" i="1"/>
  <c r="V23" i="1"/>
  <c r="U23" i="1"/>
  <c r="T23" i="1"/>
  <c r="S23" i="1"/>
  <c r="S41" i="1" s="1"/>
  <c r="R23" i="1"/>
  <c r="Q23" i="1"/>
  <c r="Q41" i="1" s="1"/>
  <c r="P23" i="1"/>
  <c r="P41" i="1" s="1"/>
  <c r="O23" i="1"/>
  <c r="N23" i="1"/>
  <c r="M23" i="1"/>
  <c r="L23" i="1"/>
  <c r="K23" i="1"/>
  <c r="K41" i="1" s="1"/>
  <c r="J23" i="1"/>
  <c r="I23" i="1"/>
  <c r="I41" i="1" s="1"/>
  <c r="H23" i="1"/>
  <c r="H41" i="1" s="1"/>
  <c r="G23" i="1"/>
  <c r="F23" i="1"/>
  <c r="E23" i="1"/>
  <c r="D23" i="1"/>
  <c r="C23" i="1"/>
  <c r="C41" i="1" s="1"/>
  <c r="B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B60" i="1" l="1"/>
  <c r="J60" i="1"/>
  <c r="R60" i="1"/>
  <c r="Z60" i="1"/>
  <c r="AH60" i="1"/>
  <c r="AP60" i="1"/>
  <c r="D204" i="1"/>
  <c r="L204" i="1"/>
  <c r="T204" i="1"/>
  <c r="AB204" i="1"/>
  <c r="AJ204" i="1"/>
  <c r="AR204" i="1"/>
  <c r="I204" i="1"/>
  <c r="Q204" i="1"/>
  <c r="Y204" i="1"/>
  <c r="AG204" i="1"/>
  <c r="AO204" i="1"/>
  <c r="AW213" i="1"/>
  <c r="H90" i="1"/>
  <c r="H189" i="1" s="1"/>
  <c r="P90" i="1"/>
  <c r="P189" i="1" s="1"/>
  <c r="X90" i="1"/>
  <c r="X189" i="1" s="1"/>
  <c r="AF90" i="1"/>
  <c r="AF189" i="1" s="1"/>
  <c r="AN90" i="1"/>
  <c r="AN189" i="1" s="1"/>
  <c r="AV90" i="1"/>
  <c r="AV189" i="1" s="1"/>
  <c r="U90" i="1"/>
  <c r="U189" i="1" s="1"/>
  <c r="AB41" i="1"/>
  <c r="AB61" i="1" s="1"/>
  <c r="F90" i="1"/>
  <c r="F189" i="1" s="1"/>
  <c r="AT90" i="1"/>
  <c r="AT189" i="1" s="1"/>
  <c r="E41" i="1"/>
  <c r="M41" i="1"/>
  <c r="U41" i="1"/>
  <c r="AC41" i="1"/>
  <c r="AK41" i="1"/>
  <c r="AS41" i="1"/>
  <c r="G41" i="1"/>
  <c r="G61" i="1" s="1"/>
  <c r="O41" i="1"/>
  <c r="O61" i="1" s="1"/>
  <c r="W41" i="1"/>
  <c r="W61" i="1" s="1"/>
  <c r="W190" i="1" s="1"/>
  <c r="AE41" i="1"/>
  <c r="AE61" i="1" s="1"/>
  <c r="AM41" i="1"/>
  <c r="AM61" i="1" s="1"/>
  <c r="AM190" i="1" s="1"/>
  <c r="AU41" i="1"/>
  <c r="AU61" i="1" s="1"/>
  <c r="G90" i="1"/>
  <c r="G189" i="1" s="1"/>
  <c r="O90" i="1"/>
  <c r="O189" i="1" s="1"/>
  <c r="W90" i="1"/>
  <c r="W189" i="1" s="1"/>
  <c r="AE90" i="1"/>
  <c r="AE189" i="1" s="1"/>
  <c r="AM90" i="1"/>
  <c r="AM189" i="1" s="1"/>
  <c r="AU90" i="1"/>
  <c r="AU189" i="1" s="1"/>
  <c r="F204" i="1"/>
  <c r="N204" i="1"/>
  <c r="V204" i="1"/>
  <c r="AD204" i="1"/>
  <c r="AL204" i="1"/>
  <c r="AT204" i="1"/>
  <c r="AC90" i="1"/>
  <c r="AC189" i="1" s="1"/>
  <c r="T41" i="1"/>
  <c r="T61" i="1" s="1"/>
  <c r="V90" i="1"/>
  <c r="V189" i="1" s="1"/>
  <c r="F41" i="1"/>
  <c r="F61" i="1" s="1"/>
  <c r="F190" i="1" s="1"/>
  <c r="N41" i="1"/>
  <c r="N61" i="1" s="1"/>
  <c r="V41" i="1"/>
  <c r="AD41" i="1"/>
  <c r="AD61" i="1" s="1"/>
  <c r="AL41" i="1"/>
  <c r="AT41" i="1"/>
  <c r="AT61" i="1" s="1"/>
  <c r="AT190" i="1" s="1"/>
  <c r="AT218" i="1" s="1"/>
  <c r="H60" i="1"/>
  <c r="P60" i="1"/>
  <c r="X60" i="1"/>
  <c r="X61" i="1" s="1"/>
  <c r="X190" i="1" s="1"/>
  <c r="AF60" i="1"/>
  <c r="AF61" i="1" s="1"/>
  <c r="AN60" i="1"/>
  <c r="AN61" i="1" s="1"/>
  <c r="AV60" i="1"/>
  <c r="AV61" i="1" s="1"/>
  <c r="E60" i="1"/>
  <c r="M60" i="1"/>
  <c r="U60" i="1"/>
  <c r="AC60" i="1"/>
  <c r="AK60" i="1"/>
  <c r="AS60" i="1"/>
  <c r="AW98" i="1"/>
  <c r="AW99" i="1" s="1"/>
  <c r="G204" i="1"/>
  <c r="O204" i="1"/>
  <c r="W204" i="1"/>
  <c r="AE204" i="1"/>
  <c r="AM204" i="1"/>
  <c r="AU204" i="1"/>
  <c r="AK90" i="1"/>
  <c r="AK189" i="1" s="1"/>
  <c r="L41" i="1"/>
  <c r="L61" i="1" s="1"/>
  <c r="AL90" i="1"/>
  <c r="AL189" i="1" s="1"/>
  <c r="AW53" i="1"/>
  <c r="AW60" i="1" s="1"/>
  <c r="I60" i="1"/>
  <c r="I61" i="1" s="1"/>
  <c r="Q60" i="1"/>
  <c r="Y60" i="1"/>
  <c r="AG60" i="1"/>
  <c r="AG61" i="1" s="1"/>
  <c r="AO60" i="1"/>
  <c r="AO61" i="1" s="1"/>
  <c r="AW89" i="1"/>
  <c r="AW90" i="1" s="1"/>
  <c r="AW189" i="1" s="1"/>
  <c r="H204" i="1"/>
  <c r="P204" i="1"/>
  <c r="X204" i="1"/>
  <c r="AF204" i="1"/>
  <c r="AN204" i="1"/>
  <c r="AV204" i="1"/>
  <c r="E204" i="1"/>
  <c r="M204" i="1"/>
  <c r="U204" i="1"/>
  <c r="AC204" i="1"/>
  <c r="AK204" i="1"/>
  <c r="AS204" i="1"/>
  <c r="E90" i="1"/>
  <c r="E189" i="1" s="1"/>
  <c r="AW203" i="1"/>
  <c r="AW204" i="1" s="1"/>
  <c r="D41" i="1"/>
  <c r="D61" i="1" s="1"/>
  <c r="AJ41" i="1"/>
  <c r="AJ61" i="1" s="1"/>
  <c r="N90" i="1"/>
  <c r="N189" i="1" s="1"/>
  <c r="H61" i="1"/>
  <c r="H190" i="1" s="1"/>
  <c r="P61" i="1"/>
  <c r="P190" i="1" s="1"/>
  <c r="B41" i="1"/>
  <c r="B61" i="1" s="1"/>
  <c r="J41" i="1"/>
  <c r="J61" i="1" s="1"/>
  <c r="R41" i="1"/>
  <c r="R61" i="1" s="1"/>
  <c r="Z41" i="1"/>
  <c r="Z61" i="1" s="1"/>
  <c r="Z190" i="1" s="1"/>
  <c r="Z218" i="1" s="1"/>
  <c r="AH41" i="1"/>
  <c r="AP41" i="1"/>
  <c r="AP61" i="1" s="1"/>
  <c r="AW198" i="1"/>
  <c r="M90" i="1"/>
  <c r="M189" i="1" s="1"/>
  <c r="AS90" i="1"/>
  <c r="AS189" i="1" s="1"/>
  <c r="AR41" i="1"/>
  <c r="AR61" i="1" s="1"/>
  <c r="AD90" i="1"/>
  <c r="AD189" i="1" s="1"/>
  <c r="AW23" i="1"/>
  <c r="Q61" i="1"/>
  <c r="Y61" i="1"/>
  <c r="AW40" i="1"/>
  <c r="C60" i="1"/>
  <c r="C61" i="1" s="1"/>
  <c r="K60" i="1"/>
  <c r="K61" i="1" s="1"/>
  <c r="S60" i="1"/>
  <c r="S61" i="1" s="1"/>
  <c r="AA60" i="1"/>
  <c r="AA61" i="1" s="1"/>
  <c r="AI60" i="1"/>
  <c r="AI61" i="1" s="1"/>
  <c r="AQ60" i="1"/>
  <c r="AQ61" i="1" s="1"/>
  <c r="B204" i="1"/>
  <c r="J204" i="1"/>
  <c r="R204" i="1"/>
  <c r="Z204" i="1"/>
  <c r="AH204" i="1"/>
  <c r="AP204" i="1"/>
  <c r="AW217" i="1"/>
  <c r="D189" i="1"/>
  <c r="L189" i="1"/>
  <c r="T189" i="1"/>
  <c r="T190" i="1" s="1"/>
  <c r="T218" i="1" s="1"/>
  <c r="AB189" i="1"/>
  <c r="AB190" i="1" s="1"/>
  <c r="AB218" i="1" s="1"/>
  <c r="AJ189" i="1"/>
  <c r="AR189" i="1"/>
  <c r="AL61" i="1"/>
  <c r="V61" i="1"/>
  <c r="V190" i="1" s="1"/>
  <c r="I189" i="1"/>
  <c r="Q189" i="1"/>
  <c r="Y189" i="1"/>
  <c r="AG189" i="1"/>
  <c r="AO189" i="1"/>
  <c r="AH61" i="1"/>
  <c r="AH190" i="1" s="1"/>
  <c r="AH218" i="1" s="1"/>
  <c r="B189" i="1"/>
  <c r="J189" i="1"/>
  <c r="R189" i="1"/>
  <c r="Z189" i="1"/>
  <c r="AH189" i="1"/>
  <c r="AP189" i="1"/>
  <c r="C189" i="1"/>
  <c r="K189" i="1"/>
  <c r="S189" i="1"/>
  <c r="AA189" i="1"/>
  <c r="AI189" i="1"/>
  <c r="AQ189" i="1"/>
  <c r="C190" i="1" l="1"/>
  <c r="C218" i="1" s="1"/>
  <c r="AM218" i="1"/>
  <c r="AA190" i="1"/>
  <c r="AA218" i="1" s="1"/>
  <c r="AV190" i="1"/>
  <c r="AV218" i="1" s="1"/>
  <c r="AD190" i="1"/>
  <c r="AD218" i="1" s="1"/>
  <c r="O190" i="1"/>
  <c r="Y190" i="1"/>
  <c r="Y218" i="1" s="1"/>
  <c r="AN190" i="1"/>
  <c r="AN218" i="1" s="1"/>
  <c r="K190" i="1"/>
  <c r="K218" i="1" s="1"/>
  <c r="AR190" i="1"/>
  <c r="AR218" i="1" s="1"/>
  <c r="H218" i="1"/>
  <c r="AE190" i="1"/>
  <c r="L190" i="1"/>
  <c r="L218" i="1" s="1"/>
  <c r="AL190" i="1"/>
  <c r="AL218" i="1" s="1"/>
  <c r="AG190" i="1"/>
  <c r="AG218" i="1" s="1"/>
  <c r="D190" i="1"/>
  <c r="D218" i="1" s="1"/>
  <c r="Q190" i="1"/>
  <c r="Q218" i="1" s="1"/>
  <c r="AF190" i="1"/>
  <c r="AF218" i="1" s="1"/>
  <c r="AK61" i="1"/>
  <c r="AK190" i="1" s="1"/>
  <c r="AK218" i="1" s="1"/>
  <c r="S190" i="1"/>
  <c r="S218" i="1" s="1"/>
  <c r="AU190" i="1"/>
  <c r="AU218" i="1" s="1"/>
  <c r="AC61" i="1"/>
  <c r="AC190" i="1" s="1"/>
  <c r="AC218" i="1" s="1"/>
  <c r="I190" i="1"/>
  <c r="I218" i="1" s="1"/>
  <c r="AE218" i="1"/>
  <c r="W218" i="1"/>
  <c r="F218" i="1"/>
  <c r="O218" i="1"/>
  <c r="N190" i="1"/>
  <c r="N218" i="1" s="1"/>
  <c r="U61" i="1"/>
  <c r="U190" i="1" s="1"/>
  <c r="U218" i="1" s="1"/>
  <c r="M61" i="1"/>
  <c r="M190" i="1" s="1"/>
  <c r="M218" i="1" s="1"/>
  <c r="AQ190" i="1"/>
  <c r="AQ218" i="1" s="1"/>
  <c r="AO190" i="1"/>
  <c r="AO218" i="1" s="1"/>
  <c r="AJ190" i="1"/>
  <c r="AJ218" i="1" s="1"/>
  <c r="AW41" i="1"/>
  <c r="AW61" i="1" s="1"/>
  <c r="AW190" i="1" s="1"/>
  <c r="AW218" i="1" s="1"/>
  <c r="X218" i="1"/>
  <c r="G190" i="1"/>
  <c r="G218" i="1" s="1"/>
  <c r="V218" i="1"/>
  <c r="E61" i="1"/>
  <c r="E190" i="1" s="1"/>
  <c r="E218" i="1" s="1"/>
  <c r="AI190" i="1"/>
  <c r="AI218" i="1" s="1"/>
  <c r="AP190" i="1"/>
  <c r="AP218" i="1" s="1"/>
  <c r="P218" i="1"/>
  <c r="AS61" i="1"/>
  <c r="AS190" i="1" s="1"/>
  <c r="AS218" i="1" s="1"/>
  <c r="B190" i="1"/>
  <c r="B218" i="1" s="1"/>
  <c r="R190" i="1"/>
  <c r="R218" i="1" s="1"/>
  <c r="J190" i="1"/>
  <c r="J218" i="1" s="1"/>
</calcChain>
</file>

<file path=xl/sharedStrings.xml><?xml version="1.0" encoding="utf-8"?>
<sst xmlns="http://schemas.openxmlformats.org/spreadsheetml/2006/main" count="314" uniqueCount="266">
  <si>
    <t>Firma : PROMATIS software GmbH</t>
  </si>
  <si>
    <t>PG P+L by Entity and Month/Quarter/Year</t>
  </si>
  <si>
    <t>From Jan 2020 to Dez 2023</t>
  </si>
  <si>
    <t> 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</si>
  <si>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</si>
  <si>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</si>
  <si>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</si>
  <si>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</si>
  <si>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</si>
  <si>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</si>
  <si>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</si>
  <si>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</si>
  <si>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</si>
  <si>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</si>
  <si>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</si>
  <si>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</si>
  <si>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 xml:space="preserve">Adjust 2020 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</si>
  <si>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</si>
  <si>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</si>
  <si>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</si>
  <si>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</si>
  <si>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</si>
  <si>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</si>
  <si>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</si>
  <si>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</si>
  <si>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</si>
  <si>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</si>
  <si>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</si>
  <si>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</si>
  <si>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</si>
  <si>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</si>
  <si>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</si>
  <si>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</si>
  <si>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</si>
  <si>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</si>
  <si>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</si>
  <si>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</si>
  <si>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</si>
  <si>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</si>
  <si>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</si>
  <si>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</si>
  <si>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 xml:space="preserve">Adjust 2022 </t>
  </si>
  <si>
    <t>Jan 2023</t>
  </si>
  <si>
    <t>Feb 2023</t>
  </si>
  <si>
    <t>Mrz 2023</t>
  </si>
  <si>
    <t>Apr 2023</t>
  </si>
  <si>
    <t>Mai 2023</t>
  </si>
  <si>
    <t>Jun 2023</t>
  </si>
  <si>
    <t>Jul 2023</t>
  </si>
  <si>
    <t>Aug 2023</t>
  </si>
  <si>
    <t>Okt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</si>
  <si>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</si>
  <si>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</si>
  <si>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</si>
  <si>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</si>
  <si>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</si>
  <si>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</si>
  <si>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</si>
  <si>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400000 - Sales (free text)</t>
  </si>
  <si>
    <t>433600 - Revenue from oth serv. taxable in anoth EU cntry</t>
  </si>
  <si>
    <t>433700 - Revenue from services, recipient bears the tax liability</t>
  </si>
  <si>
    <t>433800 - Rev. from services tax. in a 3.country, not subject  dom tax</t>
  </si>
  <si>
    <t>440000 - Revenue Services- standard VAT</t>
  </si>
  <si>
    <t>473600 - Cash discounts granted, Standard VAT</t>
  </si>
  <si>
    <t>474000 - Volume discounts granted</t>
  </si>
  <si>
    <t>476000 - Volume discounts granted, Standard VAT</t>
  </si>
  <si>
    <t>477000 - Rebates granted</t>
  </si>
  <si>
    <t>477100 - Rebates granted §13b- EU-nation</t>
  </si>
  <si>
    <t>477200 - Discounts granted §13b - Third country</t>
  </si>
  <si>
    <t>479000 - Rebates granted, Standard VAT</t>
  </si>
  <si>
    <t>Total Revenue</t>
  </si>
  <si>
    <t>4. Other operating income</t>
  </si>
  <si>
    <t>454000 - Revenue infrastructure standard VAT</t>
  </si>
  <si>
    <t>483000 - Other operating income</t>
  </si>
  <si>
    <t>483500 - Other regular operating income</t>
  </si>
  <si>
    <t>483800 - Reimbursed input tax, other countries</t>
  </si>
  <si>
    <t>483900 - Other infrequent income</t>
  </si>
  <si>
    <t>484000 - Realized Foreign Exchange Gain</t>
  </si>
  <si>
    <t>484500 - Revenue from sales of tangible fixed assets, Standard VAT</t>
  </si>
  <si>
    <t>484700 - Rounding Gain/Loss</t>
  </si>
  <si>
    <t>494000 - Allocated other non-cash benefits (excluding goods)</t>
  </si>
  <si>
    <t>494500 - Non-cash benefits, Standard VAT (goods)</t>
  </si>
  <si>
    <t>494700 - Alloc. other non-cash benefits from provi. of car, Std VAT</t>
  </si>
  <si>
    <t>494800 - Allocated other non-cash benefits, Standard VAT</t>
  </si>
  <si>
    <t>494900 - Allocated other non-cash benefits, no VAT</t>
  </si>
  <si>
    <t>497000 - Insurance recoveries and compensation payments</t>
  </si>
  <si>
    <t>498000 - Investment grants (tax-exempt)</t>
  </si>
  <si>
    <t>Total Other operating income</t>
  </si>
  <si>
    <t>Total Operating income</t>
  </si>
  <si>
    <t>5. Cost of materials</t>
  </si>
  <si>
    <t>a) Cost of raw materials, consum, supplies and purchased merch.</t>
  </si>
  <si>
    <t>520000 - Cost of merchandise</t>
  </si>
  <si>
    <t>520200 - Cost of merchandise §13b supplier EU- Services</t>
  </si>
  <si>
    <t>540000 - Cost of merchandise, Standard input tax</t>
  </si>
  <si>
    <t>542500 - Intra-EU acquisitions, Standard input tax and 7% VAT</t>
  </si>
  <si>
    <t>577000 - Rebates received</t>
  </si>
  <si>
    <t>580010 - Invoice PO price variance standard rate</t>
  </si>
  <si>
    <t>580020 - Invoice PO qty variance standard rate</t>
  </si>
  <si>
    <t>581000 - Invoice PO price variance red. rate</t>
  </si>
  <si>
    <t>581300 - Invoice PO price variance goods third country</t>
  </si>
  <si>
    <t>Total Cost of raw materials, consum, supplies and purchased merch.</t>
  </si>
  <si>
    <t>b) Cost of purchased services</t>
  </si>
  <si>
    <t>590000 - Purchased services standard input tax</t>
  </si>
  <si>
    <t>590600 - Purchased services, Standard input tax</t>
  </si>
  <si>
    <t>592300 - Other serv. supplied by contr. anoth EU cntry, Std input tax</t>
  </si>
  <si>
    <t>592500 - Serv.s supplied by foreign contractor, Std input tax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</si>
  <si>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</si>
  <si>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</si>
  <si>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</si>
  <si>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</si>
  <si>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</si>
  <si>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a) Wages and salaries</t>
  </si>
  <si>
    <t>497200 - Refunds Act on Reimbursement of Employers' Expenses (AAG)</t>
  </si>
  <si>
    <t>600500 - Staff acquisition</t>
  </si>
  <si>
    <t>602000 - Salaries</t>
  </si>
  <si>
    <t>602200 - Vacation pay -provision-</t>
  </si>
  <si>
    <t>602300 - Profit-sharing salary management</t>
  </si>
  <si>
    <t>602400 - Salaries - target bonus</t>
  </si>
  <si>
    <t>603600 - Flat-rate taxes for marginal parttime workers</t>
  </si>
  <si>
    <t>603900 - Flat-rate taxes for employees</t>
  </si>
  <si>
    <t>606000 - Voluntary social benefits subject to wage tax</t>
  </si>
  <si>
    <t>606900 - Flat-rate tax on other benefits (e.g. travel allowances)</t>
  </si>
  <si>
    <t>607200 - Non-cash benefits and services provided to employees</t>
  </si>
  <si>
    <t>607300 - Non-cash bene and services provided to shareholder managers</t>
  </si>
  <si>
    <t>607500 - Employment agency subsidies (credit balances)</t>
  </si>
  <si>
    <t>660700 - HCM Marketing</t>
  </si>
  <si>
    <t>Total Wages and salaries</t>
  </si>
  <si>
    <t>b) Social security, post-employ, and other employee benft costs</t>
  </si>
  <si>
    <t>611000 - Statutory social security expenses</t>
  </si>
  <si>
    <t>612000 - Contributions to occupational health and safety agency</t>
  </si>
  <si>
    <t>612500 - Voluntary contributions to prof association</t>
  </si>
  <si>
    <t>613000 - Voluntary social benefits not subject to wage tax</t>
  </si>
  <si>
    <t>614000 - Cost of old age pensions</t>
  </si>
  <si>
    <t>614900 - Post-employment benefit costs for shareholder managers</t>
  </si>
  <si>
    <t>615000 - Pension funds</t>
  </si>
  <si>
    <t>616500 - company medical officer, occupational safety</t>
  </si>
  <si>
    <t>Total Social security, post-employ, and other employee benft costs</t>
  </si>
  <si>
    <t>Total Personnel expenses</t>
  </si>
  <si>
    <t>7. Depreciation and amortisation</t>
  </si>
  <si>
    <t>a) Amortisation of intangible assets and depr. of tangbl assets</t>
  </si>
  <si>
    <t>620000 - Amortisation of intangible fixed assets</t>
  </si>
  <si>
    <t>620500 - Goodwill amortisation and write-downs</t>
  </si>
  <si>
    <t>622000 - Depr. of tangible fixed assets (excl. Depr. of vehicles)</t>
  </si>
  <si>
    <t>622200 - Depreciation of motor vehicles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</si>
  <si>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</si>
  <si>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</si>
  <si>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</si>
  <si>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</si>
  <si>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630300 - Purchased services/third-party services</t>
  </si>
  <si>
    <t>630500 - Occupancy costs</t>
  </si>
  <si>
    <t>631000 - Rent (immovable property)</t>
  </si>
  <si>
    <t>632500 - Gas, electricity, water</t>
  </si>
  <si>
    <t>633000 - Cleaning</t>
  </si>
  <si>
    <t>633500 - Maintenance of operating premises</t>
  </si>
  <si>
    <t>634500 - Other occupancy costs</t>
  </si>
  <si>
    <t>639100 - Non-cash benefits, donations for scient. and cult. purposes</t>
  </si>
  <si>
    <t>639200 - Non-cash benefits, donations for charitable purposes</t>
  </si>
  <si>
    <t>639300 - Non-cash benefits, donations for church, non-profit purposes</t>
  </si>
  <si>
    <t>640000 - Insurance premiums</t>
  </si>
  <si>
    <t>642000 - Contributions</t>
  </si>
  <si>
    <t>644000 - Disabled persons equalisation levy</t>
  </si>
  <si>
    <t>646000 - Repairs and maintenance of technical equipment and machinery</t>
  </si>
  <si>
    <t>649000 - Other repairs and maintenance</t>
  </si>
  <si>
    <t>649500 - Hardware and software maintenance expenses</t>
  </si>
  <si>
    <t>650011 - Vehicle expenses KA-S 2730 Skoda Octavia</t>
  </si>
  <si>
    <t>650012 - Vehicle expenses KA-M 3390 Tesla</t>
  </si>
  <si>
    <t>650013 - Vehicle expenses KA-DK 1015 VW T-Roc</t>
  </si>
  <si>
    <t>650014 - Vehicle expenses KA-KS 1186 Mercedes GLA</t>
  </si>
  <si>
    <t>650016 - Vehicle expenses KA-MW 8800 Toyota Verso</t>
  </si>
  <si>
    <t>650017 - Vehicle expenses KA-JM 1075 Skoda Superb</t>
  </si>
  <si>
    <t>650018 - Vehicle expenses KA-B 9883 Skoda Octavia</t>
  </si>
  <si>
    <t>650019 - Vehicle expenses KA-MA 9080 Skoda Superb Combi 1.8 TSI</t>
  </si>
  <si>
    <t>650021 - Vehicle expenses KA-EW 1155 Skoda KODIAQ Drive 2.0 TDI</t>
  </si>
  <si>
    <t>650025 - Vehicle expenses KA-MP 1018 KIA Sportage</t>
  </si>
  <si>
    <t>650026 - Vehicle expenses KA-JR 1012 Audi Q5 2.0 Quattro TDI</t>
  </si>
  <si>
    <t>650027 - Vehicle expenses KA-FS 5712 BMW 740d Drive Limousine</t>
  </si>
  <si>
    <t>650031 - Vehicle expenses KA-AC 3211 Skoda Kodiaq 2.0 TDI</t>
  </si>
  <si>
    <t>650033 - Vehicle expenses  KA-MW 8801 Mazda CX30</t>
  </si>
  <si>
    <t>650034 - Vehicle expenses KA-MP 1019 KIA Xceed 1.4 T-GDI</t>
  </si>
  <si>
    <t>650035 - Vehicle Expenses KA-FS 5712/2 BMW 740d xDrive Limousine</t>
  </si>
  <si>
    <t>650036 - Vehicle expenses KA-B 9884 Skodia Fabia</t>
  </si>
  <si>
    <t>650037 - Vehicle expenses KA-JR 1240 Audi Q3 Sportsback 45 TFSI</t>
  </si>
  <si>
    <t>650042 - Vehicle expenses KA-MA 8090 Skoda Octavia Combi 2.0 TDI</t>
  </si>
  <si>
    <t>656000 - Operating leases (motor vehicles)</t>
  </si>
  <si>
    <t>656300 - Bike leasing</t>
  </si>
  <si>
    <t>660000 - Advertising costs</t>
  </si>
  <si>
    <t>660100 - Trade fare costs</t>
  </si>
  <si>
    <t>660400 - Marketing material</t>
  </si>
  <si>
    <t>660500 - Conception</t>
  </si>
  <si>
    <t>660600 - Sponsoring</t>
  </si>
  <si>
    <t>661000 - Gifts, deductible, without s. 37b EStG</t>
  </si>
  <si>
    <t>662000 - Gifts, non-deductible, without s. 37b EStG</t>
  </si>
  <si>
    <t>662500 - Gifts used exclusively for operating purposes</t>
  </si>
  <si>
    <t>663500 - Staff acquisition -old</t>
  </si>
  <si>
    <t>664000 - Entertainment expenses</t>
  </si>
  <si>
    <t>664300 - Small gifts</t>
  </si>
  <si>
    <t>664400 - Non-deductible entertainment expenses</t>
  </si>
  <si>
    <t>665000 - Employee travel expenses</t>
  </si>
  <si>
    <t>665100 - Employee travel expenses 7% input tax</t>
  </si>
  <si>
    <t>665200 - Employee travel expenses, standard tax</t>
  </si>
  <si>
    <t>666000 - Employee travel expenses, accommodation costs</t>
  </si>
  <si>
    <t>666100 - Employee travel expenses, accommodation costs 7% input tax</t>
  </si>
  <si>
    <t>666200 - Employee travel expenses, accommodation costs std input tax</t>
  </si>
  <si>
    <t>666400 - Employee travel expenses, additional subsistence costs</t>
  </si>
  <si>
    <t>666500 - Employee travel expens, add. sub costs,Income tax liability</t>
  </si>
  <si>
    <t>666800 - Employee mileage reimbursement</t>
  </si>
  <si>
    <t>668000 - B.o. travel expenses, accom. costs and incident. travel exp.</t>
  </si>
  <si>
    <t>669900 - Travel costs liability adjustment account</t>
  </si>
  <si>
    <t>678000 - Third-party services (distribution)</t>
  </si>
  <si>
    <t>680000 - Postage</t>
  </si>
  <si>
    <t>680100 - Further training costs §13b UStG Supplier 3. country service</t>
  </si>
  <si>
    <t>680500 - Telephone</t>
  </si>
  <si>
    <t>681000 - Fax and Internet costs</t>
  </si>
  <si>
    <t>681400 - Third country service</t>
  </si>
  <si>
    <t>681500 - Office supplies</t>
  </si>
  <si>
    <t>681600 - data processing demand</t>
  </si>
  <si>
    <t>682000 - Newspapers, books</t>
  </si>
  <si>
    <t>682100 - Training costs</t>
  </si>
  <si>
    <t>682500 - Legal and consulting costs</t>
  </si>
  <si>
    <t>682700 - Period-end closing and audit costs</t>
  </si>
  <si>
    <t>683500 - Rent of fixtures and fittings (movable assets)</t>
  </si>
  <si>
    <t>683600 - Leases (movable assets)</t>
  </si>
  <si>
    <t>683700 - Expenses for temp. transfer of rights(licences, concessions)</t>
  </si>
  <si>
    <t>684000 - Operating leases (mov. assets)</t>
  </si>
  <si>
    <t>685500 - Incidental monetary transaction costs</t>
  </si>
  <si>
    <t>688000 - Currency translation losses</t>
  </si>
  <si>
    <t>688100 - Currency Exchange Losses</t>
  </si>
  <si>
    <t>690000 - Losses on disposal of fixed assets</t>
  </si>
  <si>
    <t>691000 - Write-downs of current assets ex inventories and securities</t>
  </si>
  <si>
    <t>692000 - Transfers to global valuation allowance on receivables</t>
  </si>
  <si>
    <t>692300 - Transfer to specific valuation allowance on receivables</t>
  </si>
  <si>
    <t>696000 - Prior-period expenses if not extraordinary</t>
  </si>
  <si>
    <t>696900 - Other infrequent expenses</t>
  </si>
  <si>
    <t>699400 - Selling expenses</t>
  </si>
  <si>
    <t>699500 - Contra account 6990-6998</t>
  </si>
  <si>
    <t>Total Other operating expenses</t>
  </si>
  <si>
    <t>Total Operating expenses (except cost of materials)</t>
  </si>
  <si>
    <t>Total EBIT</t>
  </si>
  <si>
    <t>Financial result</t>
  </si>
  <si>
    <t>9. Income from long-term equity investments</t>
  </si>
  <si>
    <t>700100 - Income from long-term equity investments</t>
  </si>
  <si>
    <t>Total Income from long-term equity investments</t>
  </si>
  <si>
    <t>10. Income from other securities and long-term loans</t>
  </si>
  <si>
    <t>701000 - Income from other securities and long-term loans</t>
  </si>
  <si>
    <t>701100 - Income from long-term loans</t>
  </si>
  <si>
    <t>Total Income from other securities and long-term loans</t>
  </si>
  <si>
    <t>11. Other interest and similar income</t>
  </si>
  <si>
    <t>710000 - Other interest and similar income</t>
  </si>
  <si>
    <t>730500 - Interest expenses, section 233a AO, operating taxes</t>
  </si>
  <si>
    <t>730800 - Interest expenses, section 233a AO, section 4(5b) EStG</t>
  </si>
  <si>
    <t>Total Other interest and similar income</t>
  </si>
  <si>
    <t>Total Financial result</t>
  </si>
  <si>
    <t>14. Taxes on income</t>
  </si>
  <si>
    <t>760000 - Corporate income tax</t>
  </si>
  <si>
    <t>760800 - Solidarity surcharge</t>
  </si>
  <si>
    <t>761000 - Trade tax</t>
  </si>
  <si>
    <t>763000 - Withholding tax on investment income, 25%</t>
  </si>
  <si>
    <t>763300 - Allow. solidarity surcharge on w/h tax invest. income, 25%</t>
  </si>
  <si>
    <t>764000 - Backpayments of trade tax for prior years</t>
  </si>
  <si>
    <t>764100 - Backpayments and refunds of trade tax for prior years</t>
  </si>
  <si>
    <t>Total Taxes on income</t>
  </si>
  <si>
    <t>16. Other taxes</t>
  </si>
  <si>
    <t>768500 - Motor vehicle tax</t>
  </si>
  <si>
    <t>769000 - Backpayments of other taxes for prior years</t>
  </si>
  <si>
    <t>Total Other taxes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</si>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</sst>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18"/>
  <sheetViews>
    <sheetView tabSelected="1" workbookViewId="0">
      <pane ySplit="5" topLeftCell="A6" activePane="bottomLeft" state="frozen"/>
      <selection pane="bottomLeft" activeCell="AN218" sqref="AN218:AS218"/>
    </sheetView>
  </sheetViews>
  <sheetFormatPr baseColWidth="10" defaultRowHeight="11.25" x14ac:dyDescent="0.2"/>
  <cols>
    <col min="1" max="1" width="72.5" bestFit="1" customWidth="1"/>
    <col min="2" max="7" width="11.83203125" bestFit="1" customWidth="1"/>
    <col min="8" max="9" width="12.6640625" bestFit="1" customWidth="1"/>
    <col min="10" max="12" width="11.83203125" bestFit="1" customWidth="1"/>
    <col min="13" max="13" width="12.6640625" bestFit="1" customWidth="1"/>
    <col min="14" max="14" width="12" bestFit="1" customWidth="1"/>
    <col min="15" max="16" width="11.83203125" bestFit="1" customWidth="1"/>
    <col min="17" max="17" width="12.6640625" bestFit="1" customWidth="1"/>
    <col min="18" max="18" width="13.33203125" bestFit="1" customWidth="1"/>
    <col min="19" max="21" width="12.6640625" bestFit="1" customWidth="1"/>
    <col min="22" max="22" width="11.83203125" bestFit="1" customWidth="1"/>
    <col min="23" max="23" width="12.6640625" bestFit="1" customWidth="1"/>
    <col min="24" max="25" width="13.33203125" bestFit="1" customWidth="1"/>
    <col min="26" max="30" width="12.6640625" bestFit="1" customWidth="1"/>
    <col min="31" max="31" width="13.33203125" bestFit="1" customWidth="1"/>
    <col min="32" max="32" width="12.6640625" bestFit="1" customWidth="1"/>
    <col min="33" max="33" width="11.83203125" bestFit="1" customWidth="1"/>
    <col min="34" max="38" width="13.33203125" bestFit="1" customWidth="1"/>
    <col min="39" max="39" width="12" bestFit="1" customWidth="1"/>
    <col min="40" max="40" width="12.6640625" bestFit="1" customWidth="1"/>
    <col min="41" max="45" width="13.33203125" bestFit="1" customWidth="1"/>
    <col min="46" max="46" width="12.6640625" bestFit="1" customWidth="1"/>
    <col min="47" max="47" width="10.83203125" bestFit="1" customWidth="1"/>
    <col min="48" max="48" width="9" bestFit="1" customWidth="1"/>
    <col min="49" max="49" width="14.33203125" bestFit="1" customWidth="1"/>
  </cols>
  <sheetData>
    <row r="1" spans="1:49" s="23" customFormat="1" ht="15.75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</row>
    <row r="2" spans="1:49" s="23" customFormat="1" ht="18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</row>
    <row r="3" spans="1:49" s="23" customFormat="1" ht="18" x14ac:dyDescent="0.2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</row>
    <row r="4" spans="1:49" x14ac:dyDescent="0.2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2" t="s">
        <v>24</v>
      </c>
      <c r="W4" s="2" t="s">
        <v>25</v>
      </c>
      <c r="X4" s="2" t="s">
        <v>26</v>
      </c>
      <c r="Y4" s="2" t="s">
        <v>27</v>
      </c>
      <c r="Z4" s="2" t="s">
        <v>28</v>
      </c>
      <c r="AA4" s="2" t="s">
        <v>29</v>
      </c>
      <c r="AB4" s="2" t="s">
        <v>30</v>
      </c>
      <c r="AC4" s="2" t="s">
        <v>31</v>
      </c>
      <c r="AD4" s="2" t="s">
        <v>32</v>
      </c>
      <c r="AE4" s="2" t="s">
        <v>33</v>
      </c>
      <c r="AF4" s="2" t="s">
        <v>34</v>
      </c>
      <c r="AG4" s="2" t="s">
        <v>35</v>
      </c>
      <c r="AH4" s="2" t="s">
        <v>36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50</v>
      </c>
      <c r="AW4" s="2" t="s">
        <v>51</v>
      </c>
    </row>
    <row r="5" spans="1:49" x14ac:dyDescent="0.2">
      <c r="A5" s="1" t="s">
        <v>3</v>
      </c>
      <c r="B5" s="2" t="s">
        <v>52</v>
      </c>
      <c r="C5" s="2" t="s">
        <v>52</v>
      </c>
      <c r="D5" s="2" t="s">
        <v>52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52</v>
      </c>
      <c r="J5" s="2" t="s">
        <v>52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52</v>
      </c>
      <c r="T5" s="2" t="s">
        <v>52</v>
      </c>
      <c r="U5" s="2" t="s">
        <v>52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52</v>
      </c>
      <c r="AJ5" s="2" t="s">
        <v>52</v>
      </c>
      <c r="AK5" s="2" t="s">
        <v>52</v>
      </c>
      <c r="AL5" s="2" t="s">
        <v>52</v>
      </c>
      <c r="AM5" s="2" t="s">
        <v>52</v>
      </c>
      <c r="AN5" s="2" t="s">
        <v>52</v>
      </c>
      <c r="AO5" s="2" t="s">
        <v>52</v>
      </c>
      <c r="AP5" s="2" t="s">
        <v>52</v>
      </c>
      <c r="AQ5" s="2" t="s">
        <v>52</v>
      </c>
      <c r="AR5" s="2" t="s">
        <v>52</v>
      </c>
      <c r="AS5" s="2" t="s">
        <v>52</v>
      </c>
      <c r="AT5" s="2" t="s">
        <v>52</v>
      </c>
      <c r="AU5" s="2" t="s">
        <v>52</v>
      </c>
      <c r="AV5" s="2" t="s">
        <v>52</v>
      </c>
      <c r="AW5" s="2" t="s">
        <v>52</v>
      </c>
    </row>
    <row r="6" spans="1:49" x14ac:dyDescent="0.2">
      <c r="A6" s="3" t="s">
        <v>53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49" x14ac:dyDescent="0.2">
      <c r="A7" s="5" t="s">
        <v>54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49" x14ac:dyDescent="0.2">
      <c r="A8" s="6" t="s">
        <v>55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x14ac:dyDescent="0.2">
      <c r="A9" s="7" t="s">
        <v>56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49" x14ac:dyDescent="0.2">
      <c r="A10" s="8" t="s">
        <v>57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x14ac:dyDescent="0.2">
      <c r="A11" s="9" t="s">
        <v>58</v>
      </c>
      <c r="B11" s="10">
        <v>-1447</v>
      </c>
      <c r="C11" s="10">
        <v>-808</v>
      </c>
      <c r="D11" s="10">
        <v>21371</v>
      </c>
      <c r="E11" s="10">
        <v>-2928</v>
      </c>
      <c r="F11" s="10">
        <v>0</v>
      </c>
      <c r="G11" s="10">
        <v>15541</v>
      </c>
      <c r="H11" s="10">
        <v>-1555</v>
      </c>
      <c r="I11" s="10">
        <v>-583</v>
      </c>
      <c r="J11" s="10">
        <v>-6630</v>
      </c>
      <c r="K11" s="10">
        <v>-9679</v>
      </c>
      <c r="L11" s="10">
        <v>-4937</v>
      </c>
      <c r="M11" s="10">
        <v>1356.39</v>
      </c>
      <c r="N11" s="10">
        <v>0</v>
      </c>
      <c r="O11" s="10">
        <v>43555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f t="shared" ref="AW11:AW22" si="0">SUM(B11:AV11)</f>
        <v>53256.39</v>
      </c>
    </row>
    <row r="12" spans="1:49" x14ac:dyDescent="0.2">
      <c r="A12" s="9" t="s">
        <v>59</v>
      </c>
      <c r="B12" s="10">
        <v>3527.5</v>
      </c>
      <c r="C12" s="10">
        <v>34411.5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444103.8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f t="shared" si="0"/>
        <v>482042.8</v>
      </c>
    </row>
    <row r="13" spans="1:49" x14ac:dyDescent="0.2">
      <c r="A13" s="9" t="s">
        <v>60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124696</v>
      </c>
      <c r="I13" s="10">
        <v>0</v>
      </c>
      <c r="J13" s="10">
        <v>126481.60000000001</v>
      </c>
      <c r="K13" s="10">
        <v>3978</v>
      </c>
      <c r="L13" s="10">
        <v>292428</v>
      </c>
      <c r="M13" s="10">
        <v>-103479.8</v>
      </c>
      <c r="N13" s="10">
        <v>0</v>
      </c>
      <c r="O13" s="10">
        <v>35144</v>
      </c>
      <c r="P13" s="10">
        <v>31768</v>
      </c>
      <c r="Q13" s="10">
        <v>81410</v>
      </c>
      <c r="R13" s="10">
        <v>170036.42</v>
      </c>
      <c r="S13" s="10">
        <v>63655.21</v>
      </c>
      <c r="T13" s="10">
        <v>147265.37</v>
      </c>
      <c r="U13" s="10">
        <v>95525.88</v>
      </c>
      <c r="V13" s="10">
        <v>56625.66</v>
      </c>
      <c r="W13" s="10">
        <v>84773.96</v>
      </c>
      <c r="X13" s="10">
        <v>143780.18</v>
      </c>
      <c r="Y13" s="10">
        <v>124046.92</v>
      </c>
      <c r="Z13" s="10">
        <v>121134.25</v>
      </c>
      <c r="AA13" s="10">
        <v>65937.119999999995</v>
      </c>
      <c r="AB13" s="10">
        <v>185020.56</v>
      </c>
      <c r="AC13" s="10">
        <v>304041.39</v>
      </c>
      <c r="AD13" s="10">
        <v>303054.38</v>
      </c>
      <c r="AE13" s="10">
        <v>273931.05</v>
      </c>
      <c r="AF13" s="10">
        <v>288113.12</v>
      </c>
      <c r="AG13" s="10">
        <v>121.13</v>
      </c>
      <c r="AH13" s="10">
        <v>581874.16</v>
      </c>
      <c r="AI13" s="10">
        <v>286840.73</v>
      </c>
      <c r="AJ13" s="10">
        <v>305066.12</v>
      </c>
      <c r="AK13" s="10">
        <v>414815.44</v>
      </c>
      <c r="AL13" s="10">
        <v>345830.71</v>
      </c>
      <c r="AM13" s="10">
        <v>0</v>
      </c>
      <c r="AN13" s="10">
        <v>145972.81</v>
      </c>
      <c r="AO13" s="10">
        <v>250811.51999999999</v>
      </c>
      <c r="AP13" s="10">
        <v>267677.45</v>
      </c>
      <c r="AQ13" s="10">
        <v>211796.64</v>
      </c>
      <c r="AR13" s="10">
        <v>168202.66</v>
      </c>
      <c r="AS13" s="10">
        <v>406272.48</v>
      </c>
      <c r="AT13" s="10">
        <v>248894.99</v>
      </c>
      <c r="AU13" s="10">
        <v>0</v>
      </c>
      <c r="AV13" s="10">
        <v>0</v>
      </c>
      <c r="AW13" s="10">
        <f t="shared" si="0"/>
        <v>6653544.1099999994</v>
      </c>
    </row>
    <row r="14" spans="1:49" x14ac:dyDescent="0.2">
      <c r="A14" s="9" t="s">
        <v>61</v>
      </c>
      <c r="B14" s="10">
        <v>41051.919999999998</v>
      </c>
      <c r="C14" s="10">
        <v>46594.38</v>
      </c>
      <c r="D14" s="10">
        <v>6345</v>
      </c>
      <c r="E14" s="10">
        <v>5670</v>
      </c>
      <c r="F14" s="10">
        <v>4320</v>
      </c>
      <c r="G14" s="10">
        <v>4320</v>
      </c>
      <c r="H14" s="10">
        <v>13837.5</v>
      </c>
      <c r="I14" s="10">
        <v>0</v>
      </c>
      <c r="J14" s="10">
        <v>58365</v>
      </c>
      <c r="K14" s="10">
        <v>48630</v>
      </c>
      <c r="L14" s="10">
        <v>67027.5</v>
      </c>
      <c r="M14" s="10">
        <v>61155</v>
      </c>
      <c r="N14" s="10">
        <v>0</v>
      </c>
      <c r="O14" s="10">
        <v>95465.84</v>
      </c>
      <c r="P14" s="10">
        <v>56835</v>
      </c>
      <c r="Q14" s="10">
        <v>376203.38</v>
      </c>
      <c r="R14" s="10">
        <v>301884.32</v>
      </c>
      <c r="S14" s="10">
        <v>115604.96</v>
      </c>
      <c r="T14" s="10">
        <v>104605.26</v>
      </c>
      <c r="U14" s="10">
        <v>107642.61</v>
      </c>
      <c r="V14" s="10">
        <v>69953.289999999994</v>
      </c>
      <c r="W14" s="10">
        <v>117576.17</v>
      </c>
      <c r="X14" s="10">
        <v>102597.54</v>
      </c>
      <c r="Y14" s="10">
        <v>99595.16</v>
      </c>
      <c r="Z14" s="10">
        <v>83767.75</v>
      </c>
      <c r="AA14" s="10">
        <v>52206.37</v>
      </c>
      <c r="AB14" s="10">
        <v>86088.02</v>
      </c>
      <c r="AC14" s="10">
        <v>140870.75</v>
      </c>
      <c r="AD14" s="10">
        <v>89044.32</v>
      </c>
      <c r="AE14" s="10">
        <v>122782.36</v>
      </c>
      <c r="AF14" s="10">
        <v>97067.62</v>
      </c>
      <c r="AG14" s="10">
        <v>24463.97</v>
      </c>
      <c r="AH14" s="10">
        <v>250267.54</v>
      </c>
      <c r="AI14" s="10">
        <v>69931.55</v>
      </c>
      <c r="AJ14" s="10">
        <v>98246.59</v>
      </c>
      <c r="AK14" s="10">
        <v>135203.60999999999</v>
      </c>
      <c r="AL14" s="10">
        <v>148610.26</v>
      </c>
      <c r="AM14" s="10">
        <v>0</v>
      </c>
      <c r="AN14" s="10">
        <v>155906.66</v>
      </c>
      <c r="AO14" s="10">
        <v>142899.37</v>
      </c>
      <c r="AP14" s="10">
        <v>38400.559999999998</v>
      </c>
      <c r="AQ14" s="10">
        <v>52071.65</v>
      </c>
      <c r="AR14" s="10">
        <v>80633.009999999995</v>
      </c>
      <c r="AS14" s="10">
        <v>126685.21</v>
      </c>
      <c r="AT14" s="10">
        <v>73651.78</v>
      </c>
      <c r="AU14" s="10">
        <v>0</v>
      </c>
      <c r="AV14" s="10">
        <v>0</v>
      </c>
      <c r="AW14" s="10">
        <f t="shared" si="0"/>
        <v>3974078.78</v>
      </c>
    </row>
    <row r="15" spans="1:49" x14ac:dyDescent="0.2">
      <c r="A15" s="9" t="s">
        <v>62</v>
      </c>
      <c r="B15" s="10">
        <v>763846.1</v>
      </c>
      <c r="C15" s="10">
        <v>782873.11</v>
      </c>
      <c r="D15" s="10">
        <v>938108.9</v>
      </c>
      <c r="E15" s="10">
        <v>683357.87</v>
      </c>
      <c r="F15" s="10">
        <v>778248.85</v>
      </c>
      <c r="G15" s="10">
        <v>724286.39</v>
      </c>
      <c r="H15" s="10">
        <v>1015165.55</v>
      </c>
      <c r="I15" s="10">
        <v>1148140.3700000001</v>
      </c>
      <c r="J15" s="10">
        <v>769813.3</v>
      </c>
      <c r="K15" s="10">
        <v>768287.11</v>
      </c>
      <c r="L15" s="10">
        <v>618705.46</v>
      </c>
      <c r="M15" s="10">
        <v>692770.55</v>
      </c>
      <c r="N15" s="10">
        <v>0</v>
      </c>
      <c r="O15" s="10">
        <v>696079.97</v>
      </c>
      <c r="P15" s="10">
        <v>688888.19</v>
      </c>
      <c r="Q15" s="10">
        <v>993651.73</v>
      </c>
      <c r="R15" s="10">
        <v>1022570.08</v>
      </c>
      <c r="S15" s="10">
        <v>1027919.6</v>
      </c>
      <c r="T15" s="10">
        <v>885181.98</v>
      </c>
      <c r="U15" s="10">
        <v>923455.21</v>
      </c>
      <c r="V15" s="10">
        <v>860739.04</v>
      </c>
      <c r="W15" s="10">
        <v>903844.65</v>
      </c>
      <c r="X15" s="10">
        <v>796717.95</v>
      </c>
      <c r="Y15" s="10">
        <v>933565.52</v>
      </c>
      <c r="Z15" s="10">
        <v>920064.56</v>
      </c>
      <c r="AA15" s="10">
        <v>887682.76</v>
      </c>
      <c r="AB15" s="10">
        <v>807779.08</v>
      </c>
      <c r="AC15" s="10">
        <v>901408.63</v>
      </c>
      <c r="AD15" s="10">
        <v>754789.43</v>
      </c>
      <c r="AE15" s="10">
        <v>809484.44</v>
      </c>
      <c r="AF15" s="10">
        <v>980320.86</v>
      </c>
      <c r="AG15" s="10">
        <v>806505.7</v>
      </c>
      <c r="AH15" s="10">
        <v>859877.23</v>
      </c>
      <c r="AI15" s="10">
        <v>843561.26</v>
      </c>
      <c r="AJ15" s="10">
        <v>1154070.01</v>
      </c>
      <c r="AK15" s="10">
        <v>1068944.77</v>
      </c>
      <c r="AL15" s="10">
        <v>874276.84</v>
      </c>
      <c r="AM15" s="10">
        <v>0</v>
      </c>
      <c r="AN15" s="10">
        <v>1098951.8999999999</v>
      </c>
      <c r="AO15" s="10">
        <v>1066416.2</v>
      </c>
      <c r="AP15" s="10">
        <v>1454307.34</v>
      </c>
      <c r="AQ15" s="10">
        <v>1077958.8700000001</v>
      </c>
      <c r="AR15" s="10">
        <v>1189148.56</v>
      </c>
      <c r="AS15" s="10">
        <v>922751.31</v>
      </c>
      <c r="AT15" s="10">
        <v>1192225.6200000001</v>
      </c>
      <c r="AU15" s="10">
        <v>29600</v>
      </c>
      <c r="AV15" s="10">
        <v>0</v>
      </c>
      <c r="AW15" s="10">
        <f t="shared" si="0"/>
        <v>39116342.849999994</v>
      </c>
    </row>
    <row r="16" spans="1:49" x14ac:dyDescent="0.2">
      <c r="A16" s="9" t="s">
        <v>63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-3750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-406.41</v>
      </c>
      <c r="AR16" s="10">
        <v>-915.43</v>
      </c>
      <c r="AS16" s="10">
        <v>-2300.13</v>
      </c>
      <c r="AT16" s="10">
        <v>-3759.34</v>
      </c>
      <c r="AU16" s="10">
        <v>0</v>
      </c>
      <c r="AV16" s="10">
        <v>0</v>
      </c>
      <c r="AW16" s="10">
        <f t="shared" si="0"/>
        <v>-11131.310000000001</v>
      </c>
    </row>
    <row r="17" spans="1:49" x14ac:dyDescent="0.2">
      <c r="A17" s="9" t="s">
        <v>64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-52500</v>
      </c>
      <c r="U17" s="10">
        <v>0</v>
      </c>
      <c r="V17" s="10">
        <v>0</v>
      </c>
      <c r="W17" s="10">
        <v>-20000</v>
      </c>
      <c r="X17" s="10">
        <v>49700</v>
      </c>
      <c r="Y17" s="10">
        <v>-10000</v>
      </c>
      <c r="Z17" s="10">
        <v>-113591.93</v>
      </c>
      <c r="AA17" s="10">
        <v>0</v>
      </c>
      <c r="AB17" s="10">
        <v>0</v>
      </c>
      <c r="AC17" s="10">
        <v>146391.93</v>
      </c>
      <c r="AD17" s="10">
        <v>0</v>
      </c>
      <c r="AE17" s="10">
        <v>0</v>
      </c>
      <c r="AF17" s="10">
        <v>-50000</v>
      </c>
      <c r="AG17" s="10">
        <v>-50000</v>
      </c>
      <c r="AH17" s="10">
        <v>-24000</v>
      </c>
      <c r="AI17" s="10">
        <v>-8000</v>
      </c>
      <c r="AJ17" s="10">
        <v>63000</v>
      </c>
      <c r="AK17" s="10">
        <v>-5000</v>
      </c>
      <c r="AL17" s="10">
        <v>74000</v>
      </c>
      <c r="AM17" s="10">
        <v>0</v>
      </c>
      <c r="AN17" s="10">
        <v>-4000</v>
      </c>
      <c r="AO17" s="10">
        <v>-6000</v>
      </c>
      <c r="AP17" s="10">
        <v>-7000</v>
      </c>
      <c r="AQ17" s="10">
        <v>-5500</v>
      </c>
      <c r="AR17" s="10">
        <v>-5500</v>
      </c>
      <c r="AS17" s="10">
        <v>-5000</v>
      </c>
      <c r="AT17" s="10">
        <v>-5000</v>
      </c>
      <c r="AU17" s="10">
        <v>0</v>
      </c>
      <c r="AV17" s="10">
        <v>0</v>
      </c>
      <c r="AW17" s="10">
        <f t="shared" si="0"/>
        <v>-38000</v>
      </c>
    </row>
    <row r="18" spans="1:49" x14ac:dyDescent="0.2">
      <c r="A18" s="9" t="s">
        <v>65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-146391.93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f t="shared" si="0"/>
        <v>-146391.93</v>
      </c>
    </row>
    <row r="19" spans="1:49" x14ac:dyDescent="0.2">
      <c r="A19" s="9" t="s">
        <v>66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-2500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9494.6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-39.549999999999997</v>
      </c>
      <c r="AH19" s="10">
        <v>-39.549999999999997</v>
      </c>
      <c r="AI19" s="10">
        <v>-39.549999999999997</v>
      </c>
      <c r="AJ19" s="10">
        <v>-39.549999999999997</v>
      </c>
      <c r="AK19" s="10">
        <v>-39.549999999999997</v>
      </c>
      <c r="AL19" s="10">
        <v>197.75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12888.55</v>
      </c>
      <c r="AT19" s="10">
        <v>0</v>
      </c>
      <c r="AU19" s="10">
        <v>0</v>
      </c>
      <c r="AV19" s="10">
        <v>0</v>
      </c>
      <c r="AW19" s="10">
        <f t="shared" si="0"/>
        <v>19883.149999999998</v>
      </c>
    </row>
    <row r="20" spans="1:49" x14ac:dyDescent="0.2">
      <c r="A20" s="9" t="s">
        <v>67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-2342.4</v>
      </c>
      <c r="S20" s="10">
        <v>-38.4</v>
      </c>
      <c r="T20" s="10">
        <v>-38.4</v>
      </c>
      <c r="U20" s="10">
        <v>-38.4</v>
      </c>
      <c r="V20" s="10">
        <v>-38.4</v>
      </c>
      <c r="W20" s="10">
        <v>-38.4</v>
      </c>
      <c r="X20" s="10">
        <v>-38.4</v>
      </c>
      <c r="Y20" s="10">
        <v>-38.4</v>
      </c>
      <c r="Z20" s="10">
        <v>-38.4</v>
      </c>
      <c r="AA20" s="10">
        <v>-38.4</v>
      </c>
      <c r="AB20" s="10">
        <v>-38.4</v>
      </c>
      <c r="AC20" s="10">
        <v>-38.4</v>
      </c>
      <c r="AD20" s="10">
        <v>-39.549999999999997</v>
      </c>
      <c r="AE20" s="10">
        <v>-39.549999999999997</v>
      </c>
      <c r="AF20" s="10">
        <v>-39.549999999999997</v>
      </c>
      <c r="AG20" s="10">
        <v>0</v>
      </c>
      <c r="AH20" s="10">
        <v>0</v>
      </c>
      <c r="AI20" s="10">
        <v>0</v>
      </c>
      <c r="AJ20" s="10">
        <v>-6000</v>
      </c>
      <c r="AK20" s="10">
        <v>0</v>
      </c>
      <c r="AL20" s="10">
        <v>-237.3</v>
      </c>
      <c r="AM20" s="10">
        <v>0</v>
      </c>
      <c r="AN20" s="10">
        <v>-39.549999999999997</v>
      </c>
      <c r="AO20" s="10">
        <v>-39.549999999999997</v>
      </c>
      <c r="AP20" s="10">
        <v>-39.57</v>
      </c>
      <c r="AQ20" s="10">
        <v>-40.74</v>
      </c>
      <c r="AR20" s="10">
        <v>-40.74</v>
      </c>
      <c r="AS20" s="10">
        <v>-40.74</v>
      </c>
      <c r="AT20" s="10">
        <v>0</v>
      </c>
      <c r="AU20" s="10">
        <v>0</v>
      </c>
      <c r="AV20" s="10">
        <v>0</v>
      </c>
      <c r="AW20" s="10">
        <f t="shared" si="0"/>
        <v>-9361.6399999999976</v>
      </c>
    </row>
    <row r="21" spans="1:49" x14ac:dyDescent="0.2">
      <c r="A21" s="9" t="s">
        <v>68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-18989.2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-11001.83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-10516.25</v>
      </c>
      <c r="AS21" s="10">
        <v>0</v>
      </c>
      <c r="AT21" s="10">
        <v>0</v>
      </c>
      <c r="AU21" s="10">
        <v>0</v>
      </c>
      <c r="AV21" s="10">
        <v>0</v>
      </c>
      <c r="AW21" s="10">
        <f t="shared" si="0"/>
        <v>-40507.279999999999</v>
      </c>
    </row>
    <row r="22" spans="1:49" x14ac:dyDescent="0.2">
      <c r="A22" s="9" t="s">
        <v>69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-560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-8648.5400000000009</v>
      </c>
      <c r="AS22" s="10">
        <v>-25777.1</v>
      </c>
      <c r="AT22" s="10">
        <v>-15339.21</v>
      </c>
      <c r="AU22" s="10">
        <v>0</v>
      </c>
      <c r="AV22" s="10">
        <v>0</v>
      </c>
      <c r="AW22" s="10">
        <f t="shared" si="0"/>
        <v>-50324.85</v>
      </c>
    </row>
    <row r="23" spans="1:49" x14ac:dyDescent="0.2">
      <c r="A23" s="11" t="s">
        <v>70</v>
      </c>
      <c r="B23" s="12">
        <f t="shared" ref="B23:AW23" si="1">SUM(B11:B22)</f>
        <v>806978.52</v>
      </c>
      <c r="C23" s="12">
        <f t="shared" si="1"/>
        <v>863070.99</v>
      </c>
      <c r="D23" s="12">
        <f t="shared" si="1"/>
        <v>965824.9</v>
      </c>
      <c r="E23" s="12">
        <f t="shared" si="1"/>
        <v>686099.87</v>
      </c>
      <c r="F23" s="12">
        <f t="shared" si="1"/>
        <v>782568.85</v>
      </c>
      <c r="G23" s="12">
        <f t="shared" si="1"/>
        <v>744147.39</v>
      </c>
      <c r="H23" s="12">
        <f t="shared" si="1"/>
        <v>1145894.05</v>
      </c>
      <c r="I23" s="12">
        <f t="shared" si="1"/>
        <v>1147557.3700000001</v>
      </c>
      <c r="J23" s="12">
        <f t="shared" si="1"/>
        <v>948029.9</v>
      </c>
      <c r="K23" s="12">
        <f t="shared" si="1"/>
        <v>811216.11</v>
      </c>
      <c r="L23" s="12">
        <f t="shared" si="1"/>
        <v>973223.96</v>
      </c>
      <c r="M23" s="12">
        <f t="shared" si="1"/>
        <v>1095905.94</v>
      </c>
      <c r="N23" s="12">
        <f t="shared" si="1"/>
        <v>0</v>
      </c>
      <c r="O23" s="12">
        <f t="shared" si="1"/>
        <v>870244.80999999994</v>
      </c>
      <c r="P23" s="12">
        <f t="shared" si="1"/>
        <v>777491.19</v>
      </c>
      <c r="Q23" s="12">
        <f t="shared" si="1"/>
        <v>1451265.1099999999</v>
      </c>
      <c r="R23" s="12">
        <f t="shared" si="1"/>
        <v>1492148.42</v>
      </c>
      <c r="S23" s="12">
        <f t="shared" si="1"/>
        <v>1197646.7700000003</v>
      </c>
      <c r="T23" s="12">
        <f t="shared" si="1"/>
        <v>1084514.21</v>
      </c>
      <c r="U23" s="12">
        <f t="shared" si="1"/>
        <v>1126585.3</v>
      </c>
      <c r="V23" s="12">
        <f t="shared" si="1"/>
        <v>987279.59</v>
      </c>
      <c r="W23" s="12">
        <f t="shared" si="1"/>
        <v>1086156.3800000001</v>
      </c>
      <c r="X23" s="12">
        <f t="shared" si="1"/>
        <v>1092757.27</v>
      </c>
      <c r="Y23" s="12">
        <f t="shared" si="1"/>
        <v>1147169.2000000002</v>
      </c>
      <c r="Z23" s="12">
        <f t="shared" si="1"/>
        <v>1011336.2300000001</v>
      </c>
      <c r="AA23" s="12">
        <f t="shared" si="1"/>
        <v>1005787.85</v>
      </c>
      <c r="AB23" s="12">
        <f t="shared" si="1"/>
        <v>1078849.26</v>
      </c>
      <c r="AC23" s="12">
        <f t="shared" si="1"/>
        <v>1346282.37</v>
      </c>
      <c r="AD23" s="12">
        <f t="shared" si="1"/>
        <v>1146848.58</v>
      </c>
      <c r="AE23" s="12">
        <f t="shared" si="1"/>
        <v>1195156.4699999997</v>
      </c>
      <c r="AF23" s="12">
        <f t="shared" si="1"/>
        <v>1315462.05</v>
      </c>
      <c r="AG23" s="12">
        <f t="shared" si="1"/>
        <v>781051.24999999988</v>
      </c>
      <c r="AH23" s="12">
        <f t="shared" si="1"/>
        <v>1667979.3800000001</v>
      </c>
      <c r="AI23" s="12">
        <f t="shared" si="1"/>
        <v>1191733.99</v>
      </c>
      <c r="AJ23" s="12">
        <f t="shared" si="1"/>
        <v>1614343.17</v>
      </c>
      <c r="AK23" s="12">
        <f t="shared" si="1"/>
        <v>1613924.27</v>
      </c>
      <c r="AL23" s="12">
        <f t="shared" si="1"/>
        <v>1442678.26</v>
      </c>
      <c r="AM23" s="12">
        <f t="shared" si="1"/>
        <v>0</v>
      </c>
      <c r="AN23" s="12">
        <f t="shared" si="1"/>
        <v>1396791.8199999998</v>
      </c>
      <c r="AO23" s="12">
        <f t="shared" si="1"/>
        <v>1454087.5399999998</v>
      </c>
      <c r="AP23" s="12">
        <f t="shared" si="1"/>
        <v>1753345.78</v>
      </c>
      <c r="AQ23" s="12">
        <f t="shared" si="1"/>
        <v>1335880.0100000002</v>
      </c>
      <c r="AR23" s="12">
        <f t="shared" si="1"/>
        <v>1412363.27</v>
      </c>
      <c r="AS23" s="12">
        <f t="shared" si="1"/>
        <v>1435479.58</v>
      </c>
      <c r="AT23" s="12">
        <f t="shared" si="1"/>
        <v>1490673.84</v>
      </c>
      <c r="AU23" s="12">
        <f t="shared" si="1"/>
        <v>29600</v>
      </c>
      <c r="AV23" s="12">
        <f t="shared" si="1"/>
        <v>0</v>
      </c>
      <c r="AW23" s="12">
        <f t="shared" si="1"/>
        <v>50003431.069999985</v>
      </c>
    </row>
    <row r="24" spans="1:49" x14ac:dyDescent="0.2">
      <c r="A24" s="8" t="s">
        <v>71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1:49" x14ac:dyDescent="0.2">
      <c r="A25" s="9" t="s">
        <v>72</v>
      </c>
      <c r="B25" s="10">
        <v>3500</v>
      </c>
      <c r="C25" s="10">
        <v>3500</v>
      </c>
      <c r="D25" s="10">
        <v>3500</v>
      </c>
      <c r="E25" s="10">
        <v>3500</v>
      </c>
      <c r="F25" s="10">
        <v>3500</v>
      </c>
      <c r="G25" s="10">
        <v>3500</v>
      </c>
      <c r="H25" s="10">
        <v>3500</v>
      </c>
      <c r="I25" s="10">
        <v>3500</v>
      </c>
      <c r="J25" s="10">
        <v>3500</v>
      </c>
      <c r="K25" s="10">
        <v>3500</v>
      </c>
      <c r="L25" s="10">
        <v>3500</v>
      </c>
      <c r="M25" s="10">
        <v>3500</v>
      </c>
      <c r="N25" s="10">
        <v>0</v>
      </c>
      <c r="O25" s="10">
        <v>3500</v>
      </c>
      <c r="P25" s="10">
        <v>3500</v>
      </c>
      <c r="Q25" s="10">
        <v>3500</v>
      </c>
      <c r="R25" s="10">
        <v>3500</v>
      </c>
      <c r="S25" s="10">
        <v>3500</v>
      </c>
      <c r="T25" s="10">
        <v>3500</v>
      </c>
      <c r="U25" s="10">
        <v>3500</v>
      </c>
      <c r="V25" s="10">
        <v>3500</v>
      </c>
      <c r="W25" s="10">
        <v>3500</v>
      </c>
      <c r="X25" s="10">
        <v>3500</v>
      </c>
      <c r="Y25" s="10">
        <v>3500</v>
      </c>
      <c r="Z25" s="10">
        <v>3500</v>
      </c>
      <c r="AA25" s="10">
        <v>4700</v>
      </c>
      <c r="AB25" s="10">
        <v>4700</v>
      </c>
      <c r="AC25" s="10">
        <v>4700</v>
      </c>
      <c r="AD25" s="10">
        <v>4700</v>
      </c>
      <c r="AE25" s="10">
        <v>4700</v>
      </c>
      <c r="AF25" s="10">
        <v>4700</v>
      </c>
      <c r="AG25" s="10">
        <v>4700</v>
      </c>
      <c r="AH25" s="10">
        <v>4700</v>
      </c>
      <c r="AI25" s="10">
        <v>4700</v>
      </c>
      <c r="AJ25" s="10">
        <v>4700</v>
      </c>
      <c r="AK25" s="10">
        <v>4700</v>
      </c>
      <c r="AL25" s="10">
        <v>4700</v>
      </c>
      <c r="AM25" s="10">
        <v>0</v>
      </c>
      <c r="AN25" s="10">
        <v>4700</v>
      </c>
      <c r="AO25" s="10">
        <v>4700</v>
      </c>
      <c r="AP25" s="10">
        <v>4700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f t="shared" ref="AW25:AW39" si="2">SUM(B25:AV25)</f>
        <v>154500</v>
      </c>
    </row>
    <row r="26" spans="1:49" x14ac:dyDescent="0.2">
      <c r="A26" s="9" t="s">
        <v>73</v>
      </c>
      <c r="B26" s="10">
        <v>7792.79</v>
      </c>
      <c r="C26" s="10">
        <v>-7792.79</v>
      </c>
      <c r="D26" s="10">
        <v>0</v>
      </c>
      <c r="E26" s="10">
        <v>0</v>
      </c>
      <c r="F26" s="10">
        <v>0</v>
      </c>
      <c r="G26" s="10">
        <v>0</v>
      </c>
      <c r="H26" s="10">
        <v>3052.67</v>
      </c>
      <c r="I26" s="10">
        <v>0</v>
      </c>
      <c r="J26" s="10">
        <v>0</v>
      </c>
      <c r="K26" s="10">
        <v>14701.83</v>
      </c>
      <c r="L26" s="10">
        <v>12679.21</v>
      </c>
      <c r="M26" s="10">
        <v>-3052.67</v>
      </c>
      <c r="N26" s="10">
        <v>0</v>
      </c>
      <c r="O26" s="10">
        <v>1674.9</v>
      </c>
      <c r="P26" s="10">
        <v>0</v>
      </c>
      <c r="Q26" s="10">
        <v>4925.55</v>
      </c>
      <c r="R26" s="10">
        <v>0</v>
      </c>
      <c r="S26" s="10">
        <v>34237.370000000003</v>
      </c>
      <c r="T26" s="10">
        <v>11456.18</v>
      </c>
      <c r="U26" s="10">
        <v>5951.45</v>
      </c>
      <c r="V26" s="10">
        <v>25.08</v>
      </c>
      <c r="W26" s="10">
        <v>1228.56</v>
      </c>
      <c r="X26" s="10">
        <v>0</v>
      </c>
      <c r="Y26" s="10">
        <v>8398.6299999999992</v>
      </c>
      <c r="Z26" s="10">
        <v>4550.8599999999997</v>
      </c>
      <c r="AA26" s="10">
        <v>6513.99</v>
      </c>
      <c r="AB26" s="10">
        <v>24884.17</v>
      </c>
      <c r="AC26" s="10">
        <v>17449.72</v>
      </c>
      <c r="AD26" s="10">
        <v>7858.6</v>
      </c>
      <c r="AE26" s="10">
        <v>0</v>
      </c>
      <c r="AF26" s="10">
        <v>0</v>
      </c>
      <c r="AG26" s="10">
        <v>0</v>
      </c>
      <c r="AH26" s="10">
        <v>0</v>
      </c>
      <c r="AI26" s="10">
        <v>3293.67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f t="shared" si="2"/>
        <v>159829.77000000005</v>
      </c>
    </row>
    <row r="27" spans="1:49" x14ac:dyDescent="0.2">
      <c r="A27" s="9" t="s">
        <v>74</v>
      </c>
      <c r="B27" s="10">
        <v>-7792.79</v>
      </c>
      <c r="C27" s="10">
        <v>1615.77</v>
      </c>
      <c r="D27" s="10">
        <v>0</v>
      </c>
      <c r="E27" s="10">
        <v>1615.22</v>
      </c>
      <c r="F27" s="10">
        <v>0</v>
      </c>
      <c r="G27" s="10">
        <v>7792.79</v>
      </c>
      <c r="H27" s="10">
        <v>1615.24</v>
      </c>
      <c r="I27" s="10">
        <v>0</v>
      </c>
      <c r="J27" s="10">
        <v>0</v>
      </c>
      <c r="K27" s="10">
        <v>-4846.2299999999996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f t="shared" si="2"/>
        <v>0</v>
      </c>
    </row>
    <row r="28" spans="1:49" x14ac:dyDescent="0.2">
      <c r="A28" s="9" t="s">
        <v>75</v>
      </c>
      <c r="B28" s="10">
        <v>3309.12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111.12</v>
      </c>
      <c r="L28" s="10">
        <v>0</v>
      </c>
      <c r="M28" s="10">
        <v>465.81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f t="shared" si="2"/>
        <v>3886.0499999999997</v>
      </c>
    </row>
    <row r="29" spans="1:49" x14ac:dyDescent="0.2">
      <c r="A29" s="9" t="s">
        <v>76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39900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f t="shared" si="2"/>
        <v>39900</v>
      </c>
    </row>
    <row r="30" spans="1:49" x14ac:dyDescent="0.2">
      <c r="A30" s="9" t="s">
        <v>77</v>
      </c>
      <c r="B30" s="10">
        <v>-402.95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-1987.48</v>
      </c>
      <c r="S30" s="10">
        <v>-110.77</v>
      </c>
      <c r="T30" s="10">
        <v>0</v>
      </c>
      <c r="U30" s="10">
        <v>87.3</v>
      </c>
      <c r="V30" s="10">
        <v>591.16999999999996</v>
      </c>
      <c r="W30" s="10">
        <v>0</v>
      </c>
      <c r="X30" s="10">
        <v>0</v>
      </c>
      <c r="Y30" s="10">
        <v>37462.86</v>
      </c>
      <c r="Z30" s="10">
        <v>3607.08</v>
      </c>
      <c r="AA30" s="10">
        <v>0</v>
      </c>
      <c r="AB30" s="10">
        <v>0</v>
      </c>
      <c r="AC30" s="10">
        <v>0</v>
      </c>
      <c r="AD30" s="10">
        <v>2275.63</v>
      </c>
      <c r="AE30" s="10">
        <v>-3340.7</v>
      </c>
      <c r="AF30" s="10">
        <v>0</v>
      </c>
      <c r="AG30" s="10">
        <v>5629.89</v>
      </c>
      <c r="AH30" s="10">
        <v>54050.84</v>
      </c>
      <c r="AI30" s="10">
        <v>0</v>
      </c>
      <c r="AJ30" s="10">
        <v>0</v>
      </c>
      <c r="AK30" s="10">
        <v>0</v>
      </c>
      <c r="AL30" s="10">
        <v>14977.09</v>
      </c>
      <c r="AM30" s="10">
        <v>0</v>
      </c>
      <c r="AN30" s="10">
        <v>0</v>
      </c>
      <c r="AO30" s="10">
        <v>0</v>
      </c>
      <c r="AP30" s="10">
        <v>-0.02</v>
      </c>
      <c r="AQ30" s="10">
        <v>203.37</v>
      </c>
      <c r="AR30" s="10">
        <v>0</v>
      </c>
      <c r="AS30" s="10">
        <v>4245.63</v>
      </c>
      <c r="AT30" s="10">
        <v>0</v>
      </c>
      <c r="AU30" s="10">
        <v>0</v>
      </c>
      <c r="AV30" s="10">
        <v>0</v>
      </c>
      <c r="AW30" s="10">
        <f t="shared" si="2"/>
        <v>117288.93999999999</v>
      </c>
    </row>
    <row r="31" spans="1:49" x14ac:dyDescent="0.2">
      <c r="A31" s="9" t="s">
        <v>78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181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1091.5999999999999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f t="shared" si="2"/>
        <v>1272.5999999999999</v>
      </c>
    </row>
    <row r="32" spans="1:49" x14ac:dyDescent="0.2">
      <c r="A32" s="9" t="s">
        <v>79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-0.01</v>
      </c>
      <c r="V32" s="10">
        <v>-0.01</v>
      </c>
      <c r="W32" s="10">
        <v>0</v>
      </c>
      <c r="X32" s="10">
        <v>0</v>
      </c>
      <c r="Y32" s="10">
        <v>0.02</v>
      </c>
      <c r="Z32" s="10">
        <v>0</v>
      </c>
      <c r="AA32" s="10">
        <v>0</v>
      </c>
      <c r="AB32" s="10">
        <v>0</v>
      </c>
      <c r="AC32" s="10">
        <v>0</v>
      </c>
      <c r="AD32" s="10">
        <v>0.01</v>
      </c>
      <c r="AE32" s="10">
        <v>-0.02</v>
      </c>
      <c r="AF32" s="10">
        <v>0</v>
      </c>
      <c r="AG32" s="10">
        <v>0</v>
      </c>
      <c r="AH32" s="10">
        <v>0.01</v>
      </c>
      <c r="AI32" s="10">
        <v>-0.01</v>
      </c>
      <c r="AJ32" s="10">
        <v>0</v>
      </c>
      <c r="AK32" s="10">
        <v>0</v>
      </c>
      <c r="AL32" s="10">
        <v>0.01</v>
      </c>
      <c r="AM32" s="10">
        <v>0</v>
      </c>
      <c r="AN32" s="10">
        <v>0</v>
      </c>
      <c r="AO32" s="10">
        <v>0.01</v>
      </c>
      <c r="AP32" s="10">
        <v>0.01</v>
      </c>
      <c r="AQ32" s="10">
        <v>0</v>
      </c>
      <c r="AR32" s="10">
        <v>0</v>
      </c>
      <c r="AS32" s="10">
        <v>-0.03</v>
      </c>
      <c r="AT32" s="10">
        <v>0</v>
      </c>
      <c r="AU32" s="10">
        <v>0</v>
      </c>
      <c r="AV32" s="10">
        <v>0</v>
      </c>
      <c r="AW32" s="10">
        <f t="shared" si="2"/>
        <v>-9.9999999999999985E-3</v>
      </c>
    </row>
    <row r="33" spans="1:49" x14ac:dyDescent="0.2">
      <c r="A33" s="9" t="s">
        <v>80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25416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f t="shared" si="2"/>
        <v>25416</v>
      </c>
    </row>
    <row r="34" spans="1:49" x14ac:dyDescent="0.2">
      <c r="A34" s="9" t="s">
        <v>81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3610.03</v>
      </c>
      <c r="P34" s="10">
        <v>3610.03</v>
      </c>
      <c r="Q34" s="10">
        <v>3610.03</v>
      </c>
      <c r="R34" s="10">
        <v>3610.03</v>
      </c>
      <c r="S34" s="10">
        <v>3610.03</v>
      </c>
      <c r="T34" s="10">
        <v>202.5</v>
      </c>
      <c r="U34" s="10">
        <v>202.5</v>
      </c>
      <c r="V34" s="10">
        <v>202.5</v>
      </c>
      <c r="W34" s="10">
        <v>202.5</v>
      </c>
      <c r="X34" s="10">
        <v>202.5</v>
      </c>
      <c r="Y34" s="10">
        <v>202.5</v>
      </c>
      <c r="Z34" s="10">
        <v>-16835.150000000001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f t="shared" si="2"/>
        <v>2430</v>
      </c>
    </row>
    <row r="35" spans="1:49" x14ac:dyDescent="0.2">
      <c r="A35" s="9" t="s">
        <v>82</v>
      </c>
      <c r="B35" s="10">
        <v>6868.02</v>
      </c>
      <c r="C35" s="10">
        <v>7419.28</v>
      </c>
      <c r="D35" s="10">
        <v>7143.65</v>
      </c>
      <c r="E35" s="10">
        <v>7237.4</v>
      </c>
      <c r="F35" s="10">
        <v>7156.25</v>
      </c>
      <c r="G35" s="10">
        <v>7155</v>
      </c>
      <c r="H35" s="10">
        <v>6303.51</v>
      </c>
      <c r="I35" s="10">
        <v>6303.51</v>
      </c>
      <c r="J35" s="10">
        <v>6303.51</v>
      </c>
      <c r="K35" s="10">
        <v>6132.53</v>
      </c>
      <c r="L35" s="10">
        <v>6500.78</v>
      </c>
      <c r="M35" s="10">
        <v>10790.39</v>
      </c>
      <c r="N35" s="10">
        <v>0</v>
      </c>
      <c r="O35" s="10">
        <v>3550.51</v>
      </c>
      <c r="P35" s="10">
        <v>3550.51</v>
      </c>
      <c r="Q35" s="10">
        <v>1981.87</v>
      </c>
      <c r="R35" s="10">
        <v>3027.63</v>
      </c>
      <c r="S35" s="10">
        <v>3027.63</v>
      </c>
      <c r="T35" s="10">
        <v>5891.1</v>
      </c>
      <c r="U35" s="10">
        <v>5891.1</v>
      </c>
      <c r="V35" s="10">
        <v>5891.1</v>
      </c>
      <c r="W35" s="10">
        <v>5891.1</v>
      </c>
      <c r="X35" s="10">
        <v>5891.1</v>
      </c>
      <c r="Y35" s="10">
        <v>5891.1</v>
      </c>
      <c r="Z35" s="10">
        <v>24825.77</v>
      </c>
      <c r="AA35" s="10">
        <v>8333.6</v>
      </c>
      <c r="AB35" s="10">
        <v>8333.6</v>
      </c>
      <c r="AC35" s="10">
        <v>8300.8799999999992</v>
      </c>
      <c r="AD35" s="10">
        <v>8430.25</v>
      </c>
      <c r="AE35" s="10">
        <v>7180.27</v>
      </c>
      <c r="AF35" s="10">
        <v>7455.9</v>
      </c>
      <c r="AG35" s="10">
        <v>7180.27</v>
      </c>
      <c r="AH35" s="10">
        <v>7180.27</v>
      </c>
      <c r="AI35" s="10">
        <v>6904.64</v>
      </c>
      <c r="AJ35" s="10">
        <v>7180.27</v>
      </c>
      <c r="AK35" s="10">
        <v>7180.27</v>
      </c>
      <c r="AL35" s="10">
        <v>7180.27</v>
      </c>
      <c r="AM35" s="10">
        <v>0</v>
      </c>
      <c r="AN35" s="10">
        <v>7180.27</v>
      </c>
      <c r="AO35" s="10">
        <v>7180.27</v>
      </c>
      <c r="AP35" s="10">
        <v>7180.27</v>
      </c>
      <c r="AQ35" s="10">
        <v>7180.27</v>
      </c>
      <c r="AR35" s="10">
        <v>6860.18</v>
      </c>
      <c r="AS35" s="10">
        <v>7180.27</v>
      </c>
      <c r="AT35" s="10">
        <v>275.63</v>
      </c>
      <c r="AU35" s="10">
        <v>0</v>
      </c>
      <c r="AV35" s="10">
        <v>0</v>
      </c>
      <c r="AW35" s="10">
        <f t="shared" si="2"/>
        <v>294502</v>
      </c>
    </row>
    <row r="36" spans="1:49" x14ac:dyDescent="0.2">
      <c r="A36" s="9" t="s">
        <v>83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14.29</v>
      </c>
      <c r="Y36" s="10">
        <v>21.85</v>
      </c>
      <c r="Z36" s="10">
        <v>42.86</v>
      </c>
      <c r="AA36" s="10">
        <v>52.94</v>
      </c>
      <c r="AB36" s="10">
        <v>52.94</v>
      </c>
      <c r="AC36" s="10">
        <v>63.86</v>
      </c>
      <c r="AD36" s="10">
        <v>63.86</v>
      </c>
      <c r="AE36" s="10">
        <v>63.86</v>
      </c>
      <c r="AF36" s="10">
        <v>72.260000000000005</v>
      </c>
      <c r="AG36" s="10">
        <v>87.39</v>
      </c>
      <c r="AH36" s="10">
        <v>87.39</v>
      </c>
      <c r="AI36" s="10">
        <v>87.39</v>
      </c>
      <c r="AJ36" s="10">
        <v>87.39</v>
      </c>
      <c r="AK36" s="10">
        <v>79.83</v>
      </c>
      <c r="AL36" s="10">
        <v>94.96</v>
      </c>
      <c r="AM36" s="10">
        <v>0</v>
      </c>
      <c r="AN36" s="10">
        <v>79.83</v>
      </c>
      <c r="AO36" s="10">
        <v>94.96</v>
      </c>
      <c r="AP36" s="10">
        <v>102.52</v>
      </c>
      <c r="AQ36" s="10">
        <v>163.88</v>
      </c>
      <c r="AR36" s="10">
        <v>163.88</v>
      </c>
      <c r="AS36" s="10">
        <v>163.88</v>
      </c>
      <c r="AT36" s="10">
        <v>0</v>
      </c>
      <c r="AU36" s="10">
        <v>0</v>
      </c>
      <c r="AV36" s="10">
        <v>0</v>
      </c>
      <c r="AW36" s="10">
        <f t="shared" si="2"/>
        <v>1742.0200000000004</v>
      </c>
    </row>
    <row r="37" spans="1:49" x14ac:dyDescent="0.2">
      <c r="A37" s="9" t="s">
        <v>84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396.27</v>
      </c>
      <c r="J37" s="10">
        <v>0</v>
      </c>
      <c r="K37" s="10">
        <v>0</v>
      </c>
      <c r="L37" s="10">
        <v>0</v>
      </c>
      <c r="M37" s="10">
        <v>987.72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398.13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873.77</v>
      </c>
      <c r="AA37" s="10">
        <v>0</v>
      </c>
      <c r="AB37" s="10">
        <v>0</v>
      </c>
      <c r="AC37" s="10">
        <v>0</v>
      </c>
      <c r="AD37" s="10">
        <v>0</v>
      </c>
      <c r="AE37" s="10">
        <v>460.59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647.58000000000004</v>
      </c>
      <c r="AS37" s="10">
        <v>0</v>
      </c>
      <c r="AT37" s="10">
        <v>0</v>
      </c>
      <c r="AU37" s="10">
        <v>0</v>
      </c>
      <c r="AV37" s="10">
        <v>0</v>
      </c>
      <c r="AW37" s="10">
        <f t="shared" si="2"/>
        <v>3764.06</v>
      </c>
    </row>
    <row r="38" spans="1:49" x14ac:dyDescent="0.2">
      <c r="A38" s="9" t="s">
        <v>85</v>
      </c>
      <c r="B38" s="10">
        <v>0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200.81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f t="shared" si="2"/>
        <v>200.81</v>
      </c>
    </row>
    <row r="39" spans="1:49" x14ac:dyDescent="0.2">
      <c r="A39" s="9" t="s">
        <v>86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488375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f t="shared" si="2"/>
        <v>488375</v>
      </c>
    </row>
    <row r="40" spans="1:49" x14ac:dyDescent="0.2">
      <c r="A40" s="13" t="s">
        <v>87</v>
      </c>
      <c r="B40" s="14">
        <f t="shared" ref="B40:AW40" si="3">SUM(B25:B39)</f>
        <v>13274.190000000002</v>
      </c>
      <c r="C40" s="14">
        <f t="shared" si="3"/>
        <v>4742.26</v>
      </c>
      <c r="D40" s="14">
        <f t="shared" si="3"/>
        <v>10643.65</v>
      </c>
      <c r="E40" s="14">
        <f t="shared" si="3"/>
        <v>12352.619999999999</v>
      </c>
      <c r="F40" s="14">
        <f t="shared" si="3"/>
        <v>10656.25</v>
      </c>
      <c r="G40" s="14">
        <f t="shared" si="3"/>
        <v>18447.79</v>
      </c>
      <c r="H40" s="14">
        <f t="shared" si="3"/>
        <v>14471.42</v>
      </c>
      <c r="I40" s="14">
        <f t="shared" si="3"/>
        <v>10199.780000000001</v>
      </c>
      <c r="J40" s="14">
        <f t="shared" si="3"/>
        <v>9803.51</v>
      </c>
      <c r="K40" s="14">
        <f t="shared" si="3"/>
        <v>19599.250000000004</v>
      </c>
      <c r="L40" s="14">
        <f t="shared" si="3"/>
        <v>22679.989999999998</v>
      </c>
      <c r="M40" s="14">
        <f t="shared" si="3"/>
        <v>12691.249999999998</v>
      </c>
      <c r="N40" s="14">
        <f t="shared" si="3"/>
        <v>0</v>
      </c>
      <c r="O40" s="14">
        <f t="shared" si="3"/>
        <v>12335.44</v>
      </c>
      <c r="P40" s="14">
        <f t="shared" si="3"/>
        <v>10660.54</v>
      </c>
      <c r="Q40" s="14">
        <f t="shared" si="3"/>
        <v>14017.45</v>
      </c>
      <c r="R40" s="14">
        <f t="shared" si="3"/>
        <v>8331.18</v>
      </c>
      <c r="S40" s="14">
        <f t="shared" si="3"/>
        <v>44662.39</v>
      </c>
      <c r="T40" s="14">
        <f t="shared" si="3"/>
        <v>21049.78</v>
      </c>
      <c r="U40" s="14">
        <f t="shared" si="3"/>
        <v>15632.34</v>
      </c>
      <c r="V40" s="14">
        <f t="shared" si="3"/>
        <v>10209.84</v>
      </c>
      <c r="W40" s="14">
        <f t="shared" si="3"/>
        <v>10822.16</v>
      </c>
      <c r="X40" s="14">
        <f t="shared" si="3"/>
        <v>9808.7000000000007</v>
      </c>
      <c r="Y40" s="14">
        <f t="shared" si="3"/>
        <v>55476.959999999992</v>
      </c>
      <c r="Z40" s="14">
        <f t="shared" si="3"/>
        <v>21656.789999999997</v>
      </c>
      <c r="AA40" s="14">
        <f t="shared" si="3"/>
        <v>19600.53</v>
      </c>
      <c r="AB40" s="14">
        <f t="shared" si="3"/>
        <v>37970.71</v>
      </c>
      <c r="AC40" s="14">
        <f t="shared" si="3"/>
        <v>30514.46</v>
      </c>
      <c r="AD40" s="14">
        <f t="shared" si="3"/>
        <v>23328.35</v>
      </c>
      <c r="AE40" s="14">
        <f t="shared" si="3"/>
        <v>9064.0000000000018</v>
      </c>
      <c r="AF40" s="14">
        <f t="shared" si="3"/>
        <v>12228.16</v>
      </c>
      <c r="AG40" s="14">
        <f t="shared" si="3"/>
        <v>17597.55</v>
      </c>
      <c r="AH40" s="14">
        <f t="shared" si="3"/>
        <v>105918.51</v>
      </c>
      <c r="AI40" s="14">
        <f t="shared" si="3"/>
        <v>14985.689999999999</v>
      </c>
      <c r="AJ40" s="14">
        <f t="shared" si="3"/>
        <v>11967.66</v>
      </c>
      <c r="AK40" s="14">
        <f t="shared" si="3"/>
        <v>11960.1</v>
      </c>
      <c r="AL40" s="14">
        <f t="shared" si="3"/>
        <v>540743.32999999996</v>
      </c>
      <c r="AM40" s="14">
        <f t="shared" si="3"/>
        <v>0</v>
      </c>
      <c r="AN40" s="14">
        <f t="shared" si="3"/>
        <v>11960.1</v>
      </c>
      <c r="AO40" s="14">
        <f t="shared" si="3"/>
        <v>11975.24</v>
      </c>
      <c r="AP40" s="14">
        <f t="shared" si="3"/>
        <v>11982.78</v>
      </c>
      <c r="AQ40" s="14">
        <f t="shared" si="3"/>
        <v>7547.52</v>
      </c>
      <c r="AR40" s="14">
        <f t="shared" si="3"/>
        <v>7671.64</v>
      </c>
      <c r="AS40" s="14">
        <f t="shared" si="3"/>
        <v>11589.75</v>
      </c>
      <c r="AT40" s="14">
        <f t="shared" si="3"/>
        <v>275.63</v>
      </c>
      <c r="AU40" s="14">
        <f t="shared" si="3"/>
        <v>0</v>
      </c>
      <c r="AV40" s="14">
        <f t="shared" si="3"/>
        <v>0</v>
      </c>
      <c r="AW40" s="14">
        <f t="shared" si="3"/>
        <v>1293107.2400000002</v>
      </c>
    </row>
    <row r="41" spans="1:49" x14ac:dyDescent="0.2">
      <c r="A41" s="15" t="s">
        <v>88</v>
      </c>
      <c r="B41" s="14">
        <f t="shared" ref="B41:AW41" si="4">B23+0+0+B40</f>
        <v>820252.71</v>
      </c>
      <c r="C41" s="14">
        <f t="shared" si="4"/>
        <v>867813.25</v>
      </c>
      <c r="D41" s="14">
        <f t="shared" si="4"/>
        <v>976468.55</v>
      </c>
      <c r="E41" s="14">
        <f t="shared" si="4"/>
        <v>698452.49</v>
      </c>
      <c r="F41" s="14">
        <f t="shared" si="4"/>
        <v>793225.1</v>
      </c>
      <c r="G41" s="14">
        <f t="shared" si="4"/>
        <v>762595.18</v>
      </c>
      <c r="H41" s="14">
        <f t="shared" si="4"/>
        <v>1160365.47</v>
      </c>
      <c r="I41" s="14">
        <f t="shared" si="4"/>
        <v>1157757.1500000001</v>
      </c>
      <c r="J41" s="14">
        <f t="shared" si="4"/>
        <v>957833.41</v>
      </c>
      <c r="K41" s="14">
        <f t="shared" si="4"/>
        <v>830815.36</v>
      </c>
      <c r="L41" s="14">
        <f t="shared" si="4"/>
        <v>995903.95</v>
      </c>
      <c r="M41" s="14">
        <f t="shared" si="4"/>
        <v>1108597.19</v>
      </c>
      <c r="N41" s="14">
        <f t="shared" si="4"/>
        <v>0</v>
      </c>
      <c r="O41" s="14">
        <f t="shared" si="4"/>
        <v>882580.24999999988</v>
      </c>
      <c r="P41" s="14">
        <f t="shared" si="4"/>
        <v>788151.73</v>
      </c>
      <c r="Q41" s="14">
        <f t="shared" si="4"/>
        <v>1465282.5599999998</v>
      </c>
      <c r="R41" s="14">
        <f t="shared" si="4"/>
        <v>1500479.5999999999</v>
      </c>
      <c r="S41" s="14">
        <f t="shared" si="4"/>
        <v>1242309.1600000001</v>
      </c>
      <c r="T41" s="14">
        <f t="shared" si="4"/>
        <v>1105563.99</v>
      </c>
      <c r="U41" s="14">
        <f t="shared" si="4"/>
        <v>1142217.6400000001</v>
      </c>
      <c r="V41" s="14">
        <f t="shared" si="4"/>
        <v>997489.42999999993</v>
      </c>
      <c r="W41" s="14">
        <f t="shared" si="4"/>
        <v>1096978.54</v>
      </c>
      <c r="X41" s="14">
        <f t="shared" si="4"/>
        <v>1102565.97</v>
      </c>
      <c r="Y41" s="14">
        <f t="shared" si="4"/>
        <v>1202646.1600000001</v>
      </c>
      <c r="Z41" s="14">
        <f t="shared" si="4"/>
        <v>1032993.0200000001</v>
      </c>
      <c r="AA41" s="14">
        <f t="shared" si="4"/>
        <v>1025388.38</v>
      </c>
      <c r="AB41" s="14">
        <f t="shared" si="4"/>
        <v>1116819.97</v>
      </c>
      <c r="AC41" s="14">
        <f t="shared" si="4"/>
        <v>1376796.83</v>
      </c>
      <c r="AD41" s="14">
        <f t="shared" si="4"/>
        <v>1170176.9300000002</v>
      </c>
      <c r="AE41" s="14">
        <f t="shared" si="4"/>
        <v>1204220.4699999997</v>
      </c>
      <c r="AF41" s="14">
        <f t="shared" si="4"/>
        <v>1327690.21</v>
      </c>
      <c r="AG41" s="14">
        <f t="shared" si="4"/>
        <v>798648.79999999993</v>
      </c>
      <c r="AH41" s="14">
        <f t="shared" si="4"/>
        <v>1773897.8900000001</v>
      </c>
      <c r="AI41" s="14">
        <f t="shared" si="4"/>
        <v>1206719.68</v>
      </c>
      <c r="AJ41" s="14">
        <f t="shared" si="4"/>
        <v>1626310.8299999998</v>
      </c>
      <c r="AK41" s="14">
        <f t="shared" si="4"/>
        <v>1625884.37</v>
      </c>
      <c r="AL41" s="14">
        <f t="shared" si="4"/>
        <v>1983421.5899999999</v>
      </c>
      <c r="AM41" s="14">
        <f t="shared" si="4"/>
        <v>0</v>
      </c>
      <c r="AN41" s="14">
        <f t="shared" si="4"/>
        <v>1408751.92</v>
      </c>
      <c r="AO41" s="14">
        <f t="shared" si="4"/>
        <v>1466062.7799999998</v>
      </c>
      <c r="AP41" s="14">
        <f t="shared" si="4"/>
        <v>1765328.56</v>
      </c>
      <c r="AQ41" s="14">
        <f t="shared" si="4"/>
        <v>1343427.5300000003</v>
      </c>
      <c r="AR41" s="14">
        <f t="shared" si="4"/>
        <v>1420034.91</v>
      </c>
      <c r="AS41" s="14">
        <f t="shared" si="4"/>
        <v>1447069.33</v>
      </c>
      <c r="AT41" s="14">
        <f t="shared" si="4"/>
        <v>1490949.47</v>
      </c>
      <c r="AU41" s="14">
        <f t="shared" si="4"/>
        <v>29600</v>
      </c>
      <c r="AV41" s="14">
        <f t="shared" si="4"/>
        <v>0</v>
      </c>
      <c r="AW41" s="14">
        <f t="shared" si="4"/>
        <v>51296538.309999987</v>
      </c>
    </row>
    <row r="42" spans="1:49" x14ac:dyDescent="0.2">
      <c r="A42" s="7" t="s">
        <v>89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1:49" x14ac:dyDescent="0.2">
      <c r="A43" s="8" t="s">
        <v>90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1:49" x14ac:dyDescent="0.2">
      <c r="A44" s="9" t="s">
        <v>91</v>
      </c>
      <c r="B44" s="10">
        <v>-2151.5</v>
      </c>
      <c r="C44" s="10">
        <v>-13593.6</v>
      </c>
      <c r="D44" s="10">
        <v>-191205.31</v>
      </c>
      <c r="E44" s="10">
        <v>-4536</v>
      </c>
      <c r="F44" s="10">
        <v>-194278.83</v>
      </c>
      <c r="G44" s="10">
        <v>-185024.02</v>
      </c>
      <c r="H44" s="10">
        <v>0</v>
      </c>
      <c r="I44" s="10">
        <v>0</v>
      </c>
      <c r="J44" s="10">
        <v>-17800.759999999998</v>
      </c>
      <c r="K44" s="10">
        <v>0</v>
      </c>
      <c r="L44" s="10">
        <v>0</v>
      </c>
      <c r="M44" s="10">
        <v>0</v>
      </c>
      <c r="N44" s="10">
        <v>19890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f t="shared" ref="AW44:AW52" si="5">SUM(B44:AV44)</f>
        <v>-588700.02</v>
      </c>
    </row>
    <row r="45" spans="1:49" x14ac:dyDescent="0.2">
      <c r="A45" s="9" t="s">
        <v>92</v>
      </c>
      <c r="B45" s="10">
        <v>0</v>
      </c>
      <c r="C45" s="10">
        <v>-14214.37</v>
      </c>
      <c r="D45" s="10">
        <v>-3346.37</v>
      </c>
      <c r="E45" s="10">
        <v>0</v>
      </c>
      <c r="F45" s="10">
        <v>0</v>
      </c>
      <c r="G45" s="10">
        <v>-3346.37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20907.11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f t="shared" si="5"/>
        <v>0</v>
      </c>
    </row>
    <row r="46" spans="1:49" x14ac:dyDescent="0.2">
      <c r="A46" s="9" t="s">
        <v>93</v>
      </c>
      <c r="B46" s="10">
        <v>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-4536</v>
      </c>
      <c r="I46" s="10">
        <v>-350261.78</v>
      </c>
      <c r="J46" s="10">
        <v>-2134.06</v>
      </c>
      <c r="K46" s="10">
        <v>-19890</v>
      </c>
      <c r="L46" s="10">
        <v>0</v>
      </c>
      <c r="M46" s="10">
        <v>0</v>
      </c>
      <c r="N46" s="10">
        <v>0</v>
      </c>
      <c r="O46" s="10">
        <v>-4643.8999999999996</v>
      </c>
      <c r="P46" s="10">
        <v>-453.6</v>
      </c>
      <c r="Q46" s="10">
        <v>-207349.68</v>
      </c>
      <c r="R46" s="10">
        <v>-267421.18</v>
      </c>
      <c r="S46" s="10">
        <v>-192650.08</v>
      </c>
      <c r="T46" s="10">
        <v>-45305.7</v>
      </c>
      <c r="U46" s="10">
        <v>-2630.65</v>
      </c>
      <c r="V46" s="10">
        <v>-59304</v>
      </c>
      <c r="W46" s="10">
        <v>-45111.12</v>
      </c>
      <c r="X46" s="10">
        <v>-87130.36</v>
      </c>
      <c r="Y46" s="10">
        <v>39900</v>
      </c>
      <c r="Z46" s="10">
        <v>-1091.5999999999999</v>
      </c>
      <c r="AA46" s="10">
        <v>-2151.5</v>
      </c>
      <c r="AB46" s="10">
        <v>0</v>
      </c>
      <c r="AC46" s="10">
        <v>-25676.81</v>
      </c>
      <c r="AD46" s="10">
        <v>-25397.62</v>
      </c>
      <c r="AE46" s="10">
        <v>-18024.2</v>
      </c>
      <c r="AF46" s="10">
        <v>-151785.76999999999</v>
      </c>
      <c r="AG46" s="10">
        <v>-9565.91</v>
      </c>
      <c r="AH46" s="10">
        <v>-25164</v>
      </c>
      <c r="AI46" s="10">
        <v>-22040</v>
      </c>
      <c r="AJ46" s="10">
        <v>-72652.679999999993</v>
      </c>
      <c r="AK46" s="10">
        <v>-64125</v>
      </c>
      <c r="AL46" s="10">
        <v>0</v>
      </c>
      <c r="AM46" s="10">
        <v>0</v>
      </c>
      <c r="AN46" s="10">
        <v>-2151.5</v>
      </c>
      <c r="AO46" s="10">
        <v>-24168</v>
      </c>
      <c r="AP46" s="10">
        <v>-147890.97</v>
      </c>
      <c r="AQ46" s="10">
        <v>-7527.5</v>
      </c>
      <c r="AR46" s="10">
        <v>-19833.93</v>
      </c>
      <c r="AS46" s="10">
        <v>0</v>
      </c>
      <c r="AT46" s="10">
        <v>-3690</v>
      </c>
      <c r="AU46" s="10">
        <v>0</v>
      </c>
      <c r="AV46" s="10">
        <v>0</v>
      </c>
      <c r="AW46" s="10">
        <f t="shared" si="5"/>
        <v>-1871859.1</v>
      </c>
    </row>
    <row r="47" spans="1:49" x14ac:dyDescent="0.2">
      <c r="A47" s="9" t="s">
        <v>94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-19890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f t="shared" si="5"/>
        <v>-19890</v>
      </c>
    </row>
    <row r="48" spans="1:49" x14ac:dyDescent="0.2">
      <c r="A48" s="9" t="s">
        <v>95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3556.55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f t="shared" si="5"/>
        <v>3556.55</v>
      </c>
    </row>
    <row r="49" spans="1:49" x14ac:dyDescent="0.2">
      <c r="A49" s="9" t="s">
        <v>96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0.01</v>
      </c>
      <c r="L49" s="10">
        <v>0.01</v>
      </c>
      <c r="M49" s="10">
        <v>40.85</v>
      </c>
      <c r="N49" s="10">
        <v>0</v>
      </c>
      <c r="O49" s="10">
        <v>-0.02</v>
      </c>
      <c r="P49" s="10">
        <v>0.04</v>
      </c>
      <c r="Q49" s="10">
        <v>-0.05</v>
      </c>
      <c r="R49" s="10">
        <v>0</v>
      </c>
      <c r="S49" s="10">
        <v>0.14000000000000001</v>
      </c>
      <c r="T49" s="10">
        <v>-0.05</v>
      </c>
      <c r="U49" s="10">
        <v>-0.05</v>
      </c>
      <c r="V49" s="10">
        <v>-0.02</v>
      </c>
      <c r="W49" s="10">
        <v>-0.08</v>
      </c>
      <c r="X49" s="10">
        <v>-0.03</v>
      </c>
      <c r="Y49" s="10">
        <v>0</v>
      </c>
      <c r="Z49" s="10">
        <v>-0.08</v>
      </c>
      <c r="AA49" s="10">
        <v>-0.05</v>
      </c>
      <c r="AB49" s="10">
        <v>-16.87</v>
      </c>
      <c r="AC49" s="10">
        <v>0.02</v>
      </c>
      <c r="AD49" s="10">
        <v>16.899999999999999</v>
      </c>
      <c r="AE49" s="10">
        <v>-0.11</v>
      </c>
      <c r="AF49" s="10">
        <v>0</v>
      </c>
      <c r="AG49" s="10">
        <v>36.79</v>
      </c>
      <c r="AH49" s="10">
        <v>0.01</v>
      </c>
      <c r="AI49" s="10">
        <v>-0.01</v>
      </c>
      <c r="AJ49" s="10">
        <v>0</v>
      </c>
      <c r="AK49" s="10">
        <v>0.08</v>
      </c>
      <c r="AL49" s="10">
        <v>-16.760000000000002</v>
      </c>
      <c r="AM49" s="10">
        <v>0</v>
      </c>
      <c r="AN49" s="10">
        <v>0.12</v>
      </c>
      <c r="AO49" s="10">
        <v>-0.1</v>
      </c>
      <c r="AP49" s="10">
        <v>0</v>
      </c>
      <c r="AQ49" s="10">
        <v>0</v>
      </c>
      <c r="AR49" s="10">
        <v>-0.01</v>
      </c>
      <c r="AS49" s="10">
        <v>-0.01</v>
      </c>
      <c r="AT49" s="10">
        <v>0.01</v>
      </c>
      <c r="AU49" s="10">
        <v>0</v>
      </c>
      <c r="AV49" s="10">
        <v>0</v>
      </c>
      <c r="AW49" s="10">
        <f t="shared" si="5"/>
        <v>60.68</v>
      </c>
    </row>
    <row r="50" spans="1:49" x14ac:dyDescent="0.2">
      <c r="A50" s="9" t="s">
        <v>97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27000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1140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f t="shared" si="5"/>
        <v>28140</v>
      </c>
    </row>
    <row r="51" spans="1:49" x14ac:dyDescent="0.2">
      <c r="A51" s="9" t="s">
        <v>98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0.02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f t="shared" si="5"/>
        <v>0.02</v>
      </c>
    </row>
    <row r="52" spans="1:49" x14ac:dyDescent="0.2">
      <c r="A52" s="9" t="s">
        <v>99</v>
      </c>
      <c r="B52" s="10">
        <v>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-0.04</v>
      </c>
      <c r="AF52" s="10">
        <v>0</v>
      </c>
      <c r="AG52" s="10">
        <v>0.03</v>
      </c>
      <c r="AH52" s="10">
        <v>-0.05</v>
      </c>
      <c r="AI52" s="10">
        <v>-0.05</v>
      </c>
      <c r="AJ52" s="10">
        <v>0.03</v>
      </c>
      <c r="AK52" s="10">
        <v>0.08</v>
      </c>
      <c r="AL52" s="10">
        <v>0</v>
      </c>
      <c r="AM52" s="10">
        <v>0</v>
      </c>
      <c r="AN52" s="10">
        <v>-0.1</v>
      </c>
      <c r="AO52" s="10">
        <v>0.01</v>
      </c>
      <c r="AP52" s="10">
        <v>-0.03</v>
      </c>
      <c r="AQ52" s="10">
        <v>-0.08</v>
      </c>
      <c r="AR52" s="10">
        <v>0</v>
      </c>
      <c r="AS52" s="10">
        <v>0</v>
      </c>
      <c r="AT52" s="10">
        <v>-0.01</v>
      </c>
      <c r="AU52" s="10">
        <v>0</v>
      </c>
      <c r="AV52" s="10">
        <v>0</v>
      </c>
      <c r="AW52" s="10">
        <f t="shared" si="5"/>
        <v>-0.21000000000000002</v>
      </c>
    </row>
    <row r="53" spans="1:49" x14ac:dyDescent="0.2">
      <c r="A53" s="11" t="s">
        <v>100</v>
      </c>
      <c r="B53" s="12">
        <f t="shared" ref="B53:AW53" si="6">SUM(B44:B52)</f>
        <v>-2151.5</v>
      </c>
      <c r="C53" s="12">
        <f t="shared" si="6"/>
        <v>-27807.97</v>
      </c>
      <c r="D53" s="12">
        <f t="shared" si="6"/>
        <v>-194551.67999999999</v>
      </c>
      <c r="E53" s="12">
        <f t="shared" si="6"/>
        <v>-4536</v>
      </c>
      <c r="F53" s="12">
        <f t="shared" si="6"/>
        <v>-194278.83</v>
      </c>
      <c r="G53" s="12">
        <f t="shared" si="6"/>
        <v>-188370.38999999998</v>
      </c>
      <c r="H53" s="12">
        <f t="shared" si="6"/>
        <v>-4536</v>
      </c>
      <c r="I53" s="12">
        <f t="shared" si="6"/>
        <v>-350261.78</v>
      </c>
      <c r="J53" s="12">
        <f t="shared" si="6"/>
        <v>-19934.82</v>
      </c>
      <c r="K53" s="12">
        <f t="shared" si="6"/>
        <v>-19889.990000000002</v>
      </c>
      <c r="L53" s="12">
        <f t="shared" si="6"/>
        <v>0.01</v>
      </c>
      <c r="M53" s="12">
        <f t="shared" si="6"/>
        <v>3597.4</v>
      </c>
      <c r="N53" s="12">
        <f t="shared" si="6"/>
        <v>20907.11</v>
      </c>
      <c r="O53" s="12">
        <f t="shared" si="6"/>
        <v>-4643.92</v>
      </c>
      <c r="P53" s="12">
        <f t="shared" si="6"/>
        <v>-453.56</v>
      </c>
      <c r="Q53" s="12">
        <f t="shared" si="6"/>
        <v>-207349.72999999998</v>
      </c>
      <c r="R53" s="12">
        <f t="shared" si="6"/>
        <v>-267421.18</v>
      </c>
      <c r="S53" s="12">
        <f t="shared" si="6"/>
        <v>-192649.93999999997</v>
      </c>
      <c r="T53" s="12">
        <f t="shared" si="6"/>
        <v>-45305.75</v>
      </c>
      <c r="U53" s="12">
        <f t="shared" si="6"/>
        <v>-2630.7000000000003</v>
      </c>
      <c r="V53" s="12">
        <f t="shared" si="6"/>
        <v>-59304.02</v>
      </c>
      <c r="W53" s="12">
        <f t="shared" si="6"/>
        <v>-45111.200000000004</v>
      </c>
      <c r="X53" s="12">
        <f t="shared" si="6"/>
        <v>-87130.39</v>
      </c>
      <c r="Y53" s="12">
        <f t="shared" si="6"/>
        <v>66900</v>
      </c>
      <c r="Z53" s="12">
        <f t="shared" si="6"/>
        <v>-1091.6799999999998</v>
      </c>
      <c r="AA53" s="12">
        <f t="shared" si="6"/>
        <v>-2151.5500000000002</v>
      </c>
      <c r="AB53" s="12">
        <f t="shared" si="6"/>
        <v>-16.87</v>
      </c>
      <c r="AC53" s="12">
        <f t="shared" si="6"/>
        <v>-25676.79</v>
      </c>
      <c r="AD53" s="12">
        <f t="shared" si="6"/>
        <v>-25380.719999999998</v>
      </c>
      <c r="AE53" s="12">
        <f t="shared" si="6"/>
        <v>-18024.350000000002</v>
      </c>
      <c r="AF53" s="12">
        <f t="shared" si="6"/>
        <v>-151785.76999999999</v>
      </c>
      <c r="AG53" s="12">
        <f t="shared" si="6"/>
        <v>-9529.0899999999983</v>
      </c>
      <c r="AH53" s="12">
        <f t="shared" si="6"/>
        <v>-25164.04</v>
      </c>
      <c r="AI53" s="12">
        <f t="shared" si="6"/>
        <v>-22040.059999999998</v>
      </c>
      <c r="AJ53" s="12">
        <f t="shared" si="6"/>
        <v>-72652.649999999994</v>
      </c>
      <c r="AK53" s="12">
        <f t="shared" si="6"/>
        <v>-64124.84</v>
      </c>
      <c r="AL53" s="12">
        <f t="shared" si="6"/>
        <v>1123.24</v>
      </c>
      <c r="AM53" s="12">
        <f t="shared" si="6"/>
        <v>0</v>
      </c>
      <c r="AN53" s="12">
        <f t="shared" si="6"/>
        <v>-2151.46</v>
      </c>
      <c r="AO53" s="12">
        <f t="shared" si="6"/>
        <v>-24168.09</v>
      </c>
      <c r="AP53" s="12">
        <f t="shared" si="6"/>
        <v>-147891</v>
      </c>
      <c r="AQ53" s="12">
        <f t="shared" si="6"/>
        <v>-7527.58</v>
      </c>
      <c r="AR53" s="12">
        <f t="shared" si="6"/>
        <v>-19833.939999999999</v>
      </c>
      <c r="AS53" s="12">
        <f t="shared" si="6"/>
        <v>-0.01</v>
      </c>
      <c r="AT53" s="12">
        <f t="shared" si="6"/>
        <v>-3690</v>
      </c>
      <c r="AU53" s="12">
        <f t="shared" si="6"/>
        <v>0</v>
      </c>
      <c r="AV53" s="12">
        <f t="shared" si="6"/>
        <v>0</v>
      </c>
      <c r="AW53" s="12">
        <f t="shared" si="6"/>
        <v>-2448692.08</v>
      </c>
    </row>
    <row r="54" spans="1:49" x14ac:dyDescent="0.2">
      <c r="A54" s="8" t="s">
        <v>101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1:49" x14ac:dyDescent="0.2">
      <c r="A55" s="9" t="s">
        <v>102</v>
      </c>
      <c r="B55" s="10">
        <v>0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-1541</v>
      </c>
      <c r="J55" s="10">
        <v>-107800.44</v>
      </c>
      <c r="K55" s="10">
        <v>-72409</v>
      </c>
      <c r="L55" s="10">
        <v>-68694.5</v>
      </c>
      <c r="M55" s="10">
        <v>-49395.45</v>
      </c>
      <c r="N55" s="10">
        <v>299840.39</v>
      </c>
      <c r="O55" s="10">
        <v>0</v>
      </c>
      <c r="P55" s="10">
        <v>0</v>
      </c>
      <c r="Q55" s="10">
        <v>0</v>
      </c>
      <c r="R55" s="10">
        <v>-45400</v>
      </c>
      <c r="S55" s="10">
        <v>-628.78</v>
      </c>
      <c r="T55" s="10">
        <v>-11000</v>
      </c>
      <c r="U55" s="10">
        <v>6740</v>
      </c>
      <c r="V55" s="10">
        <v>-7000</v>
      </c>
      <c r="W55" s="10">
        <v>-6000</v>
      </c>
      <c r="X55" s="10">
        <v>-7000</v>
      </c>
      <c r="Y55" s="10">
        <v>0</v>
      </c>
      <c r="Z55" s="10">
        <v>0</v>
      </c>
      <c r="AA55" s="10">
        <v>-1152.6400000000001</v>
      </c>
      <c r="AB55" s="10">
        <v>0</v>
      </c>
      <c r="AC55" s="10">
        <v>-7487.36</v>
      </c>
      <c r="AD55" s="10">
        <v>0</v>
      </c>
      <c r="AE55" s="10">
        <v>-678</v>
      </c>
      <c r="AF55" s="10">
        <v>-1469</v>
      </c>
      <c r="AG55" s="10">
        <v>-1836.25</v>
      </c>
      <c r="AH55" s="10">
        <v>-2064.54</v>
      </c>
      <c r="AI55" s="10">
        <v>-1299.5</v>
      </c>
      <c r="AJ55" s="10">
        <v>-9260.5</v>
      </c>
      <c r="AK55" s="10">
        <v>-10693</v>
      </c>
      <c r="AL55" s="10">
        <v>-22493</v>
      </c>
      <c r="AM55" s="10">
        <v>0</v>
      </c>
      <c r="AN55" s="10">
        <v>-1152.6400000000001</v>
      </c>
      <c r="AO55" s="10">
        <v>-1041.0899999999999</v>
      </c>
      <c r="AP55" s="10">
        <v>-1152.6400000000001</v>
      </c>
      <c r="AQ55" s="10">
        <v>-1103.2</v>
      </c>
      <c r="AR55" s="10">
        <v>-1139.97</v>
      </c>
      <c r="AS55" s="10">
        <v>-17653.2</v>
      </c>
      <c r="AT55" s="10">
        <v>-16760</v>
      </c>
      <c r="AU55" s="10">
        <v>-10</v>
      </c>
      <c r="AV55" s="10">
        <v>0</v>
      </c>
      <c r="AW55" s="10">
        <f>SUM(B55:AV55)</f>
        <v>-168735.31000000003</v>
      </c>
    </row>
    <row r="56" spans="1:49" x14ac:dyDescent="0.2">
      <c r="A56" s="9" t="s">
        <v>103</v>
      </c>
      <c r="B56" s="10">
        <v>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-119962.5</v>
      </c>
      <c r="O56" s="10">
        <v>-13569</v>
      </c>
      <c r="P56" s="10">
        <v>-12000</v>
      </c>
      <c r="Q56" s="10">
        <v>-11000</v>
      </c>
      <c r="R56" s="10">
        <v>0</v>
      </c>
      <c r="S56" s="10">
        <v>-71030</v>
      </c>
      <c r="T56" s="10">
        <v>-6200</v>
      </c>
      <c r="U56" s="10">
        <v>-8110</v>
      </c>
      <c r="V56" s="10">
        <v>-6400</v>
      </c>
      <c r="W56" s="10">
        <v>-32612.5</v>
      </c>
      <c r="X56" s="10">
        <v>-51237.5</v>
      </c>
      <c r="Y56" s="10">
        <v>-10240</v>
      </c>
      <c r="Z56" s="10">
        <v>-120065</v>
      </c>
      <c r="AA56" s="10">
        <v>-12610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21250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f>SUM(B56:AV56)</f>
        <v>-453786.5</v>
      </c>
    </row>
    <row r="57" spans="1:49" x14ac:dyDescent="0.2">
      <c r="A57" s="9" t="s">
        <v>104</v>
      </c>
      <c r="B57" s="10">
        <v>0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-200785</v>
      </c>
      <c r="O57" s="10">
        <v>-18426</v>
      </c>
      <c r="P57" s="10">
        <v>-8866.6200000000008</v>
      </c>
      <c r="Q57" s="10">
        <v>-38727</v>
      </c>
      <c r="R57" s="10">
        <v>-33082.199999999997</v>
      </c>
      <c r="S57" s="10">
        <v>-40882.97</v>
      </c>
      <c r="T57" s="10">
        <v>-52196.2</v>
      </c>
      <c r="U57" s="10">
        <v>-22217.58</v>
      </c>
      <c r="V57" s="10">
        <v>-36811.58</v>
      </c>
      <c r="W57" s="10">
        <v>-12451.21</v>
      </c>
      <c r="X57" s="10">
        <v>-12202.58</v>
      </c>
      <c r="Y57" s="10">
        <v>-8000.46</v>
      </c>
      <c r="Z57" s="10">
        <v>-19129.080000000002</v>
      </c>
      <c r="AA57" s="10">
        <v>-11276.5</v>
      </c>
      <c r="AB57" s="10">
        <v>-22051.34</v>
      </c>
      <c r="AC57" s="10">
        <v>-26095.53</v>
      </c>
      <c r="AD57" s="10">
        <v>-31210.2</v>
      </c>
      <c r="AE57" s="10">
        <v>-39751.47</v>
      </c>
      <c r="AF57" s="10">
        <v>-48813.95</v>
      </c>
      <c r="AG57" s="10">
        <v>-11725</v>
      </c>
      <c r="AH57" s="10">
        <v>-97097.5</v>
      </c>
      <c r="AI57" s="10">
        <v>-77546.490000000005</v>
      </c>
      <c r="AJ57" s="10">
        <v>-49775.75</v>
      </c>
      <c r="AK57" s="10">
        <v>-49292.5</v>
      </c>
      <c r="AL57" s="10">
        <v>-24169.31</v>
      </c>
      <c r="AM57" s="10">
        <v>0</v>
      </c>
      <c r="AN57" s="10">
        <v>-39160</v>
      </c>
      <c r="AO57" s="10">
        <v>-45987.69</v>
      </c>
      <c r="AP57" s="10">
        <v>-72482.69</v>
      </c>
      <c r="AQ57" s="10">
        <v>-33685</v>
      </c>
      <c r="AR57" s="10">
        <v>-98340.25</v>
      </c>
      <c r="AS57" s="10">
        <v>-63620.81</v>
      </c>
      <c r="AT57" s="10">
        <v>-82202.55</v>
      </c>
      <c r="AU57" s="10">
        <v>10</v>
      </c>
      <c r="AV57" s="10">
        <v>0</v>
      </c>
      <c r="AW57" s="10">
        <f>SUM(B57:AV57)</f>
        <v>-1428053.0100000002</v>
      </c>
    </row>
    <row r="58" spans="1:49" x14ac:dyDescent="0.2">
      <c r="A58" s="9" t="s">
        <v>105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-11077.58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f>SUM(B58:AV58)</f>
        <v>-11077.58</v>
      </c>
    </row>
    <row r="59" spans="1:49" x14ac:dyDescent="0.2">
      <c r="A59" s="13" t="s">
        <v>106</v>
      </c>
      <c r="B59" s="14">
        <f t="shared" ref="B59:AW59" si="7">SUM(B55:B58)</f>
        <v>0</v>
      </c>
      <c r="C59" s="14">
        <f t="shared" si="7"/>
        <v>0</v>
      </c>
      <c r="D59" s="14">
        <f t="shared" si="7"/>
        <v>0</v>
      </c>
      <c r="E59" s="14">
        <f t="shared" si="7"/>
        <v>0</v>
      </c>
      <c r="F59" s="14">
        <f t="shared" si="7"/>
        <v>0</v>
      </c>
      <c r="G59" s="14">
        <f t="shared" si="7"/>
        <v>0</v>
      </c>
      <c r="H59" s="14">
        <f t="shared" si="7"/>
        <v>0</v>
      </c>
      <c r="I59" s="14">
        <f t="shared" si="7"/>
        <v>-1541</v>
      </c>
      <c r="J59" s="14">
        <f t="shared" si="7"/>
        <v>-107800.44</v>
      </c>
      <c r="K59" s="14">
        <f t="shared" si="7"/>
        <v>-72409</v>
      </c>
      <c r="L59" s="14">
        <f t="shared" si="7"/>
        <v>-68694.5</v>
      </c>
      <c r="M59" s="14">
        <f t="shared" si="7"/>
        <v>-49395.45</v>
      </c>
      <c r="N59" s="14">
        <f t="shared" si="7"/>
        <v>-20907.109999999986</v>
      </c>
      <c r="O59" s="14">
        <f t="shared" si="7"/>
        <v>-31995</v>
      </c>
      <c r="P59" s="14">
        <f t="shared" si="7"/>
        <v>-20866.620000000003</v>
      </c>
      <c r="Q59" s="14">
        <f t="shared" si="7"/>
        <v>-49727</v>
      </c>
      <c r="R59" s="14">
        <f t="shared" si="7"/>
        <v>-78482.2</v>
      </c>
      <c r="S59" s="14">
        <f t="shared" si="7"/>
        <v>-112541.75</v>
      </c>
      <c r="T59" s="14">
        <f t="shared" si="7"/>
        <v>-69396.2</v>
      </c>
      <c r="U59" s="14">
        <f t="shared" si="7"/>
        <v>-23587.58</v>
      </c>
      <c r="V59" s="14">
        <f t="shared" si="7"/>
        <v>-50211.58</v>
      </c>
      <c r="W59" s="14">
        <f t="shared" si="7"/>
        <v>-51063.71</v>
      </c>
      <c r="X59" s="14">
        <f t="shared" si="7"/>
        <v>-70440.08</v>
      </c>
      <c r="Y59" s="14">
        <f t="shared" si="7"/>
        <v>-18240.46</v>
      </c>
      <c r="Z59" s="14">
        <f t="shared" si="7"/>
        <v>-139194.08000000002</v>
      </c>
      <c r="AA59" s="14">
        <f t="shared" si="7"/>
        <v>-25039.14</v>
      </c>
      <c r="AB59" s="14">
        <f t="shared" si="7"/>
        <v>-22051.34</v>
      </c>
      <c r="AC59" s="14">
        <f t="shared" si="7"/>
        <v>-33582.89</v>
      </c>
      <c r="AD59" s="14">
        <f t="shared" si="7"/>
        <v>-42287.78</v>
      </c>
      <c r="AE59" s="14">
        <f t="shared" si="7"/>
        <v>-40429.47</v>
      </c>
      <c r="AF59" s="14">
        <f t="shared" si="7"/>
        <v>-50282.95</v>
      </c>
      <c r="AG59" s="14">
        <f t="shared" si="7"/>
        <v>-13561.25</v>
      </c>
      <c r="AH59" s="14">
        <f t="shared" si="7"/>
        <v>-99162.04</v>
      </c>
      <c r="AI59" s="14">
        <f t="shared" si="7"/>
        <v>-78845.990000000005</v>
      </c>
      <c r="AJ59" s="14">
        <f t="shared" si="7"/>
        <v>-59036.25</v>
      </c>
      <c r="AK59" s="14">
        <f t="shared" si="7"/>
        <v>-59985.5</v>
      </c>
      <c r="AL59" s="14">
        <f t="shared" si="7"/>
        <v>-25412.31</v>
      </c>
      <c r="AM59" s="14">
        <f t="shared" si="7"/>
        <v>0</v>
      </c>
      <c r="AN59" s="14">
        <f t="shared" si="7"/>
        <v>-40312.639999999999</v>
      </c>
      <c r="AO59" s="14">
        <f t="shared" si="7"/>
        <v>-47028.78</v>
      </c>
      <c r="AP59" s="14">
        <f t="shared" si="7"/>
        <v>-73635.33</v>
      </c>
      <c r="AQ59" s="14">
        <f t="shared" si="7"/>
        <v>-34788.199999999997</v>
      </c>
      <c r="AR59" s="14">
        <f t="shared" si="7"/>
        <v>-99480.22</v>
      </c>
      <c r="AS59" s="14">
        <f t="shared" si="7"/>
        <v>-81274.009999999995</v>
      </c>
      <c r="AT59" s="14">
        <f t="shared" si="7"/>
        <v>-98962.55</v>
      </c>
      <c r="AU59" s="14">
        <f t="shared" si="7"/>
        <v>0</v>
      </c>
      <c r="AV59" s="14">
        <f t="shared" si="7"/>
        <v>0</v>
      </c>
      <c r="AW59" s="14">
        <f t="shared" si="7"/>
        <v>-2061652.4000000004</v>
      </c>
    </row>
    <row r="60" spans="1:49" x14ac:dyDescent="0.2">
      <c r="A60" s="15" t="s">
        <v>107</v>
      </c>
      <c r="B60" s="14">
        <f t="shared" ref="B60:AW60" si="8">B53+B59</f>
        <v>-2151.5</v>
      </c>
      <c r="C60" s="14">
        <f t="shared" si="8"/>
        <v>-27807.97</v>
      </c>
      <c r="D60" s="14">
        <f t="shared" si="8"/>
        <v>-194551.67999999999</v>
      </c>
      <c r="E60" s="14">
        <f t="shared" si="8"/>
        <v>-4536</v>
      </c>
      <c r="F60" s="14">
        <f t="shared" si="8"/>
        <v>-194278.83</v>
      </c>
      <c r="G60" s="14">
        <f t="shared" si="8"/>
        <v>-188370.38999999998</v>
      </c>
      <c r="H60" s="14">
        <f t="shared" si="8"/>
        <v>-4536</v>
      </c>
      <c r="I60" s="14">
        <f t="shared" si="8"/>
        <v>-351802.78</v>
      </c>
      <c r="J60" s="14">
        <f t="shared" si="8"/>
        <v>-127735.26000000001</v>
      </c>
      <c r="K60" s="14">
        <f t="shared" si="8"/>
        <v>-92298.99</v>
      </c>
      <c r="L60" s="14">
        <f t="shared" si="8"/>
        <v>-68694.490000000005</v>
      </c>
      <c r="M60" s="14">
        <f t="shared" si="8"/>
        <v>-45798.049999999996</v>
      </c>
      <c r="N60" s="14">
        <f t="shared" si="8"/>
        <v>0</v>
      </c>
      <c r="O60" s="14">
        <f t="shared" si="8"/>
        <v>-36638.92</v>
      </c>
      <c r="P60" s="14">
        <f t="shared" si="8"/>
        <v>-21320.180000000004</v>
      </c>
      <c r="Q60" s="14">
        <f t="shared" si="8"/>
        <v>-257076.72999999998</v>
      </c>
      <c r="R60" s="14">
        <f t="shared" si="8"/>
        <v>-345903.38</v>
      </c>
      <c r="S60" s="14">
        <f t="shared" si="8"/>
        <v>-305191.68999999994</v>
      </c>
      <c r="T60" s="14">
        <f t="shared" si="8"/>
        <v>-114701.95</v>
      </c>
      <c r="U60" s="14">
        <f t="shared" si="8"/>
        <v>-26218.280000000002</v>
      </c>
      <c r="V60" s="14">
        <f t="shared" si="8"/>
        <v>-109515.6</v>
      </c>
      <c r="W60" s="14">
        <f t="shared" si="8"/>
        <v>-96174.91</v>
      </c>
      <c r="X60" s="14">
        <f t="shared" si="8"/>
        <v>-157570.47</v>
      </c>
      <c r="Y60" s="14">
        <f t="shared" si="8"/>
        <v>48659.54</v>
      </c>
      <c r="Z60" s="14">
        <f t="shared" si="8"/>
        <v>-140285.76000000001</v>
      </c>
      <c r="AA60" s="14">
        <f t="shared" si="8"/>
        <v>-27190.69</v>
      </c>
      <c r="AB60" s="14">
        <f t="shared" si="8"/>
        <v>-22068.21</v>
      </c>
      <c r="AC60" s="14">
        <f t="shared" si="8"/>
        <v>-59259.68</v>
      </c>
      <c r="AD60" s="14">
        <f t="shared" si="8"/>
        <v>-67668.5</v>
      </c>
      <c r="AE60" s="14">
        <f t="shared" si="8"/>
        <v>-58453.820000000007</v>
      </c>
      <c r="AF60" s="14">
        <f t="shared" si="8"/>
        <v>-202068.71999999997</v>
      </c>
      <c r="AG60" s="14">
        <f t="shared" si="8"/>
        <v>-23090.339999999997</v>
      </c>
      <c r="AH60" s="14">
        <f t="shared" si="8"/>
        <v>-124326.07999999999</v>
      </c>
      <c r="AI60" s="14">
        <f t="shared" si="8"/>
        <v>-100886.05</v>
      </c>
      <c r="AJ60" s="14">
        <f t="shared" si="8"/>
        <v>-131688.9</v>
      </c>
      <c r="AK60" s="14">
        <f t="shared" si="8"/>
        <v>-124110.34</v>
      </c>
      <c r="AL60" s="14">
        <f t="shared" si="8"/>
        <v>-24289.07</v>
      </c>
      <c r="AM60" s="14">
        <f t="shared" si="8"/>
        <v>0</v>
      </c>
      <c r="AN60" s="14">
        <f t="shared" si="8"/>
        <v>-42464.1</v>
      </c>
      <c r="AO60" s="14">
        <f t="shared" si="8"/>
        <v>-71196.87</v>
      </c>
      <c r="AP60" s="14">
        <f t="shared" si="8"/>
        <v>-221526.33000000002</v>
      </c>
      <c r="AQ60" s="14">
        <f t="shared" si="8"/>
        <v>-42315.78</v>
      </c>
      <c r="AR60" s="14">
        <f t="shared" si="8"/>
        <v>-119314.16</v>
      </c>
      <c r="AS60" s="14">
        <f t="shared" si="8"/>
        <v>-81274.01999999999</v>
      </c>
      <c r="AT60" s="14">
        <f t="shared" si="8"/>
        <v>-102652.55</v>
      </c>
      <c r="AU60" s="14">
        <f t="shared" si="8"/>
        <v>0</v>
      </c>
      <c r="AV60" s="14">
        <f t="shared" si="8"/>
        <v>0</v>
      </c>
      <c r="AW60" s="14">
        <f t="shared" si="8"/>
        <v>-4510344.4800000004</v>
      </c>
    </row>
    <row r="61" spans="1:49" x14ac:dyDescent="0.2">
      <c r="A61" s="16" t="s">
        <v>108</v>
      </c>
      <c r="B61" s="14">
        <f t="shared" ref="B61:AW61" si="9">B41+B60</f>
        <v>818101.21</v>
      </c>
      <c r="C61" s="14">
        <f t="shared" si="9"/>
        <v>840005.28</v>
      </c>
      <c r="D61" s="14">
        <f t="shared" si="9"/>
        <v>781916.87000000011</v>
      </c>
      <c r="E61" s="14">
        <f t="shared" si="9"/>
        <v>693916.49</v>
      </c>
      <c r="F61" s="14">
        <f t="shared" si="9"/>
        <v>598946.27</v>
      </c>
      <c r="G61" s="14">
        <f t="shared" si="9"/>
        <v>574224.79</v>
      </c>
      <c r="H61" s="14">
        <f t="shared" si="9"/>
        <v>1155829.47</v>
      </c>
      <c r="I61" s="14">
        <f t="shared" si="9"/>
        <v>805954.37000000011</v>
      </c>
      <c r="J61" s="14">
        <f t="shared" si="9"/>
        <v>830098.15</v>
      </c>
      <c r="K61" s="14">
        <f t="shared" si="9"/>
        <v>738516.37</v>
      </c>
      <c r="L61" s="14">
        <f t="shared" si="9"/>
        <v>927209.46</v>
      </c>
      <c r="M61" s="14">
        <f t="shared" si="9"/>
        <v>1062799.1399999999</v>
      </c>
      <c r="N61" s="14">
        <f t="shared" si="9"/>
        <v>0</v>
      </c>
      <c r="O61" s="14">
        <f t="shared" si="9"/>
        <v>845941.32999999984</v>
      </c>
      <c r="P61" s="14">
        <f t="shared" si="9"/>
        <v>766831.54999999993</v>
      </c>
      <c r="Q61" s="14">
        <f t="shared" si="9"/>
        <v>1208205.8299999998</v>
      </c>
      <c r="R61" s="14">
        <f t="shared" si="9"/>
        <v>1154576.2199999997</v>
      </c>
      <c r="S61" s="14">
        <f t="shared" si="9"/>
        <v>937117.4700000002</v>
      </c>
      <c r="T61" s="14">
        <f t="shared" si="9"/>
        <v>990862.04</v>
      </c>
      <c r="U61" s="14">
        <f t="shared" si="9"/>
        <v>1115999.3600000001</v>
      </c>
      <c r="V61" s="14">
        <f t="shared" si="9"/>
        <v>887973.83</v>
      </c>
      <c r="W61" s="14">
        <f t="shared" si="9"/>
        <v>1000803.63</v>
      </c>
      <c r="X61" s="14">
        <f t="shared" si="9"/>
        <v>944995.5</v>
      </c>
      <c r="Y61" s="14">
        <f t="shared" si="9"/>
        <v>1251305.7000000002</v>
      </c>
      <c r="Z61" s="14">
        <f t="shared" si="9"/>
        <v>892707.26000000013</v>
      </c>
      <c r="AA61" s="14">
        <f t="shared" si="9"/>
        <v>998197.69000000006</v>
      </c>
      <c r="AB61" s="14">
        <f t="shared" si="9"/>
        <v>1094751.76</v>
      </c>
      <c r="AC61" s="14">
        <f t="shared" si="9"/>
        <v>1317537.1500000001</v>
      </c>
      <c r="AD61" s="14">
        <f t="shared" si="9"/>
        <v>1102508.4300000002</v>
      </c>
      <c r="AE61" s="14">
        <f t="shared" si="9"/>
        <v>1145766.6499999997</v>
      </c>
      <c r="AF61" s="14">
        <f t="shared" si="9"/>
        <v>1125621.49</v>
      </c>
      <c r="AG61" s="14">
        <f t="shared" si="9"/>
        <v>775558.46</v>
      </c>
      <c r="AH61" s="14">
        <f t="shared" si="9"/>
        <v>1649571.81</v>
      </c>
      <c r="AI61" s="14">
        <f t="shared" si="9"/>
        <v>1105833.6299999999</v>
      </c>
      <c r="AJ61" s="14">
        <f t="shared" si="9"/>
        <v>1494621.93</v>
      </c>
      <c r="AK61" s="14">
        <f t="shared" si="9"/>
        <v>1501774.03</v>
      </c>
      <c r="AL61" s="14">
        <f t="shared" si="9"/>
        <v>1959132.5199999998</v>
      </c>
      <c r="AM61" s="14">
        <f t="shared" si="9"/>
        <v>0</v>
      </c>
      <c r="AN61" s="14">
        <f t="shared" si="9"/>
        <v>1366287.8199999998</v>
      </c>
      <c r="AO61" s="14">
        <f t="shared" si="9"/>
        <v>1394865.9099999997</v>
      </c>
      <c r="AP61" s="14">
        <f t="shared" si="9"/>
        <v>1543802.23</v>
      </c>
      <c r="AQ61" s="14">
        <f t="shared" si="9"/>
        <v>1301111.7500000002</v>
      </c>
      <c r="AR61" s="14">
        <f t="shared" si="9"/>
        <v>1300720.75</v>
      </c>
      <c r="AS61" s="14">
        <f t="shared" si="9"/>
        <v>1365795.31</v>
      </c>
      <c r="AT61" s="14">
        <f t="shared" si="9"/>
        <v>1388296.92</v>
      </c>
      <c r="AU61" s="14">
        <f t="shared" si="9"/>
        <v>29600</v>
      </c>
      <c r="AV61" s="14">
        <f t="shared" si="9"/>
        <v>0</v>
      </c>
      <c r="AW61" s="14">
        <f t="shared" si="9"/>
        <v>46786193.829999983</v>
      </c>
    </row>
    <row r="62" spans="1:49" x14ac:dyDescent="0.2">
      <c r="A62" s="6" t="s">
        <v>109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1:49" x14ac:dyDescent="0.2">
      <c r="A63" s="7" t="s">
        <v>110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1:49" x14ac:dyDescent="0.2">
      <c r="A64" s="8" t="s">
        <v>111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1:49" x14ac:dyDescent="0.2">
      <c r="A65" s="9" t="s">
        <v>112</v>
      </c>
      <c r="B65" s="10">
        <v>1049.07</v>
      </c>
      <c r="C65" s="10">
        <v>1789.59</v>
      </c>
      <c r="D65" s="10">
        <v>1913.01</v>
      </c>
      <c r="E65" s="10">
        <v>1357.62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4947.75</v>
      </c>
      <c r="U65" s="10">
        <v>2843.34</v>
      </c>
      <c r="V65" s="10">
        <v>2409.94</v>
      </c>
      <c r="W65" s="10">
        <v>2332.1999999999998</v>
      </c>
      <c r="X65" s="10">
        <v>1088.3599999999999</v>
      </c>
      <c r="Y65" s="10">
        <v>0</v>
      </c>
      <c r="Z65" s="10">
        <v>0</v>
      </c>
      <c r="AA65" s="10">
        <v>553.91999999999996</v>
      </c>
      <c r="AB65" s="10">
        <v>0</v>
      </c>
      <c r="AC65" s="10">
        <v>683.2</v>
      </c>
      <c r="AD65" s="10">
        <v>732</v>
      </c>
      <c r="AE65" s="10">
        <v>756.4</v>
      </c>
      <c r="AF65" s="10">
        <v>0</v>
      </c>
      <c r="AG65" s="10">
        <v>244</v>
      </c>
      <c r="AH65" s="10">
        <v>30.69</v>
      </c>
      <c r="AI65" s="10">
        <v>0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10">
        <v>0</v>
      </c>
      <c r="AQ65" s="10">
        <v>0</v>
      </c>
      <c r="AR65" s="10">
        <v>0</v>
      </c>
      <c r="AS65" s="10">
        <v>0</v>
      </c>
      <c r="AT65" s="10">
        <v>0</v>
      </c>
      <c r="AU65" s="10">
        <v>0</v>
      </c>
      <c r="AV65" s="10">
        <v>0</v>
      </c>
      <c r="AW65" s="10">
        <f t="shared" ref="AW65:AW78" si="10">SUM(B65:AV65)</f>
        <v>22731.09</v>
      </c>
    </row>
    <row r="66" spans="1:49" x14ac:dyDescent="0.2">
      <c r="A66" s="9" t="s">
        <v>113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-33956.370000000003</v>
      </c>
      <c r="H66" s="10">
        <v>-1765.38</v>
      </c>
      <c r="I66" s="10">
        <v>-2144.2600000000002</v>
      </c>
      <c r="J66" s="10">
        <v>-12201.26</v>
      </c>
      <c r="K66" s="10">
        <v>-12156.41</v>
      </c>
      <c r="L66" s="10">
        <v>-21868.36</v>
      </c>
      <c r="M66" s="10">
        <v>-2813.75</v>
      </c>
      <c r="N66" s="10">
        <v>0</v>
      </c>
      <c r="O66" s="10">
        <v>-2396.21</v>
      </c>
      <c r="P66" s="10">
        <v>-1243.9100000000001</v>
      </c>
      <c r="Q66" s="10">
        <v>-8206.2099999999991</v>
      </c>
      <c r="R66" s="10">
        <v>-12231.21</v>
      </c>
      <c r="S66" s="10">
        <v>-2291.7199999999998</v>
      </c>
      <c r="T66" s="10">
        <v>-1811.16</v>
      </c>
      <c r="U66" s="10">
        <v>-51737.47</v>
      </c>
      <c r="V66" s="10">
        <v>-456.9</v>
      </c>
      <c r="W66" s="10">
        <v>-790.15</v>
      </c>
      <c r="X66" s="10">
        <v>-2857.04</v>
      </c>
      <c r="Y66" s="10">
        <v>-4270.13</v>
      </c>
      <c r="Z66" s="10">
        <v>-4015.03</v>
      </c>
      <c r="AA66" s="10">
        <v>-1248.26</v>
      </c>
      <c r="AB66" s="10">
        <v>-6583.94</v>
      </c>
      <c r="AC66" s="10">
        <v>-1733.93</v>
      </c>
      <c r="AD66" s="10">
        <v>-22460.13</v>
      </c>
      <c r="AE66" s="10">
        <v>-20604.5</v>
      </c>
      <c r="AF66" s="10">
        <v>-14701.83</v>
      </c>
      <c r="AG66" s="10">
        <v>-8993.0300000000007</v>
      </c>
      <c r="AH66" s="10">
        <v>-15412.03</v>
      </c>
      <c r="AI66" s="10">
        <v>-6896.87</v>
      </c>
      <c r="AJ66" s="10">
        <v>3384.88</v>
      </c>
      <c r="AK66" s="10">
        <v>-28225.51</v>
      </c>
      <c r="AL66" s="10">
        <v>-5278.36</v>
      </c>
      <c r="AM66" s="10">
        <v>0</v>
      </c>
      <c r="AN66" s="10">
        <v>3842.57</v>
      </c>
      <c r="AO66" s="10">
        <v>-26337.62</v>
      </c>
      <c r="AP66" s="10">
        <v>-36068.230000000003</v>
      </c>
      <c r="AQ66" s="10">
        <v>-7219.86</v>
      </c>
      <c r="AR66" s="10">
        <v>-51532.800000000003</v>
      </c>
      <c r="AS66" s="10">
        <v>-94946.21</v>
      </c>
      <c r="AT66" s="10">
        <v>-10880.22</v>
      </c>
      <c r="AU66" s="10">
        <v>0</v>
      </c>
      <c r="AV66" s="10">
        <v>0</v>
      </c>
      <c r="AW66" s="10">
        <f t="shared" si="10"/>
        <v>-531108.80999999994</v>
      </c>
    </row>
    <row r="67" spans="1:49" x14ac:dyDescent="0.2">
      <c r="A67" s="9" t="s">
        <v>114</v>
      </c>
      <c r="B67" s="10">
        <v>-497906.44</v>
      </c>
      <c r="C67" s="10">
        <v>-499539.66</v>
      </c>
      <c r="D67" s="10">
        <v>-524276.14</v>
      </c>
      <c r="E67" s="10">
        <v>-407240.75</v>
      </c>
      <c r="F67" s="10">
        <v>-389954.49</v>
      </c>
      <c r="G67" s="10">
        <v>-413922.69</v>
      </c>
      <c r="H67" s="10">
        <v>-457443.33</v>
      </c>
      <c r="I67" s="10">
        <v>-479666.53</v>
      </c>
      <c r="J67" s="10">
        <v>-497799.71</v>
      </c>
      <c r="K67" s="10">
        <v>-506796.72</v>
      </c>
      <c r="L67" s="10">
        <v>-549118.59</v>
      </c>
      <c r="M67" s="10">
        <v>-527912.19999999995</v>
      </c>
      <c r="N67" s="10">
        <v>0</v>
      </c>
      <c r="O67" s="10">
        <v>-541658.30000000005</v>
      </c>
      <c r="P67" s="10">
        <v>-546003.48</v>
      </c>
      <c r="Q67" s="10">
        <v>-561558.61</v>
      </c>
      <c r="R67" s="10">
        <v>-565036.13</v>
      </c>
      <c r="S67" s="10">
        <v>-560279.79</v>
      </c>
      <c r="T67" s="10">
        <v>-560258.18000000005</v>
      </c>
      <c r="U67" s="10">
        <v>-548209.54</v>
      </c>
      <c r="V67" s="10">
        <v>-552893.18000000005</v>
      </c>
      <c r="W67" s="10">
        <v>-558029.68999999994</v>
      </c>
      <c r="X67" s="10">
        <v>-571078.81000000006</v>
      </c>
      <c r="Y67" s="10">
        <v>-573772.39</v>
      </c>
      <c r="Z67" s="10">
        <v>-572967.12</v>
      </c>
      <c r="AA67" s="10">
        <v>-556457.81999999995</v>
      </c>
      <c r="AB67" s="10">
        <v>-551680.82999999996</v>
      </c>
      <c r="AC67" s="10">
        <v>-569873.68000000005</v>
      </c>
      <c r="AD67" s="10">
        <v>-566521.27</v>
      </c>
      <c r="AE67" s="10">
        <v>-574416.06999999995</v>
      </c>
      <c r="AF67" s="10">
        <v>-575946.99</v>
      </c>
      <c r="AG67" s="10">
        <v>-575457.01</v>
      </c>
      <c r="AH67" s="10">
        <v>-578840.21</v>
      </c>
      <c r="AI67" s="10">
        <v>-637166.66</v>
      </c>
      <c r="AJ67" s="10">
        <v>-601672.62</v>
      </c>
      <c r="AK67" s="10">
        <v>-591508.72</v>
      </c>
      <c r="AL67" s="10">
        <v>-595806.11</v>
      </c>
      <c r="AM67" s="10">
        <v>0</v>
      </c>
      <c r="AN67" s="10">
        <v>-599924.26</v>
      </c>
      <c r="AO67" s="10">
        <v>-604729.94999999995</v>
      </c>
      <c r="AP67" s="10">
        <v>-652815.6</v>
      </c>
      <c r="AQ67" s="10">
        <v>-698619.24</v>
      </c>
      <c r="AR67" s="10">
        <v>-702772.23</v>
      </c>
      <c r="AS67" s="10">
        <v>-706719.94</v>
      </c>
      <c r="AT67" s="10">
        <v>0</v>
      </c>
      <c r="AU67" s="10">
        <v>0</v>
      </c>
      <c r="AV67" s="10">
        <v>0</v>
      </c>
      <c r="AW67" s="10">
        <f t="shared" si="10"/>
        <v>-23404251.68</v>
      </c>
    </row>
    <row r="68" spans="1:49" x14ac:dyDescent="0.2">
      <c r="A68" s="9" t="s">
        <v>115</v>
      </c>
      <c r="B68" s="10">
        <v>0</v>
      </c>
      <c r="C68" s="10">
        <v>0</v>
      </c>
      <c r="D68" s="10">
        <v>94567.03</v>
      </c>
      <c r="E68" s="10">
        <v>0</v>
      </c>
      <c r="F68" s="10">
        <v>0</v>
      </c>
      <c r="G68" s="10">
        <v>0</v>
      </c>
      <c r="H68" s="10">
        <v>0</v>
      </c>
      <c r="I68" s="10">
        <v>5684.21</v>
      </c>
      <c r="J68" s="10">
        <v>0</v>
      </c>
      <c r="K68" s="10">
        <v>0</v>
      </c>
      <c r="L68" s="10">
        <v>0</v>
      </c>
      <c r="M68" s="10">
        <v>-117552.88</v>
      </c>
      <c r="N68" s="10">
        <v>0</v>
      </c>
      <c r="O68" s="10">
        <v>0</v>
      </c>
      <c r="P68" s="10">
        <v>0</v>
      </c>
      <c r="Q68" s="10">
        <v>49435</v>
      </c>
      <c r="R68" s="10">
        <v>0</v>
      </c>
      <c r="S68" s="10">
        <v>0</v>
      </c>
      <c r="T68" s="10">
        <v>68117.88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-114600.56</v>
      </c>
      <c r="AA68" s="10">
        <v>27764.66</v>
      </c>
      <c r="AB68" s="10">
        <v>0</v>
      </c>
      <c r="AC68" s="10">
        <v>31679.26</v>
      </c>
      <c r="AD68" s="10">
        <v>16207.86</v>
      </c>
      <c r="AE68" s="10">
        <v>7080.91</v>
      </c>
      <c r="AF68" s="10">
        <v>8016.35</v>
      </c>
      <c r="AG68" s="10">
        <v>23130.37</v>
      </c>
      <c r="AH68" s="10">
        <v>0</v>
      </c>
      <c r="AI68" s="10">
        <v>0</v>
      </c>
      <c r="AJ68" s="10">
        <v>721.15</v>
      </c>
      <c r="AK68" s="10">
        <v>0</v>
      </c>
      <c r="AL68" s="10">
        <v>-166132.78</v>
      </c>
      <c r="AM68" s="10">
        <v>0</v>
      </c>
      <c r="AN68" s="10">
        <v>102052.99</v>
      </c>
      <c r="AO68" s="10">
        <v>11003.6</v>
      </c>
      <c r="AP68" s="10">
        <v>2157.5700000000002</v>
      </c>
      <c r="AQ68" s="10">
        <v>863.03</v>
      </c>
      <c r="AR68" s="10">
        <v>1726.05</v>
      </c>
      <c r="AS68" s="10">
        <v>15966.01</v>
      </c>
      <c r="AT68" s="10">
        <v>0</v>
      </c>
      <c r="AU68" s="10">
        <v>0</v>
      </c>
      <c r="AV68" s="10">
        <v>0</v>
      </c>
      <c r="AW68" s="10">
        <f t="shared" si="10"/>
        <v>67887.710000000006</v>
      </c>
    </row>
    <row r="69" spans="1:49" x14ac:dyDescent="0.2">
      <c r="A69" s="9" t="s">
        <v>116</v>
      </c>
      <c r="B69" s="10">
        <v>-39080</v>
      </c>
      <c r="C69" s="10">
        <v>-37935</v>
      </c>
      <c r="D69" s="10">
        <v>0</v>
      </c>
      <c r="E69" s="10">
        <v>0</v>
      </c>
      <c r="F69" s="10">
        <v>0</v>
      </c>
      <c r="G69" s="10">
        <v>0</v>
      </c>
      <c r="H69" s="10">
        <v>-33220</v>
      </c>
      <c r="I69" s="10">
        <v>-38720</v>
      </c>
      <c r="J69" s="10">
        <v>0</v>
      </c>
      <c r="K69" s="10">
        <v>0</v>
      </c>
      <c r="L69" s="10">
        <v>0</v>
      </c>
      <c r="M69" s="10">
        <v>148955</v>
      </c>
      <c r="N69" s="10">
        <v>0</v>
      </c>
      <c r="O69" s="10">
        <v>-41618</v>
      </c>
      <c r="P69" s="10">
        <v>-41818</v>
      </c>
      <c r="Q69" s="10">
        <v>-43033</v>
      </c>
      <c r="R69" s="10">
        <v>-43442</v>
      </c>
      <c r="S69" s="10">
        <v>-43521</v>
      </c>
      <c r="T69" s="10">
        <v>-32314</v>
      </c>
      <c r="U69" s="10">
        <v>-42496</v>
      </c>
      <c r="V69" s="10">
        <v>-44392</v>
      </c>
      <c r="W69" s="10">
        <v>-45065</v>
      </c>
      <c r="X69" s="10">
        <v>-45056</v>
      </c>
      <c r="Y69" s="10">
        <v>-40838</v>
      </c>
      <c r="Z69" s="10">
        <v>123862.92</v>
      </c>
      <c r="AA69" s="10">
        <v>-43599.44</v>
      </c>
      <c r="AB69" s="10">
        <v>-40211.800000000003</v>
      </c>
      <c r="AC69" s="10">
        <v>-43316.47</v>
      </c>
      <c r="AD69" s="10">
        <v>-42511.79</v>
      </c>
      <c r="AE69" s="10">
        <v>-45416.959999999999</v>
      </c>
      <c r="AF69" s="10">
        <v>-43551.95</v>
      </c>
      <c r="AG69" s="10">
        <v>-43330.07</v>
      </c>
      <c r="AH69" s="10">
        <v>-44176.73</v>
      </c>
      <c r="AI69" s="10">
        <v>-121765.03</v>
      </c>
      <c r="AJ69" s="10">
        <v>-53290.69</v>
      </c>
      <c r="AK69" s="10">
        <v>-56248.63</v>
      </c>
      <c r="AL69" s="10">
        <v>-88457.17</v>
      </c>
      <c r="AM69" s="10">
        <v>0</v>
      </c>
      <c r="AN69" s="10">
        <v>-46878.27</v>
      </c>
      <c r="AO69" s="10">
        <v>-47804.37</v>
      </c>
      <c r="AP69" s="10">
        <v>-51159.08</v>
      </c>
      <c r="AQ69" s="10">
        <v>-56104.45</v>
      </c>
      <c r="AR69" s="10">
        <v>-53975.66</v>
      </c>
      <c r="AS69" s="10">
        <v>-98745.3</v>
      </c>
      <c r="AT69" s="10">
        <v>0</v>
      </c>
      <c r="AU69" s="10">
        <v>0</v>
      </c>
      <c r="AV69" s="10">
        <v>0</v>
      </c>
      <c r="AW69" s="10">
        <f t="shared" si="10"/>
        <v>-1360273.9400000002</v>
      </c>
    </row>
    <row r="70" spans="1:49" x14ac:dyDescent="0.2">
      <c r="A70" s="9" t="s">
        <v>117</v>
      </c>
      <c r="B70" s="10">
        <v>-75000</v>
      </c>
      <c r="C70" s="10">
        <v>-74565</v>
      </c>
      <c r="D70" s="10">
        <v>-25.54</v>
      </c>
      <c r="E70" s="10">
        <v>0</v>
      </c>
      <c r="F70" s="10">
        <v>0</v>
      </c>
      <c r="G70" s="10">
        <v>0</v>
      </c>
      <c r="H70" s="10">
        <v>-76193</v>
      </c>
      <c r="I70" s="10">
        <v>-76193</v>
      </c>
      <c r="J70" s="10">
        <v>0</v>
      </c>
      <c r="K70" s="10">
        <v>0</v>
      </c>
      <c r="L70" s="10">
        <v>0</v>
      </c>
      <c r="M70" s="10">
        <v>-105126.38</v>
      </c>
      <c r="N70" s="10">
        <v>0</v>
      </c>
      <c r="O70" s="10">
        <v>-76505</v>
      </c>
      <c r="P70" s="10">
        <v>-76835</v>
      </c>
      <c r="Q70" s="10">
        <v>-80684</v>
      </c>
      <c r="R70" s="10">
        <v>-80208</v>
      </c>
      <c r="S70" s="10">
        <v>-86348.71</v>
      </c>
      <c r="T70" s="10">
        <v>-79011</v>
      </c>
      <c r="U70" s="10">
        <v>-81410</v>
      </c>
      <c r="V70" s="10">
        <v>-81798</v>
      </c>
      <c r="W70" s="10">
        <v>-83318</v>
      </c>
      <c r="X70" s="10">
        <v>-85747</v>
      </c>
      <c r="Y70" s="10">
        <v>-82753</v>
      </c>
      <c r="Z70" s="10">
        <v>210720.18</v>
      </c>
      <c r="AA70" s="10">
        <v>-84001.68</v>
      </c>
      <c r="AB70" s="10">
        <v>-81161.7</v>
      </c>
      <c r="AC70" s="10">
        <v>-92141.73</v>
      </c>
      <c r="AD70" s="10">
        <v>-90520.07</v>
      </c>
      <c r="AE70" s="10">
        <v>-97027.55</v>
      </c>
      <c r="AF70" s="10">
        <v>-93429.49</v>
      </c>
      <c r="AG70" s="10">
        <v>-90224.3</v>
      </c>
      <c r="AH70" s="10">
        <v>-95353.56</v>
      </c>
      <c r="AI70" s="10">
        <v>-204204.84</v>
      </c>
      <c r="AJ70" s="10">
        <v>-111396.26</v>
      </c>
      <c r="AK70" s="10">
        <v>-114082.19</v>
      </c>
      <c r="AL70" s="10">
        <v>-163453.14000000001</v>
      </c>
      <c r="AM70" s="10">
        <v>0</v>
      </c>
      <c r="AN70" s="10">
        <v>-95602.81</v>
      </c>
      <c r="AO70" s="10">
        <v>-96295.2</v>
      </c>
      <c r="AP70" s="10">
        <v>-107423.89</v>
      </c>
      <c r="AQ70" s="10">
        <v>-108031.11</v>
      </c>
      <c r="AR70" s="10">
        <v>-99895.42</v>
      </c>
      <c r="AS70" s="10">
        <v>-197918.03</v>
      </c>
      <c r="AT70" s="10">
        <v>0</v>
      </c>
      <c r="AU70" s="10">
        <v>0</v>
      </c>
      <c r="AV70" s="10">
        <v>0</v>
      </c>
      <c r="AW70" s="10">
        <f t="shared" si="10"/>
        <v>-3113163.42</v>
      </c>
    </row>
    <row r="71" spans="1:49" x14ac:dyDescent="0.2">
      <c r="A71" s="9" t="s">
        <v>118</v>
      </c>
      <c r="B71" s="10">
        <v>0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-13.8</v>
      </c>
      <c r="Y71" s="10">
        <v>-9</v>
      </c>
      <c r="Z71" s="10">
        <v>-9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10">
        <v>0</v>
      </c>
      <c r="AQ71" s="10">
        <v>0</v>
      </c>
      <c r="AR71" s="10">
        <v>0</v>
      </c>
      <c r="AS71" s="10">
        <v>0</v>
      </c>
      <c r="AT71" s="10">
        <v>0</v>
      </c>
      <c r="AU71" s="10">
        <v>0</v>
      </c>
      <c r="AV71" s="10">
        <v>0</v>
      </c>
      <c r="AW71" s="10">
        <f t="shared" si="10"/>
        <v>-31.8</v>
      </c>
    </row>
    <row r="72" spans="1:49" x14ac:dyDescent="0.2">
      <c r="A72" s="9" t="s">
        <v>119</v>
      </c>
      <c r="B72" s="10">
        <v>0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-8387.08</v>
      </c>
      <c r="AM72" s="10">
        <v>0</v>
      </c>
      <c r="AN72" s="10">
        <v>0</v>
      </c>
      <c r="AO72" s="10">
        <v>0</v>
      </c>
      <c r="AP72" s="10">
        <v>0</v>
      </c>
      <c r="AQ72" s="10">
        <v>0</v>
      </c>
      <c r="AR72" s="10">
        <v>0</v>
      </c>
      <c r="AS72" s="10">
        <v>0</v>
      </c>
      <c r="AT72" s="10">
        <v>0</v>
      </c>
      <c r="AU72" s="10">
        <v>0</v>
      </c>
      <c r="AV72" s="10">
        <v>0</v>
      </c>
      <c r="AW72" s="10">
        <f t="shared" si="10"/>
        <v>-8387.08</v>
      </c>
    </row>
    <row r="73" spans="1:49" x14ac:dyDescent="0.2">
      <c r="A73" s="9" t="s">
        <v>120</v>
      </c>
      <c r="B73" s="10">
        <v>-1160.07</v>
      </c>
      <c r="C73" s="10">
        <v>-1197.25</v>
      </c>
      <c r="D73" s="10">
        <v>-1178.6600000000001</v>
      </c>
      <c r="E73" s="10">
        <v>-1099.8499999999999</v>
      </c>
      <c r="F73" s="10">
        <v>-1099.8499999999999</v>
      </c>
      <c r="G73" s="10">
        <v>-1099.8499999999999</v>
      </c>
      <c r="H73" s="10">
        <v>-1099.8499999999999</v>
      </c>
      <c r="I73" s="10">
        <v>-1496.12</v>
      </c>
      <c r="J73" s="10">
        <v>-1099.8499999999999</v>
      </c>
      <c r="K73" s="10">
        <v>-1099.8499999999999</v>
      </c>
      <c r="L73" s="10">
        <v>-1099.8499999999999</v>
      </c>
      <c r="M73" s="10">
        <v>-1099.8499999999999</v>
      </c>
      <c r="N73" s="10">
        <v>0</v>
      </c>
      <c r="O73" s="10">
        <v>-1161</v>
      </c>
      <c r="P73" s="10">
        <v>-1161</v>
      </c>
      <c r="Q73" s="10">
        <v>-1161</v>
      </c>
      <c r="R73" s="10">
        <v>-1161</v>
      </c>
      <c r="S73" s="10">
        <v>-1559.13</v>
      </c>
      <c r="T73" s="10">
        <v>-1161</v>
      </c>
      <c r="U73" s="10">
        <v>-1161</v>
      </c>
      <c r="V73" s="10">
        <v>-1161</v>
      </c>
      <c r="W73" s="10">
        <v>-1161</v>
      </c>
      <c r="X73" s="10">
        <v>-1161</v>
      </c>
      <c r="Y73" s="10">
        <v>-1161</v>
      </c>
      <c r="Z73" s="10">
        <v>-1161</v>
      </c>
      <c r="AA73" s="10">
        <v>-1227.51</v>
      </c>
      <c r="AB73" s="10">
        <v>-1227.51</v>
      </c>
      <c r="AC73" s="10">
        <v>-1227.51</v>
      </c>
      <c r="AD73" s="10">
        <v>-1227.51</v>
      </c>
      <c r="AE73" s="10">
        <v>-1688.1</v>
      </c>
      <c r="AF73" s="10">
        <v>-1227.51</v>
      </c>
      <c r="AG73" s="10">
        <v>-1227.51</v>
      </c>
      <c r="AH73" s="10">
        <v>-1227.51</v>
      </c>
      <c r="AI73" s="10">
        <v>-1227.51</v>
      </c>
      <c r="AJ73" s="10">
        <v>-1227.51</v>
      </c>
      <c r="AK73" s="10">
        <v>-1227.51</v>
      </c>
      <c r="AL73" s="10">
        <v>-1227.51</v>
      </c>
      <c r="AM73" s="10">
        <v>0</v>
      </c>
      <c r="AN73" s="10">
        <v>-1192.97</v>
      </c>
      <c r="AO73" s="10">
        <v>-1192.97</v>
      </c>
      <c r="AP73" s="10">
        <v>-1192.97</v>
      </c>
      <c r="AQ73" s="10">
        <v>-1192.97</v>
      </c>
      <c r="AR73" s="10">
        <v>-1840.55</v>
      </c>
      <c r="AS73" s="10">
        <v>-1192.97</v>
      </c>
      <c r="AT73" s="10">
        <v>0</v>
      </c>
      <c r="AU73" s="10">
        <v>0</v>
      </c>
      <c r="AV73" s="10">
        <v>0</v>
      </c>
      <c r="AW73" s="10">
        <f t="shared" si="10"/>
        <v>-51157.140000000021</v>
      </c>
    </row>
    <row r="74" spans="1:49" x14ac:dyDescent="0.2">
      <c r="A74" s="9" t="s">
        <v>121</v>
      </c>
      <c r="B74" s="10">
        <v>-33.21</v>
      </c>
      <c r="C74" s="10">
        <v>-33.21</v>
      </c>
      <c r="D74" s="10">
        <v>-33.21</v>
      </c>
      <c r="E74" s="10">
        <v>-33.21</v>
      </c>
      <c r="F74" s="10">
        <v>-33.21</v>
      </c>
      <c r="G74" s="10">
        <v>-33.21</v>
      </c>
      <c r="H74" s="10">
        <v>-33.21</v>
      </c>
      <c r="I74" s="10">
        <v>-33.21</v>
      </c>
      <c r="J74" s="10">
        <v>-33.21</v>
      </c>
      <c r="K74" s="10">
        <v>-33.21</v>
      </c>
      <c r="L74" s="10">
        <v>-33.21</v>
      </c>
      <c r="M74" s="10">
        <v>-33.21</v>
      </c>
      <c r="N74" s="10">
        <v>0</v>
      </c>
      <c r="O74" s="10">
        <v>-33.11</v>
      </c>
      <c r="P74" s="10">
        <v>-33.11</v>
      </c>
      <c r="Q74" s="10">
        <v>-33.11</v>
      </c>
      <c r="R74" s="10">
        <v>-33.11</v>
      </c>
      <c r="S74" s="10">
        <v>-33.11</v>
      </c>
      <c r="T74" s="10">
        <v>-33.11</v>
      </c>
      <c r="U74" s="10">
        <v>-33.11</v>
      </c>
      <c r="V74" s="10">
        <v>-33.11</v>
      </c>
      <c r="W74" s="10">
        <v>-33.11</v>
      </c>
      <c r="X74" s="10">
        <v>-33.11</v>
      </c>
      <c r="Y74" s="10">
        <v>-33.11</v>
      </c>
      <c r="Z74" s="10">
        <v>-33.11</v>
      </c>
      <c r="AA74" s="10">
        <v>-33.11</v>
      </c>
      <c r="AB74" s="10">
        <v>-33.11</v>
      </c>
      <c r="AC74" s="10">
        <v>-33.11</v>
      </c>
      <c r="AD74" s="10">
        <v>-33.11</v>
      </c>
      <c r="AE74" s="10">
        <v>-33.11</v>
      </c>
      <c r="AF74" s="10">
        <v>-33.11</v>
      </c>
      <c r="AG74" s="10">
        <v>-33.11</v>
      </c>
      <c r="AH74" s="10">
        <v>-33.11</v>
      </c>
      <c r="AI74" s="10">
        <v>-33.11</v>
      </c>
      <c r="AJ74" s="10">
        <v>-33.11</v>
      </c>
      <c r="AK74" s="10">
        <v>-17305.259999999998</v>
      </c>
      <c r="AL74" s="10">
        <v>8392.2900000000009</v>
      </c>
      <c r="AM74" s="10">
        <v>0</v>
      </c>
      <c r="AN74" s="10">
        <v>-33.11</v>
      </c>
      <c r="AO74" s="10">
        <v>-33.11</v>
      </c>
      <c r="AP74" s="10">
        <v>-106.21</v>
      </c>
      <c r="AQ74" s="10">
        <v>-33.11</v>
      </c>
      <c r="AR74" s="10">
        <v>-33.11</v>
      </c>
      <c r="AS74" s="10">
        <v>-33.11</v>
      </c>
      <c r="AT74" s="10">
        <v>0</v>
      </c>
      <c r="AU74" s="10">
        <v>0</v>
      </c>
      <c r="AV74" s="10">
        <v>0</v>
      </c>
      <c r="AW74" s="10">
        <f t="shared" si="10"/>
        <v>-10311.669999999998</v>
      </c>
    </row>
    <row r="75" spans="1:49" x14ac:dyDescent="0.2">
      <c r="A75" s="9" t="s">
        <v>122</v>
      </c>
      <c r="B75" s="10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-3610.03</v>
      </c>
      <c r="P75" s="10">
        <v>-3610.03</v>
      </c>
      <c r="Q75" s="10">
        <v>-3610.03</v>
      </c>
      <c r="R75" s="10">
        <v>-3610.03</v>
      </c>
      <c r="S75" s="10">
        <v>-3610.03</v>
      </c>
      <c r="T75" s="10">
        <v>-3610.03</v>
      </c>
      <c r="U75" s="10">
        <v>-3610.03</v>
      </c>
      <c r="V75" s="10">
        <v>-3610.03</v>
      </c>
      <c r="W75" s="10">
        <v>-3610.03</v>
      </c>
      <c r="X75" s="10">
        <v>-3627.03</v>
      </c>
      <c r="Y75" s="10">
        <v>-3636.03</v>
      </c>
      <c r="Z75" s="10">
        <v>-3661.03</v>
      </c>
      <c r="AA75" s="10">
        <v>-6666.62</v>
      </c>
      <c r="AB75" s="10">
        <v>-6666.62</v>
      </c>
      <c r="AC75" s="10">
        <v>-6640.7</v>
      </c>
      <c r="AD75" s="10">
        <v>-8582.43</v>
      </c>
      <c r="AE75" s="10">
        <v>-7133.43</v>
      </c>
      <c r="AF75" s="10">
        <v>-7471.43</v>
      </c>
      <c r="AG75" s="10">
        <v>-7161.43</v>
      </c>
      <c r="AH75" s="10">
        <v>-7161.43</v>
      </c>
      <c r="AI75" s="10">
        <v>-6833.43</v>
      </c>
      <c r="AJ75" s="10">
        <v>-7161.43</v>
      </c>
      <c r="AK75" s="10">
        <v>-7152.43</v>
      </c>
      <c r="AL75" s="10">
        <v>-7170.43</v>
      </c>
      <c r="AM75" s="10">
        <v>0</v>
      </c>
      <c r="AN75" s="10">
        <v>-7152.43</v>
      </c>
      <c r="AO75" s="10">
        <v>-7170.43</v>
      </c>
      <c r="AP75" s="10">
        <v>-7179.43</v>
      </c>
      <c r="AQ75" s="10">
        <v>-7252.43</v>
      </c>
      <c r="AR75" s="10">
        <v>-6871.53</v>
      </c>
      <c r="AS75" s="10">
        <v>-7252.43</v>
      </c>
      <c r="AT75" s="10">
        <v>-328</v>
      </c>
      <c r="AU75" s="10">
        <v>0</v>
      </c>
      <c r="AV75" s="10">
        <v>0</v>
      </c>
      <c r="AW75" s="10">
        <f t="shared" si="10"/>
        <v>-172422.84999999992</v>
      </c>
    </row>
    <row r="76" spans="1:49" x14ac:dyDescent="0.2">
      <c r="A76" s="9" t="s">
        <v>123</v>
      </c>
      <c r="B76" s="10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-25416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>
        <v>0</v>
      </c>
      <c r="AU76" s="10">
        <v>0</v>
      </c>
      <c r="AV76" s="10">
        <v>0</v>
      </c>
      <c r="AW76" s="10">
        <f t="shared" si="10"/>
        <v>-25416</v>
      </c>
    </row>
    <row r="77" spans="1:49" x14ac:dyDescent="0.2">
      <c r="A77" s="9" t="s">
        <v>124</v>
      </c>
      <c r="B77" s="10">
        <v>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38000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10">
        <v>0</v>
      </c>
      <c r="AQ77" s="10">
        <v>0</v>
      </c>
      <c r="AR77" s="10">
        <v>0</v>
      </c>
      <c r="AS77" s="10">
        <v>0</v>
      </c>
      <c r="AT77" s="10">
        <v>0</v>
      </c>
      <c r="AU77" s="10">
        <v>0</v>
      </c>
      <c r="AV77" s="10">
        <v>0</v>
      </c>
      <c r="AW77" s="10">
        <f t="shared" si="10"/>
        <v>38000</v>
      </c>
    </row>
    <row r="78" spans="1:49" x14ac:dyDescent="0.2">
      <c r="A78" s="9" t="s">
        <v>125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-1645.41</v>
      </c>
      <c r="AM78" s="10">
        <v>0</v>
      </c>
      <c r="AN78" s="10">
        <v>0</v>
      </c>
      <c r="AO78" s="10">
        <v>0</v>
      </c>
      <c r="AP78" s="10">
        <v>-1196.29</v>
      </c>
      <c r="AQ78" s="10">
        <v>0</v>
      </c>
      <c r="AR78" s="10">
        <v>-149.28</v>
      </c>
      <c r="AS78" s="10">
        <v>0</v>
      </c>
      <c r="AT78" s="10">
        <v>0</v>
      </c>
      <c r="AU78" s="10">
        <v>0</v>
      </c>
      <c r="AV78" s="10">
        <v>0</v>
      </c>
      <c r="AW78" s="10">
        <f t="shared" si="10"/>
        <v>-2990.98</v>
      </c>
    </row>
    <row r="79" spans="1:49" x14ac:dyDescent="0.2">
      <c r="A79" s="13" t="s">
        <v>126</v>
      </c>
      <c r="B79" s="14">
        <f t="shared" ref="B79:AW79" si="11">SUM(B65:B78)</f>
        <v>-612130.64999999991</v>
      </c>
      <c r="C79" s="14">
        <f t="shared" si="11"/>
        <v>-611480.52999999991</v>
      </c>
      <c r="D79" s="14">
        <f t="shared" si="11"/>
        <v>-429033.50999999995</v>
      </c>
      <c r="E79" s="14">
        <f t="shared" si="11"/>
        <v>-407016.19</v>
      </c>
      <c r="F79" s="14">
        <f t="shared" si="11"/>
        <v>-391087.55</v>
      </c>
      <c r="G79" s="14">
        <f t="shared" si="11"/>
        <v>-449012.12</v>
      </c>
      <c r="H79" s="14">
        <f t="shared" si="11"/>
        <v>-569754.7699999999</v>
      </c>
      <c r="I79" s="14">
        <f t="shared" si="11"/>
        <v>-592568.91</v>
      </c>
      <c r="J79" s="14">
        <f t="shared" si="11"/>
        <v>-511134.03</v>
      </c>
      <c r="K79" s="14">
        <f t="shared" si="11"/>
        <v>-520086.18999999994</v>
      </c>
      <c r="L79" s="14">
        <f t="shared" si="11"/>
        <v>-572120.00999999989</v>
      </c>
      <c r="M79" s="14">
        <f t="shared" si="11"/>
        <v>-605583.2699999999</v>
      </c>
      <c r="N79" s="14">
        <f t="shared" si="11"/>
        <v>0</v>
      </c>
      <c r="O79" s="14">
        <f t="shared" si="11"/>
        <v>-666981.65</v>
      </c>
      <c r="P79" s="14">
        <f t="shared" si="11"/>
        <v>-670704.53</v>
      </c>
      <c r="Q79" s="14">
        <f t="shared" si="11"/>
        <v>-648850.96</v>
      </c>
      <c r="R79" s="14">
        <f t="shared" si="11"/>
        <v>-705721.48</v>
      </c>
      <c r="S79" s="14">
        <f t="shared" si="11"/>
        <v>-697643.49</v>
      </c>
      <c r="T79" s="14">
        <f t="shared" si="11"/>
        <v>-605132.85000000009</v>
      </c>
      <c r="U79" s="14">
        <f t="shared" si="11"/>
        <v>-725813.81</v>
      </c>
      <c r="V79" s="14">
        <f t="shared" si="11"/>
        <v>-681934.28</v>
      </c>
      <c r="W79" s="14">
        <f t="shared" si="11"/>
        <v>-689674.77999999991</v>
      </c>
      <c r="X79" s="14">
        <f t="shared" si="11"/>
        <v>-708485.43000000017</v>
      </c>
      <c r="Y79" s="14">
        <f t="shared" si="11"/>
        <v>-706472.66</v>
      </c>
      <c r="Z79" s="14">
        <f t="shared" si="11"/>
        <v>-361863.74999999994</v>
      </c>
      <c r="AA79" s="14">
        <f t="shared" si="11"/>
        <v>-664915.85999999987</v>
      </c>
      <c r="AB79" s="14">
        <f t="shared" si="11"/>
        <v>-649565.50999999989</v>
      </c>
      <c r="AC79" s="14">
        <f t="shared" si="11"/>
        <v>-682604.66999999993</v>
      </c>
      <c r="AD79" s="14">
        <f t="shared" si="11"/>
        <v>-714916.45000000019</v>
      </c>
      <c r="AE79" s="14">
        <f t="shared" si="11"/>
        <v>-738482.40999999992</v>
      </c>
      <c r="AF79" s="14">
        <f t="shared" si="11"/>
        <v>-728345.96</v>
      </c>
      <c r="AG79" s="14">
        <f t="shared" si="11"/>
        <v>-703052.09000000008</v>
      </c>
      <c r="AH79" s="14">
        <f t="shared" si="11"/>
        <v>-742173.8899999999</v>
      </c>
      <c r="AI79" s="14">
        <f t="shared" si="11"/>
        <v>-978127.45000000007</v>
      </c>
      <c r="AJ79" s="14">
        <f t="shared" si="11"/>
        <v>-770675.59000000008</v>
      </c>
      <c r="AK79" s="14">
        <f t="shared" si="11"/>
        <v>-815750.25000000012</v>
      </c>
      <c r="AL79" s="14">
        <f t="shared" si="11"/>
        <v>-1054581.7</v>
      </c>
      <c r="AM79" s="14">
        <f t="shared" si="11"/>
        <v>0</v>
      </c>
      <c r="AN79" s="14">
        <f t="shared" si="11"/>
        <v>-644888.29</v>
      </c>
      <c r="AO79" s="14">
        <f t="shared" si="11"/>
        <v>-772560.04999999993</v>
      </c>
      <c r="AP79" s="14">
        <f t="shared" si="11"/>
        <v>-854984.13</v>
      </c>
      <c r="AQ79" s="14">
        <f t="shared" si="11"/>
        <v>-877590.1399999999</v>
      </c>
      <c r="AR79" s="14">
        <f t="shared" si="11"/>
        <v>-915344.53000000014</v>
      </c>
      <c r="AS79" s="14">
        <f t="shared" si="11"/>
        <v>-1090841.98</v>
      </c>
      <c r="AT79" s="14">
        <f t="shared" si="11"/>
        <v>-11208.22</v>
      </c>
      <c r="AU79" s="14">
        <f t="shared" si="11"/>
        <v>0</v>
      </c>
      <c r="AV79" s="14">
        <f t="shared" si="11"/>
        <v>0</v>
      </c>
      <c r="AW79" s="14">
        <f t="shared" si="11"/>
        <v>-28550896.57</v>
      </c>
    </row>
    <row r="80" spans="1:49" x14ac:dyDescent="0.2">
      <c r="A80" s="8" t="s">
        <v>127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1:49" x14ac:dyDescent="0.2">
      <c r="A81" s="9" t="s">
        <v>128</v>
      </c>
      <c r="B81" s="10">
        <v>-98063.72</v>
      </c>
      <c r="C81" s="10">
        <v>-98742.45</v>
      </c>
      <c r="D81" s="10">
        <v>-39074.67</v>
      </c>
      <c r="E81" s="10">
        <v>-62831.05</v>
      </c>
      <c r="F81" s="10">
        <v>-60699.45</v>
      </c>
      <c r="G81" s="10">
        <v>-65205.2</v>
      </c>
      <c r="H81" s="10">
        <v>-88125.1</v>
      </c>
      <c r="I81" s="10">
        <v>-93843.48</v>
      </c>
      <c r="J81" s="10">
        <v>-76327.03</v>
      </c>
      <c r="K81" s="10">
        <v>-78211.210000000006</v>
      </c>
      <c r="L81" s="10">
        <v>-84013.88</v>
      </c>
      <c r="M81" s="10">
        <v>-71876.38</v>
      </c>
      <c r="N81" s="10">
        <v>0</v>
      </c>
      <c r="O81" s="10">
        <v>-107834.66</v>
      </c>
      <c r="P81" s="10">
        <v>-108720.54</v>
      </c>
      <c r="Q81" s="10">
        <v>-76618.44</v>
      </c>
      <c r="R81" s="10">
        <v>-112365.66</v>
      </c>
      <c r="S81" s="10">
        <v>-111991.98</v>
      </c>
      <c r="T81" s="10">
        <v>-86063.18</v>
      </c>
      <c r="U81" s="10">
        <v>-109150.32</v>
      </c>
      <c r="V81" s="10">
        <v>-110840.52</v>
      </c>
      <c r="W81" s="10">
        <v>-111789.24</v>
      </c>
      <c r="X81" s="10">
        <v>-113289.46</v>
      </c>
      <c r="Y81" s="10">
        <v>-113354.83</v>
      </c>
      <c r="Z81" s="10">
        <v>-10004.49</v>
      </c>
      <c r="AA81" s="10">
        <v>-110099.42</v>
      </c>
      <c r="AB81" s="10">
        <v>-107938.37</v>
      </c>
      <c r="AC81" s="10">
        <v>-69542.460000000006</v>
      </c>
      <c r="AD81" s="10">
        <v>-112017.22</v>
      </c>
      <c r="AE81" s="10">
        <v>-114256.62</v>
      </c>
      <c r="AF81" s="10">
        <v>-85859.87</v>
      </c>
      <c r="AG81" s="10">
        <v>-113191.14</v>
      </c>
      <c r="AH81" s="10">
        <v>-114884.75</v>
      </c>
      <c r="AI81" s="10">
        <v>-149261.6</v>
      </c>
      <c r="AJ81" s="10">
        <v>-123751.35</v>
      </c>
      <c r="AK81" s="10">
        <v>-122506.89</v>
      </c>
      <c r="AL81" s="10">
        <v>-110145.14</v>
      </c>
      <c r="AM81" s="10">
        <v>0</v>
      </c>
      <c r="AN81" s="10">
        <v>-120964.21</v>
      </c>
      <c r="AO81" s="10">
        <v>-121965.87</v>
      </c>
      <c r="AP81" s="10">
        <v>39795.760000000002</v>
      </c>
      <c r="AQ81" s="10">
        <v>-142373.84</v>
      </c>
      <c r="AR81" s="10">
        <v>-141257.82</v>
      </c>
      <c r="AS81" s="10">
        <v>-158717.07</v>
      </c>
      <c r="AT81" s="10">
        <v>0</v>
      </c>
      <c r="AU81" s="10">
        <v>0</v>
      </c>
      <c r="AV81" s="10">
        <v>0</v>
      </c>
      <c r="AW81" s="10">
        <f t="shared" ref="AW81:AW88" si="12">SUM(B81:AV81)</f>
        <v>-4067974.8200000008</v>
      </c>
    </row>
    <row r="82" spans="1:49" x14ac:dyDescent="0.2">
      <c r="A82" s="9" t="s">
        <v>129</v>
      </c>
      <c r="B82" s="10">
        <v>-1782</v>
      </c>
      <c r="C82" s="10">
        <v>-1783</v>
      </c>
      <c r="D82" s="10">
        <v>-3290</v>
      </c>
      <c r="E82" s="10">
        <v>-2881.15</v>
      </c>
      <c r="F82" s="10">
        <v>-1696</v>
      </c>
      <c r="G82" s="10">
        <v>-1501</v>
      </c>
      <c r="H82" s="10">
        <v>-1659</v>
      </c>
      <c r="I82" s="10">
        <v>-1755</v>
      </c>
      <c r="J82" s="10">
        <v>-1827</v>
      </c>
      <c r="K82" s="10">
        <v>-1855</v>
      </c>
      <c r="L82" s="10">
        <v>-2041</v>
      </c>
      <c r="M82" s="10">
        <v>-1124</v>
      </c>
      <c r="N82" s="10">
        <v>0</v>
      </c>
      <c r="O82" s="10">
        <v>-2028</v>
      </c>
      <c r="P82" s="10">
        <v>-2044</v>
      </c>
      <c r="Q82" s="10">
        <v>-3593</v>
      </c>
      <c r="R82" s="10">
        <v>-2583.25</v>
      </c>
      <c r="S82" s="10">
        <v>-2152</v>
      </c>
      <c r="T82" s="10">
        <v>-2952</v>
      </c>
      <c r="U82" s="10">
        <v>-2116</v>
      </c>
      <c r="V82" s="10">
        <v>-2061</v>
      </c>
      <c r="W82" s="10">
        <v>-2119</v>
      </c>
      <c r="X82" s="10">
        <v>-2139</v>
      </c>
      <c r="Y82" s="10">
        <v>-2159</v>
      </c>
      <c r="Z82" s="10">
        <v>-2355</v>
      </c>
      <c r="AA82" s="10">
        <v>-2077</v>
      </c>
      <c r="AB82" s="10">
        <v>-2607</v>
      </c>
      <c r="AC82" s="10">
        <v>-3571</v>
      </c>
      <c r="AD82" s="10">
        <v>8255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405.05</v>
      </c>
      <c r="AL82" s="10">
        <v>-1156.93</v>
      </c>
      <c r="AM82" s="10">
        <v>0</v>
      </c>
      <c r="AN82" s="10">
        <v>-5518.59</v>
      </c>
      <c r="AO82" s="10">
        <v>0</v>
      </c>
      <c r="AP82" s="10">
        <v>0</v>
      </c>
      <c r="AQ82" s="10">
        <v>-13293.33</v>
      </c>
      <c r="AR82" s="10">
        <v>0</v>
      </c>
      <c r="AS82" s="10">
        <v>0</v>
      </c>
      <c r="AT82" s="10">
        <v>0</v>
      </c>
      <c r="AU82" s="10">
        <v>0</v>
      </c>
      <c r="AV82" s="10">
        <v>0</v>
      </c>
      <c r="AW82" s="10">
        <f t="shared" si="12"/>
        <v>-71059.199999999997</v>
      </c>
    </row>
    <row r="83" spans="1:49" x14ac:dyDescent="0.2">
      <c r="A83" s="9" t="s">
        <v>130</v>
      </c>
      <c r="B83" s="10">
        <v>0</v>
      </c>
      <c r="C83" s="10">
        <v>0</v>
      </c>
      <c r="D83" s="10">
        <v>0</v>
      </c>
      <c r="E83" s="10">
        <v>0</v>
      </c>
      <c r="F83" s="10">
        <v>-440.3</v>
      </c>
      <c r="G83" s="10">
        <v>-220.15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-660</v>
      </c>
      <c r="N83" s="10">
        <v>0</v>
      </c>
      <c r="O83" s="10">
        <v>0</v>
      </c>
      <c r="P83" s="10">
        <v>0</v>
      </c>
      <c r="Q83" s="10">
        <v>0</v>
      </c>
      <c r="R83" s="10">
        <v>-663.57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-660</v>
      </c>
      <c r="AA83" s="10">
        <v>0</v>
      </c>
      <c r="AB83" s="10">
        <v>0</v>
      </c>
      <c r="AC83" s="10">
        <v>0</v>
      </c>
      <c r="AD83" s="10">
        <v>-107.67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-719.54</v>
      </c>
      <c r="AR83" s="10">
        <v>-359.77</v>
      </c>
      <c r="AS83" s="10">
        <v>0</v>
      </c>
      <c r="AT83" s="10">
        <v>0</v>
      </c>
      <c r="AU83" s="10">
        <v>0</v>
      </c>
      <c r="AV83" s="10">
        <v>0</v>
      </c>
      <c r="AW83" s="10">
        <f t="shared" si="12"/>
        <v>-3831</v>
      </c>
    </row>
    <row r="84" spans="1:49" x14ac:dyDescent="0.2">
      <c r="A84" s="9" t="s">
        <v>131</v>
      </c>
      <c r="B84" s="10">
        <v>-13753.64</v>
      </c>
      <c r="C84" s="10">
        <v>-1072.45</v>
      </c>
      <c r="D84" s="10">
        <v>-594.5</v>
      </c>
      <c r="E84" s="10">
        <v>-44</v>
      </c>
      <c r="F84" s="10">
        <v>-481.5</v>
      </c>
      <c r="G84" s="10">
        <v>-437.5</v>
      </c>
      <c r="H84" s="10">
        <v>-467.2</v>
      </c>
      <c r="I84" s="10">
        <v>-738.5</v>
      </c>
      <c r="J84" s="10">
        <v>-880</v>
      </c>
      <c r="K84" s="10">
        <v>-524.39</v>
      </c>
      <c r="L84" s="10">
        <v>-3667.65</v>
      </c>
      <c r="M84" s="10">
        <v>-702.76</v>
      </c>
      <c r="N84" s="10">
        <v>0</v>
      </c>
      <c r="O84" s="10">
        <v>-4382.0200000000004</v>
      </c>
      <c r="P84" s="10">
        <v>-2599.5500000000002</v>
      </c>
      <c r="Q84" s="10">
        <v>-1417.46</v>
      </c>
      <c r="R84" s="10">
        <v>-648.69000000000005</v>
      </c>
      <c r="S84" s="10">
        <v>-677.5</v>
      </c>
      <c r="T84" s="10">
        <v>-633.63</v>
      </c>
      <c r="U84" s="10">
        <v>-691.21</v>
      </c>
      <c r="V84" s="10">
        <v>-2191.88</v>
      </c>
      <c r="W84" s="10">
        <v>-3330.36</v>
      </c>
      <c r="X84" s="10">
        <v>-871.39</v>
      </c>
      <c r="Y84" s="10">
        <v>-2031.38</v>
      </c>
      <c r="Z84" s="10">
        <v>-1262.92</v>
      </c>
      <c r="AA84" s="10">
        <v>-4606</v>
      </c>
      <c r="AB84" s="10">
        <v>-1732.74</v>
      </c>
      <c r="AC84" s="10">
        <v>-936.45</v>
      </c>
      <c r="AD84" s="10">
        <v>-1478.01</v>
      </c>
      <c r="AE84" s="10">
        <v>-1534.37</v>
      </c>
      <c r="AF84" s="10">
        <v>-1509.63</v>
      </c>
      <c r="AG84" s="10">
        <v>-2420.29</v>
      </c>
      <c r="AH84" s="10">
        <v>-6735</v>
      </c>
      <c r="AI84" s="10">
        <v>-6512.84</v>
      </c>
      <c r="AJ84" s="10">
        <v>-1527.04</v>
      </c>
      <c r="AK84" s="10">
        <v>-1891.58</v>
      </c>
      <c r="AL84" s="10">
        <v>-2104.62</v>
      </c>
      <c r="AM84" s="10">
        <v>0</v>
      </c>
      <c r="AN84" s="10">
        <v>-5494.03</v>
      </c>
      <c r="AO84" s="10">
        <v>-12897.89</v>
      </c>
      <c r="AP84" s="10">
        <v>-1033.96</v>
      </c>
      <c r="AQ84" s="10">
        <v>-2394.5500000000002</v>
      </c>
      <c r="AR84" s="10">
        <v>-2641.24</v>
      </c>
      <c r="AS84" s="10">
        <v>-2053.4899999999998</v>
      </c>
      <c r="AT84" s="10">
        <v>-8410.27</v>
      </c>
      <c r="AU84" s="10">
        <v>-91.12</v>
      </c>
      <c r="AV84" s="10">
        <v>0</v>
      </c>
      <c r="AW84" s="10">
        <f t="shared" si="12"/>
        <v>-112107.2</v>
      </c>
    </row>
    <row r="85" spans="1:49" x14ac:dyDescent="0.2">
      <c r="A85" s="9" t="s">
        <v>132</v>
      </c>
      <c r="B85" s="10">
        <v>-1799.17</v>
      </c>
      <c r="C85" s="10">
        <v>-1211.17</v>
      </c>
      <c r="D85" s="10">
        <v>-1615.85</v>
      </c>
      <c r="E85" s="10">
        <v>-1507.83</v>
      </c>
      <c r="F85" s="10">
        <v>-1471.83</v>
      </c>
      <c r="G85" s="10">
        <v>-1407.7</v>
      </c>
      <c r="H85" s="10">
        <v>-1375.77</v>
      </c>
      <c r="I85" s="10">
        <v>-1418.12</v>
      </c>
      <c r="J85" s="10">
        <v>-1418.25</v>
      </c>
      <c r="K85" s="10">
        <v>-1488.06</v>
      </c>
      <c r="L85" s="10">
        <v>-2625.55</v>
      </c>
      <c r="M85" s="10">
        <v>-1864.34</v>
      </c>
      <c r="N85" s="10">
        <v>0</v>
      </c>
      <c r="O85" s="10">
        <v>-1698.13</v>
      </c>
      <c r="P85" s="10">
        <v>-1519.92</v>
      </c>
      <c r="Q85" s="10">
        <v>-1521.05</v>
      </c>
      <c r="R85" s="10">
        <v>-1522</v>
      </c>
      <c r="S85" s="10">
        <v>-1622.71</v>
      </c>
      <c r="T85" s="10">
        <v>-1556.53</v>
      </c>
      <c r="U85" s="10">
        <v>-1503.95</v>
      </c>
      <c r="V85" s="10">
        <v>-1474.95</v>
      </c>
      <c r="W85" s="10">
        <v>-1803.37</v>
      </c>
      <c r="X85" s="10">
        <v>-1191.1500000000001</v>
      </c>
      <c r="Y85" s="10">
        <v>-1771.52</v>
      </c>
      <c r="Z85" s="10">
        <v>-1492.92</v>
      </c>
      <c r="AA85" s="10">
        <v>-2410.56</v>
      </c>
      <c r="AB85" s="10">
        <v>-1953.08</v>
      </c>
      <c r="AC85" s="10">
        <v>-1953.85</v>
      </c>
      <c r="AD85" s="10">
        <v>-1953.85</v>
      </c>
      <c r="AE85" s="10">
        <v>-1861.1</v>
      </c>
      <c r="AF85" s="10">
        <v>-1969.57</v>
      </c>
      <c r="AG85" s="10">
        <v>-1969.6</v>
      </c>
      <c r="AH85" s="10">
        <v>-1969.58</v>
      </c>
      <c r="AI85" s="10">
        <v>-1970.64</v>
      </c>
      <c r="AJ85" s="10">
        <v>-2086.37</v>
      </c>
      <c r="AK85" s="10">
        <v>-2706.59</v>
      </c>
      <c r="AL85" s="10">
        <v>-1998.32</v>
      </c>
      <c r="AM85" s="10">
        <v>0</v>
      </c>
      <c r="AN85" s="10">
        <v>-2062.3000000000002</v>
      </c>
      <c r="AO85" s="10">
        <v>-2167.91</v>
      </c>
      <c r="AP85" s="10">
        <v>-2166.08</v>
      </c>
      <c r="AQ85" s="10">
        <v>-2328.85</v>
      </c>
      <c r="AR85" s="10">
        <v>-2298</v>
      </c>
      <c r="AS85" s="10">
        <v>-2414.14</v>
      </c>
      <c r="AT85" s="10">
        <v>333.67</v>
      </c>
      <c r="AU85" s="10">
        <v>0</v>
      </c>
      <c r="AV85" s="10">
        <v>0</v>
      </c>
      <c r="AW85" s="10">
        <f t="shared" si="12"/>
        <v>-75788.56</v>
      </c>
    </row>
    <row r="86" spans="1:49" x14ac:dyDescent="0.2">
      <c r="A86" s="9" t="s">
        <v>133</v>
      </c>
      <c r="B86" s="10">
        <v>0</v>
      </c>
      <c r="C86" s="10">
        <v>-588</v>
      </c>
      <c r="D86" s="10">
        <v>-294</v>
      </c>
      <c r="E86" s="10">
        <v>-294</v>
      </c>
      <c r="F86" s="10">
        <v>-294</v>
      </c>
      <c r="G86" s="10">
        <v>-294</v>
      </c>
      <c r="H86" s="10">
        <v>-294</v>
      </c>
      <c r="I86" s="10">
        <v>-294</v>
      </c>
      <c r="J86" s="10">
        <v>-294</v>
      </c>
      <c r="K86" s="10">
        <v>-294</v>
      </c>
      <c r="L86" s="10">
        <v>-588</v>
      </c>
      <c r="M86" s="10">
        <v>0</v>
      </c>
      <c r="N86" s="10">
        <v>0</v>
      </c>
      <c r="O86" s="10">
        <v>-307.06</v>
      </c>
      <c r="P86" s="10">
        <v>-307.06</v>
      </c>
      <c r="Q86" s="10">
        <v>-307.56</v>
      </c>
      <c r="R86" s="10">
        <v>-307.56</v>
      </c>
      <c r="S86" s="10">
        <v>-307.56</v>
      </c>
      <c r="T86" s="10">
        <v>-307.56</v>
      </c>
      <c r="U86" s="10">
        <v>-307.56</v>
      </c>
      <c r="V86" s="10">
        <v>-307.56</v>
      </c>
      <c r="W86" s="10">
        <v>0</v>
      </c>
      <c r="X86" s="10">
        <v>-615.12</v>
      </c>
      <c r="Y86" s="10">
        <v>-307.56</v>
      </c>
      <c r="Z86" s="10">
        <v>-307.56</v>
      </c>
      <c r="AA86" s="10">
        <v>-320.62</v>
      </c>
      <c r="AB86" s="10">
        <v>-320.62</v>
      </c>
      <c r="AC86" s="10">
        <v>-320.62</v>
      </c>
      <c r="AD86" s="10">
        <v>-320.62</v>
      </c>
      <c r="AE86" s="10">
        <v>-320.62</v>
      </c>
      <c r="AF86" s="10">
        <v>-320.62</v>
      </c>
      <c r="AG86" s="10">
        <v>-320.62</v>
      </c>
      <c r="AH86" s="10">
        <v>-320.62</v>
      </c>
      <c r="AI86" s="10">
        <v>-320.62</v>
      </c>
      <c r="AJ86" s="10">
        <v>-320.62</v>
      </c>
      <c r="AK86" s="10">
        <v>-320.62</v>
      </c>
      <c r="AL86" s="10">
        <v>-333.67</v>
      </c>
      <c r="AM86" s="10">
        <v>0</v>
      </c>
      <c r="AN86" s="10">
        <v>-333.67</v>
      </c>
      <c r="AO86" s="10">
        <v>-333.67</v>
      </c>
      <c r="AP86" s="10">
        <v>-333.67</v>
      </c>
      <c r="AQ86" s="10">
        <v>-333.67</v>
      </c>
      <c r="AR86" s="10">
        <v>-333.67</v>
      </c>
      <c r="AS86" s="10">
        <v>-333.67</v>
      </c>
      <c r="AT86" s="10">
        <v>-333.67</v>
      </c>
      <c r="AU86" s="10">
        <v>0</v>
      </c>
      <c r="AV86" s="10">
        <v>0</v>
      </c>
      <c r="AW86" s="10">
        <f t="shared" si="12"/>
        <v>-13413.900000000009</v>
      </c>
    </row>
    <row r="87" spans="1:49" x14ac:dyDescent="0.2">
      <c r="A87" s="9" t="s">
        <v>134</v>
      </c>
      <c r="B87" s="10">
        <v>-6192.42</v>
      </c>
      <c r="C87" s="10">
        <v>-6192.42</v>
      </c>
      <c r="D87" s="10">
        <v>-6192.42</v>
      </c>
      <c r="E87" s="10">
        <v>-6192.42</v>
      </c>
      <c r="F87" s="10">
        <v>-6811.65</v>
      </c>
      <c r="G87" s="10">
        <v>-6811.65</v>
      </c>
      <c r="H87" s="10">
        <v>-6811.65</v>
      </c>
      <c r="I87" s="10">
        <v>-6811.65</v>
      </c>
      <c r="J87" s="10">
        <v>-6811.65</v>
      </c>
      <c r="K87" s="10">
        <v>-6811.65</v>
      </c>
      <c r="L87" s="10">
        <v>-6811.65</v>
      </c>
      <c r="M87" s="10">
        <v>-6811.65</v>
      </c>
      <c r="N87" s="10">
        <v>0</v>
      </c>
      <c r="O87" s="10">
        <v>-6811.65</v>
      </c>
      <c r="P87" s="10">
        <v>-13623.3</v>
      </c>
      <c r="Q87" s="10">
        <v>0</v>
      </c>
      <c r="R87" s="10">
        <v>-6811.65</v>
      </c>
      <c r="S87" s="10">
        <v>-14985.66</v>
      </c>
      <c r="T87" s="10">
        <v>0</v>
      </c>
      <c r="U87" s="10">
        <v>-7492.83</v>
      </c>
      <c r="V87" s="10">
        <v>-7492.83</v>
      </c>
      <c r="W87" s="10">
        <v>-14985.66</v>
      </c>
      <c r="X87" s="10">
        <v>0</v>
      </c>
      <c r="Y87" s="10">
        <v>-7492.83</v>
      </c>
      <c r="Z87" s="10">
        <v>-7492.83</v>
      </c>
      <c r="AA87" s="10">
        <v>-7492.83</v>
      </c>
      <c r="AB87" s="10">
        <v>-7492.83</v>
      </c>
      <c r="AC87" s="10">
        <v>-7492.83</v>
      </c>
      <c r="AD87" s="10">
        <v>-7492.83</v>
      </c>
      <c r="AE87" s="10">
        <v>-8242.11</v>
      </c>
      <c r="AF87" s="10">
        <v>-8242.11</v>
      </c>
      <c r="AG87" s="10">
        <v>-8242.11</v>
      </c>
      <c r="AH87" s="10">
        <v>-8242.11</v>
      </c>
      <c r="AI87" s="10">
        <v>-8242.11</v>
      </c>
      <c r="AJ87" s="10">
        <v>-8242.11</v>
      </c>
      <c r="AK87" s="10">
        <v>-8242.11</v>
      </c>
      <c r="AL87" s="10">
        <v>-8242.11</v>
      </c>
      <c r="AM87" s="10">
        <v>0</v>
      </c>
      <c r="AN87" s="10">
        <v>-8242.11</v>
      </c>
      <c r="AO87" s="10">
        <v>-8242.11</v>
      </c>
      <c r="AP87" s="10">
        <v>-8242.11</v>
      </c>
      <c r="AQ87" s="10">
        <v>-8242.11</v>
      </c>
      <c r="AR87" s="10">
        <v>-9066.33</v>
      </c>
      <c r="AS87" s="10">
        <v>-9066.33</v>
      </c>
      <c r="AT87" s="10">
        <v>-9066.33</v>
      </c>
      <c r="AU87" s="10">
        <v>0</v>
      </c>
      <c r="AV87" s="10">
        <v>0</v>
      </c>
      <c r="AW87" s="10">
        <f t="shared" si="12"/>
        <v>-322527.74999999983</v>
      </c>
    </row>
    <row r="88" spans="1:49" x14ac:dyDescent="0.2">
      <c r="A88" s="9" t="s">
        <v>135</v>
      </c>
      <c r="B88" s="10">
        <v>-300</v>
      </c>
      <c r="C88" s="10">
        <v>0</v>
      </c>
      <c r="D88" s="10">
        <v>0</v>
      </c>
      <c r="E88" s="10">
        <v>-300</v>
      </c>
      <c r="F88" s="10">
        <v>0</v>
      </c>
      <c r="G88" s="10">
        <v>0</v>
      </c>
      <c r="H88" s="10">
        <v>-351.05</v>
      </c>
      <c r="I88" s="10">
        <v>-973</v>
      </c>
      <c r="J88" s="10">
        <v>0</v>
      </c>
      <c r="K88" s="10">
        <v>-300</v>
      </c>
      <c r="L88" s="10">
        <v>0</v>
      </c>
      <c r="M88" s="10">
        <v>0</v>
      </c>
      <c r="N88" s="10">
        <v>0</v>
      </c>
      <c r="O88" s="10">
        <v>-300</v>
      </c>
      <c r="P88" s="10">
        <v>0</v>
      </c>
      <c r="Q88" s="10">
        <v>0</v>
      </c>
      <c r="R88" s="10">
        <v>-1653.9</v>
      </c>
      <c r="S88" s="10">
        <v>-881.45</v>
      </c>
      <c r="T88" s="10">
        <v>-98.9</v>
      </c>
      <c r="U88" s="10">
        <v>-581.09</v>
      </c>
      <c r="V88" s="10">
        <v>-2066.65</v>
      </c>
      <c r="W88" s="10">
        <v>-509.42</v>
      </c>
      <c r="X88" s="10">
        <v>-101.09</v>
      </c>
      <c r="Y88" s="10">
        <v>-109.57</v>
      </c>
      <c r="Z88" s="10">
        <v>-833.14</v>
      </c>
      <c r="AA88" s="10">
        <v>-153.72</v>
      </c>
      <c r="AB88" s="10">
        <v>-793.05</v>
      </c>
      <c r="AC88" s="10">
        <v>-803.06</v>
      </c>
      <c r="AD88" s="10">
        <v>-150</v>
      </c>
      <c r="AE88" s="10">
        <v>-775.95</v>
      </c>
      <c r="AF88" s="10">
        <v>-73.77</v>
      </c>
      <c r="AG88" s="10">
        <v>-101.09</v>
      </c>
      <c r="AH88" s="10">
        <v>-780.47</v>
      </c>
      <c r="AI88" s="10">
        <v>-222.78</v>
      </c>
      <c r="AJ88" s="10">
        <v>-265.73</v>
      </c>
      <c r="AK88" s="10">
        <v>-97.83</v>
      </c>
      <c r="AL88" s="10">
        <v>-683.2</v>
      </c>
      <c r="AM88" s="10">
        <v>0</v>
      </c>
      <c r="AN88" s="10">
        <v>-103.33</v>
      </c>
      <c r="AO88" s="10">
        <v>-93.33</v>
      </c>
      <c r="AP88" s="10">
        <v>-906.74</v>
      </c>
      <c r="AQ88" s="10">
        <v>-98.9</v>
      </c>
      <c r="AR88" s="10">
        <v>-1172.02</v>
      </c>
      <c r="AS88" s="10">
        <v>-98.9</v>
      </c>
      <c r="AT88" s="10">
        <v>-1285</v>
      </c>
      <c r="AU88" s="10">
        <v>0</v>
      </c>
      <c r="AV88" s="10">
        <v>0</v>
      </c>
      <c r="AW88" s="10">
        <f t="shared" si="12"/>
        <v>-18018.13</v>
      </c>
    </row>
    <row r="89" spans="1:49" x14ac:dyDescent="0.2">
      <c r="A89" s="13" t="s">
        <v>136</v>
      </c>
      <c r="B89" s="14">
        <f t="shared" ref="B89:AW89" si="13">SUM(B81:B88)</f>
        <v>-121890.95</v>
      </c>
      <c r="C89" s="14">
        <f t="shared" si="13"/>
        <v>-109589.48999999999</v>
      </c>
      <c r="D89" s="14">
        <f t="shared" si="13"/>
        <v>-51061.439999999995</v>
      </c>
      <c r="E89" s="14">
        <f t="shared" si="13"/>
        <v>-74050.45</v>
      </c>
      <c r="F89" s="14">
        <f t="shared" si="13"/>
        <v>-71894.73</v>
      </c>
      <c r="G89" s="14">
        <f t="shared" si="13"/>
        <v>-75877.199999999983</v>
      </c>
      <c r="H89" s="14">
        <f t="shared" si="13"/>
        <v>-99083.77</v>
      </c>
      <c r="I89" s="14">
        <f t="shared" si="13"/>
        <v>-105833.74999999999</v>
      </c>
      <c r="J89" s="14">
        <f t="shared" si="13"/>
        <v>-87557.93</v>
      </c>
      <c r="K89" s="14">
        <f t="shared" si="13"/>
        <v>-89484.31</v>
      </c>
      <c r="L89" s="14">
        <f t="shared" si="13"/>
        <v>-99747.73</v>
      </c>
      <c r="M89" s="14">
        <f t="shared" si="13"/>
        <v>-83039.12999999999</v>
      </c>
      <c r="N89" s="14">
        <f t="shared" si="13"/>
        <v>0</v>
      </c>
      <c r="O89" s="14">
        <f t="shared" si="13"/>
        <v>-123361.52</v>
      </c>
      <c r="P89" s="14">
        <f t="shared" si="13"/>
        <v>-128814.37</v>
      </c>
      <c r="Q89" s="14">
        <f t="shared" si="13"/>
        <v>-83457.510000000009</v>
      </c>
      <c r="R89" s="14">
        <f t="shared" si="13"/>
        <v>-126556.28</v>
      </c>
      <c r="S89" s="14">
        <f t="shared" si="13"/>
        <v>-132618.86000000002</v>
      </c>
      <c r="T89" s="14">
        <f t="shared" si="13"/>
        <v>-91611.799999999988</v>
      </c>
      <c r="U89" s="14">
        <f t="shared" si="13"/>
        <v>-121842.96</v>
      </c>
      <c r="V89" s="14">
        <f t="shared" si="13"/>
        <v>-126435.39</v>
      </c>
      <c r="W89" s="14">
        <f t="shared" si="13"/>
        <v>-134537.05000000002</v>
      </c>
      <c r="X89" s="14">
        <f t="shared" si="13"/>
        <v>-118207.20999999999</v>
      </c>
      <c r="Y89" s="14">
        <f t="shared" si="13"/>
        <v>-127226.69000000002</v>
      </c>
      <c r="Z89" s="14">
        <f t="shared" si="13"/>
        <v>-24408.86</v>
      </c>
      <c r="AA89" s="14">
        <f t="shared" si="13"/>
        <v>-127160.15</v>
      </c>
      <c r="AB89" s="14">
        <f t="shared" si="13"/>
        <v>-122837.69</v>
      </c>
      <c r="AC89" s="14">
        <f t="shared" si="13"/>
        <v>-84620.27</v>
      </c>
      <c r="AD89" s="14">
        <f t="shared" si="13"/>
        <v>-115265.2</v>
      </c>
      <c r="AE89" s="14">
        <f t="shared" si="13"/>
        <v>-126990.76999999999</v>
      </c>
      <c r="AF89" s="14">
        <f t="shared" si="13"/>
        <v>-97975.57</v>
      </c>
      <c r="AG89" s="14">
        <f t="shared" si="13"/>
        <v>-126244.84999999999</v>
      </c>
      <c r="AH89" s="14">
        <f t="shared" si="13"/>
        <v>-132932.53</v>
      </c>
      <c r="AI89" s="14">
        <f t="shared" si="13"/>
        <v>-166530.59</v>
      </c>
      <c r="AJ89" s="14">
        <f t="shared" si="13"/>
        <v>-136193.22</v>
      </c>
      <c r="AK89" s="14">
        <f t="shared" si="13"/>
        <v>-135360.56999999998</v>
      </c>
      <c r="AL89" s="14">
        <f t="shared" si="13"/>
        <v>-124663.98999999999</v>
      </c>
      <c r="AM89" s="14">
        <f t="shared" si="13"/>
        <v>0</v>
      </c>
      <c r="AN89" s="14">
        <f t="shared" si="13"/>
        <v>-142718.24000000002</v>
      </c>
      <c r="AO89" s="14">
        <f t="shared" si="13"/>
        <v>-145700.78</v>
      </c>
      <c r="AP89" s="14">
        <f t="shared" si="13"/>
        <v>27113.200000000001</v>
      </c>
      <c r="AQ89" s="14">
        <f t="shared" si="13"/>
        <v>-169784.79</v>
      </c>
      <c r="AR89" s="14">
        <f t="shared" si="13"/>
        <v>-157128.84999999998</v>
      </c>
      <c r="AS89" s="14">
        <f t="shared" si="13"/>
        <v>-172683.6</v>
      </c>
      <c r="AT89" s="14">
        <f t="shared" si="13"/>
        <v>-18761.599999999999</v>
      </c>
      <c r="AU89" s="14">
        <f t="shared" si="13"/>
        <v>-91.12</v>
      </c>
      <c r="AV89" s="14">
        <f t="shared" si="13"/>
        <v>0</v>
      </c>
      <c r="AW89" s="14">
        <f t="shared" si="13"/>
        <v>-4684720.5600000005</v>
      </c>
    </row>
    <row r="90" spans="1:49" x14ac:dyDescent="0.2">
      <c r="A90" s="15" t="s">
        <v>137</v>
      </c>
      <c r="B90" s="14">
        <f t="shared" ref="B90:AW90" si="14">B79+B89</f>
        <v>-734021.59999999986</v>
      </c>
      <c r="C90" s="14">
        <f t="shared" si="14"/>
        <v>-721070.0199999999</v>
      </c>
      <c r="D90" s="14">
        <f t="shared" si="14"/>
        <v>-480094.94999999995</v>
      </c>
      <c r="E90" s="14">
        <f t="shared" si="14"/>
        <v>-481066.64</v>
      </c>
      <c r="F90" s="14">
        <f t="shared" si="14"/>
        <v>-462982.27999999997</v>
      </c>
      <c r="G90" s="14">
        <f t="shared" si="14"/>
        <v>-524889.31999999995</v>
      </c>
      <c r="H90" s="14">
        <f t="shared" si="14"/>
        <v>-668838.53999999992</v>
      </c>
      <c r="I90" s="14">
        <f t="shared" si="14"/>
        <v>-698402.66</v>
      </c>
      <c r="J90" s="14">
        <f t="shared" si="14"/>
        <v>-598691.96</v>
      </c>
      <c r="K90" s="14">
        <f t="shared" si="14"/>
        <v>-609570.5</v>
      </c>
      <c r="L90" s="14">
        <f t="shared" si="14"/>
        <v>-671867.73999999987</v>
      </c>
      <c r="M90" s="14">
        <f t="shared" si="14"/>
        <v>-688622.39999999991</v>
      </c>
      <c r="N90" s="14">
        <f t="shared" si="14"/>
        <v>0</v>
      </c>
      <c r="O90" s="14">
        <f t="shared" si="14"/>
        <v>-790343.17</v>
      </c>
      <c r="P90" s="14">
        <f t="shared" si="14"/>
        <v>-799518.9</v>
      </c>
      <c r="Q90" s="14">
        <f t="shared" si="14"/>
        <v>-732308.47</v>
      </c>
      <c r="R90" s="14">
        <f t="shared" si="14"/>
        <v>-832277.76</v>
      </c>
      <c r="S90" s="14">
        <f t="shared" si="14"/>
        <v>-830262.35</v>
      </c>
      <c r="T90" s="14">
        <f t="shared" si="14"/>
        <v>-696744.65000000014</v>
      </c>
      <c r="U90" s="14">
        <f t="shared" si="14"/>
        <v>-847656.77</v>
      </c>
      <c r="V90" s="14">
        <f t="shared" si="14"/>
        <v>-808369.67</v>
      </c>
      <c r="W90" s="14">
        <f t="shared" si="14"/>
        <v>-824211.83</v>
      </c>
      <c r="X90" s="14">
        <f t="shared" si="14"/>
        <v>-826692.64000000013</v>
      </c>
      <c r="Y90" s="14">
        <f t="shared" si="14"/>
        <v>-833699.35000000009</v>
      </c>
      <c r="Z90" s="14">
        <f t="shared" si="14"/>
        <v>-386272.60999999993</v>
      </c>
      <c r="AA90" s="14">
        <f t="shared" si="14"/>
        <v>-792076.00999999989</v>
      </c>
      <c r="AB90" s="14">
        <f t="shared" si="14"/>
        <v>-772403.19999999995</v>
      </c>
      <c r="AC90" s="14">
        <f t="shared" si="14"/>
        <v>-767224.94</v>
      </c>
      <c r="AD90" s="14">
        <f t="shared" si="14"/>
        <v>-830181.65000000014</v>
      </c>
      <c r="AE90" s="14">
        <f t="shared" si="14"/>
        <v>-865473.17999999993</v>
      </c>
      <c r="AF90" s="14">
        <f t="shared" si="14"/>
        <v>-826321.53</v>
      </c>
      <c r="AG90" s="14">
        <f t="shared" si="14"/>
        <v>-829296.94000000006</v>
      </c>
      <c r="AH90" s="14">
        <f t="shared" si="14"/>
        <v>-875106.41999999993</v>
      </c>
      <c r="AI90" s="14">
        <f t="shared" si="14"/>
        <v>-1144658.04</v>
      </c>
      <c r="AJ90" s="14">
        <f t="shared" si="14"/>
        <v>-906868.81</v>
      </c>
      <c r="AK90" s="14">
        <f t="shared" si="14"/>
        <v>-951110.82000000007</v>
      </c>
      <c r="AL90" s="14">
        <f t="shared" si="14"/>
        <v>-1179245.69</v>
      </c>
      <c r="AM90" s="14">
        <f t="shared" si="14"/>
        <v>0</v>
      </c>
      <c r="AN90" s="14">
        <f t="shared" si="14"/>
        <v>-787606.53</v>
      </c>
      <c r="AO90" s="14">
        <f t="shared" si="14"/>
        <v>-918260.83</v>
      </c>
      <c r="AP90" s="14">
        <f t="shared" si="14"/>
        <v>-827870.93</v>
      </c>
      <c r="AQ90" s="14">
        <f t="shared" si="14"/>
        <v>-1047374.9299999999</v>
      </c>
      <c r="AR90" s="14">
        <f t="shared" si="14"/>
        <v>-1072473.3800000001</v>
      </c>
      <c r="AS90" s="14">
        <f t="shared" si="14"/>
        <v>-1263525.58</v>
      </c>
      <c r="AT90" s="14">
        <f t="shared" si="14"/>
        <v>-29969.82</v>
      </c>
      <c r="AU90" s="14">
        <f t="shared" si="14"/>
        <v>-91.12</v>
      </c>
      <c r="AV90" s="14">
        <f t="shared" si="14"/>
        <v>0</v>
      </c>
      <c r="AW90" s="14">
        <f t="shared" si="14"/>
        <v>-33235617.130000003</v>
      </c>
    </row>
    <row r="91" spans="1:49" x14ac:dyDescent="0.2">
      <c r="A91" s="7" t="s">
        <v>138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spans="1:49" x14ac:dyDescent="0.2">
      <c r="A92" s="8" t="s">
        <v>139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1:49" x14ac:dyDescent="0.2">
      <c r="A93" s="9" t="s">
        <v>140</v>
      </c>
      <c r="B93" s="10">
        <v>-731.18</v>
      </c>
      <c r="C93" s="10">
        <v>-731.18</v>
      </c>
      <c r="D93" s="10">
        <v>-731.18</v>
      </c>
      <c r="E93" s="10">
        <v>-731.18</v>
      </c>
      <c r="F93" s="10">
        <v>-731.18</v>
      </c>
      <c r="G93" s="10">
        <v>-390.98</v>
      </c>
      <c r="H93" s="10">
        <v>-390.97</v>
      </c>
      <c r="I93" s="10">
        <v>-390.97</v>
      </c>
      <c r="J93" s="10">
        <v>-50.73</v>
      </c>
      <c r="K93" s="10">
        <v>-50.72</v>
      </c>
      <c r="L93" s="10">
        <v>-50.73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-38.89</v>
      </c>
      <c r="U93" s="10">
        <v>-38.89</v>
      </c>
      <c r="V93" s="10">
        <v>-38.89</v>
      </c>
      <c r="W93" s="10">
        <v>-38.89</v>
      </c>
      <c r="X93" s="10">
        <v>-38.89</v>
      </c>
      <c r="Y93" s="10">
        <v>-38.89</v>
      </c>
      <c r="Z93" s="10">
        <v>-38.89</v>
      </c>
      <c r="AA93" s="10">
        <v>-38.89</v>
      </c>
      <c r="AB93" s="10">
        <v>-38.89</v>
      </c>
      <c r="AC93" s="10">
        <v>-38.89</v>
      </c>
      <c r="AD93" s="10">
        <v>-38.89</v>
      </c>
      <c r="AE93" s="10">
        <v>-38.89</v>
      </c>
      <c r="AF93" s="10">
        <v>-38.89</v>
      </c>
      <c r="AG93" s="10">
        <v>-38.89</v>
      </c>
      <c r="AH93" s="10">
        <v>-38.89</v>
      </c>
      <c r="AI93" s="10">
        <v>-38.89</v>
      </c>
      <c r="AJ93" s="10">
        <v>-38.89</v>
      </c>
      <c r="AK93" s="10">
        <v>-38.89</v>
      </c>
      <c r="AL93" s="10">
        <v>-38.89</v>
      </c>
      <c r="AM93" s="10">
        <v>0</v>
      </c>
      <c r="AN93" s="10">
        <v>-38.89</v>
      </c>
      <c r="AO93" s="10">
        <v>-38.89</v>
      </c>
      <c r="AP93" s="10">
        <v>-38.89</v>
      </c>
      <c r="AQ93" s="10">
        <v>-38.89</v>
      </c>
      <c r="AR93" s="10">
        <v>-38.89</v>
      </c>
      <c r="AS93" s="10">
        <v>-38.89</v>
      </c>
      <c r="AT93" s="10">
        <v>-38.89</v>
      </c>
      <c r="AU93" s="10">
        <v>0</v>
      </c>
      <c r="AV93" s="10">
        <v>0</v>
      </c>
      <c r="AW93" s="10">
        <f>SUM(B93:AV93)</f>
        <v>-5992.1400000000076</v>
      </c>
    </row>
    <row r="94" spans="1:49" x14ac:dyDescent="0.2">
      <c r="A94" s="9" t="s">
        <v>141</v>
      </c>
      <c r="B94" s="10">
        <v>-11</v>
      </c>
      <c r="C94" s="10">
        <v>-11</v>
      </c>
      <c r="D94" s="10">
        <v>-11</v>
      </c>
      <c r="E94" s="10">
        <v>-11</v>
      </c>
      <c r="F94" s="10">
        <v>-11</v>
      </c>
      <c r="G94" s="10">
        <v>-11</v>
      </c>
      <c r="H94" s="10">
        <v>-11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>
        <v>0</v>
      </c>
      <c r="AU94" s="10">
        <v>0</v>
      </c>
      <c r="AV94" s="10">
        <v>0</v>
      </c>
      <c r="AW94" s="10">
        <f>SUM(B94:AV94)</f>
        <v>-77</v>
      </c>
    </row>
    <row r="95" spans="1:49" x14ac:dyDescent="0.2">
      <c r="A95" s="9" t="s">
        <v>142</v>
      </c>
      <c r="B95" s="10">
        <v>-82.67</v>
      </c>
      <c r="C95" s="10">
        <v>-82.67</v>
      </c>
      <c r="D95" s="10">
        <v>-82.67</v>
      </c>
      <c r="E95" s="10">
        <v>-82.67</v>
      </c>
      <c r="F95" s="10">
        <v>-82.66</v>
      </c>
      <c r="G95" s="10">
        <v>-82.67</v>
      </c>
      <c r="H95" s="10">
        <v>-82.67</v>
      </c>
      <c r="I95" s="10">
        <v>-82.66</v>
      </c>
      <c r="J95" s="10">
        <v>-82.66</v>
      </c>
      <c r="K95" s="10">
        <v>-66.67</v>
      </c>
      <c r="L95" s="10">
        <v>-66.67</v>
      </c>
      <c r="M95" s="10">
        <v>-66.66</v>
      </c>
      <c r="N95" s="10">
        <v>0</v>
      </c>
      <c r="O95" s="10">
        <v>-66.67</v>
      </c>
      <c r="P95" s="10">
        <v>-806.61</v>
      </c>
      <c r="Q95" s="10">
        <v>-66.67</v>
      </c>
      <c r="R95" s="10">
        <v>-66.67</v>
      </c>
      <c r="S95" s="10">
        <v>-66.67</v>
      </c>
      <c r="T95" s="10">
        <v>-66.67</v>
      </c>
      <c r="U95" s="10">
        <v>-66.67</v>
      </c>
      <c r="V95" s="10">
        <v>-66.67</v>
      </c>
      <c r="W95" s="10">
        <v>-66.67</v>
      </c>
      <c r="X95" s="10">
        <v>-66.67</v>
      </c>
      <c r="Y95" s="10">
        <v>-66.67</v>
      </c>
      <c r="Z95" s="10">
        <v>673.27</v>
      </c>
      <c r="AA95" s="10">
        <v>-66.67</v>
      </c>
      <c r="AB95" s="10">
        <v>-66.66</v>
      </c>
      <c r="AC95" s="10">
        <v>-66.66</v>
      </c>
      <c r="AD95" s="10">
        <v>-66.67</v>
      </c>
      <c r="AE95" s="10">
        <v>-66.66</v>
      </c>
      <c r="AF95" s="10">
        <v>-66.67</v>
      </c>
      <c r="AG95" s="10">
        <v>-66.67</v>
      </c>
      <c r="AH95" s="10">
        <v>-66.66</v>
      </c>
      <c r="AI95" s="10">
        <v>-66.67</v>
      </c>
      <c r="AJ95" s="10">
        <v>-66.66</v>
      </c>
      <c r="AK95" s="10">
        <v>-66.66</v>
      </c>
      <c r="AL95" s="10">
        <v>-66.67</v>
      </c>
      <c r="AM95" s="10">
        <v>0</v>
      </c>
      <c r="AN95" s="10">
        <v>-66.67</v>
      </c>
      <c r="AO95" s="10">
        <v>-66.66</v>
      </c>
      <c r="AP95" s="10">
        <v>-66.67</v>
      </c>
      <c r="AQ95" s="10">
        <v>-66.66</v>
      </c>
      <c r="AR95" s="10">
        <v>-66.66</v>
      </c>
      <c r="AS95" s="10">
        <v>-66.67</v>
      </c>
      <c r="AT95" s="10">
        <v>-66.67</v>
      </c>
      <c r="AU95" s="10">
        <v>0</v>
      </c>
      <c r="AV95" s="10">
        <v>0</v>
      </c>
      <c r="AW95" s="10">
        <f>SUM(B95:AV95)</f>
        <v>-3010.6800000000003</v>
      </c>
    </row>
    <row r="96" spans="1:49" x14ac:dyDescent="0.2">
      <c r="A96" s="9" t="s">
        <v>143</v>
      </c>
      <c r="B96" s="10">
        <v>-740</v>
      </c>
      <c r="C96" s="10">
        <v>-740</v>
      </c>
      <c r="D96" s="10">
        <v>-740</v>
      </c>
      <c r="E96" s="10">
        <v>-740</v>
      </c>
      <c r="F96" s="10">
        <v>-740</v>
      </c>
      <c r="G96" s="10">
        <v>-740</v>
      </c>
      <c r="H96" s="10">
        <v>-740</v>
      </c>
      <c r="I96" s="10">
        <v>-740</v>
      </c>
      <c r="J96" s="10">
        <v>-740</v>
      </c>
      <c r="K96" s="10">
        <v>-740</v>
      </c>
      <c r="L96" s="10">
        <v>-740</v>
      </c>
      <c r="M96" s="10">
        <v>-740</v>
      </c>
      <c r="N96" s="10">
        <v>0</v>
      </c>
      <c r="O96" s="10">
        <v>-739.94</v>
      </c>
      <c r="P96" s="10">
        <v>0</v>
      </c>
      <c r="Q96" s="10">
        <v>-739.94</v>
      </c>
      <c r="R96" s="10">
        <v>-739.94</v>
      </c>
      <c r="S96" s="10">
        <v>-739.94</v>
      </c>
      <c r="T96" s="10">
        <v>-739.94</v>
      </c>
      <c r="U96" s="10">
        <v>-739.94</v>
      </c>
      <c r="V96" s="10">
        <v>-739.94</v>
      </c>
      <c r="W96" s="10">
        <v>-739.94</v>
      </c>
      <c r="X96" s="10">
        <v>-739.94</v>
      </c>
      <c r="Y96" s="10">
        <v>-739.94</v>
      </c>
      <c r="Z96" s="10">
        <v>-1479.88</v>
      </c>
      <c r="AA96" s="10">
        <v>-739.94</v>
      </c>
      <c r="AB96" s="10">
        <v>-739.94</v>
      </c>
      <c r="AC96" s="10">
        <v>-739.94</v>
      </c>
      <c r="AD96" s="10">
        <v>-739.94</v>
      </c>
      <c r="AE96" s="10">
        <v>-739.94</v>
      </c>
      <c r="AF96" s="10">
        <v>-739.94</v>
      </c>
      <c r="AG96" s="10">
        <v>-739.94</v>
      </c>
      <c r="AH96" s="10">
        <v>-739.94</v>
      </c>
      <c r="AI96" s="10">
        <v>-739.94</v>
      </c>
      <c r="AJ96" s="10">
        <v>-739.94</v>
      </c>
      <c r="AK96" s="10">
        <v>-739.94</v>
      </c>
      <c r="AL96" s="10">
        <v>-739.94</v>
      </c>
      <c r="AM96" s="10">
        <v>0</v>
      </c>
      <c r="AN96" s="10">
        <v>-739.94</v>
      </c>
      <c r="AO96" s="10">
        <v>-739.94</v>
      </c>
      <c r="AP96" s="10">
        <v>-739.94</v>
      </c>
      <c r="AQ96" s="10">
        <v>-739.94</v>
      </c>
      <c r="AR96" s="10">
        <v>-739.94</v>
      </c>
      <c r="AS96" s="10">
        <v>-739.94</v>
      </c>
      <c r="AT96" s="10">
        <v>-739.94</v>
      </c>
      <c r="AU96" s="10">
        <v>0</v>
      </c>
      <c r="AV96" s="10">
        <v>0</v>
      </c>
      <c r="AW96" s="10">
        <f>SUM(B96:AV96)</f>
        <v>-31818.139999999981</v>
      </c>
    </row>
    <row r="97" spans="1:49" x14ac:dyDescent="0.2">
      <c r="A97" s="9" t="s">
        <v>144</v>
      </c>
      <c r="B97" s="10">
        <v>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-800</v>
      </c>
      <c r="L97" s="10">
        <v>-51.72</v>
      </c>
      <c r="M97" s="10">
        <v>0</v>
      </c>
      <c r="N97" s="10">
        <v>0</v>
      </c>
      <c r="O97" s="10">
        <v>0</v>
      </c>
      <c r="P97" s="10">
        <v>0</v>
      </c>
      <c r="Q97" s="10">
        <v>-3907.09</v>
      </c>
      <c r="R97" s="10">
        <v>0</v>
      </c>
      <c r="S97" s="10">
        <v>0</v>
      </c>
      <c r="T97" s="10">
        <v>-386.48</v>
      </c>
      <c r="U97" s="10">
        <v>-287</v>
      </c>
      <c r="V97" s="10">
        <v>-921.33</v>
      </c>
      <c r="W97" s="10">
        <v>0</v>
      </c>
      <c r="X97" s="10">
        <v>0</v>
      </c>
      <c r="Y97" s="10">
        <v>-386.48</v>
      </c>
      <c r="Z97" s="10">
        <v>0</v>
      </c>
      <c r="AA97" s="10">
        <v>-193.24</v>
      </c>
      <c r="AB97" s="10">
        <v>-1007.41</v>
      </c>
      <c r="AC97" s="10">
        <v>-169.71</v>
      </c>
      <c r="AD97" s="10">
        <v>-1.68</v>
      </c>
      <c r="AE97" s="10">
        <v>0</v>
      </c>
      <c r="AF97" s="10">
        <v>0</v>
      </c>
      <c r="AG97" s="10">
        <v>0</v>
      </c>
      <c r="AH97" s="10">
        <v>0</v>
      </c>
      <c r="AI97" s="10">
        <v>-260.45999999999998</v>
      </c>
      <c r="AJ97" s="10">
        <v>0</v>
      </c>
      <c r="AK97" s="10">
        <v>-997.77</v>
      </c>
      <c r="AL97" s="10">
        <v>-279.95999999999998</v>
      </c>
      <c r="AM97" s="10">
        <v>0</v>
      </c>
      <c r="AN97" s="10">
        <v>0</v>
      </c>
      <c r="AO97" s="10">
        <v>-664.85</v>
      </c>
      <c r="AP97" s="10">
        <v>0</v>
      </c>
      <c r="AQ97" s="10">
        <v>-629.13</v>
      </c>
      <c r="AR97" s="10">
        <v>-557.04</v>
      </c>
      <c r="AS97" s="10">
        <v>-896.12</v>
      </c>
      <c r="AT97" s="10">
        <v>0</v>
      </c>
      <c r="AU97" s="10">
        <v>0</v>
      </c>
      <c r="AV97" s="10">
        <v>0</v>
      </c>
      <c r="AW97" s="10">
        <f>SUM(B97:AV97)</f>
        <v>-12397.47</v>
      </c>
    </row>
    <row r="98" spans="1:49" x14ac:dyDescent="0.2">
      <c r="A98" s="13" t="s">
        <v>145</v>
      </c>
      <c r="B98" s="14">
        <f t="shared" ref="B98:AW98" si="15">SUM(B93:B97)</f>
        <v>-1564.85</v>
      </c>
      <c r="C98" s="14">
        <f t="shared" si="15"/>
        <v>-1564.85</v>
      </c>
      <c r="D98" s="14">
        <f t="shared" si="15"/>
        <v>-1564.85</v>
      </c>
      <c r="E98" s="14">
        <f t="shared" si="15"/>
        <v>-1564.85</v>
      </c>
      <c r="F98" s="14">
        <f t="shared" si="15"/>
        <v>-1564.84</v>
      </c>
      <c r="G98" s="14">
        <f t="shared" si="15"/>
        <v>-1224.6500000000001</v>
      </c>
      <c r="H98" s="14">
        <f t="shared" si="15"/>
        <v>-1224.6400000000001</v>
      </c>
      <c r="I98" s="14">
        <f t="shared" si="15"/>
        <v>-1213.6300000000001</v>
      </c>
      <c r="J98" s="14">
        <f t="shared" si="15"/>
        <v>-873.39</v>
      </c>
      <c r="K98" s="14">
        <f t="shared" si="15"/>
        <v>-1657.3899999999999</v>
      </c>
      <c r="L98" s="14">
        <f t="shared" si="15"/>
        <v>-909.12</v>
      </c>
      <c r="M98" s="14">
        <f t="shared" si="15"/>
        <v>-806.66</v>
      </c>
      <c r="N98" s="14">
        <f t="shared" si="15"/>
        <v>0</v>
      </c>
      <c r="O98" s="14">
        <f t="shared" si="15"/>
        <v>-806.61</v>
      </c>
      <c r="P98" s="14">
        <f t="shared" si="15"/>
        <v>-806.61</v>
      </c>
      <c r="Q98" s="14">
        <f t="shared" si="15"/>
        <v>-4713.7</v>
      </c>
      <c r="R98" s="14">
        <f t="shared" si="15"/>
        <v>-806.61</v>
      </c>
      <c r="S98" s="14">
        <f t="shared" si="15"/>
        <v>-806.61</v>
      </c>
      <c r="T98" s="14">
        <f t="shared" si="15"/>
        <v>-1231.98</v>
      </c>
      <c r="U98" s="14">
        <f t="shared" si="15"/>
        <v>-1132.5</v>
      </c>
      <c r="V98" s="14">
        <f t="shared" si="15"/>
        <v>-1766.83</v>
      </c>
      <c r="W98" s="14">
        <f t="shared" si="15"/>
        <v>-845.5</v>
      </c>
      <c r="X98" s="14">
        <f t="shared" si="15"/>
        <v>-845.5</v>
      </c>
      <c r="Y98" s="14">
        <f t="shared" si="15"/>
        <v>-1231.98</v>
      </c>
      <c r="Z98" s="14">
        <f t="shared" si="15"/>
        <v>-845.50000000000011</v>
      </c>
      <c r="AA98" s="14">
        <f t="shared" si="15"/>
        <v>-1038.74</v>
      </c>
      <c r="AB98" s="14">
        <f t="shared" si="15"/>
        <v>-1852.9</v>
      </c>
      <c r="AC98" s="14">
        <f t="shared" si="15"/>
        <v>-1015.2</v>
      </c>
      <c r="AD98" s="14">
        <f t="shared" si="15"/>
        <v>-847.18</v>
      </c>
      <c r="AE98" s="14">
        <f t="shared" si="15"/>
        <v>-845.49</v>
      </c>
      <c r="AF98" s="14">
        <f t="shared" si="15"/>
        <v>-845.5</v>
      </c>
      <c r="AG98" s="14">
        <f t="shared" si="15"/>
        <v>-845.5</v>
      </c>
      <c r="AH98" s="14">
        <f t="shared" si="15"/>
        <v>-845.49</v>
      </c>
      <c r="AI98" s="14">
        <f t="shared" si="15"/>
        <v>-1105.96</v>
      </c>
      <c r="AJ98" s="14">
        <f t="shared" si="15"/>
        <v>-845.49</v>
      </c>
      <c r="AK98" s="14">
        <f t="shared" si="15"/>
        <v>-1843.26</v>
      </c>
      <c r="AL98" s="14">
        <f t="shared" si="15"/>
        <v>-1125.46</v>
      </c>
      <c r="AM98" s="14">
        <f t="shared" si="15"/>
        <v>0</v>
      </c>
      <c r="AN98" s="14">
        <f t="shared" si="15"/>
        <v>-845.5</v>
      </c>
      <c r="AO98" s="14">
        <f t="shared" si="15"/>
        <v>-1510.3400000000001</v>
      </c>
      <c r="AP98" s="14">
        <f t="shared" si="15"/>
        <v>-845.5</v>
      </c>
      <c r="AQ98" s="14">
        <f t="shared" si="15"/>
        <v>-1474.62</v>
      </c>
      <c r="AR98" s="14">
        <f t="shared" si="15"/>
        <v>-1402.53</v>
      </c>
      <c r="AS98" s="14">
        <f t="shared" si="15"/>
        <v>-1741.62</v>
      </c>
      <c r="AT98" s="14">
        <f t="shared" si="15"/>
        <v>-845.5</v>
      </c>
      <c r="AU98" s="14">
        <f t="shared" si="15"/>
        <v>0</v>
      </c>
      <c r="AV98" s="14">
        <f t="shared" si="15"/>
        <v>0</v>
      </c>
      <c r="AW98" s="14">
        <f t="shared" si="15"/>
        <v>-53295.429999999993</v>
      </c>
    </row>
    <row r="99" spans="1:49" x14ac:dyDescent="0.2">
      <c r="A99" s="15" t="s">
        <v>146</v>
      </c>
      <c r="B99" s="14">
        <f t="shared" ref="B99:AW99" si="16">B98+0</f>
        <v>-1564.85</v>
      </c>
      <c r="C99" s="14">
        <f t="shared" si="16"/>
        <v>-1564.85</v>
      </c>
      <c r="D99" s="14">
        <f t="shared" si="16"/>
        <v>-1564.85</v>
      </c>
      <c r="E99" s="14">
        <f t="shared" si="16"/>
        <v>-1564.85</v>
      </c>
      <c r="F99" s="14">
        <f t="shared" si="16"/>
        <v>-1564.84</v>
      </c>
      <c r="G99" s="14">
        <f t="shared" si="16"/>
        <v>-1224.6500000000001</v>
      </c>
      <c r="H99" s="14">
        <f t="shared" si="16"/>
        <v>-1224.6400000000001</v>
      </c>
      <c r="I99" s="14">
        <f t="shared" si="16"/>
        <v>-1213.6300000000001</v>
      </c>
      <c r="J99" s="14">
        <f t="shared" si="16"/>
        <v>-873.39</v>
      </c>
      <c r="K99" s="14">
        <f t="shared" si="16"/>
        <v>-1657.3899999999999</v>
      </c>
      <c r="L99" s="14">
        <f t="shared" si="16"/>
        <v>-909.12</v>
      </c>
      <c r="M99" s="14">
        <f t="shared" si="16"/>
        <v>-806.66</v>
      </c>
      <c r="N99" s="14">
        <f t="shared" si="16"/>
        <v>0</v>
      </c>
      <c r="O99" s="14">
        <f t="shared" si="16"/>
        <v>-806.61</v>
      </c>
      <c r="P99" s="14">
        <f t="shared" si="16"/>
        <v>-806.61</v>
      </c>
      <c r="Q99" s="14">
        <f t="shared" si="16"/>
        <v>-4713.7</v>
      </c>
      <c r="R99" s="14">
        <f t="shared" si="16"/>
        <v>-806.61</v>
      </c>
      <c r="S99" s="14">
        <f t="shared" si="16"/>
        <v>-806.61</v>
      </c>
      <c r="T99" s="14">
        <f t="shared" si="16"/>
        <v>-1231.98</v>
      </c>
      <c r="U99" s="14">
        <f t="shared" si="16"/>
        <v>-1132.5</v>
      </c>
      <c r="V99" s="14">
        <f t="shared" si="16"/>
        <v>-1766.83</v>
      </c>
      <c r="W99" s="14">
        <f t="shared" si="16"/>
        <v>-845.5</v>
      </c>
      <c r="X99" s="14">
        <f t="shared" si="16"/>
        <v>-845.5</v>
      </c>
      <c r="Y99" s="14">
        <f t="shared" si="16"/>
        <v>-1231.98</v>
      </c>
      <c r="Z99" s="14">
        <f t="shared" si="16"/>
        <v>-845.50000000000011</v>
      </c>
      <c r="AA99" s="14">
        <f t="shared" si="16"/>
        <v>-1038.74</v>
      </c>
      <c r="AB99" s="14">
        <f t="shared" si="16"/>
        <v>-1852.9</v>
      </c>
      <c r="AC99" s="14">
        <f t="shared" si="16"/>
        <v>-1015.2</v>
      </c>
      <c r="AD99" s="14">
        <f t="shared" si="16"/>
        <v>-847.18</v>
      </c>
      <c r="AE99" s="14">
        <f t="shared" si="16"/>
        <v>-845.49</v>
      </c>
      <c r="AF99" s="14">
        <f t="shared" si="16"/>
        <v>-845.5</v>
      </c>
      <c r="AG99" s="14">
        <f t="shared" si="16"/>
        <v>-845.5</v>
      </c>
      <c r="AH99" s="14">
        <f t="shared" si="16"/>
        <v>-845.49</v>
      </c>
      <c r="AI99" s="14">
        <f t="shared" si="16"/>
        <v>-1105.96</v>
      </c>
      <c r="AJ99" s="14">
        <f t="shared" si="16"/>
        <v>-845.49</v>
      </c>
      <c r="AK99" s="14">
        <f t="shared" si="16"/>
        <v>-1843.26</v>
      </c>
      <c r="AL99" s="14">
        <f t="shared" si="16"/>
        <v>-1125.46</v>
      </c>
      <c r="AM99" s="14">
        <f t="shared" si="16"/>
        <v>0</v>
      </c>
      <c r="AN99" s="14">
        <f t="shared" si="16"/>
        <v>-845.5</v>
      </c>
      <c r="AO99" s="14">
        <f t="shared" si="16"/>
        <v>-1510.3400000000001</v>
      </c>
      <c r="AP99" s="14">
        <f t="shared" si="16"/>
        <v>-845.5</v>
      </c>
      <c r="AQ99" s="14">
        <f t="shared" si="16"/>
        <v>-1474.62</v>
      </c>
      <c r="AR99" s="14">
        <f t="shared" si="16"/>
        <v>-1402.53</v>
      </c>
      <c r="AS99" s="14">
        <f t="shared" si="16"/>
        <v>-1741.62</v>
      </c>
      <c r="AT99" s="14">
        <f t="shared" si="16"/>
        <v>-845.5</v>
      </c>
      <c r="AU99" s="14">
        <f t="shared" si="16"/>
        <v>0</v>
      </c>
      <c r="AV99" s="14">
        <f t="shared" si="16"/>
        <v>0</v>
      </c>
      <c r="AW99" s="14">
        <f t="shared" si="16"/>
        <v>-53295.429999999993</v>
      </c>
    </row>
    <row r="100" spans="1:49" x14ac:dyDescent="0.2">
      <c r="A100" s="7" t="s">
        <v>147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spans="1:49" x14ac:dyDescent="0.2">
      <c r="A101" s="17" t="s">
        <v>148</v>
      </c>
      <c r="B101" s="10">
        <v>0</v>
      </c>
      <c r="C101" s="10">
        <v>0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-87772.800000000003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0</v>
      </c>
      <c r="AV101" s="10">
        <v>0</v>
      </c>
      <c r="AW101" s="10">
        <f t="shared" ref="AW101:AW132" si="17">SUM(B101:AV101)</f>
        <v>-87772.800000000003</v>
      </c>
    </row>
    <row r="102" spans="1:49" x14ac:dyDescent="0.2">
      <c r="A102" s="17" t="s">
        <v>149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10">
        <v>0</v>
      </c>
      <c r="AQ102" s="10">
        <v>-272.25</v>
      </c>
      <c r="AR102" s="10">
        <v>-63.75</v>
      </c>
      <c r="AS102" s="10">
        <v>-125</v>
      </c>
      <c r="AT102" s="10">
        <v>0</v>
      </c>
      <c r="AU102" s="10">
        <v>0</v>
      </c>
      <c r="AV102" s="10">
        <v>0</v>
      </c>
      <c r="AW102" s="10">
        <f t="shared" si="17"/>
        <v>-461</v>
      </c>
    </row>
    <row r="103" spans="1:49" x14ac:dyDescent="0.2">
      <c r="A103" s="17" t="s">
        <v>150</v>
      </c>
      <c r="B103" s="10">
        <v>-19697.62</v>
      </c>
      <c r="C103" s="10">
        <v>-20481.28</v>
      </c>
      <c r="D103" s="10">
        <v>-25816.94</v>
      </c>
      <c r="E103" s="10">
        <v>-25816.94</v>
      </c>
      <c r="F103" s="10">
        <v>-25816.94</v>
      </c>
      <c r="G103" s="10">
        <v>-29573.7</v>
      </c>
      <c r="H103" s="10">
        <v>-28767.59</v>
      </c>
      <c r="I103" s="10">
        <v>-28767.599999999999</v>
      </c>
      <c r="J103" s="10">
        <v>-28767.599999999999</v>
      </c>
      <c r="K103" s="10">
        <v>-30207.599999999999</v>
      </c>
      <c r="L103" s="10">
        <v>-30207.599999999999</v>
      </c>
      <c r="M103" s="10">
        <v>-29401.47</v>
      </c>
      <c r="N103" s="10">
        <v>0</v>
      </c>
      <c r="O103" s="10">
        <v>-24480.09</v>
      </c>
      <c r="P103" s="10">
        <v>-24480.09</v>
      </c>
      <c r="Q103" s="10">
        <v>-30207.58</v>
      </c>
      <c r="R103" s="10">
        <v>-30398.73</v>
      </c>
      <c r="S103" s="10">
        <v>-30589.88</v>
      </c>
      <c r="T103" s="10">
        <v>-35104.5</v>
      </c>
      <c r="U103" s="10">
        <v>-32300.78</v>
      </c>
      <c r="V103" s="10">
        <v>-32300.78</v>
      </c>
      <c r="W103" s="10">
        <v>-32300.78</v>
      </c>
      <c r="X103" s="10">
        <v>-32300.78</v>
      </c>
      <c r="Y103" s="10">
        <v>-31167.65</v>
      </c>
      <c r="Z103" s="10">
        <v>-34069.040000000001</v>
      </c>
      <c r="AA103" s="10">
        <v>-32363.88</v>
      </c>
      <c r="AB103" s="10">
        <v>-32363.88</v>
      </c>
      <c r="AC103" s="10">
        <v>-32363.9</v>
      </c>
      <c r="AD103" s="10">
        <v>-32363.9</v>
      </c>
      <c r="AE103" s="10">
        <v>-33300.83</v>
      </c>
      <c r="AF103" s="10">
        <v>-33667.75</v>
      </c>
      <c r="AG103" s="10">
        <v>-26320.83</v>
      </c>
      <c r="AH103" s="10">
        <v>-27320.83</v>
      </c>
      <c r="AI103" s="10">
        <v>-26320.83</v>
      </c>
      <c r="AJ103" s="10">
        <v>-40149</v>
      </c>
      <c r="AK103" s="10">
        <v>-37365.79</v>
      </c>
      <c r="AL103" s="10">
        <v>-35855.49</v>
      </c>
      <c r="AM103" s="10">
        <v>0</v>
      </c>
      <c r="AN103" s="10">
        <v>-35855.49</v>
      </c>
      <c r="AO103" s="10">
        <v>-35855.49</v>
      </c>
      <c r="AP103" s="10">
        <v>-35855.49</v>
      </c>
      <c r="AQ103" s="10">
        <v>-39797.39</v>
      </c>
      <c r="AR103" s="10">
        <v>-35855.49</v>
      </c>
      <c r="AS103" s="10">
        <v>-35855.49</v>
      </c>
      <c r="AT103" s="10">
        <v>-36483.49</v>
      </c>
      <c r="AU103" s="10">
        <v>0</v>
      </c>
      <c r="AV103" s="10">
        <v>0</v>
      </c>
      <c r="AW103" s="10">
        <f t="shared" si="17"/>
        <v>-1338338.8</v>
      </c>
    </row>
    <row r="104" spans="1:49" x14ac:dyDescent="0.2">
      <c r="A104" s="17" t="s">
        <v>151</v>
      </c>
      <c r="B104" s="10">
        <v>-7576.61</v>
      </c>
      <c r="C104" s="10">
        <v>-4414.3599999999997</v>
      </c>
      <c r="D104" s="10">
        <v>-7429.04</v>
      </c>
      <c r="E104" s="10">
        <v>-7429.04</v>
      </c>
      <c r="F104" s="10">
        <v>-7429.04</v>
      </c>
      <c r="G104" s="10">
        <v>-7429.04</v>
      </c>
      <c r="H104" s="10">
        <v>-8489.4599999999991</v>
      </c>
      <c r="I104" s="10">
        <v>-8848.86</v>
      </c>
      <c r="J104" s="10">
        <v>-8537.84</v>
      </c>
      <c r="K104" s="10">
        <v>-9530.48</v>
      </c>
      <c r="L104" s="10">
        <v>3197.97</v>
      </c>
      <c r="M104" s="10">
        <v>-10336.620000000001</v>
      </c>
      <c r="N104" s="10">
        <v>0</v>
      </c>
      <c r="O104" s="10">
        <v>-9531.02</v>
      </c>
      <c r="P104" s="10">
        <v>-9531.02</v>
      </c>
      <c r="Q104" s="10">
        <v>-4863.91</v>
      </c>
      <c r="R104" s="10">
        <v>-8719.66</v>
      </c>
      <c r="S104" s="10">
        <v>-9735.25</v>
      </c>
      <c r="T104" s="10">
        <v>-8644.85</v>
      </c>
      <c r="U104" s="10">
        <v>-8806.64</v>
      </c>
      <c r="V104" s="10">
        <v>-8717.1200000000008</v>
      </c>
      <c r="W104" s="10">
        <v>-8695.31</v>
      </c>
      <c r="X104" s="10">
        <v>-8717.1200000000008</v>
      </c>
      <c r="Y104" s="10">
        <v>-8717.1200000000008</v>
      </c>
      <c r="Z104" s="10">
        <v>-5250.16</v>
      </c>
      <c r="AA104" s="10">
        <v>-8711.65</v>
      </c>
      <c r="AB104" s="10">
        <v>-8670.9599999999991</v>
      </c>
      <c r="AC104" s="10">
        <v>-5551.87</v>
      </c>
      <c r="AD104" s="10">
        <v>-8576.44</v>
      </c>
      <c r="AE104" s="10">
        <v>-8576.44</v>
      </c>
      <c r="AF104" s="10">
        <v>-8576.44</v>
      </c>
      <c r="AG104" s="10">
        <v>-6677.23</v>
      </c>
      <c r="AH104" s="10">
        <v>-6908.37</v>
      </c>
      <c r="AI104" s="10">
        <v>-6908.37</v>
      </c>
      <c r="AJ104" s="10">
        <v>-10865.33</v>
      </c>
      <c r="AK104" s="10">
        <v>-10598.94</v>
      </c>
      <c r="AL104" s="10">
        <v>-4257.4399999999996</v>
      </c>
      <c r="AM104" s="10">
        <v>0</v>
      </c>
      <c r="AN104" s="10">
        <v>-9043.31</v>
      </c>
      <c r="AO104" s="10">
        <v>-13843.21</v>
      </c>
      <c r="AP104" s="10">
        <v>-8438.2199999999993</v>
      </c>
      <c r="AQ104" s="10">
        <v>-9432.39</v>
      </c>
      <c r="AR104" s="10">
        <v>-10599</v>
      </c>
      <c r="AS104" s="10">
        <v>-9821.26</v>
      </c>
      <c r="AT104" s="10">
        <v>-9821.26</v>
      </c>
      <c r="AU104" s="10">
        <v>0</v>
      </c>
      <c r="AV104" s="10">
        <v>0</v>
      </c>
      <c r="AW104" s="10">
        <f t="shared" si="17"/>
        <v>-350059.73000000004</v>
      </c>
    </row>
    <row r="105" spans="1:49" x14ac:dyDescent="0.2">
      <c r="A105" s="17" t="s">
        <v>152</v>
      </c>
      <c r="B105" s="10">
        <v>-2421.56</v>
      </c>
      <c r="C105" s="10">
        <v>-2550.92</v>
      </c>
      <c r="D105" s="10">
        <v>-2245.73</v>
      </c>
      <c r="E105" s="10">
        <v>-2115.31</v>
      </c>
      <c r="F105" s="10">
        <v>-2123</v>
      </c>
      <c r="G105" s="10">
        <v>-1736.57</v>
      </c>
      <c r="H105" s="10">
        <v>-1648.38</v>
      </c>
      <c r="I105" s="10">
        <v>-2603.15</v>
      </c>
      <c r="J105" s="10">
        <v>-2656.79</v>
      </c>
      <c r="K105" s="10">
        <v>-2765.86</v>
      </c>
      <c r="L105" s="10">
        <v>-2768.06</v>
      </c>
      <c r="M105" s="10">
        <v>-2782.5</v>
      </c>
      <c r="N105" s="10">
        <v>0</v>
      </c>
      <c r="O105" s="10">
        <v>-2735.04</v>
      </c>
      <c r="P105" s="10">
        <v>-2865.02</v>
      </c>
      <c r="Q105" s="10">
        <v>-2925.07</v>
      </c>
      <c r="R105" s="10">
        <v>-2657.22</v>
      </c>
      <c r="S105" s="10">
        <v>-2886.57</v>
      </c>
      <c r="T105" s="10">
        <v>-2752.28</v>
      </c>
      <c r="U105" s="10">
        <v>-2676.39</v>
      </c>
      <c r="V105" s="10">
        <v>-2865.14</v>
      </c>
      <c r="W105" s="10">
        <v>-2824.11</v>
      </c>
      <c r="X105" s="10">
        <v>-2940.59</v>
      </c>
      <c r="Y105" s="10">
        <v>-2781.38</v>
      </c>
      <c r="Z105" s="10">
        <v>-2794.58</v>
      </c>
      <c r="AA105" s="10">
        <v>-2764.34</v>
      </c>
      <c r="AB105" s="10">
        <v>-3048.89</v>
      </c>
      <c r="AC105" s="10">
        <v>-2520.2399999999998</v>
      </c>
      <c r="AD105" s="10">
        <v>-3004.33</v>
      </c>
      <c r="AE105" s="10">
        <v>-3194.26</v>
      </c>
      <c r="AF105" s="10">
        <v>-3644.48</v>
      </c>
      <c r="AG105" s="10">
        <v>-2283.85</v>
      </c>
      <c r="AH105" s="10">
        <v>-2301.71</v>
      </c>
      <c r="AI105" s="10">
        <v>-2950.76</v>
      </c>
      <c r="AJ105" s="10">
        <v>-3103.75</v>
      </c>
      <c r="AK105" s="10">
        <v>-3770.58</v>
      </c>
      <c r="AL105" s="10">
        <v>-3098.78</v>
      </c>
      <c r="AM105" s="10">
        <v>0</v>
      </c>
      <c r="AN105" s="10">
        <v>-3209.16</v>
      </c>
      <c r="AO105" s="10">
        <v>-3520.46</v>
      </c>
      <c r="AP105" s="10">
        <v>-3266.18</v>
      </c>
      <c r="AQ105" s="10">
        <v>-3762.04</v>
      </c>
      <c r="AR105" s="10">
        <v>-3227.89</v>
      </c>
      <c r="AS105" s="10">
        <v>-829.19</v>
      </c>
      <c r="AT105" s="10">
        <v>-3547.09</v>
      </c>
      <c r="AU105" s="10">
        <v>0</v>
      </c>
      <c r="AV105" s="10">
        <v>0</v>
      </c>
      <c r="AW105" s="10">
        <f t="shared" si="17"/>
        <v>-119169.2</v>
      </c>
    </row>
    <row r="106" spans="1:49" x14ac:dyDescent="0.2">
      <c r="A106" s="17" t="s">
        <v>153</v>
      </c>
      <c r="B106" s="10">
        <v>0</v>
      </c>
      <c r="C106" s="10">
        <v>-110.75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-1996.96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-128.63</v>
      </c>
      <c r="AS106" s="10">
        <v>0</v>
      </c>
      <c r="AT106" s="10">
        <v>0</v>
      </c>
      <c r="AU106" s="10">
        <v>0</v>
      </c>
      <c r="AV106" s="10">
        <v>0</v>
      </c>
      <c r="AW106" s="10">
        <f t="shared" si="17"/>
        <v>-2236.34</v>
      </c>
    </row>
    <row r="107" spans="1:49" x14ac:dyDescent="0.2">
      <c r="A107" s="17" t="s">
        <v>154</v>
      </c>
      <c r="B107" s="10">
        <v>0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-42.86</v>
      </c>
      <c r="AF107" s="10">
        <v>-7688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</v>
      </c>
      <c r="AV107" s="10">
        <v>0</v>
      </c>
      <c r="AW107" s="10">
        <f t="shared" si="17"/>
        <v>-7730.86</v>
      </c>
    </row>
    <row r="108" spans="1:49" x14ac:dyDescent="0.2">
      <c r="A108" s="17" t="s">
        <v>155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-3000</v>
      </c>
      <c r="Y108" s="10">
        <v>-5190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0</v>
      </c>
      <c r="AK108" s="10">
        <v>-5000</v>
      </c>
      <c r="AL108" s="10">
        <v>0</v>
      </c>
      <c r="AM108" s="10">
        <v>0</v>
      </c>
      <c r="AN108" s="10">
        <v>0</v>
      </c>
      <c r="AO108" s="10">
        <v>0</v>
      </c>
      <c r="AP108" s="10">
        <v>0</v>
      </c>
      <c r="AQ108" s="10">
        <v>0</v>
      </c>
      <c r="AR108" s="10">
        <v>0</v>
      </c>
      <c r="AS108" s="10">
        <v>0</v>
      </c>
      <c r="AT108" s="10">
        <v>0</v>
      </c>
      <c r="AU108" s="10">
        <v>0</v>
      </c>
      <c r="AV108" s="10">
        <v>0</v>
      </c>
      <c r="AW108" s="10">
        <f t="shared" si="17"/>
        <v>-13190</v>
      </c>
    </row>
    <row r="109" spans="1:49" x14ac:dyDescent="0.2">
      <c r="A109" s="17" t="s">
        <v>156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-1013.56</v>
      </c>
      <c r="AI109" s="10">
        <v>0</v>
      </c>
      <c r="AJ109" s="10">
        <v>-500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10">
        <v>0</v>
      </c>
      <c r="AQ109" s="10">
        <v>0</v>
      </c>
      <c r="AR109" s="10">
        <v>0</v>
      </c>
      <c r="AS109" s="10">
        <v>0</v>
      </c>
      <c r="AT109" s="10">
        <v>0</v>
      </c>
      <c r="AU109" s="10">
        <v>0</v>
      </c>
      <c r="AV109" s="10">
        <v>0</v>
      </c>
      <c r="AW109" s="10">
        <f t="shared" si="17"/>
        <v>-1513.56</v>
      </c>
    </row>
    <row r="110" spans="1:49" x14ac:dyDescent="0.2">
      <c r="A110" s="17" t="s">
        <v>157</v>
      </c>
      <c r="B110" s="10">
        <v>0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-1500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10">
        <v>0</v>
      </c>
      <c r="AQ110" s="10">
        <v>0</v>
      </c>
      <c r="AR110" s="10">
        <v>0</v>
      </c>
      <c r="AS110" s="10">
        <v>0</v>
      </c>
      <c r="AT110" s="10">
        <v>0</v>
      </c>
      <c r="AU110" s="10">
        <v>0</v>
      </c>
      <c r="AV110" s="10">
        <v>0</v>
      </c>
      <c r="AW110" s="10">
        <f t="shared" si="17"/>
        <v>-1500</v>
      </c>
    </row>
    <row r="111" spans="1:49" x14ac:dyDescent="0.2">
      <c r="A111" s="17" t="s">
        <v>158</v>
      </c>
      <c r="B111" s="10">
        <v>-11543.08</v>
      </c>
      <c r="C111" s="10">
        <v>-502.49</v>
      </c>
      <c r="D111" s="10">
        <v>0</v>
      </c>
      <c r="E111" s="10">
        <v>0</v>
      </c>
      <c r="F111" s="10">
        <v>0</v>
      </c>
      <c r="G111" s="10">
        <v>0</v>
      </c>
      <c r="H111" s="10">
        <v>-106.92</v>
      </c>
      <c r="I111" s="10">
        <v>0</v>
      </c>
      <c r="J111" s="10">
        <v>0</v>
      </c>
      <c r="K111" s="10">
        <v>0</v>
      </c>
      <c r="L111" s="10">
        <v>0</v>
      </c>
      <c r="M111" s="10">
        <v>-776.16</v>
      </c>
      <c r="N111" s="10">
        <v>0</v>
      </c>
      <c r="O111" s="10">
        <v>-977.2</v>
      </c>
      <c r="P111" s="10">
        <v>-977.2</v>
      </c>
      <c r="Q111" s="10">
        <v>-977.2</v>
      </c>
      <c r="R111" s="10">
        <v>-1018.5</v>
      </c>
      <c r="S111" s="10">
        <v>-1019.88</v>
      </c>
      <c r="T111" s="10">
        <v>-1018.5</v>
      </c>
      <c r="U111" s="10">
        <v>-1019.88</v>
      </c>
      <c r="V111" s="10">
        <v>-1019.88</v>
      </c>
      <c r="W111" s="10">
        <v>-1018.5</v>
      </c>
      <c r="X111" s="10">
        <v>-1199.02</v>
      </c>
      <c r="Y111" s="10">
        <v>-1451.28</v>
      </c>
      <c r="Z111" s="10">
        <v>-1264.92</v>
      </c>
      <c r="AA111" s="10">
        <v>-1277.31</v>
      </c>
      <c r="AB111" s="10">
        <v>-1656.19</v>
      </c>
      <c r="AC111" s="10">
        <v>-1277.29</v>
      </c>
      <c r="AD111" s="10">
        <v>-1194.82</v>
      </c>
      <c r="AE111" s="10">
        <v>-1234.6300000000001</v>
      </c>
      <c r="AF111" s="10">
        <v>-1194.82</v>
      </c>
      <c r="AG111" s="10">
        <v>-1234.6500000000001</v>
      </c>
      <c r="AH111" s="10">
        <v>-1952.08</v>
      </c>
      <c r="AI111" s="10">
        <v>-1138.01</v>
      </c>
      <c r="AJ111" s="10">
        <v>-1175.92</v>
      </c>
      <c r="AK111" s="10">
        <v>-1138.01</v>
      </c>
      <c r="AL111" s="10">
        <v>-532.9</v>
      </c>
      <c r="AM111" s="10">
        <v>0</v>
      </c>
      <c r="AN111" s="10">
        <v>-1321.91</v>
      </c>
      <c r="AO111" s="10">
        <v>-1195.6400000000001</v>
      </c>
      <c r="AP111" s="10">
        <v>-1467.81</v>
      </c>
      <c r="AQ111" s="10">
        <v>-1340.46</v>
      </c>
      <c r="AR111" s="10">
        <v>-1535.89</v>
      </c>
      <c r="AS111" s="10">
        <v>-1486.36</v>
      </c>
      <c r="AT111" s="10">
        <v>-75.680000000000007</v>
      </c>
      <c r="AU111" s="10">
        <v>0</v>
      </c>
      <c r="AV111" s="10">
        <v>0</v>
      </c>
      <c r="AW111" s="10">
        <f t="shared" si="17"/>
        <v>-49320.990000000013</v>
      </c>
    </row>
    <row r="112" spans="1:49" x14ac:dyDescent="0.2">
      <c r="A112" s="17" t="s">
        <v>159</v>
      </c>
      <c r="B112" s="10">
        <v>-3145.45</v>
      </c>
      <c r="C112" s="10">
        <v>-80.17</v>
      </c>
      <c r="D112" s="10">
        <v>-1188.32</v>
      </c>
      <c r="E112" s="10">
        <v>1205.08</v>
      </c>
      <c r="F112" s="10">
        <v>-6741.81</v>
      </c>
      <c r="G112" s="10">
        <v>-8236.2999999999993</v>
      </c>
      <c r="H112" s="10">
        <v>302.20999999999998</v>
      </c>
      <c r="I112" s="10">
        <v>-220.17</v>
      </c>
      <c r="J112" s="10">
        <v>-80.17</v>
      </c>
      <c r="K112" s="10">
        <v>-395.08</v>
      </c>
      <c r="L112" s="10">
        <v>-185.09</v>
      </c>
      <c r="M112" s="10">
        <v>-12551.39</v>
      </c>
      <c r="N112" s="10">
        <v>0</v>
      </c>
      <c r="O112" s="10">
        <v>-4207.76</v>
      </c>
      <c r="P112" s="10">
        <v>-391.94</v>
      </c>
      <c r="Q112" s="10">
        <v>-3247.44</v>
      </c>
      <c r="R112" s="10">
        <v>-2578.38</v>
      </c>
      <c r="S112" s="10">
        <v>-7112.8</v>
      </c>
      <c r="T112" s="10">
        <v>-741.09</v>
      </c>
      <c r="U112" s="10">
        <v>-1734.05</v>
      </c>
      <c r="V112" s="10">
        <v>-952.2</v>
      </c>
      <c r="W112" s="10">
        <v>-726.3</v>
      </c>
      <c r="X112" s="10">
        <v>-909.52</v>
      </c>
      <c r="Y112" s="10">
        <v>-1225.28</v>
      </c>
      <c r="Z112" s="10">
        <v>-1919.33</v>
      </c>
      <c r="AA112" s="10">
        <v>-2773.29</v>
      </c>
      <c r="AB112" s="10">
        <v>-9806.8700000000008</v>
      </c>
      <c r="AC112" s="10">
        <v>-4662.92</v>
      </c>
      <c r="AD112" s="10">
        <v>-2718.33</v>
      </c>
      <c r="AE112" s="10">
        <v>-1999.07</v>
      </c>
      <c r="AF112" s="10">
        <v>-2160.0300000000002</v>
      </c>
      <c r="AG112" s="10">
        <v>-1989.54</v>
      </c>
      <c r="AH112" s="10">
        <v>-2000.8</v>
      </c>
      <c r="AI112" s="10">
        <v>-1831.43</v>
      </c>
      <c r="AJ112" s="10">
        <v>-1892.48</v>
      </c>
      <c r="AK112" s="10">
        <v>-1856.5</v>
      </c>
      <c r="AL112" s="10">
        <v>-2736.04</v>
      </c>
      <c r="AM112" s="10">
        <v>0</v>
      </c>
      <c r="AN112" s="10">
        <v>-2767.32</v>
      </c>
      <c r="AO112" s="10">
        <v>-4206.6899999999996</v>
      </c>
      <c r="AP112" s="10">
        <v>-13290.97</v>
      </c>
      <c r="AQ112" s="10">
        <v>-2140.09</v>
      </c>
      <c r="AR112" s="10">
        <v>-1705.19</v>
      </c>
      <c r="AS112" s="10">
        <v>-1688.89</v>
      </c>
      <c r="AT112" s="10">
        <v>0</v>
      </c>
      <c r="AU112" s="10">
        <v>0</v>
      </c>
      <c r="AV112" s="10">
        <v>0</v>
      </c>
      <c r="AW112" s="10">
        <f t="shared" si="17"/>
        <v>-119289.2</v>
      </c>
    </row>
    <row r="113" spans="1:49" x14ac:dyDescent="0.2">
      <c r="A113" s="17" t="s">
        <v>160</v>
      </c>
      <c r="B113" s="10">
        <v>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-1000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-1540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-1120</v>
      </c>
      <c r="AM113" s="10">
        <v>0</v>
      </c>
      <c r="AN113" s="10">
        <v>0</v>
      </c>
      <c r="AO113" s="10">
        <v>0</v>
      </c>
      <c r="AP113" s="10">
        <v>0</v>
      </c>
      <c r="AQ113" s="10">
        <v>0</v>
      </c>
      <c r="AR113" s="10">
        <v>0</v>
      </c>
      <c r="AS113" s="10">
        <v>0</v>
      </c>
      <c r="AT113" s="10">
        <v>0</v>
      </c>
      <c r="AU113" s="10">
        <v>0</v>
      </c>
      <c r="AV113" s="10">
        <v>0</v>
      </c>
      <c r="AW113" s="10">
        <f t="shared" si="17"/>
        <v>-3660</v>
      </c>
    </row>
    <row r="114" spans="1:49" x14ac:dyDescent="0.2">
      <c r="A114" s="17" t="s">
        <v>161</v>
      </c>
      <c r="B114" s="10">
        <v>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-428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-140.94999999999999</v>
      </c>
      <c r="AA114" s="10">
        <v>-428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-62.4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10">
        <v>0</v>
      </c>
      <c r="AQ114" s="10">
        <v>-90</v>
      </c>
      <c r="AR114" s="10">
        <v>-52.5</v>
      </c>
      <c r="AS114" s="10">
        <v>0</v>
      </c>
      <c r="AT114" s="10">
        <v>0</v>
      </c>
      <c r="AU114" s="10">
        <v>0</v>
      </c>
      <c r="AV114" s="10">
        <v>0</v>
      </c>
      <c r="AW114" s="10">
        <f t="shared" si="17"/>
        <v>-1201.8500000000001</v>
      </c>
    </row>
    <row r="115" spans="1:49" x14ac:dyDescent="0.2">
      <c r="A115" s="17" t="s">
        <v>162</v>
      </c>
      <c r="B115" s="10">
        <v>-201.43</v>
      </c>
      <c r="C115" s="10">
        <v>0</v>
      </c>
      <c r="D115" s="10">
        <v>0</v>
      </c>
      <c r="E115" s="10">
        <v>0</v>
      </c>
      <c r="F115" s="10">
        <v>0</v>
      </c>
      <c r="G115" s="10">
        <v>-33.61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-3250</v>
      </c>
      <c r="N115" s="10">
        <v>0</v>
      </c>
      <c r="O115" s="10">
        <v>0</v>
      </c>
      <c r="P115" s="10">
        <v>0</v>
      </c>
      <c r="Q115" s="10">
        <v>-374.2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-379.4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-36679.5</v>
      </c>
      <c r="AM115" s="10">
        <v>0</v>
      </c>
      <c r="AN115" s="10">
        <v>0</v>
      </c>
      <c r="AO115" s="10">
        <v>0</v>
      </c>
      <c r="AP115" s="10">
        <v>0</v>
      </c>
      <c r="AQ115" s="10">
        <v>-1319.8</v>
      </c>
      <c r="AR115" s="10">
        <v>0</v>
      </c>
      <c r="AS115" s="10">
        <v>0</v>
      </c>
      <c r="AT115" s="10">
        <v>0</v>
      </c>
      <c r="AU115" s="10">
        <v>0</v>
      </c>
      <c r="AV115" s="10">
        <v>0</v>
      </c>
      <c r="AW115" s="10">
        <f t="shared" si="17"/>
        <v>-42237.94</v>
      </c>
    </row>
    <row r="116" spans="1:49" x14ac:dyDescent="0.2">
      <c r="A116" s="17" t="s">
        <v>163</v>
      </c>
      <c r="B116" s="10">
        <v>-19274.2</v>
      </c>
      <c r="C116" s="10">
        <v>-9.41</v>
      </c>
      <c r="D116" s="10">
        <v>-9.5399999999999991</v>
      </c>
      <c r="E116" s="10">
        <v>-92.63</v>
      </c>
      <c r="F116" s="10">
        <v>-9.33</v>
      </c>
      <c r="G116" s="10">
        <v>-9.0299999999999994</v>
      </c>
      <c r="H116" s="10">
        <v>-8.7899999999999991</v>
      </c>
      <c r="I116" s="10">
        <v>-8.64</v>
      </c>
      <c r="J116" s="10">
        <v>-8.68</v>
      </c>
      <c r="K116" s="10">
        <v>0</v>
      </c>
      <c r="L116" s="10">
        <v>-8.57</v>
      </c>
      <c r="M116" s="10">
        <v>-8.34</v>
      </c>
      <c r="N116" s="10">
        <v>0</v>
      </c>
      <c r="O116" s="10">
        <v>-1644.57</v>
      </c>
      <c r="P116" s="10">
        <v>-1486.25</v>
      </c>
      <c r="Q116" s="10">
        <v>-1644.76</v>
      </c>
      <c r="R116" s="10">
        <v>-1591.87</v>
      </c>
      <c r="S116" s="10">
        <v>-1644.55</v>
      </c>
      <c r="T116" s="10">
        <v>-1591.97</v>
      </c>
      <c r="U116" s="10">
        <v>-1644.84</v>
      </c>
      <c r="V116" s="10">
        <v>-1644.91</v>
      </c>
      <c r="W116" s="10">
        <v>-1592.09</v>
      </c>
      <c r="X116" s="10">
        <v>-1644.95</v>
      </c>
      <c r="Y116" s="10">
        <v>-1592.45</v>
      </c>
      <c r="Z116" s="10">
        <v>-1645.21</v>
      </c>
      <c r="AA116" s="10">
        <v>-1645.19</v>
      </c>
      <c r="AB116" s="10">
        <v>-1486.85</v>
      </c>
      <c r="AC116" s="10">
        <v>-1645.47</v>
      </c>
      <c r="AD116" s="10">
        <v>-1592.84</v>
      </c>
      <c r="AE116" s="10">
        <v>-1645.84</v>
      </c>
      <c r="AF116" s="10">
        <v>-1593.11</v>
      </c>
      <c r="AG116" s="10">
        <v>-1646.23</v>
      </c>
      <c r="AH116" s="10">
        <v>-1636.21</v>
      </c>
      <c r="AI116" s="10">
        <v>-1583.42</v>
      </c>
      <c r="AJ116" s="10">
        <v>-1636.21</v>
      </c>
      <c r="AK116" s="10">
        <v>-1583.42</v>
      </c>
      <c r="AL116" s="10">
        <v>-1636.2</v>
      </c>
      <c r="AM116" s="10">
        <v>0</v>
      </c>
      <c r="AN116" s="10">
        <v>-1636.21</v>
      </c>
      <c r="AO116" s="10">
        <v>-1477.86</v>
      </c>
      <c r="AP116" s="10">
        <v>-1636.21</v>
      </c>
      <c r="AQ116" s="10">
        <v>-1583.42</v>
      </c>
      <c r="AR116" s="10">
        <v>-1636.21</v>
      </c>
      <c r="AS116" s="10">
        <v>-1583.42</v>
      </c>
      <c r="AT116" s="10">
        <v>0</v>
      </c>
      <c r="AU116" s="10">
        <v>0</v>
      </c>
      <c r="AV116" s="10">
        <v>0</v>
      </c>
      <c r="AW116" s="10">
        <f t="shared" si="17"/>
        <v>-67699.89999999998</v>
      </c>
    </row>
    <row r="117" spans="1:49" x14ac:dyDescent="0.2">
      <c r="A117" s="17" t="s">
        <v>164</v>
      </c>
      <c r="B117" s="10">
        <v>-1124.08</v>
      </c>
      <c r="C117" s="10">
        <v>-404.69</v>
      </c>
      <c r="D117" s="10">
        <v>-244.23</v>
      </c>
      <c r="E117" s="10">
        <v>-358.63</v>
      </c>
      <c r="F117" s="10">
        <v>-408.97</v>
      </c>
      <c r="G117" s="10">
        <v>-257.23</v>
      </c>
      <c r="H117" s="10">
        <v>-367.03</v>
      </c>
      <c r="I117" s="10">
        <v>-244.94</v>
      </c>
      <c r="J117" s="10">
        <v>-316.54000000000002</v>
      </c>
      <c r="K117" s="10">
        <v>-198.2</v>
      </c>
      <c r="L117" s="10">
        <v>-449.35</v>
      </c>
      <c r="M117" s="10">
        <v>-446.58</v>
      </c>
      <c r="N117" s="10">
        <v>122</v>
      </c>
      <c r="O117" s="10">
        <v>-476.96</v>
      </c>
      <c r="P117" s="10">
        <v>-275.36</v>
      </c>
      <c r="Q117" s="10">
        <v>-357.11</v>
      </c>
      <c r="R117" s="10">
        <v>-321.60000000000002</v>
      </c>
      <c r="S117" s="10">
        <v>-397.36</v>
      </c>
      <c r="T117" s="10">
        <v>-562.95000000000005</v>
      </c>
      <c r="U117" s="10">
        <v>-510.11</v>
      </c>
      <c r="V117" s="10">
        <v>-275.36</v>
      </c>
      <c r="W117" s="10">
        <v>-401.18</v>
      </c>
      <c r="X117" s="10">
        <v>-492.23</v>
      </c>
      <c r="Y117" s="10">
        <v>-452.36</v>
      </c>
      <c r="Z117" s="10">
        <v>-472.1</v>
      </c>
      <c r="AA117" s="10">
        <v>-529.30999999999995</v>
      </c>
      <c r="AB117" s="10">
        <v>-384.51</v>
      </c>
      <c r="AC117" s="10">
        <v>-356.39</v>
      </c>
      <c r="AD117" s="10">
        <v>-274.3</v>
      </c>
      <c r="AE117" s="10">
        <v>-533.03</v>
      </c>
      <c r="AF117" s="10">
        <v>-584.25</v>
      </c>
      <c r="AG117" s="10">
        <v>-517.45000000000005</v>
      </c>
      <c r="AH117" s="10">
        <v>-551.49</v>
      </c>
      <c r="AI117" s="10">
        <v>-391.25</v>
      </c>
      <c r="AJ117" s="10">
        <v>-1360.6</v>
      </c>
      <c r="AK117" s="10">
        <v>-428.89</v>
      </c>
      <c r="AL117" s="10">
        <v>-421.2</v>
      </c>
      <c r="AM117" s="10">
        <v>0</v>
      </c>
      <c r="AN117" s="10">
        <v>-439.69</v>
      </c>
      <c r="AO117" s="10">
        <v>-359.09</v>
      </c>
      <c r="AP117" s="10">
        <v>-305.79000000000002</v>
      </c>
      <c r="AQ117" s="10">
        <v>-761.15</v>
      </c>
      <c r="AR117" s="10">
        <v>-519</v>
      </c>
      <c r="AS117" s="10">
        <v>-296.70999999999998</v>
      </c>
      <c r="AT117" s="10">
        <v>0</v>
      </c>
      <c r="AU117" s="10">
        <v>0</v>
      </c>
      <c r="AV117" s="10">
        <v>0</v>
      </c>
      <c r="AW117" s="10">
        <f t="shared" si="17"/>
        <v>-18707.25</v>
      </c>
    </row>
    <row r="118" spans="1:49" x14ac:dyDescent="0.2">
      <c r="A118" s="17" t="s">
        <v>165</v>
      </c>
      <c r="B118" s="10">
        <v>-2787.51</v>
      </c>
      <c r="C118" s="10">
        <v>0</v>
      </c>
      <c r="D118" s="10">
        <v>0</v>
      </c>
      <c r="E118" s="10">
        <v>-512.76</v>
      </c>
      <c r="F118" s="10">
        <v>-87.4</v>
      </c>
      <c r="G118" s="10">
        <v>0</v>
      </c>
      <c r="H118" s="10">
        <v>0</v>
      </c>
      <c r="I118" s="10">
        <v>0</v>
      </c>
      <c r="J118" s="10">
        <v>-496.16</v>
      </c>
      <c r="K118" s="10">
        <v>-115.62</v>
      </c>
      <c r="L118" s="10">
        <v>-84.08</v>
      </c>
      <c r="M118" s="10">
        <v>-403.05</v>
      </c>
      <c r="N118" s="10">
        <v>0</v>
      </c>
      <c r="O118" s="10">
        <v>-232.29</v>
      </c>
      <c r="P118" s="10">
        <v>-232.29</v>
      </c>
      <c r="Q118" s="10">
        <v>-358.04</v>
      </c>
      <c r="R118" s="10">
        <v>-232.29</v>
      </c>
      <c r="S118" s="10">
        <v>-232.29</v>
      </c>
      <c r="T118" s="10">
        <v>-232.29</v>
      </c>
      <c r="U118" s="10">
        <v>-551.64</v>
      </c>
      <c r="V118" s="10">
        <v>-232.29</v>
      </c>
      <c r="W118" s="10">
        <v>-232.29</v>
      </c>
      <c r="X118" s="10">
        <v>-232.29</v>
      </c>
      <c r="Y118" s="10">
        <v>-885.3</v>
      </c>
      <c r="Z118" s="10">
        <v>-316.39999999999998</v>
      </c>
      <c r="AA118" s="10">
        <v>-236.75</v>
      </c>
      <c r="AB118" s="10">
        <v>-213.84</v>
      </c>
      <c r="AC118" s="10">
        <v>-236.75</v>
      </c>
      <c r="AD118" s="10">
        <v>-229.11</v>
      </c>
      <c r="AE118" s="10">
        <v>113.25</v>
      </c>
      <c r="AF118" s="10">
        <v>-229.11</v>
      </c>
      <c r="AG118" s="10">
        <v>-735.48</v>
      </c>
      <c r="AH118" s="10">
        <v>-236.75</v>
      </c>
      <c r="AI118" s="10">
        <v>-229.11</v>
      </c>
      <c r="AJ118" s="10">
        <v>-236.75</v>
      </c>
      <c r="AK118" s="10">
        <v>-937.82</v>
      </c>
      <c r="AL118" s="10">
        <v>-469.66</v>
      </c>
      <c r="AM118" s="10">
        <v>0</v>
      </c>
      <c r="AN118" s="10">
        <v>-374.48</v>
      </c>
      <c r="AO118" s="10">
        <v>-264.89</v>
      </c>
      <c r="AP118" s="10">
        <v>-293.27999999999997</v>
      </c>
      <c r="AQ118" s="10">
        <v>-283.81</v>
      </c>
      <c r="AR118" s="10">
        <v>-293.27999999999997</v>
      </c>
      <c r="AS118" s="10">
        <v>-8.81</v>
      </c>
      <c r="AT118" s="10">
        <v>-858.4</v>
      </c>
      <c r="AU118" s="10">
        <v>0</v>
      </c>
      <c r="AV118" s="10">
        <v>0</v>
      </c>
      <c r="AW118" s="10">
        <f t="shared" si="17"/>
        <v>-14711.11</v>
      </c>
    </row>
    <row r="119" spans="1:49" x14ac:dyDescent="0.2">
      <c r="A119" s="17" t="s">
        <v>166</v>
      </c>
      <c r="B119" s="10">
        <v>-1814</v>
      </c>
      <c r="C119" s="10">
        <v>-665.12</v>
      </c>
      <c r="D119" s="10">
        <v>-613.07000000000005</v>
      </c>
      <c r="E119" s="10">
        <v>-1029.92</v>
      </c>
      <c r="F119" s="10">
        <v>-368.97</v>
      </c>
      <c r="G119" s="10">
        <v>-464.26</v>
      </c>
      <c r="H119" s="10">
        <v>-383.18</v>
      </c>
      <c r="I119" s="10">
        <v>557.15</v>
      </c>
      <c r="J119" s="10">
        <v>0</v>
      </c>
      <c r="K119" s="10">
        <v>0</v>
      </c>
      <c r="L119" s="10">
        <v>0</v>
      </c>
      <c r="M119" s="10">
        <v>0</v>
      </c>
      <c r="N119" s="10">
        <v>83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10">
        <v>0</v>
      </c>
      <c r="AQ119" s="10">
        <v>0</v>
      </c>
      <c r="AR119" s="10">
        <v>0</v>
      </c>
      <c r="AS119" s="10">
        <v>0</v>
      </c>
      <c r="AT119" s="10">
        <v>0</v>
      </c>
      <c r="AU119" s="10">
        <v>0</v>
      </c>
      <c r="AV119" s="10">
        <v>0</v>
      </c>
      <c r="AW119" s="10">
        <f t="shared" si="17"/>
        <v>-4698.3700000000017</v>
      </c>
    </row>
    <row r="120" spans="1:49" x14ac:dyDescent="0.2">
      <c r="A120" s="17" t="s">
        <v>167</v>
      </c>
      <c r="B120" s="10">
        <v>-1451.08</v>
      </c>
      <c r="C120" s="10">
        <v>-364.21</v>
      </c>
      <c r="D120" s="10">
        <v>-242.5</v>
      </c>
      <c r="E120" s="10">
        <v>-242.5</v>
      </c>
      <c r="F120" s="10">
        <v>-495.53</v>
      </c>
      <c r="G120" s="10">
        <v>-284.81</v>
      </c>
      <c r="H120" s="10">
        <v>-377.46</v>
      </c>
      <c r="I120" s="10">
        <v>-410.5</v>
      </c>
      <c r="J120" s="10">
        <v>-242.5</v>
      </c>
      <c r="K120" s="10">
        <v>-1140.3</v>
      </c>
      <c r="L120" s="10">
        <v>-380.58</v>
      </c>
      <c r="M120" s="10">
        <v>-402.02</v>
      </c>
      <c r="N120" s="10">
        <v>0</v>
      </c>
      <c r="O120" s="10">
        <v>-343.22</v>
      </c>
      <c r="P120" s="10">
        <v>-343.22</v>
      </c>
      <c r="Q120" s="10">
        <v>-503.97</v>
      </c>
      <c r="R120" s="10">
        <v>-501.46</v>
      </c>
      <c r="S120" s="10">
        <v>-389.46</v>
      </c>
      <c r="T120" s="10">
        <v>-510.49</v>
      </c>
      <c r="U120" s="10">
        <v>-454.08</v>
      </c>
      <c r="V120" s="10">
        <v>-511.22</v>
      </c>
      <c r="W120" s="10">
        <v>-567.62</v>
      </c>
      <c r="X120" s="10">
        <v>-523.16999999999996</v>
      </c>
      <c r="Y120" s="10">
        <v>-1146.82</v>
      </c>
      <c r="Z120" s="10">
        <v>-344.89</v>
      </c>
      <c r="AA120" s="10">
        <v>-345.15</v>
      </c>
      <c r="AB120" s="10">
        <v>-456.94</v>
      </c>
      <c r="AC120" s="10">
        <v>-528.37</v>
      </c>
      <c r="AD120" s="10">
        <v>-496.02</v>
      </c>
      <c r="AE120" s="10">
        <v>-415.41</v>
      </c>
      <c r="AF120" s="10">
        <v>-388.08</v>
      </c>
      <c r="AG120" s="10">
        <v>-635.17999999999995</v>
      </c>
      <c r="AH120" s="10">
        <v>-644.25</v>
      </c>
      <c r="AI120" s="10">
        <v>-594.66</v>
      </c>
      <c r="AJ120" s="10">
        <v>-621.04999999999995</v>
      </c>
      <c r="AK120" s="10">
        <v>-459.5</v>
      </c>
      <c r="AL120" s="10">
        <v>-1274.8399999999999</v>
      </c>
      <c r="AM120" s="10">
        <v>0</v>
      </c>
      <c r="AN120" s="10">
        <v>-519.5</v>
      </c>
      <c r="AO120" s="10">
        <v>-474.26</v>
      </c>
      <c r="AP120" s="10">
        <v>-498.37</v>
      </c>
      <c r="AQ120" s="10">
        <v>-365.41</v>
      </c>
      <c r="AR120" s="10">
        <v>-667.08</v>
      </c>
      <c r="AS120" s="10">
        <v>-365.41</v>
      </c>
      <c r="AT120" s="10">
        <v>-242.5</v>
      </c>
      <c r="AU120" s="10">
        <v>0</v>
      </c>
      <c r="AV120" s="10">
        <v>0</v>
      </c>
      <c r="AW120" s="10">
        <f t="shared" si="17"/>
        <v>-22165.59</v>
      </c>
    </row>
    <row r="121" spans="1:49" x14ac:dyDescent="0.2">
      <c r="A121" s="17" t="s">
        <v>168</v>
      </c>
      <c r="B121" s="10">
        <v>-1544.29</v>
      </c>
      <c r="C121" s="10">
        <v>-280.18</v>
      </c>
      <c r="D121" s="10">
        <v>-320.99</v>
      </c>
      <c r="E121" s="10">
        <v>-1019.98</v>
      </c>
      <c r="F121" s="10">
        <v>-1351.34</v>
      </c>
      <c r="G121" s="10">
        <v>1654.09</v>
      </c>
      <c r="H121" s="10">
        <v>0</v>
      </c>
      <c r="I121" s="10">
        <v>-140.12</v>
      </c>
      <c r="J121" s="10">
        <v>-40.06</v>
      </c>
      <c r="K121" s="10">
        <v>-225.63</v>
      </c>
      <c r="L121" s="10">
        <v>-89.85</v>
      </c>
      <c r="M121" s="10">
        <v>-97.36</v>
      </c>
      <c r="N121" s="10">
        <v>-30</v>
      </c>
      <c r="O121" s="10">
        <v>0</v>
      </c>
      <c r="P121" s="10">
        <v>0</v>
      </c>
      <c r="Q121" s="10">
        <v>-49.18</v>
      </c>
      <c r="R121" s="10">
        <v>-109.92</v>
      </c>
      <c r="S121" s="10">
        <v>0</v>
      </c>
      <c r="T121" s="10">
        <v>-130.38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0</v>
      </c>
      <c r="AR121" s="10">
        <v>0</v>
      </c>
      <c r="AS121" s="10">
        <v>0</v>
      </c>
      <c r="AT121" s="10">
        <v>0</v>
      </c>
      <c r="AU121" s="10">
        <v>0</v>
      </c>
      <c r="AV121" s="10">
        <v>0</v>
      </c>
      <c r="AW121" s="10">
        <f t="shared" si="17"/>
        <v>-3775.1899999999996</v>
      </c>
    </row>
    <row r="122" spans="1:49" x14ac:dyDescent="0.2">
      <c r="A122" s="17" t="s">
        <v>169</v>
      </c>
      <c r="B122" s="10">
        <v>-1309.02</v>
      </c>
      <c r="C122" s="10">
        <v>-314.44</v>
      </c>
      <c r="D122" s="10">
        <v>-300.77</v>
      </c>
      <c r="E122" s="10">
        <v>-392.65</v>
      </c>
      <c r="F122" s="10">
        <v>-275.94</v>
      </c>
      <c r="G122" s="10">
        <v>-379.42</v>
      </c>
      <c r="H122" s="10">
        <v>-381.44</v>
      </c>
      <c r="I122" s="10">
        <v>-417.56</v>
      </c>
      <c r="J122" s="10">
        <v>-357.96</v>
      </c>
      <c r="K122" s="10">
        <v>-617.21</v>
      </c>
      <c r="L122" s="10">
        <v>-483.78</v>
      </c>
      <c r="M122" s="10">
        <v>-386.13</v>
      </c>
      <c r="N122" s="10">
        <v>134</v>
      </c>
      <c r="O122" s="10">
        <v>-331.29</v>
      </c>
      <c r="P122" s="10">
        <v>-331.29</v>
      </c>
      <c r="Q122" s="10">
        <v>-407.09</v>
      </c>
      <c r="R122" s="10">
        <v>-504.32</v>
      </c>
      <c r="S122" s="10">
        <v>-364.82</v>
      </c>
      <c r="T122" s="10">
        <v>-386.99</v>
      </c>
      <c r="U122" s="10">
        <v>-420.42</v>
      </c>
      <c r="V122" s="10">
        <v>-331.29</v>
      </c>
      <c r="W122" s="10">
        <v>-750.94</v>
      </c>
      <c r="X122" s="10">
        <v>-443.25</v>
      </c>
      <c r="Y122" s="10">
        <v>-970.03</v>
      </c>
      <c r="Z122" s="10">
        <v>-338.2</v>
      </c>
      <c r="AA122" s="10">
        <v>-291.77999999999997</v>
      </c>
      <c r="AB122" s="10">
        <v>-372.03</v>
      </c>
      <c r="AC122" s="10">
        <v>-385.49</v>
      </c>
      <c r="AD122" s="10">
        <v>-519.75</v>
      </c>
      <c r="AE122" s="10">
        <v>-401.12</v>
      </c>
      <c r="AF122" s="10">
        <v>-444.71</v>
      </c>
      <c r="AG122" s="10">
        <v>-396.96</v>
      </c>
      <c r="AH122" s="10">
        <v>-390.81</v>
      </c>
      <c r="AI122" s="10">
        <v>-1438.49</v>
      </c>
      <c r="AJ122" s="10">
        <v>-475.67</v>
      </c>
      <c r="AK122" s="10">
        <v>-598.59</v>
      </c>
      <c r="AL122" s="10">
        <v>-444.86</v>
      </c>
      <c r="AM122" s="10">
        <v>0</v>
      </c>
      <c r="AN122" s="10">
        <v>-507.35</v>
      </c>
      <c r="AO122" s="10">
        <v>-496.51</v>
      </c>
      <c r="AP122" s="10">
        <v>-680.76</v>
      </c>
      <c r="AQ122" s="10">
        <v>-663.99</v>
      </c>
      <c r="AR122" s="10">
        <v>-650.66999999999996</v>
      </c>
      <c r="AS122" s="10">
        <v>-545.5</v>
      </c>
      <c r="AT122" s="10">
        <v>-198.37</v>
      </c>
      <c r="AU122" s="10">
        <v>0</v>
      </c>
      <c r="AV122" s="10">
        <v>0</v>
      </c>
      <c r="AW122" s="10">
        <f t="shared" si="17"/>
        <v>-20965.659999999996</v>
      </c>
    </row>
    <row r="123" spans="1:49" x14ac:dyDescent="0.2">
      <c r="A123" s="17" t="s">
        <v>170</v>
      </c>
      <c r="B123" s="10">
        <v>-37.15</v>
      </c>
      <c r="C123" s="10">
        <v>-39.700000000000003</v>
      </c>
      <c r="D123" s="10">
        <v>-40.74</v>
      </c>
      <c r="E123" s="10">
        <v>-46.2</v>
      </c>
      <c r="F123" s="10">
        <v>0</v>
      </c>
      <c r="G123" s="10">
        <v>0</v>
      </c>
      <c r="H123" s="10">
        <v>-43.97</v>
      </c>
      <c r="I123" s="10">
        <v>-78.91</v>
      </c>
      <c r="J123" s="10">
        <v>0</v>
      </c>
      <c r="K123" s="10">
        <v>-45.95</v>
      </c>
      <c r="L123" s="10">
        <v>-159.68</v>
      </c>
      <c r="M123" s="10">
        <v>0</v>
      </c>
      <c r="N123" s="10">
        <v>0</v>
      </c>
      <c r="O123" s="10">
        <v>0</v>
      </c>
      <c r="P123" s="10">
        <v>0</v>
      </c>
      <c r="Q123" s="10">
        <v>-43.25</v>
      </c>
      <c r="R123" s="10">
        <v>0</v>
      </c>
      <c r="S123" s="10">
        <v>0</v>
      </c>
      <c r="T123" s="10">
        <v>-139.16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0</v>
      </c>
      <c r="AR123" s="10">
        <v>0</v>
      </c>
      <c r="AS123" s="10">
        <v>0</v>
      </c>
      <c r="AT123" s="10">
        <v>0</v>
      </c>
      <c r="AU123" s="10">
        <v>0</v>
      </c>
      <c r="AV123" s="10">
        <v>0</v>
      </c>
      <c r="AW123" s="10">
        <f t="shared" si="17"/>
        <v>-674.70999999999992</v>
      </c>
    </row>
    <row r="124" spans="1:49" x14ac:dyDescent="0.2">
      <c r="A124" s="17" t="s">
        <v>171</v>
      </c>
      <c r="B124" s="10">
        <v>-1414.04</v>
      </c>
      <c r="C124" s="10">
        <v>-393.85</v>
      </c>
      <c r="D124" s="10">
        <v>-625.55999999999995</v>
      </c>
      <c r="E124" s="10">
        <v>-322.12</v>
      </c>
      <c r="F124" s="10">
        <v>-311.5</v>
      </c>
      <c r="G124" s="10">
        <v>-342.43</v>
      </c>
      <c r="H124" s="10">
        <v>-438.54</v>
      </c>
      <c r="I124" s="10">
        <v>-597.35</v>
      </c>
      <c r="J124" s="10">
        <v>-487.2</v>
      </c>
      <c r="K124" s="10">
        <v>-370.6</v>
      </c>
      <c r="L124" s="10">
        <v>-831.63</v>
      </c>
      <c r="M124" s="10">
        <v>-372.43</v>
      </c>
      <c r="N124" s="10">
        <v>106</v>
      </c>
      <c r="O124" s="10">
        <v>-456.58</v>
      </c>
      <c r="P124" s="10">
        <v>-466.13</v>
      </c>
      <c r="Q124" s="10">
        <v>-479.54</v>
      </c>
      <c r="R124" s="10">
        <v>-488.26</v>
      </c>
      <c r="S124" s="10">
        <v>-714.56</v>
      </c>
      <c r="T124" s="10">
        <v>-483.58</v>
      </c>
      <c r="U124" s="10">
        <v>-489.23</v>
      </c>
      <c r="V124" s="10">
        <v>-552.33000000000004</v>
      </c>
      <c r="W124" s="10">
        <v>-521.15</v>
      </c>
      <c r="X124" s="10">
        <v>-685.99</v>
      </c>
      <c r="Y124" s="10">
        <v>-965.38</v>
      </c>
      <c r="Z124" s="10">
        <v>-386.77</v>
      </c>
      <c r="AA124" s="10">
        <v>-363.25</v>
      </c>
      <c r="AB124" s="10">
        <v>913.47</v>
      </c>
      <c r="AC124" s="10">
        <v>-1288.8800000000001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179</v>
      </c>
      <c r="AM124" s="10">
        <v>0</v>
      </c>
      <c r="AN124" s="10">
        <v>0</v>
      </c>
      <c r="AO124" s="10">
        <v>0</v>
      </c>
      <c r="AP124" s="10">
        <v>0</v>
      </c>
      <c r="AQ124" s="10">
        <v>0</v>
      </c>
      <c r="AR124" s="10">
        <v>0</v>
      </c>
      <c r="AS124" s="10">
        <v>0</v>
      </c>
      <c r="AT124" s="10">
        <v>0</v>
      </c>
      <c r="AU124" s="10">
        <v>0</v>
      </c>
      <c r="AV124" s="10">
        <v>0</v>
      </c>
      <c r="AW124" s="10">
        <f t="shared" si="17"/>
        <v>-13650.41</v>
      </c>
    </row>
    <row r="125" spans="1:49" x14ac:dyDescent="0.2">
      <c r="A125" s="17" t="s">
        <v>172</v>
      </c>
      <c r="B125" s="10">
        <v>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-714.28</v>
      </c>
      <c r="I125" s="10">
        <v>-907.04</v>
      </c>
      <c r="J125" s="10">
        <v>-1482</v>
      </c>
      <c r="K125" s="10">
        <v>-494</v>
      </c>
      <c r="L125" s="10">
        <v>-528.4</v>
      </c>
      <c r="M125" s="10">
        <v>-494</v>
      </c>
      <c r="N125" s="10">
        <v>368</v>
      </c>
      <c r="O125" s="10">
        <v>-597</v>
      </c>
      <c r="P125" s="10">
        <v>-597</v>
      </c>
      <c r="Q125" s="10">
        <v>-597</v>
      </c>
      <c r="R125" s="10">
        <v>-630.53</v>
      </c>
      <c r="S125" s="10">
        <v>-597</v>
      </c>
      <c r="T125" s="10">
        <v>-597</v>
      </c>
      <c r="U125" s="10">
        <v>-965</v>
      </c>
      <c r="V125" s="10">
        <v>-597</v>
      </c>
      <c r="W125" s="10">
        <v>-597</v>
      </c>
      <c r="X125" s="10">
        <v>-478</v>
      </c>
      <c r="Y125" s="10">
        <v>-1301.31</v>
      </c>
      <c r="Z125" s="10">
        <v>-2158.41</v>
      </c>
      <c r="AA125" s="10">
        <v>-479.98</v>
      </c>
      <c r="AB125" s="10">
        <v>-619.82000000000005</v>
      </c>
      <c r="AC125" s="10">
        <v>-479.98</v>
      </c>
      <c r="AD125" s="10">
        <v>-476.59</v>
      </c>
      <c r="AE125" s="10">
        <v>-513.51</v>
      </c>
      <c r="AF125" s="10">
        <v>-476.59</v>
      </c>
      <c r="AG125" s="10">
        <v>-488.05</v>
      </c>
      <c r="AH125" s="10">
        <v>-511.23</v>
      </c>
      <c r="AI125" s="10">
        <v>-506.84</v>
      </c>
      <c r="AJ125" s="10">
        <v>-2041.7</v>
      </c>
      <c r="AK125" s="10">
        <v>-506.84</v>
      </c>
      <c r="AL125" s="10">
        <v>-4350.99</v>
      </c>
      <c r="AM125" s="10">
        <v>0</v>
      </c>
      <c r="AN125" s="10">
        <v>-536.14</v>
      </c>
      <c r="AO125" s="10">
        <v>-520.54999999999995</v>
      </c>
      <c r="AP125" s="10">
        <v>-660.35</v>
      </c>
      <c r="AQ125" s="10">
        <v>-530.95000000000005</v>
      </c>
      <c r="AR125" s="10">
        <v>-578.07000000000005</v>
      </c>
      <c r="AS125" s="10">
        <v>-530.95000000000005</v>
      </c>
      <c r="AT125" s="10">
        <v>-375</v>
      </c>
      <c r="AU125" s="10">
        <v>0</v>
      </c>
      <c r="AV125" s="10">
        <v>0</v>
      </c>
      <c r="AW125" s="10">
        <f t="shared" si="17"/>
        <v>-29148.099999999995</v>
      </c>
    </row>
    <row r="126" spans="1:49" x14ac:dyDescent="0.2">
      <c r="A126" s="17" t="s">
        <v>173</v>
      </c>
      <c r="B126" s="10">
        <v>-1519.45</v>
      </c>
      <c r="C126" s="10">
        <v>-526.97</v>
      </c>
      <c r="D126" s="10">
        <v>-468.37</v>
      </c>
      <c r="E126" s="10">
        <v>-1379.58</v>
      </c>
      <c r="F126" s="10">
        <v>-449.7</v>
      </c>
      <c r="G126" s="10">
        <v>-583.83000000000004</v>
      </c>
      <c r="H126" s="10">
        <v>-513.02</v>
      </c>
      <c r="I126" s="10">
        <v>-511.56</v>
      </c>
      <c r="J126" s="10">
        <v>324.85000000000002</v>
      </c>
      <c r="K126" s="10">
        <v>-551.21</v>
      </c>
      <c r="L126" s="10">
        <v>-209.34</v>
      </c>
      <c r="M126" s="10">
        <v>-243.68</v>
      </c>
      <c r="N126" s="10">
        <v>42</v>
      </c>
      <c r="O126" s="10">
        <v>0</v>
      </c>
      <c r="P126" s="10">
        <v>0</v>
      </c>
      <c r="Q126" s="10">
        <v>-363.21</v>
      </c>
      <c r="R126" s="10">
        <v>-145.93</v>
      </c>
      <c r="S126" s="10">
        <v>0</v>
      </c>
      <c r="T126" s="10">
        <v>-443.41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10">
        <v>0</v>
      </c>
      <c r="AQ126" s="10">
        <v>0</v>
      </c>
      <c r="AR126" s="10">
        <v>0</v>
      </c>
      <c r="AS126" s="10">
        <v>0</v>
      </c>
      <c r="AT126" s="10">
        <v>0</v>
      </c>
      <c r="AU126" s="10">
        <v>0</v>
      </c>
      <c r="AV126" s="10">
        <v>0</v>
      </c>
      <c r="AW126" s="10">
        <f t="shared" si="17"/>
        <v>-7542.4100000000008</v>
      </c>
    </row>
    <row r="127" spans="1:49" x14ac:dyDescent="0.2">
      <c r="A127" s="17" t="s">
        <v>174</v>
      </c>
      <c r="B127" s="10">
        <v>-1584.62</v>
      </c>
      <c r="C127" s="10">
        <v>-1354.74</v>
      </c>
      <c r="D127" s="10">
        <v>-660.85</v>
      </c>
      <c r="E127" s="10">
        <v>-841.12</v>
      </c>
      <c r="F127" s="10">
        <v>0</v>
      </c>
      <c r="G127" s="10">
        <v>-1307.2</v>
      </c>
      <c r="H127" s="10">
        <v>-141.16999999999999</v>
      </c>
      <c r="I127" s="10">
        <v>-150</v>
      </c>
      <c r="J127" s="10">
        <v>-535.08000000000004</v>
      </c>
      <c r="K127" s="10">
        <v>-225.66</v>
      </c>
      <c r="L127" s="10">
        <v>-230.71</v>
      </c>
      <c r="M127" s="10">
        <v>-390.45</v>
      </c>
      <c r="N127" s="10">
        <v>308</v>
      </c>
      <c r="O127" s="10">
        <v>0</v>
      </c>
      <c r="P127" s="10">
        <v>0</v>
      </c>
      <c r="Q127" s="10">
        <v>-585.77</v>
      </c>
      <c r="R127" s="10">
        <v>-326.7</v>
      </c>
      <c r="S127" s="10">
        <v>0</v>
      </c>
      <c r="T127" s="10">
        <v>-701.46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</v>
      </c>
      <c r="AR127" s="10">
        <v>0</v>
      </c>
      <c r="AS127" s="10">
        <v>0</v>
      </c>
      <c r="AT127" s="10">
        <v>0</v>
      </c>
      <c r="AU127" s="10">
        <v>0</v>
      </c>
      <c r="AV127" s="10">
        <v>0</v>
      </c>
      <c r="AW127" s="10">
        <f t="shared" si="17"/>
        <v>-8727.5299999999988</v>
      </c>
    </row>
    <row r="128" spans="1:49" x14ac:dyDescent="0.2">
      <c r="A128" s="17" t="s">
        <v>175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-70.790000000000006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10">
        <v>0</v>
      </c>
      <c r="AQ128" s="10">
        <v>0</v>
      </c>
      <c r="AR128" s="10">
        <v>0</v>
      </c>
      <c r="AS128" s="10">
        <v>0</v>
      </c>
      <c r="AT128" s="10">
        <v>0</v>
      </c>
      <c r="AU128" s="10">
        <v>0</v>
      </c>
      <c r="AV128" s="10">
        <v>0</v>
      </c>
      <c r="AW128" s="10">
        <f t="shared" si="17"/>
        <v>-70.790000000000006</v>
      </c>
    </row>
    <row r="129" spans="1:49" x14ac:dyDescent="0.2">
      <c r="A129" s="17" t="s">
        <v>176</v>
      </c>
      <c r="B129" s="10">
        <v>3935.75</v>
      </c>
      <c r="C129" s="10">
        <v>-493</v>
      </c>
      <c r="D129" s="10">
        <v>-493</v>
      </c>
      <c r="E129" s="10">
        <v>-1016.53</v>
      </c>
      <c r="F129" s="10">
        <v>-755</v>
      </c>
      <c r="G129" s="10">
        <v>-1135.76</v>
      </c>
      <c r="H129" s="10">
        <v>-671.59</v>
      </c>
      <c r="I129" s="10">
        <v>1071.77</v>
      </c>
      <c r="J129" s="10">
        <v>0</v>
      </c>
      <c r="K129" s="10">
        <v>0</v>
      </c>
      <c r="L129" s="10">
        <v>0</v>
      </c>
      <c r="M129" s="10">
        <v>-842.42</v>
      </c>
      <c r="N129" s="10">
        <v>66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f t="shared" si="17"/>
        <v>-333.78</v>
      </c>
    </row>
    <row r="130" spans="1:49" x14ac:dyDescent="0.2">
      <c r="A130" s="17" t="s">
        <v>177</v>
      </c>
      <c r="B130" s="10">
        <v>0</v>
      </c>
      <c r="C130" s="10">
        <v>0</v>
      </c>
      <c r="D130" s="10">
        <v>0</v>
      </c>
      <c r="E130" s="10">
        <v>0</v>
      </c>
      <c r="F130" s="10">
        <v>-2496.14</v>
      </c>
      <c r="G130" s="10">
        <v>0</v>
      </c>
      <c r="H130" s="10">
        <v>-199.24</v>
      </c>
      <c r="I130" s="10">
        <v>-199.24</v>
      </c>
      <c r="J130" s="10">
        <v>-199.24</v>
      </c>
      <c r="K130" s="10">
        <v>-199.24</v>
      </c>
      <c r="L130" s="10">
        <v>-1045.3599999999999</v>
      </c>
      <c r="M130" s="10">
        <v>-199.24</v>
      </c>
      <c r="N130" s="10">
        <v>116</v>
      </c>
      <c r="O130" s="10">
        <v>-510.28</v>
      </c>
      <c r="P130" s="10">
        <v>-296.52999999999997</v>
      </c>
      <c r="Q130" s="10">
        <v>-296.52999999999997</v>
      </c>
      <c r="R130" s="10">
        <v>-412.53</v>
      </c>
      <c r="S130" s="10">
        <v>-296.52999999999997</v>
      </c>
      <c r="T130" s="10">
        <v>-299.75</v>
      </c>
      <c r="U130" s="10">
        <v>-356.92</v>
      </c>
      <c r="V130" s="10">
        <v>-403.24</v>
      </c>
      <c r="W130" s="10">
        <v>-356.05</v>
      </c>
      <c r="X130" s="10">
        <v>-395.01</v>
      </c>
      <c r="Y130" s="10">
        <v>-448.02</v>
      </c>
      <c r="Z130" s="10">
        <v>-400.7</v>
      </c>
      <c r="AA130" s="10">
        <v>-298.39</v>
      </c>
      <c r="AB130" s="10">
        <v>-677.46</v>
      </c>
      <c r="AC130" s="10">
        <v>-475.57</v>
      </c>
      <c r="AD130" s="10">
        <v>-295.19</v>
      </c>
      <c r="AE130" s="10">
        <v>-578.54</v>
      </c>
      <c r="AF130" s="10">
        <v>-365.17</v>
      </c>
      <c r="AG130" s="10">
        <v>-298.39</v>
      </c>
      <c r="AH130" s="10">
        <v>-361.88</v>
      </c>
      <c r="AI130" s="10">
        <v>-359.14</v>
      </c>
      <c r="AJ130" s="10">
        <v>-415.73</v>
      </c>
      <c r="AK130" s="10">
        <v>-382.17</v>
      </c>
      <c r="AL130" s="10">
        <v>-369.31</v>
      </c>
      <c r="AM130" s="10">
        <v>0</v>
      </c>
      <c r="AN130" s="10">
        <v>-321.91000000000003</v>
      </c>
      <c r="AO130" s="10">
        <v>-395.38</v>
      </c>
      <c r="AP130" s="10">
        <v>-390.33</v>
      </c>
      <c r="AQ130" s="10">
        <v>-1075.9000000000001</v>
      </c>
      <c r="AR130" s="10">
        <v>-321.91000000000003</v>
      </c>
      <c r="AS130" s="10">
        <v>-454.6</v>
      </c>
      <c r="AT130" s="10">
        <v>-199.24</v>
      </c>
      <c r="AU130" s="10">
        <v>0</v>
      </c>
      <c r="AV130" s="10">
        <v>0</v>
      </c>
      <c r="AW130" s="10">
        <f t="shared" si="17"/>
        <v>-16929.999999999996</v>
      </c>
    </row>
    <row r="131" spans="1:49" x14ac:dyDescent="0.2">
      <c r="A131" s="17" t="s">
        <v>178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-138</v>
      </c>
      <c r="J131" s="10">
        <v>-1321.89</v>
      </c>
      <c r="K131" s="10">
        <v>0</v>
      </c>
      <c r="L131" s="10">
        <v>-1494.16</v>
      </c>
      <c r="M131" s="10">
        <v>-460</v>
      </c>
      <c r="N131" s="10">
        <v>138</v>
      </c>
      <c r="O131" s="10">
        <v>-95.13</v>
      </c>
      <c r="P131" s="10">
        <v>-325.13</v>
      </c>
      <c r="Q131" s="10">
        <v>-374.27</v>
      </c>
      <c r="R131" s="10">
        <v>-523.55999999999995</v>
      </c>
      <c r="S131" s="10">
        <v>-325.13</v>
      </c>
      <c r="T131" s="10">
        <v>-325.13</v>
      </c>
      <c r="U131" s="10">
        <v>-536.49</v>
      </c>
      <c r="V131" s="10">
        <v>-653.32000000000005</v>
      </c>
      <c r="W131" s="10">
        <v>-651.45000000000005</v>
      </c>
      <c r="X131" s="10">
        <v>-984.81</v>
      </c>
      <c r="Y131" s="10">
        <v>-552.28</v>
      </c>
      <c r="Z131" s="10">
        <v>-617.74</v>
      </c>
      <c r="AA131" s="10">
        <v>-326.95</v>
      </c>
      <c r="AB131" s="10">
        <v>-540.6</v>
      </c>
      <c r="AC131" s="10">
        <v>-543.58000000000004</v>
      </c>
      <c r="AD131" s="10">
        <v>-607.39</v>
      </c>
      <c r="AE131" s="10">
        <v>-849.47</v>
      </c>
      <c r="AF131" s="10">
        <v>-682</v>
      </c>
      <c r="AG131" s="10">
        <v>-635.36</v>
      </c>
      <c r="AH131" s="10">
        <v>-638.04999999999995</v>
      </c>
      <c r="AI131" s="10">
        <v>-762.25</v>
      </c>
      <c r="AJ131" s="10">
        <v>-1747.14</v>
      </c>
      <c r="AK131" s="10">
        <v>-562.30999999999995</v>
      </c>
      <c r="AL131" s="10">
        <v>-651.41</v>
      </c>
      <c r="AM131" s="10">
        <v>0</v>
      </c>
      <c r="AN131" s="10">
        <v>-361.66</v>
      </c>
      <c r="AO131" s="10">
        <v>-624.88</v>
      </c>
      <c r="AP131" s="10">
        <v>-531.12</v>
      </c>
      <c r="AQ131" s="10">
        <v>-1120.73</v>
      </c>
      <c r="AR131" s="10">
        <v>-773.41</v>
      </c>
      <c r="AS131" s="10">
        <v>-711.75</v>
      </c>
      <c r="AT131" s="10">
        <v>-230</v>
      </c>
      <c r="AU131" s="10">
        <v>0</v>
      </c>
      <c r="AV131" s="10">
        <v>0</v>
      </c>
      <c r="AW131" s="10">
        <f t="shared" si="17"/>
        <v>-22140.55</v>
      </c>
    </row>
    <row r="132" spans="1:49" x14ac:dyDescent="0.2">
      <c r="A132" s="17" t="s">
        <v>179</v>
      </c>
      <c r="B132" s="10">
        <v>-3662.54</v>
      </c>
      <c r="C132" s="10">
        <v>-1375.44</v>
      </c>
      <c r="D132" s="10">
        <v>-1657.66</v>
      </c>
      <c r="E132" s="10">
        <v>-1280.0899999999999</v>
      </c>
      <c r="F132" s="10">
        <v>-1285.69</v>
      </c>
      <c r="G132" s="10">
        <v>-1369.14</v>
      </c>
      <c r="H132" s="10">
        <v>-1565.38</v>
      </c>
      <c r="I132" s="10">
        <v>-1378.31</v>
      </c>
      <c r="J132" s="10">
        <v>-1425.35</v>
      </c>
      <c r="K132" s="10">
        <v>-1753.44</v>
      </c>
      <c r="L132" s="10">
        <v>-1372.66</v>
      </c>
      <c r="M132" s="10">
        <v>-1287.53</v>
      </c>
      <c r="N132" s="10">
        <v>471</v>
      </c>
      <c r="O132" s="10">
        <v>-1474.82</v>
      </c>
      <c r="P132" s="10">
        <v>-1469.61</v>
      </c>
      <c r="Q132" s="10">
        <v>-1483.23</v>
      </c>
      <c r="R132" s="10">
        <v>-1642.25</v>
      </c>
      <c r="S132" s="10">
        <v>-1406.83</v>
      </c>
      <c r="T132" s="10">
        <v>-1491.22</v>
      </c>
      <c r="U132" s="10">
        <v>-1578.88</v>
      </c>
      <c r="V132" s="10">
        <v>-1553.29</v>
      </c>
      <c r="W132" s="10">
        <v>403.71</v>
      </c>
      <c r="X132" s="10">
        <v>-1953.32</v>
      </c>
      <c r="Y132" s="10">
        <v>-1507.83</v>
      </c>
      <c r="Z132" s="10">
        <v>-1135.1099999999999</v>
      </c>
      <c r="AA132" s="10">
        <v>-1522.2</v>
      </c>
      <c r="AB132" s="10">
        <v>-1753.57</v>
      </c>
      <c r="AC132" s="10">
        <v>-1584.17</v>
      </c>
      <c r="AD132" s="10">
        <v>-1699.94</v>
      </c>
      <c r="AE132" s="10">
        <v>-1800.38</v>
      </c>
      <c r="AF132" s="10">
        <v>-1593.93</v>
      </c>
      <c r="AG132" s="10">
        <v>-1810.8</v>
      </c>
      <c r="AH132" s="10">
        <v>-1506.32</v>
      </c>
      <c r="AI132" s="10">
        <v>-1820</v>
      </c>
      <c r="AJ132" s="10">
        <v>-2351.06</v>
      </c>
      <c r="AK132" s="10">
        <v>-2760.31</v>
      </c>
      <c r="AL132" s="10">
        <v>-1173.94</v>
      </c>
      <c r="AM132" s="10">
        <v>0</v>
      </c>
      <c r="AN132" s="10">
        <v>-1681.1</v>
      </c>
      <c r="AO132" s="10">
        <v>-1971.51</v>
      </c>
      <c r="AP132" s="10">
        <v>-1774.57</v>
      </c>
      <c r="AQ132" s="10">
        <v>-2396.8200000000002</v>
      </c>
      <c r="AR132" s="10">
        <v>-1588.71</v>
      </c>
      <c r="AS132" s="10">
        <v>-1529.12</v>
      </c>
      <c r="AT132" s="10">
        <v>-1536.35</v>
      </c>
      <c r="AU132" s="10">
        <v>0</v>
      </c>
      <c r="AV132" s="10">
        <v>0</v>
      </c>
      <c r="AW132" s="10">
        <f t="shared" si="17"/>
        <v>-69089.709999999992</v>
      </c>
    </row>
    <row r="133" spans="1:49" x14ac:dyDescent="0.2">
      <c r="A133" s="17" t="s">
        <v>180</v>
      </c>
      <c r="B133" s="10">
        <v>-1671.39</v>
      </c>
      <c r="C133" s="10">
        <v>-180.08</v>
      </c>
      <c r="D133" s="10">
        <v>-180.08</v>
      </c>
      <c r="E133" s="10">
        <v>-217.9</v>
      </c>
      <c r="F133" s="10">
        <v>-180.08</v>
      </c>
      <c r="G133" s="10">
        <v>-180.08</v>
      </c>
      <c r="H133" s="10">
        <v>-180.08</v>
      </c>
      <c r="I133" s="10">
        <v>-180.08</v>
      </c>
      <c r="J133" s="10">
        <v>-180.08</v>
      </c>
      <c r="K133" s="10">
        <v>-180.08</v>
      </c>
      <c r="L133" s="10">
        <v>-301.89999999999998</v>
      </c>
      <c r="M133" s="10">
        <v>-180.08</v>
      </c>
      <c r="N133" s="10">
        <v>84</v>
      </c>
      <c r="O133" s="10">
        <v>-250.08</v>
      </c>
      <c r="P133" s="10">
        <v>-250.08</v>
      </c>
      <c r="Q133" s="10">
        <v>-250.08</v>
      </c>
      <c r="R133" s="10">
        <v>-291.26</v>
      </c>
      <c r="S133" s="10">
        <v>-250.08</v>
      </c>
      <c r="T133" s="10">
        <v>-250.08</v>
      </c>
      <c r="U133" s="10">
        <v>-250.08</v>
      </c>
      <c r="V133" s="10">
        <v>-826.09</v>
      </c>
      <c r="W133" s="10">
        <v>-250.08</v>
      </c>
      <c r="X133" s="10">
        <v>-353.26</v>
      </c>
      <c r="Y133" s="10">
        <v>-553.07000000000005</v>
      </c>
      <c r="Z133" s="10">
        <v>-217.67</v>
      </c>
      <c r="AA133" s="10">
        <v>-251.42</v>
      </c>
      <c r="AB133" s="10">
        <v>-244.52</v>
      </c>
      <c r="AC133" s="10">
        <v>-344.03</v>
      </c>
      <c r="AD133" s="10">
        <v>-326.51</v>
      </c>
      <c r="AE133" s="10">
        <v>-251.42</v>
      </c>
      <c r="AF133" s="10">
        <v>-499.39</v>
      </c>
      <c r="AG133" s="10">
        <v>-251.42</v>
      </c>
      <c r="AH133" s="10">
        <v>-493.05</v>
      </c>
      <c r="AI133" s="10">
        <v>-303.33999999999997</v>
      </c>
      <c r="AJ133" s="10">
        <v>-251.42</v>
      </c>
      <c r="AK133" s="10">
        <v>-442.06</v>
      </c>
      <c r="AL133" s="10">
        <v>-764.19</v>
      </c>
      <c r="AM133" s="10">
        <v>0</v>
      </c>
      <c r="AN133" s="10">
        <v>-268.27</v>
      </c>
      <c r="AO133" s="10">
        <v>-259.73</v>
      </c>
      <c r="AP133" s="10">
        <v>-268.27</v>
      </c>
      <c r="AQ133" s="10">
        <v>-318.12</v>
      </c>
      <c r="AR133" s="10">
        <v>-382.28</v>
      </c>
      <c r="AS133" s="10">
        <v>-439.39</v>
      </c>
      <c r="AT133" s="10">
        <v>-180.08</v>
      </c>
      <c r="AU133" s="10">
        <v>0</v>
      </c>
      <c r="AV133" s="10">
        <v>0</v>
      </c>
      <c r="AW133" s="10">
        <f t="shared" ref="AW133:AW164" si="18">SUM(B133:AV133)</f>
        <v>-14258.730000000001</v>
      </c>
    </row>
    <row r="134" spans="1:49" x14ac:dyDescent="0.2">
      <c r="A134" s="17" t="s">
        <v>181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-851.2</v>
      </c>
      <c r="H134" s="10">
        <v>-1645.03</v>
      </c>
      <c r="I134" s="10">
        <v>-413.99</v>
      </c>
      <c r="J134" s="10">
        <v>-413.99</v>
      </c>
      <c r="K134" s="10">
        <v>-161.99</v>
      </c>
      <c r="L134" s="10">
        <v>-1137.23</v>
      </c>
      <c r="M134" s="10">
        <v>-375.35</v>
      </c>
      <c r="N134" s="10">
        <v>252</v>
      </c>
      <c r="O134" s="10">
        <v>-510.6</v>
      </c>
      <c r="P134" s="10">
        <v>-510.6</v>
      </c>
      <c r="Q134" s="10">
        <v>-510.6</v>
      </c>
      <c r="R134" s="10">
        <v>-606.4</v>
      </c>
      <c r="S134" s="10">
        <v>-471.96</v>
      </c>
      <c r="T134" s="10">
        <v>-762.6</v>
      </c>
      <c r="U134" s="10">
        <v>-781.05</v>
      </c>
      <c r="V134" s="10">
        <v>-721.85</v>
      </c>
      <c r="W134" s="10">
        <v>-510.6</v>
      </c>
      <c r="X134" s="10">
        <v>-1122.01</v>
      </c>
      <c r="Y134" s="10">
        <v>-899.94</v>
      </c>
      <c r="Z134" s="10">
        <v>-706.47</v>
      </c>
      <c r="AA134" s="10">
        <v>-512.45000000000005</v>
      </c>
      <c r="AB134" s="10">
        <v>-656.84</v>
      </c>
      <c r="AC134" s="10">
        <v>-668.4</v>
      </c>
      <c r="AD134" s="10">
        <v>-1229.8599999999999</v>
      </c>
      <c r="AE134" s="10">
        <v>-877.72</v>
      </c>
      <c r="AF134" s="10">
        <v>-1380.68</v>
      </c>
      <c r="AG134" s="10">
        <v>-855.49</v>
      </c>
      <c r="AH134" s="10">
        <v>-847.59</v>
      </c>
      <c r="AI134" s="10">
        <v>-595.11</v>
      </c>
      <c r="AJ134" s="10">
        <v>-1092.06</v>
      </c>
      <c r="AK134" s="10">
        <v>-1640.35</v>
      </c>
      <c r="AL134" s="10">
        <v>-1024.4100000000001</v>
      </c>
      <c r="AM134" s="10">
        <v>0</v>
      </c>
      <c r="AN134" s="10">
        <v>-557.20000000000005</v>
      </c>
      <c r="AO134" s="10">
        <v>-543.34</v>
      </c>
      <c r="AP134" s="10">
        <v>-1133.75</v>
      </c>
      <c r="AQ134" s="10">
        <v>-1025.44</v>
      </c>
      <c r="AR134" s="10">
        <v>-880.75</v>
      </c>
      <c r="AS134" s="10">
        <v>-2742.66</v>
      </c>
      <c r="AT134" s="10">
        <v>-413.99</v>
      </c>
      <c r="AU134" s="10">
        <v>0</v>
      </c>
      <c r="AV134" s="10">
        <v>0</v>
      </c>
      <c r="AW134" s="10">
        <f t="shared" si="18"/>
        <v>-31539.550000000007</v>
      </c>
    </row>
    <row r="135" spans="1:49" x14ac:dyDescent="0.2">
      <c r="A135" s="17" t="s">
        <v>182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-853.38</v>
      </c>
      <c r="AB135" s="10">
        <v>-2348.1799999999998</v>
      </c>
      <c r="AC135" s="10">
        <v>-599.34</v>
      </c>
      <c r="AD135" s="10">
        <v>-337.51</v>
      </c>
      <c r="AE135" s="10">
        <v>-393.93</v>
      </c>
      <c r="AF135" s="10">
        <v>-347.04</v>
      </c>
      <c r="AG135" s="10">
        <v>-393.54</v>
      </c>
      <c r="AH135" s="10">
        <v>-557.97</v>
      </c>
      <c r="AI135" s="10">
        <v>-394.19</v>
      </c>
      <c r="AJ135" s="10">
        <v>-361.9</v>
      </c>
      <c r="AK135" s="10">
        <v>-414.95</v>
      </c>
      <c r="AL135" s="10">
        <v>-561.92999999999995</v>
      </c>
      <c r="AM135" s="10">
        <v>0</v>
      </c>
      <c r="AN135" s="10">
        <v>-616.48</v>
      </c>
      <c r="AO135" s="10">
        <v>-653.55999999999995</v>
      </c>
      <c r="AP135" s="10">
        <v>-496.53</v>
      </c>
      <c r="AQ135" s="10">
        <v>-504.94</v>
      </c>
      <c r="AR135" s="10">
        <v>-527.91999999999996</v>
      </c>
      <c r="AS135" s="10">
        <v>-429.39</v>
      </c>
      <c r="AT135" s="10">
        <v>-608.70000000000005</v>
      </c>
      <c r="AU135" s="10">
        <v>0</v>
      </c>
      <c r="AV135" s="10">
        <v>0</v>
      </c>
      <c r="AW135" s="10">
        <f t="shared" si="18"/>
        <v>-11401.380000000001</v>
      </c>
    </row>
    <row r="136" spans="1:49" x14ac:dyDescent="0.2">
      <c r="A136" s="17" t="s">
        <v>183</v>
      </c>
      <c r="B136" s="10">
        <v>0</v>
      </c>
      <c r="C136" s="10">
        <v>-56.5</v>
      </c>
      <c r="D136" s="10">
        <v>0</v>
      </c>
      <c r="E136" s="10">
        <v>0</v>
      </c>
      <c r="F136" s="10">
        <v>0</v>
      </c>
      <c r="G136" s="10">
        <v>-275.52999999999997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-174.55</v>
      </c>
      <c r="W136" s="10">
        <v>-62</v>
      </c>
      <c r="X136" s="10">
        <v>0</v>
      </c>
      <c r="Y136" s="10">
        <v>0</v>
      </c>
      <c r="Z136" s="10">
        <v>-284.85000000000002</v>
      </c>
      <c r="AA136" s="10">
        <v>0</v>
      </c>
      <c r="AB136" s="10">
        <v>0</v>
      </c>
      <c r="AC136" s="10">
        <v>-29.64</v>
      </c>
      <c r="AD136" s="10">
        <v>-204.01</v>
      </c>
      <c r="AE136" s="10">
        <v>-984.67</v>
      </c>
      <c r="AF136" s="10">
        <v>-370.9</v>
      </c>
      <c r="AG136" s="10">
        <v>0</v>
      </c>
      <c r="AH136" s="10">
        <v>-203.86</v>
      </c>
      <c r="AI136" s="10">
        <v>-137.86000000000001</v>
      </c>
      <c r="AJ136" s="10">
        <v>-45</v>
      </c>
      <c r="AK136" s="10">
        <v>0</v>
      </c>
      <c r="AL136" s="10">
        <v>-160.28</v>
      </c>
      <c r="AM136" s="10">
        <v>0</v>
      </c>
      <c r="AN136" s="10">
        <v>0</v>
      </c>
      <c r="AO136" s="10">
        <v>0</v>
      </c>
      <c r="AP136" s="10">
        <v>0</v>
      </c>
      <c r="AQ136" s="10">
        <v>-262.89</v>
      </c>
      <c r="AR136" s="10">
        <v>0</v>
      </c>
      <c r="AS136" s="10">
        <v>-310.16000000000003</v>
      </c>
      <c r="AT136" s="10">
        <v>0</v>
      </c>
      <c r="AU136" s="10">
        <v>0</v>
      </c>
      <c r="AV136" s="10">
        <v>0</v>
      </c>
      <c r="AW136" s="10">
        <f t="shared" si="18"/>
        <v>-3562.7000000000003</v>
      </c>
    </row>
    <row r="137" spans="1:49" x14ac:dyDescent="0.2">
      <c r="A137" s="17" t="s">
        <v>184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-215.97</v>
      </c>
      <c r="Y137" s="10">
        <v>-341.03</v>
      </c>
      <c r="Z137" s="10">
        <v>-653.1</v>
      </c>
      <c r="AA137" s="10">
        <v>-806.37</v>
      </c>
      <c r="AB137" s="10">
        <v>-806.37</v>
      </c>
      <c r="AC137" s="10">
        <v>-971.1</v>
      </c>
      <c r="AD137" s="10">
        <v>-971.1</v>
      </c>
      <c r="AE137" s="10">
        <v>-971.1</v>
      </c>
      <c r="AF137" s="10">
        <v>-1105.3900000000001</v>
      </c>
      <c r="AG137" s="10">
        <v>-1338.71</v>
      </c>
      <c r="AH137" s="10">
        <v>-1338.71</v>
      </c>
      <c r="AI137" s="10">
        <v>-1338.71</v>
      </c>
      <c r="AJ137" s="10">
        <v>-1338.71</v>
      </c>
      <c r="AK137" s="10">
        <v>-1338.71</v>
      </c>
      <c r="AL137" s="10">
        <v>-1338.71</v>
      </c>
      <c r="AM137" s="10">
        <v>0</v>
      </c>
      <c r="AN137" s="10">
        <v>-1338.71</v>
      </c>
      <c r="AO137" s="10">
        <v>-1338.71</v>
      </c>
      <c r="AP137" s="10">
        <v>-1831.04</v>
      </c>
      <c r="AQ137" s="10">
        <v>-2563.66</v>
      </c>
      <c r="AR137" s="10">
        <v>-2563.66</v>
      </c>
      <c r="AS137" s="10">
        <v>-2563.66</v>
      </c>
      <c r="AT137" s="10">
        <v>-2817.97</v>
      </c>
      <c r="AU137" s="10">
        <v>0</v>
      </c>
      <c r="AV137" s="10">
        <v>0</v>
      </c>
      <c r="AW137" s="10">
        <f t="shared" si="18"/>
        <v>-29891.199999999997</v>
      </c>
    </row>
    <row r="138" spans="1:49" x14ac:dyDescent="0.2">
      <c r="A138" s="17" t="s">
        <v>185</v>
      </c>
      <c r="B138" s="10">
        <v>-2344.7199999999998</v>
      </c>
      <c r="C138" s="10">
        <v>-145.87</v>
      </c>
      <c r="D138" s="10">
        <v>-989.25</v>
      </c>
      <c r="E138" s="10">
        <v>-1550.52</v>
      </c>
      <c r="F138" s="10">
        <v>-932.85</v>
      </c>
      <c r="G138" s="10">
        <v>-6790.19</v>
      </c>
      <c r="H138" s="10">
        <v>-38.89</v>
      </c>
      <c r="I138" s="10">
        <v>-1500</v>
      </c>
      <c r="J138" s="10">
        <v>513.63</v>
      </c>
      <c r="K138" s="10">
        <v>0</v>
      </c>
      <c r="L138" s="10">
        <v>-375</v>
      </c>
      <c r="M138" s="10">
        <v>-1158</v>
      </c>
      <c r="N138" s="10">
        <v>0</v>
      </c>
      <c r="O138" s="10">
        <v>-396.9</v>
      </c>
      <c r="P138" s="10">
        <v>-269.99</v>
      </c>
      <c r="Q138" s="10">
        <v>-3164.6</v>
      </c>
      <c r="R138" s="10">
        <v>-1169.5899999999999</v>
      </c>
      <c r="S138" s="10">
        <v>-1245.24</v>
      </c>
      <c r="T138" s="10">
        <v>-640</v>
      </c>
      <c r="U138" s="10">
        <v>0</v>
      </c>
      <c r="V138" s="10">
        <v>-600</v>
      </c>
      <c r="W138" s="10">
        <v>-123.29</v>
      </c>
      <c r="X138" s="10">
        <v>-2367.4</v>
      </c>
      <c r="Y138" s="10">
        <v>-4748.49</v>
      </c>
      <c r="Z138" s="10">
        <v>-767.4</v>
      </c>
      <c r="AA138" s="10">
        <v>-127.4</v>
      </c>
      <c r="AB138" s="10">
        <v>-115.07</v>
      </c>
      <c r="AC138" s="10">
        <v>-127.4</v>
      </c>
      <c r="AD138" s="10">
        <v>-123.29</v>
      </c>
      <c r="AE138" s="10">
        <v>-127.4</v>
      </c>
      <c r="AF138" s="10">
        <v>-123.29</v>
      </c>
      <c r="AG138" s="10">
        <v>-627.9</v>
      </c>
      <c r="AH138" s="10">
        <v>-1558.49</v>
      </c>
      <c r="AI138" s="10">
        <v>0</v>
      </c>
      <c r="AJ138" s="10">
        <v>-1556.45</v>
      </c>
      <c r="AK138" s="10">
        <v>-209.79</v>
      </c>
      <c r="AL138" s="10">
        <v>-119.86</v>
      </c>
      <c r="AM138" s="10">
        <v>0</v>
      </c>
      <c r="AN138" s="10">
        <v>-276.02999999999997</v>
      </c>
      <c r="AO138" s="10">
        <v>-249.32</v>
      </c>
      <c r="AP138" s="10">
        <v>-1726.03</v>
      </c>
      <c r="AQ138" s="10">
        <v>-267.13</v>
      </c>
      <c r="AR138" s="10">
        <v>-1726.03</v>
      </c>
      <c r="AS138" s="10">
        <v>-972.53</v>
      </c>
      <c r="AT138" s="10">
        <v>0</v>
      </c>
      <c r="AU138" s="10">
        <v>0</v>
      </c>
      <c r="AV138" s="10">
        <v>0</v>
      </c>
      <c r="AW138" s="10">
        <f t="shared" si="18"/>
        <v>-40837.97</v>
      </c>
    </row>
    <row r="139" spans="1:49" x14ac:dyDescent="0.2">
      <c r="A139" s="17" t="s">
        <v>186</v>
      </c>
      <c r="B139" s="10">
        <v>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-3000</v>
      </c>
      <c r="AD139" s="10">
        <v>0</v>
      </c>
      <c r="AE139" s="10">
        <v>-5009.16</v>
      </c>
      <c r="AF139" s="10">
        <v>-82.11</v>
      </c>
      <c r="AG139" s="10">
        <v>-790.89</v>
      </c>
      <c r="AH139" s="10">
        <v>-2909.01</v>
      </c>
      <c r="AI139" s="10">
        <v>-82.11</v>
      </c>
      <c r="AJ139" s="10">
        <v>-7720.65</v>
      </c>
      <c r="AK139" s="10">
        <v>-2082.11</v>
      </c>
      <c r="AL139" s="10">
        <v>-574.85</v>
      </c>
      <c r="AM139" s="10">
        <v>0</v>
      </c>
      <c r="AN139" s="10">
        <v>-84.85</v>
      </c>
      <c r="AO139" s="10">
        <v>-76.64</v>
      </c>
      <c r="AP139" s="10">
        <v>-291.08999999999997</v>
      </c>
      <c r="AQ139" s="10">
        <v>-82.11</v>
      </c>
      <c r="AR139" s="10">
        <v>-4584.7700000000004</v>
      </c>
      <c r="AS139" s="10">
        <v>-571.89</v>
      </c>
      <c r="AT139" s="10">
        <v>0</v>
      </c>
      <c r="AU139" s="10">
        <v>0</v>
      </c>
      <c r="AV139" s="10">
        <v>0</v>
      </c>
      <c r="AW139" s="10">
        <f t="shared" si="18"/>
        <v>-27942.239999999998</v>
      </c>
    </row>
    <row r="140" spans="1:49" x14ac:dyDescent="0.2">
      <c r="A140" s="17" t="s">
        <v>187</v>
      </c>
      <c r="B140" s="10">
        <v>0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-537.04999999999995</v>
      </c>
      <c r="AD140" s="10">
        <v>-3596.5</v>
      </c>
      <c r="AE140" s="10">
        <v>-188</v>
      </c>
      <c r="AF140" s="10">
        <v>0</v>
      </c>
      <c r="AG140" s="10">
        <v>0</v>
      </c>
      <c r="AH140" s="10">
        <v>0</v>
      </c>
      <c r="AI140" s="10">
        <v>0</v>
      </c>
      <c r="AJ140" s="10">
        <v>-1267.0999999999999</v>
      </c>
      <c r="AK140" s="10">
        <v>-285</v>
      </c>
      <c r="AL140" s="10">
        <v>0</v>
      </c>
      <c r="AM140" s="10">
        <v>0</v>
      </c>
      <c r="AN140" s="10">
        <v>0</v>
      </c>
      <c r="AO140" s="10">
        <v>0</v>
      </c>
      <c r="AP140" s="10">
        <v>-3940.24</v>
      </c>
      <c r="AQ140" s="10">
        <v>-5002.53</v>
      </c>
      <c r="AR140" s="10">
        <v>49.42</v>
      </c>
      <c r="AS140" s="10">
        <v>0</v>
      </c>
      <c r="AT140" s="10">
        <v>0</v>
      </c>
      <c r="AU140" s="10">
        <v>0</v>
      </c>
      <c r="AV140" s="10">
        <v>0</v>
      </c>
      <c r="AW140" s="10">
        <f t="shared" si="18"/>
        <v>-14766.999999999998</v>
      </c>
    </row>
    <row r="141" spans="1:49" x14ac:dyDescent="0.2">
      <c r="A141" s="17" t="s">
        <v>188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-2240</v>
      </c>
      <c r="AA141" s="10">
        <v>0</v>
      </c>
      <c r="AB141" s="10">
        <v>-3840</v>
      </c>
      <c r="AC141" s="10">
        <v>-3840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10">
        <v>0</v>
      </c>
      <c r="AQ141" s="10">
        <v>0</v>
      </c>
      <c r="AR141" s="10">
        <v>0</v>
      </c>
      <c r="AS141" s="10">
        <v>0</v>
      </c>
      <c r="AT141" s="10">
        <v>0</v>
      </c>
      <c r="AU141" s="10">
        <v>0</v>
      </c>
      <c r="AV141" s="10">
        <v>0</v>
      </c>
      <c r="AW141" s="10">
        <f t="shared" si="18"/>
        <v>-9920</v>
      </c>
    </row>
    <row r="142" spans="1:49" x14ac:dyDescent="0.2">
      <c r="A142" s="17" t="s">
        <v>189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-400</v>
      </c>
      <c r="AA142" s="10">
        <v>0</v>
      </c>
      <c r="AB142" s="10">
        <v>0</v>
      </c>
      <c r="AC142" s="10">
        <v>0</v>
      </c>
      <c r="AD142" s="10">
        <v>-600</v>
      </c>
      <c r="AE142" s="10">
        <v>0</v>
      </c>
      <c r="AF142" s="10">
        <v>0</v>
      </c>
      <c r="AG142" s="10">
        <v>-600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10">
        <v>0</v>
      </c>
      <c r="AQ142" s="10">
        <v>0</v>
      </c>
      <c r="AR142" s="10">
        <v>0</v>
      </c>
      <c r="AS142" s="10">
        <v>0</v>
      </c>
      <c r="AT142" s="10">
        <v>0</v>
      </c>
      <c r="AU142" s="10">
        <v>0</v>
      </c>
      <c r="AV142" s="10">
        <v>0</v>
      </c>
      <c r="AW142" s="10">
        <f t="shared" si="18"/>
        <v>-1600</v>
      </c>
    </row>
    <row r="143" spans="1:49" x14ac:dyDescent="0.2">
      <c r="A143" s="17" t="s">
        <v>190</v>
      </c>
      <c r="B143" s="10">
        <v>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-68.62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-171.98</v>
      </c>
      <c r="AK143" s="10">
        <v>0</v>
      </c>
      <c r="AL143" s="10">
        <v>-36.97</v>
      </c>
      <c r="AM143" s="10">
        <v>0</v>
      </c>
      <c r="AN143" s="10">
        <v>0</v>
      </c>
      <c r="AO143" s="10">
        <v>0</v>
      </c>
      <c r="AP143" s="10">
        <v>0</v>
      </c>
      <c r="AQ143" s="10">
        <v>0</v>
      </c>
      <c r="AR143" s="10">
        <v>0</v>
      </c>
      <c r="AS143" s="10">
        <v>0</v>
      </c>
      <c r="AT143" s="10">
        <v>0</v>
      </c>
      <c r="AU143" s="10">
        <v>0</v>
      </c>
      <c r="AV143" s="10">
        <v>0</v>
      </c>
      <c r="AW143" s="10">
        <f t="shared" si="18"/>
        <v>-277.57</v>
      </c>
    </row>
    <row r="144" spans="1:49" x14ac:dyDescent="0.2">
      <c r="A144" s="17" t="s">
        <v>191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-93.28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-104.87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0</v>
      </c>
      <c r="AJ144" s="10">
        <v>0</v>
      </c>
      <c r="AK144" s="10">
        <v>-297.5</v>
      </c>
      <c r="AL144" s="10">
        <v>0</v>
      </c>
      <c r="AM144" s="10">
        <v>0</v>
      </c>
      <c r="AN144" s="10">
        <v>0</v>
      </c>
      <c r="AO144" s="10">
        <v>0</v>
      </c>
      <c r="AP144" s="10">
        <v>0</v>
      </c>
      <c r="AQ144" s="10">
        <v>0</v>
      </c>
      <c r="AR144" s="10">
        <v>-130.80000000000001</v>
      </c>
      <c r="AS144" s="10">
        <v>-130.80000000000001</v>
      </c>
      <c r="AT144" s="10">
        <v>0</v>
      </c>
      <c r="AU144" s="10">
        <v>0</v>
      </c>
      <c r="AV144" s="10">
        <v>0</v>
      </c>
      <c r="AW144" s="10">
        <f t="shared" si="18"/>
        <v>-757.25</v>
      </c>
    </row>
    <row r="145" spans="1:49" x14ac:dyDescent="0.2">
      <c r="A145" s="17" t="s">
        <v>192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-93.94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f t="shared" si="18"/>
        <v>-93.94</v>
      </c>
    </row>
    <row r="146" spans="1:49" x14ac:dyDescent="0.2">
      <c r="A146" s="17" t="s">
        <v>193</v>
      </c>
      <c r="B146" s="10">
        <v>-1500</v>
      </c>
      <c r="C146" s="10">
        <v>-25500</v>
      </c>
      <c r="D146" s="10">
        <v>-3503.65</v>
      </c>
      <c r="E146" s="10">
        <v>0</v>
      </c>
      <c r="F146" s="10">
        <v>0</v>
      </c>
      <c r="G146" s="10">
        <v>30503.65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10">
        <v>0</v>
      </c>
      <c r="AQ146" s="10">
        <v>0</v>
      </c>
      <c r="AR146" s="10">
        <v>0</v>
      </c>
      <c r="AS146" s="10">
        <v>0</v>
      </c>
      <c r="AT146" s="10">
        <v>0</v>
      </c>
      <c r="AU146" s="10">
        <v>0</v>
      </c>
      <c r="AV146" s="10">
        <v>0</v>
      </c>
      <c r="AW146" s="10">
        <f t="shared" si="18"/>
        <v>0</v>
      </c>
    </row>
    <row r="147" spans="1:49" x14ac:dyDescent="0.2">
      <c r="A147" s="17" t="s">
        <v>194</v>
      </c>
      <c r="B147" s="10">
        <v>0</v>
      </c>
      <c r="C147" s="10">
        <v>-243.62</v>
      </c>
      <c r="D147" s="10">
        <v>-240.52</v>
      </c>
      <c r="E147" s="10">
        <v>-34.29</v>
      </c>
      <c r="F147" s="10">
        <v>0</v>
      </c>
      <c r="G147" s="10">
        <v>-79.819999999999993</v>
      </c>
      <c r="H147" s="10">
        <v>-46.65</v>
      </c>
      <c r="I147" s="10">
        <v>0</v>
      </c>
      <c r="J147" s="10">
        <v>-21.3</v>
      </c>
      <c r="K147" s="10">
        <v>-64.39</v>
      </c>
      <c r="L147" s="10">
        <v>0</v>
      </c>
      <c r="M147" s="10">
        <v>-28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-228.22</v>
      </c>
      <c r="X147" s="10">
        <v>-560.9</v>
      </c>
      <c r="Y147" s="10">
        <v>-267.18</v>
      </c>
      <c r="Z147" s="10">
        <v>-482.08</v>
      </c>
      <c r="AA147" s="10">
        <v>-33.46</v>
      </c>
      <c r="AB147" s="10">
        <v>-45.41</v>
      </c>
      <c r="AC147" s="10">
        <v>-39.76</v>
      </c>
      <c r="AD147" s="10">
        <v>-799.3</v>
      </c>
      <c r="AE147" s="10">
        <v>-168.65</v>
      </c>
      <c r="AF147" s="10">
        <v>-153.99</v>
      </c>
      <c r="AG147" s="10">
        <v>-563.73</v>
      </c>
      <c r="AH147" s="10">
        <v>-84.16</v>
      </c>
      <c r="AI147" s="10">
        <v>-176.42</v>
      </c>
      <c r="AJ147" s="10">
        <v>-60.56</v>
      </c>
      <c r="AK147" s="10">
        <v>-335.67</v>
      </c>
      <c r="AL147" s="10">
        <v>-1311.11</v>
      </c>
      <c r="AM147" s="10">
        <v>0</v>
      </c>
      <c r="AN147" s="10">
        <v>0</v>
      </c>
      <c r="AO147" s="10">
        <v>-869.5</v>
      </c>
      <c r="AP147" s="10">
        <v>-413</v>
      </c>
      <c r="AQ147" s="10">
        <v>-88.45</v>
      </c>
      <c r="AR147" s="10">
        <v>-1614.21</v>
      </c>
      <c r="AS147" s="10">
        <v>-240.17</v>
      </c>
      <c r="AT147" s="10">
        <v>0</v>
      </c>
      <c r="AU147" s="10">
        <v>0</v>
      </c>
      <c r="AV147" s="10">
        <v>0</v>
      </c>
      <c r="AW147" s="10">
        <f t="shared" si="18"/>
        <v>-9294.52</v>
      </c>
    </row>
    <row r="148" spans="1:49" x14ac:dyDescent="0.2">
      <c r="A148" s="17" t="s">
        <v>195</v>
      </c>
      <c r="B148" s="10">
        <v>-1926.31</v>
      </c>
      <c r="C148" s="10">
        <v>-1585.57</v>
      </c>
      <c r="D148" s="10">
        <v>-1106.52</v>
      </c>
      <c r="E148" s="10">
        <v>-529.42999999999995</v>
      </c>
      <c r="F148" s="10">
        <v>-186.6</v>
      </c>
      <c r="G148" s="10">
        <v>-1039.6400000000001</v>
      </c>
      <c r="H148" s="10">
        <v>-824.89</v>
      </c>
      <c r="I148" s="10">
        <v>-1497.49</v>
      </c>
      <c r="J148" s="10">
        <v>-1091.8699999999999</v>
      </c>
      <c r="K148" s="10">
        <v>-1111.48</v>
      </c>
      <c r="L148" s="10">
        <v>-973.85</v>
      </c>
      <c r="M148" s="10">
        <v>-572.13</v>
      </c>
      <c r="N148" s="10">
        <v>0</v>
      </c>
      <c r="O148" s="10">
        <v>-308.11</v>
      </c>
      <c r="P148" s="10">
        <v>-575.53</v>
      </c>
      <c r="Q148" s="10">
        <v>-1463.6</v>
      </c>
      <c r="R148" s="10">
        <v>-435.22</v>
      </c>
      <c r="S148" s="10">
        <v>-333.76</v>
      </c>
      <c r="T148" s="10">
        <v>-923.62</v>
      </c>
      <c r="U148" s="10">
        <v>-457.81</v>
      </c>
      <c r="V148" s="10">
        <v>-869.67</v>
      </c>
      <c r="W148" s="10">
        <v>-1328.85</v>
      </c>
      <c r="X148" s="10">
        <v>-450.65</v>
      </c>
      <c r="Y148" s="10">
        <v>-1272.69</v>
      </c>
      <c r="Z148" s="10">
        <v>-698.87</v>
      </c>
      <c r="AA148" s="10">
        <v>-1208.76</v>
      </c>
      <c r="AB148" s="10">
        <v>-1166.8</v>
      </c>
      <c r="AC148" s="10">
        <v>-1036.6300000000001</v>
      </c>
      <c r="AD148" s="10">
        <v>-1684.26</v>
      </c>
      <c r="AE148" s="10">
        <v>-1023.12</v>
      </c>
      <c r="AF148" s="10">
        <v>-1820.12</v>
      </c>
      <c r="AG148" s="10">
        <v>-868.83</v>
      </c>
      <c r="AH148" s="10">
        <v>-1418.21</v>
      </c>
      <c r="AI148" s="10">
        <v>-1813.88</v>
      </c>
      <c r="AJ148" s="10">
        <v>-851.34</v>
      </c>
      <c r="AK148" s="10">
        <v>-1939.61</v>
      </c>
      <c r="AL148" s="10">
        <v>-1596.32</v>
      </c>
      <c r="AM148" s="10">
        <v>0</v>
      </c>
      <c r="AN148" s="10">
        <v>-1141.71</v>
      </c>
      <c r="AO148" s="10">
        <v>-1609.5</v>
      </c>
      <c r="AP148" s="10">
        <v>-2361.27</v>
      </c>
      <c r="AQ148" s="10">
        <v>-1106.67</v>
      </c>
      <c r="AR148" s="10">
        <v>-1815.5</v>
      </c>
      <c r="AS148" s="10">
        <v>-2380.86</v>
      </c>
      <c r="AT148" s="10">
        <v>-964.92</v>
      </c>
      <c r="AU148" s="10">
        <v>0</v>
      </c>
      <c r="AV148" s="10">
        <v>0</v>
      </c>
      <c r="AW148" s="10">
        <f t="shared" si="18"/>
        <v>-49372.469999999979</v>
      </c>
    </row>
    <row r="149" spans="1:49" x14ac:dyDescent="0.2">
      <c r="A149" s="17" t="s">
        <v>196</v>
      </c>
      <c r="B149" s="10">
        <v>0</v>
      </c>
      <c r="C149" s="10">
        <v>-104.41</v>
      </c>
      <c r="D149" s="10">
        <v>-103.08</v>
      </c>
      <c r="E149" s="10">
        <v>-14.7</v>
      </c>
      <c r="F149" s="10">
        <v>0</v>
      </c>
      <c r="G149" s="10">
        <v>-34.21</v>
      </c>
      <c r="H149" s="10">
        <v>-19.989999999999998</v>
      </c>
      <c r="I149" s="10">
        <v>0</v>
      </c>
      <c r="J149" s="10">
        <v>-9.1300000000000008</v>
      </c>
      <c r="K149" s="10">
        <v>-27.59</v>
      </c>
      <c r="L149" s="10">
        <v>0</v>
      </c>
      <c r="M149" s="10">
        <v>-12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-90.48</v>
      </c>
      <c r="X149" s="10">
        <v>-240.39</v>
      </c>
      <c r="Y149" s="10">
        <v>-101.09</v>
      </c>
      <c r="Z149" s="10">
        <v>-227.35</v>
      </c>
      <c r="AA149" s="10">
        <v>-14.34</v>
      </c>
      <c r="AB149" s="10">
        <v>-19.46</v>
      </c>
      <c r="AC149" s="10">
        <v>-17.04</v>
      </c>
      <c r="AD149" s="10">
        <v>-342.56</v>
      </c>
      <c r="AE149" s="10">
        <v>-72.28</v>
      </c>
      <c r="AF149" s="10">
        <v>-66.010000000000005</v>
      </c>
      <c r="AG149" s="10">
        <v>-241.6</v>
      </c>
      <c r="AH149" s="10">
        <v>-36.07</v>
      </c>
      <c r="AI149" s="10">
        <v>-75.599999999999994</v>
      </c>
      <c r="AJ149" s="10">
        <v>-25.95</v>
      </c>
      <c r="AK149" s="10">
        <v>-143.84</v>
      </c>
      <c r="AL149" s="10">
        <v>-561.91999999999996</v>
      </c>
      <c r="AM149" s="10">
        <v>0</v>
      </c>
      <c r="AN149" s="10">
        <v>0</v>
      </c>
      <c r="AO149" s="10">
        <v>-372.64</v>
      </c>
      <c r="AP149" s="10">
        <v>-177.01</v>
      </c>
      <c r="AQ149" s="10">
        <v>-51.81</v>
      </c>
      <c r="AR149" s="10">
        <v>-690.91</v>
      </c>
      <c r="AS149" s="10">
        <v>-102.92</v>
      </c>
      <c r="AT149" s="10">
        <v>0</v>
      </c>
      <c r="AU149" s="10">
        <v>0</v>
      </c>
      <c r="AV149" s="10">
        <v>0</v>
      </c>
      <c r="AW149" s="10">
        <f t="shared" si="18"/>
        <v>-3996.3799999999997</v>
      </c>
    </row>
    <row r="150" spans="1:49" x14ac:dyDescent="0.2">
      <c r="A150" s="17" t="s">
        <v>197</v>
      </c>
      <c r="B150" s="10">
        <v>-7794.94</v>
      </c>
      <c r="C150" s="10">
        <v>-13860.69</v>
      </c>
      <c r="D150" s="10">
        <v>3347.63</v>
      </c>
      <c r="E150" s="10">
        <v>-551.16</v>
      </c>
      <c r="F150" s="10">
        <v>0</v>
      </c>
      <c r="G150" s="10">
        <v>-381.4</v>
      </c>
      <c r="H150" s="10">
        <v>729.15</v>
      </c>
      <c r="I150" s="10">
        <v>406.12</v>
      </c>
      <c r="J150" s="10">
        <v>-884.27</v>
      </c>
      <c r="K150" s="10">
        <v>-1948.18</v>
      </c>
      <c r="L150" s="10">
        <v>568.54</v>
      </c>
      <c r="M150" s="10">
        <v>-153.80000000000001</v>
      </c>
      <c r="N150" s="10">
        <v>0</v>
      </c>
      <c r="O150" s="10">
        <v>-1427.37</v>
      </c>
      <c r="P150" s="10">
        <v>-112.19</v>
      </c>
      <c r="Q150" s="10">
        <v>-29.17</v>
      </c>
      <c r="R150" s="10">
        <v>-4261.5</v>
      </c>
      <c r="S150" s="10">
        <v>-1936.66</v>
      </c>
      <c r="T150" s="10">
        <v>-177.95</v>
      </c>
      <c r="U150" s="10">
        <v>-3237.11</v>
      </c>
      <c r="V150" s="10">
        <v>-4198.7</v>
      </c>
      <c r="W150" s="10">
        <v>-3033.61</v>
      </c>
      <c r="X150" s="10">
        <v>-2599.3200000000002</v>
      </c>
      <c r="Y150" s="10">
        <v>-16825.25</v>
      </c>
      <c r="Z150" s="10">
        <v>-4330.08</v>
      </c>
      <c r="AA150" s="10">
        <v>-2779.84</v>
      </c>
      <c r="AB150" s="10">
        <v>-3475.81</v>
      </c>
      <c r="AC150" s="10">
        <v>-8047.14</v>
      </c>
      <c r="AD150" s="10">
        <v>-10205.39</v>
      </c>
      <c r="AE150" s="10">
        <v>-7815.18</v>
      </c>
      <c r="AF150" s="10">
        <v>-2748.4</v>
      </c>
      <c r="AG150" s="10">
        <v>-6511.68</v>
      </c>
      <c r="AH150" s="10">
        <v>-3065.48</v>
      </c>
      <c r="AI150" s="10">
        <v>-64654.89</v>
      </c>
      <c r="AJ150" s="10">
        <v>-8204.2199999999993</v>
      </c>
      <c r="AK150" s="10">
        <v>-8482.7999999999993</v>
      </c>
      <c r="AL150" s="10">
        <v>-5546.4</v>
      </c>
      <c r="AM150" s="10">
        <v>0</v>
      </c>
      <c r="AN150" s="10">
        <v>-4635.78</v>
      </c>
      <c r="AO150" s="10">
        <v>-9848.7999999999993</v>
      </c>
      <c r="AP150" s="10">
        <v>-8414.48</v>
      </c>
      <c r="AQ150" s="10">
        <v>-11762.92</v>
      </c>
      <c r="AR150" s="10">
        <v>-10409.58</v>
      </c>
      <c r="AS150" s="10">
        <v>-7298.78</v>
      </c>
      <c r="AT150" s="10">
        <v>0</v>
      </c>
      <c r="AU150" s="10">
        <v>0</v>
      </c>
      <c r="AV150" s="10">
        <v>0</v>
      </c>
      <c r="AW150" s="10">
        <f t="shared" si="18"/>
        <v>-246599.47999999995</v>
      </c>
    </row>
    <row r="151" spans="1:49" x14ac:dyDescent="0.2">
      <c r="A151" s="17" t="s">
        <v>198</v>
      </c>
      <c r="B151" s="10">
        <v>-6955.24</v>
      </c>
      <c r="C151" s="10">
        <v>-12832.92</v>
      </c>
      <c r="D151" s="10">
        <v>-6272.45</v>
      </c>
      <c r="E151" s="10">
        <v>-561.19000000000005</v>
      </c>
      <c r="F151" s="10">
        <v>181.92</v>
      </c>
      <c r="G151" s="10">
        <v>-430.46</v>
      </c>
      <c r="H151" s="10">
        <v>-3023.65</v>
      </c>
      <c r="I151" s="10">
        <v>-1022.4</v>
      </c>
      <c r="J151" s="10">
        <v>-2916.9</v>
      </c>
      <c r="K151" s="10">
        <v>-2169.58</v>
      </c>
      <c r="L151" s="10">
        <v>-835.28</v>
      </c>
      <c r="M151" s="10">
        <v>-650.62</v>
      </c>
      <c r="N151" s="10">
        <v>0</v>
      </c>
      <c r="O151" s="10">
        <v>55.29</v>
      </c>
      <c r="P151" s="10">
        <v>0</v>
      </c>
      <c r="Q151" s="10">
        <v>-23.55</v>
      </c>
      <c r="R151" s="10">
        <v>0</v>
      </c>
      <c r="S151" s="10">
        <v>-833.89</v>
      </c>
      <c r="T151" s="10">
        <v>-496.93</v>
      </c>
      <c r="U151" s="10">
        <v>-1603.36</v>
      </c>
      <c r="V151" s="10">
        <v>-2324.85</v>
      </c>
      <c r="W151" s="10">
        <v>-2462.15</v>
      </c>
      <c r="X151" s="10">
        <v>-7470.32</v>
      </c>
      <c r="Y151" s="10">
        <v>-5451.09</v>
      </c>
      <c r="Z151" s="10">
        <v>-1111.05</v>
      </c>
      <c r="AA151" s="10">
        <v>-940.34</v>
      </c>
      <c r="AB151" s="10">
        <v>-2136.27</v>
      </c>
      <c r="AC151" s="10">
        <v>-5377.27</v>
      </c>
      <c r="AD151" s="10">
        <v>-4353.9399999999996</v>
      </c>
      <c r="AE151" s="10">
        <v>-7665.85</v>
      </c>
      <c r="AF151" s="10">
        <v>-3397.86</v>
      </c>
      <c r="AG151" s="10">
        <v>-3786.03</v>
      </c>
      <c r="AH151" s="10">
        <v>-5024.5600000000004</v>
      </c>
      <c r="AI151" s="10">
        <v>-5718.5</v>
      </c>
      <c r="AJ151" s="10">
        <v>-8760.44</v>
      </c>
      <c r="AK151" s="10">
        <v>-7060.34</v>
      </c>
      <c r="AL151" s="10">
        <v>-4444.0200000000004</v>
      </c>
      <c r="AM151" s="10">
        <v>0</v>
      </c>
      <c r="AN151" s="10">
        <v>-7133.33</v>
      </c>
      <c r="AO151" s="10">
        <v>-5063.1899999999996</v>
      </c>
      <c r="AP151" s="10">
        <v>-4980.03</v>
      </c>
      <c r="AQ151" s="10">
        <v>-6415.45</v>
      </c>
      <c r="AR151" s="10">
        <v>-5263.48</v>
      </c>
      <c r="AS151" s="10">
        <v>-5705.2</v>
      </c>
      <c r="AT151" s="10">
        <v>-110.66</v>
      </c>
      <c r="AU151" s="10">
        <v>0</v>
      </c>
      <c r="AV151" s="10">
        <v>0</v>
      </c>
      <c r="AW151" s="10">
        <f t="shared" si="18"/>
        <v>-152547.43000000005</v>
      </c>
    </row>
    <row r="152" spans="1:49" x14ac:dyDescent="0.2">
      <c r="A152" s="17" t="s">
        <v>199</v>
      </c>
      <c r="B152" s="10">
        <v>-5336.85</v>
      </c>
      <c r="C152" s="10">
        <v>-8546.26</v>
      </c>
      <c r="D152" s="10">
        <v>-2531.54</v>
      </c>
      <c r="E152" s="10">
        <v>-345.13</v>
      </c>
      <c r="F152" s="10">
        <v>-162.19</v>
      </c>
      <c r="G152" s="10">
        <v>64.03</v>
      </c>
      <c r="H152" s="10">
        <v>-352.38</v>
      </c>
      <c r="I152" s="10">
        <v>-820.03</v>
      </c>
      <c r="J152" s="10">
        <v>-116.66</v>
      </c>
      <c r="K152" s="10">
        <v>-981.6</v>
      </c>
      <c r="L152" s="10">
        <v>-508.92</v>
      </c>
      <c r="M152" s="10">
        <v>-315.92</v>
      </c>
      <c r="N152" s="10">
        <v>0</v>
      </c>
      <c r="O152" s="10">
        <v>-55.6</v>
      </c>
      <c r="P152" s="10">
        <v>-65.55</v>
      </c>
      <c r="Q152" s="10">
        <v>-55.46</v>
      </c>
      <c r="R152" s="10">
        <v>0</v>
      </c>
      <c r="S152" s="10">
        <v>-453.06</v>
      </c>
      <c r="T152" s="10">
        <v>-8.23</v>
      </c>
      <c r="U152" s="10">
        <v>-105.03</v>
      </c>
      <c r="V152" s="10">
        <v>-350.32</v>
      </c>
      <c r="W152" s="10">
        <v>-509.72</v>
      </c>
      <c r="X152" s="10">
        <v>-2931.27</v>
      </c>
      <c r="Y152" s="10">
        <v>-1147.3699999999999</v>
      </c>
      <c r="Z152" s="10">
        <v>-535.39</v>
      </c>
      <c r="AA152" s="10">
        <v>196.52</v>
      </c>
      <c r="AB152" s="10">
        <v>-673.16</v>
      </c>
      <c r="AC152" s="10">
        <v>-465.44</v>
      </c>
      <c r="AD152" s="10">
        <v>-2709.76</v>
      </c>
      <c r="AE152" s="10">
        <v>-740.93</v>
      </c>
      <c r="AF152" s="10">
        <v>-240.68</v>
      </c>
      <c r="AG152" s="10">
        <v>-929.39</v>
      </c>
      <c r="AH152" s="10">
        <v>-448.28</v>
      </c>
      <c r="AI152" s="10">
        <v>-836.82</v>
      </c>
      <c r="AJ152" s="10">
        <v>-3687.8</v>
      </c>
      <c r="AK152" s="10">
        <v>-1192.1400000000001</v>
      </c>
      <c r="AL152" s="10">
        <v>-1146.77</v>
      </c>
      <c r="AM152" s="10">
        <v>0</v>
      </c>
      <c r="AN152" s="10">
        <v>-746.35</v>
      </c>
      <c r="AO152" s="10">
        <v>-3055.47</v>
      </c>
      <c r="AP152" s="10">
        <v>-1348.39</v>
      </c>
      <c r="AQ152" s="10">
        <v>-1331.54</v>
      </c>
      <c r="AR152" s="10">
        <v>-1897.99</v>
      </c>
      <c r="AS152" s="10">
        <v>-1138.8</v>
      </c>
      <c r="AT152" s="10">
        <v>0</v>
      </c>
      <c r="AU152" s="10">
        <v>0</v>
      </c>
      <c r="AV152" s="10">
        <v>0</v>
      </c>
      <c r="AW152" s="10">
        <f t="shared" si="18"/>
        <v>-48563.639999999992</v>
      </c>
    </row>
    <row r="153" spans="1:49" x14ac:dyDescent="0.2">
      <c r="A153" s="17" t="s">
        <v>200</v>
      </c>
      <c r="B153" s="10">
        <v>-705.79</v>
      </c>
      <c r="C153" s="10">
        <v>-2644.29</v>
      </c>
      <c r="D153" s="10">
        <v>-4203.58</v>
      </c>
      <c r="E153" s="10">
        <v>3389.96</v>
      </c>
      <c r="F153" s="10">
        <v>0</v>
      </c>
      <c r="G153" s="10">
        <v>0</v>
      </c>
      <c r="H153" s="10">
        <v>-10.5</v>
      </c>
      <c r="I153" s="10">
        <v>0</v>
      </c>
      <c r="J153" s="10">
        <v>-753.18</v>
      </c>
      <c r="K153" s="10">
        <v>-112.55</v>
      </c>
      <c r="L153" s="10">
        <v>-144</v>
      </c>
      <c r="M153" s="10">
        <v>-6624</v>
      </c>
      <c r="N153" s="10">
        <v>0</v>
      </c>
      <c r="O153" s="10">
        <v>0</v>
      </c>
      <c r="P153" s="10">
        <v>0</v>
      </c>
      <c r="Q153" s="10">
        <v>-3864</v>
      </c>
      <c r="R153" s="10">
        <v>1172.83</v>
      </c>
      <c r="S153" s="10">
        <v>0</v>
      </c>
      <c r="T153" s="10">
        <v>-3108</v>
      </c>
      <c r="U153" s="10">
        <v>-4362.76</v>
      </c>
      <c r="V153" s="10">
        <v>-4140</v>
      </c>
      <c r="W153" s="10">
        <v>-2455.83</v>
      </c>
      <c r="X153" s="10">
        <v>-8629.4500000000007</v>
      </c>
      <c r="Y153" s="10">
        <v>-992.35</v>
      </c>
      <c r="Z153" s="10">
        <v>-10589.8</v>
      </c>
      <c r="AA153" s="10">
        <v>0</v>
      </c>
      <c r="AB153" s="10">
        <v>0</v>
      </c>
      <c r="AC153" s="10">
        <v>-3333.69</v>
      </c>
      <c r="AD153" s="10">
        <v>-3274.68</v>
      </c>
      <c r="AE153" s="10">
        <v>-119</v>
      </c>
      <c r="AF153" s="10">
        <v>-2984.96</v>
      </c>
      <c r="AG153" s="10">
        <v>-1170.54</v>
      </c>
      <c r="AH153" s="10">
        <v>-2004.46</v>
      </c>
      <c r="AI153" s="10">
        <v>-2795.01</v>
      </c>
      <c r="AJ153" s="10">
        <v>-3952.59</v>
      </c>
      <c r="AK153" s="10">
        <v>-2251.64</v>
      </c>
      <c r="AL153" s="10">
        <v>-461.21</v>
      </c>
      <c r="AM153" s="10">
        <v>0</v>
      </c>
      <c r="AN153" s="10">
        <v>-2896.25</v>
      </c>
      <c r="AO153" s="10">
        <v>-2846.67</v>
      </c>
      <c r="AP153" s="10">
        <v>-1536.76</v>
      </c>
      <c r="AQ153" s="10">
        <v>-3342.52</v>
      </c>
      <c r="AR153" s="10">
        <v>-5180.57</v>
      </c>
      <c r="AS153" s="10">
        <v>-2899.22</v>
      </c>
      <c r="AT153" s="10">
        <v>0</v>
      </c>
      <c r="AU153" s="10">
        <v>0</v>
      </c>
      <c r="AV153" s="10">
        <v>0</v>
      </c>
      <c r="AW153" s="10">
        <f t="shared" si="18"/>
        <v>-89827.06</v>
      </c>
    </row>
    <row r="154" spans="1:49" x14ac:dyDescent="0.2">
      <c r="A154" s="17" t="s">
        <v>201</v>
      </c>
      <c r="B154" s="10">
        <v>-12616.95</v>
      </c>
      <c r="C154" s="10">
        <v>-10627.38</v>
      </c>
      <c r="D154" s="10">
        <v>-4749.74</v>
      </c>
      <c r="E154" s="10">
        <v>0</v>
      </c>
      <c r="F154" s="10">
        <v>-897.2</v>
      </c>
      <c r="G154" s="10">
        <v>-376.63</v>
      </c>
      <c r="H154" s="10">
        <v>-3515.41</v>
      </c>
      <c r="I154" s="10">
        <v>-3687.63</v>
      </c>
      <c r="J154" s="10">
        <v>-1071.3900000000001</v>
      </c>
      <c r="K154" s="10">
        <v>-1977.66</v>
      </c>
      <c r="L154" s="10">
        <v>-5766.38</v>
      </c>
      <c r="M154" s="10">
        <v>-1471.29</v>
      </c>
      <c r="N154" s="10">
        <v>0</v>
      </c>
      <c r="O154" s="10">
        <v>-406.08</v>
      </c>
      <c r="P154" s="10">
        <v>0</v>
      </c>
      <c r="Q154" s="10">
        <v>-257.94</v>
      </c>
      <c r="R154" s="10">
        <v>0</v>
      </c>
      <c r="S154" s="10">
        <v>-508.41</v>
      </c>
      <c r="T154" s="10">
        <v>0</v>
      </c>
      <c r="U154" s="10">
        <v>-177.1</v>
      </c>
      <c r="V154" s="10">
        <v>-1084.21</v>
      </c>
      <c r="W154" s="10">
        <v>-1115.28</v>
      </c>
      <c r="X154" s="10">
        <v>-9512.24</v>
      </c>
      <c r="Y154" s="10">
        <v>-2739.45</v>
      </c>
      <c r="Z154" s="10">
        <v>-785.04</v>
      </c>
      <c r="AA154" s="10">
        <v>-1852.34</v>
      </c>
      <c r="AB154" s="10">
        <v>-4354.6000000000004</v>
      </c>
      <c r="AC154" s="10">
        <v>-5880.44</v>
      </c>
      <c r="AD154" s="10">
        <v>-4034</v>
      </c>
      <c r="AE154" s="10">
        <v>-6008.8</v>
      </c>
      <c r="AF154" s="10">
        <v>-5390.44</v>
      </c>
      <c r="AG154" s="10">
        <v>-4084.93</v>
      </c>
      <c r="AH154" s="10">
        <v>-2479.23</v>
      </c>
      <c r="AI154" s="10">
        <v>-7154.63</v>
      </c>
      <c r="AJ154" s="10">
        <v>-9127.1299999999992</v>
      </c>
      <c r="AK154" s="10">
        <v>-6630.89</v>
      </c>
      <c r="AL154" s="10">
        <v>-9035.02</v>
      </c>
      <c r="AM154" s="10">
        <v>0</v>
      </c>
      <c r="AN154" s="10">
        <v>-4849.7700000000004</v>
      </c>
      <c r="AO154" s="10">
        <v>-7913.44</v>
      </c>
      <c r="AP154" s="10">
        <v>-8298.08</v>
      </c>
      <c r="AQ154" s="10">
        <v>-4394.32</v>
      </c>
      <c r="AR154" s="10">
        <v>-6790.71</v>
      </c>
      <c r="AS154" s="10">
        <v>-10336.67</v>
      </c>
      <c r="AT154" s="10">
        <v>-2693.54</v>
      </c>
      <c r="AU154" s="10">
        <v>0</v>
      </c>
      <c r="AV154" s="10">
        <v>0</v>
      </c>
      <c r="AW154" s="10">
        <f t="shared" si="18"/>
        <v>-174652.39</v>
      </c>
    </row>
    <row r="155" spans="1:49" x14ac:dyDescent="0.2">
      <c r="A155" s="17" t="s">
        <v>202</v>
      </c>
      <c r="B155" s="10">
        <v>-733.11</v>
      </c>
      <c r="C155" s="10">
        <v>-582.16</v>
      </c>
      <c r="D155" s="10">
        <v>-288.79000000000002</v>
      </c>
      <c r="E155" s="10">
        <v>-16.809999999999999</v>
      </c>
      <c r="F155" s="10">
        <v>0</v>
      </c>
      <c r="G155" s="10">
        <v>-26.05</v>
      </c>
      <c r="H155" s="10">
        <v>-35.159999999999997</v>
      </c>
      <c r="I155" s="10">
        <v>-95.68</v>
      </c>
      <c r="J155" s="10">
        <v>-37.659999999999997</v>
      </c>
      <c r="K155" s="10">
        <v>-156.58000000000001</v>
      </c>
      <c r="L155" s="10">
        <v>-149.11000000000001</v>
      </c>
      <c r="M155" s="10">
        <v>-48.87</v>
      </c>
      <c r="N155" s="10">
        <v>0</v>
      </c>
      <c r="O155" s="10">
        <v>-10.08</v>
      </c>
      <c r="P155" s="10">
        <v>0</v>
      </c>
      <c r="Q155" s="10">
        <v>-5.04</v>
      </c>
      <c r="R155" s="10">
        <v>-16.809999999999999</v>
      </c>
      <c r="S155" s="10">
        <v>-3.78</v>
      </c>
      <c r="T155" s="10">
        <v>0</v>
      </c>
      <c r="U155" s="10">
        <v>-9.66</v>
      </c>
      <c r="V155" s="10">
        <v>-38.65</v>
      </c>
      <c r="W155" s="10">
        <v>-36</v>
      </c>
      <c r="X155" s="10">
        <v>-195.23</v>
      </c>
      <c r="Y155" s="10">
        <v>-22.96</v>
      </c>
      <c r="Z155" s="10">
        <v>0</v>
      </c>
      <c r="AA155" s="10">
        <v>-12.6</v>
      </c>
      <c r="AB155" s="10">
        <v>-44.06</v>
      </c>
      <c r="AC155" s="10">
        <v>-113.45</v>
      </c>
      <c r="AD155" s="10">
        <v>-120.04</v>
      </c>
      <c r="AE155" s="10">
        <v>-102</v>
      </c>
      <c r="AF155" s="10">
        <v>-158.47</v>
      </c>
      <c r="AG155" s="10">
        <v>-193.82</v>
      </c>
      <c r="AH155" s="10">
        <v>-29.67</v>
      </c>
      <c r="AI155" s="10">
        <v>-289.37</v>
      </c>
      <c r="AJ155" s="10">
        <v>-212.02</v>
      </c>
      <c r="AK155" s="10">
        <v>-269.05</v>
      </c>
      <c r="AL155" s="10">
        <v>-1463.46</v>
      </c>
      <c r="AM155" s="10">
        <v>0</v>
      </c>
      <c r="AN155" s="10">
        <v>-145.44</v>
      </c>
      <c r="AO155" s="10">
        <v>-246.54</v>
      </c>
      <c r="AP155" s="10">
        <v>-173.93</v>
      </c>
      <c r="AQ155" s="10">
        <v>-157.44</v>
      </c>
      <c r="AR155" s="10">
        <v>-170.95</v>
      </c>
      <c r="AS155" s="10">
        <v>-222.51</v>
      </c>
      <c r="AT155" s="10">
        <v>-27.24</v>
      </c>
      <c r="AU155" s="10">
        <v>0</v>
      </c>
      <c r="AV155" s="10">
        <v>0</v>
      </c>
      <c r="AW155" s="10">
        <f t="shared" si="18"/>
        <v>-6660.2499999999991</v>
      </c>
    </row>
    <row r="156" spans="1:49" x14ac:dyDescent="0.2">
      <c r="A156" s="17" t="s">
        <v>203</v>
      </c>
      <c r="B156" s="10">
        <v>0</v>
      </c>
      <c r="C156" s="10">
        <v>-4572.2</v>
      </c>
      <c r="D156" s="10">
        <v>-6836.8</v>
      </c>
      <c r="E156" s="10">
        <v>-1875</v>
      </c>
      <c r="F156" s="10">
        <v>-137</v>
      </c>
      <c r="G156" s="10">
        <v>-28</v>
      </c>
      <c r="H156" s="10">
        <v>-358.4</v>
      </c>
      <c r="I156" s="10">
        <v>-1660.8</v>
      </c>
      <c r="J156" s="10">
        <v>-1880.2</v>
      </c>
      <c r="K156" s="10">
        <v>-1655.8</v>
      </c>
      <c r="L156" s="10">
        <v>-1131.2</v>
      </c>
      <c r="M156" s="10">
        <v>-3278.8</v>
      </c>
      <c r="N156" s="10">
        <v>0</v>
      </c>
      <c r="O156" s="10">
        <v>0</v>
      </c>
      <c r="P156" s="10">
        <v>0</v>
      </c>
      <c r="Q156" s="10">
        <v>-1953.4</v>
      </c>
      <c r="R156" s="10">
        <v>-1894.6</v>
      </c>
      <c r="S156" s="10">
        <v>0</v>
      </c>
      <c r="T156" s="10">
        <v>-416</v>
      </c>
      <c r="U156" s="10">
        <v>-1614</v>
      </c>
      <c r="V156" s="10">
        <v>-2393.4</v>
      </c>
      <c r="W156" s="10">
        <v>-1993.2</v>
      </c>
      <c r="X156" s="10">
        <v>-4941.6000000000004</v>
      </c>
      <c r="Y156" s="10">
        <v>-2911.6</v>
      </c>
      <c r="Z156" s="10">
        <v>-5575</v>
      </c>
      <c r="AA156" s="10">
        <v>0</v>
      </c>
      <c r="AB156" s="10">
        <v>-1346.8</v>
      </c>
      <c r="AC156" s="10">
        <v>-1717</v>
      </c>
      <c r="AD156" s="10">
        <v>-5308.6</v>
      </c>
      <c r="AE156" s="10">
        <v>-4422</v>
      </c>
      <c r="AF156" s="10">
        <v>-2782.4</v>
      </c>
      <c r="AG156" s="10">
        <v>-5378.2</v>
      </c>
      <c r="AH156" s="10">
        <v>-3487</v>
      </c>
      <c r="AI156" s="10">
        <v>-2393.6</v>
      </c>
      <c r="AJ156" s="10">
        <v>-4889.2</v>
      </c>
      <c r="AK156" s="10">
        <v>-5032.2</v>
      </c>
      <c r="AL156" s="10">
        <v>-7335.4</v>
      </c>
      <c r="AM156" s="10">
        <v>0</v>
      </c>
      <c r="AN156" s="10">
        <v>0</v>
      </c>
      <c r="AO156" s="10">
        <v>-3942</v>
      </c>
      <c r="AP156" s="10">
        <v>-4136.3999999999996</v>
      </c>
      <c r="AQ156" s="10">
        <v>-4071</v>
      </c>
      <c r="AR156" s="10">
        <v>-3609</v>
      </c>
      <c r="AS156" s="10">
        <v>-2815.6</v>
      </c>
      <c r="AT156" s="10">
        <v>0</v>
      </c>
      <c r="AU156" s="10">
        <v>0</v>
      </c>
      <c r="AV156" s="10">
        <v>0</v>
      </c>
      <c r="AW156" s="10">
        <f t="shared" si="18"/>
        <v>-109773.4</v>
      </c>
    </row>
    <row r="157" spans="1:49" x14ac:dyDescent="0.2">
      <c r="A157" s="17" t="s">
        <v>204</v>
      </c>
      <c r="B157" s="10">
        <v>0</v>
      </c>
      <c r="C157" s="10">
        <v>-4224</v>
      </c>
      <c r="D157" s="10">
        <v>-3371.2</v>
      </c>
      <c r="E157" s="10">
        <v>-2011.2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-414.4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-770</v>
      </c>
      <c r="Z157" s="10">
        <v>-1584</v>
      </c>
      <c r="AA157" s="10">
        <v>0</v>
      </c>
      <c r="AB157" s="10">
        <v>-224</v>
      </c>
      <c r="AC157" s="10">
        <v>-565.6</v>
      </c>
      <c r="AD157" s="10">
        <v>-509.6</v>
      </c>
      <c r="AE157" s="10">
        <v>-364</v>
      </c>
      <c r="AF157" s="10">
        <v>-252</v>
      </c>
      <c r="AG157" s="10">
        <v>-140</v>
      </c>
      <c r="AH157" s="10">
        <v>-201.6</v>
      </c>
      <c r="AI157" s="10">
        <v>0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10">
        <v>0</v>
      </c>
      <c r="AQ157" s="10">
        <v>0</v>
      </c>
      <c r="AR157" s="10">
        <v>0</v>
      </c>
      <c r="AS157" s="10">
        <v>0</v>
      </c>
      <c r="AT157" s="10">
        <v>0</v>
      </c>
      <c r="AU157" s="10">
        <v>0</v>
      </c>
      <c r="AV157" s="10">
        <v>0</v>
      </c>
      <c r="AW157" s="10">
        <f t="shared" si="18"/>
        <v>-14631.6</v>
      </c>
    </row>
    <row r="158" spans="1:49" x14ac:dyDescent="0.2">
      <c r="A158" s="17" t="s">
        <v>205</v>
      </c>
      <c r="B158" s="10">
        <v>0</v>
      </c>
      <c r="C158" s="10">
        <v>-1890.84</v>
      </c>
      <c r="D158" s="10">
        <v>-1330.41</v>
      </c>
      <c r="E158" s="10">
        <v>-1191.5999999999999</v>
      </c>
      <c r="F158" s="10">
        <v>0</v>
      </c>
      <c r="G158" s="10">
        <v>-198.2</v>
      </c>
      <c r="H158" s="10">
        <v>-474.17</v>
      </c>
      <c r="I158" s="10">
        <v>-935.4</v>
      </c>
      <c r="J158" s="10">
        <v>-2022.06</v>
      </c>
      <c r="K158" s="10">
        <v>-1630.2</v>
      </c>
      <c r="L158" s="10">
        <v>-1216.8</v>
      </c>
      <c r="M158" s="10">
        <v>-5442.12</v>
      </c>
      <c r="N158" s="10">
        <v>0</v>
      </c>
      <c r="O158" s="10">
        <v>0</v>
      </c>
      <c r="P158" s="10">
        <v>0</v>
      </c>
      <c r="Q158" s="10">
        <v>-927</v>
      </c>
      <c r="R158" s="10">
        <v>-735</v>
      </c>
      <c r="S158" s="10">
        <v>0</v>
      </c>
      <c r="T158" s="10">
        <v>-424.8</v>
      </c>
      <c r="U158" s="10">
        <v>0</v>
      </c>
      <c r="V158" s="10">
        <v>0</v>
      </c>
      <c r="W158" s="10">
        <v>-646.02</v>
      </c>
      <c r="X158" s="10">
        <v>0</v>
      </c>
      <c r="Y158" s="10">
        <v>0</v>
      </c>
      <c r="Z158" s="10">
        <v>-5432.22</v>
      </c>
      <c r="AA158" s="10">
        <v>0</v>
      </c>
      <c r="AB158" s="10">
        <v>-1847.1</v>
      </c>
      <c r="AC158" s="10">
        <v>-2338.14</v>
      </c>
      <c r="AD158" s="10">
        <v>-3333.78</v>
      </c>
      <c r="AE158" s="10">
        <v>-1203.6600000000001</v>
      </c>
      <c r="AF158" s="10">
        <v>-1662.6</v>
      </c>
      <c r="AG158" s="10">
        <v>-1758.6</v>
      </c>
      <c r="AH158" s="10">
        <v>-2142.6</v>
      </c>
      <c r="AI158" s="10">
        <v>-622.5</v>
      </c>
      <c r="AJ158" s="10">
        <v>-3473.4</v>
      </c>
      <c r="AK158" s="10">
        <v>-855.9</v>
      </c>
      <c r="AL158" s="10">
        <v>-3605.13</v>
      </c>
      <c r="AM158" s="10">
        <v>0</v>
      </c>
      <c r="AN158" s="10">
        <v>0</v>
      </c>
      <c r="AO158" s="10">
        <v>-1262.46</v>
      </c>
      <c r="AP158" s="10">
        <v>-1906.56</v>
      </c>
      <c r="AQ158" s="10">
        <v>-2391.4499999999998</v>
      </c>
      <c r="AR158" s="10">
        <v>-1185.9000000000001</v>
      </c>
      <c r="AS158" s="10">
        <v>-1507.5</v>
      </c>
      <c r="AT158" s="10">
        <v>0</v>
      </c>
      <c r="AU158" s="10">
        <v>0</v>
      </c>
      <c r="AV158" s="10">
        <v>0</v>
      </c>
      <c r="AW158" s="10">
        <f t="shared" si="18"/>
        <v>-55594.119999999988</v>
      </c>
    </row>
    <row r="159" spans="1:49" x14ac:dyDescent="0.2">
      <c r="A159" s="17" t="s">
        <v>206</v>
      </c>
      <c r="B159" s="10">
        <v>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-165</v>
      </c>
      <c r="V159" s="10">
        <v>-481.02</v>
      </c>
      <c r="W159" s="10">
        <v>-52.98</v>
      </c>
      <c r="X159" s="10">
        <v>-1736.7</v>
      </c>
      <c r="Y159" s="10">
        <v>-1803.12</v>
      </c>
      <c r="Z159" s="10">
        <v>4238.82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10">
        <v>0</v>
      </c>
      <c r="AQ159" s="10">
        <v>0</v>
      </c>
      <c r="AR159" s="10">
        <v>0</v>
      </c>
      <c r="AS159" s="10">
        <v>0</v>
      </c>
      <c r="AT159" s="10">
        <v>0</v>
      </c>
      <c r="AU159" s="10">
        <v>0</v>
      </c>
      <c r="AV159" s="10">
        <v>0</v>
      </c>
      <c r="AW159" s="10">
        <f t="shared" si="18"/>
        <v>0</v>
      </c>
    </row>
    <row r="160" spans="1:49" x14ac:dyDescent="0.2">
      <c r="A160" s="17" t="s">
        <v>207</v>
      </c>
      <c r="B160" s="10">
        <v>0</v>
      </c>
      <c r="C160" s="10">
        <v>0</v>
      </c>
      <c r="D160" s="10">
        <v>0</v>
      </c>
      <c r="E160" s="10">
        <v>0</v>
      </c>
      <c r="F160" s="10">
        <v>0</v>
      </c>
      <c r="G160" s="10">
        <v>1527.39</v>
      </c>
      <c r="H160" s="10">
        <v>-4493.58</v>
      </c>
      <c r="I160" s="10">
        <v>2982.69</v>
      </c>
      <c r="J160" s="10">
        <v>0</v>
      </c>
      <c r="K160" s="10">
        <v>0</v>
      </c>
      <c r="L160" s="10">
        <v>0</v>
      </c>
      <c r="M160" s="10">
        <v>-16.5</v>
      </c>
      <c r="N160" s="10">
        <v>0</v>
      </c>
      <c r="O160" s="10">
        <v>-1638.95</v>
      </c>
      <c r="P160" s="10">
        <v>-1613.62</v>
      </c>
      <c r="Q160" s="10">
        <v>3252.57</v>
      </c>
      <c r="R160" s="10">
        <v>0</v>
      </c>
      <c r="S160" s="10">
        <v>-1912.57</v>
      </c>
      <c r="T160" s="10">
        <v>1912.57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4459.1499999999996</v>
      </c>
      <c r="AA160" s="10">
        <v>-4459.1499999999996</v>
      </c>
      <c r="AB160" s="10">
        <v>0</v>
      </c>
      <c r="AC160" s="10">
        <v>0</v>
      </c>
      <c r="AD160" s="10">
        <v>-146.4</v>
      </c>
      <c r="AE160" s="10">
        <v>146.4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11.2</v>
      </c>
      <c r="AP160" s="10">
        <v>-259.8</v>
      </c>
      <c r="AQ160" s="10">
        <v>0</v>
      </c>
      <c r="AR160" s="10">
        <v>0</v>
      </c>
      <c r="AS160" s="10">
        <v>0</v>
      </c>
      <c r="AT160" s="10">
        <v>0</v>
      </c>
      <c r="AU160" s="10">
        <v>0</v>
      </c>
      <c r="AV160" s="10">
        <v>0</v>
      </c>
      <c r="AW160" s="10">
        <f t="shared" si="18"/>
        <v>-248.60000000000002</v>
      </c>
    </row>
    <row r="161" spans="1:49" x14ac:dyDescent="0.2">
      <c r="A161" s="17" t="s">
        <v>208</v>
      </c>
      <c r="B161" s="10">
        <v>-54304.41</v>
      </c>
      <c r="C161" s="10">
        <v>-54304.2</v>
      </c>
      <c r="D161" s="10">
        <v>-54304.23</v>
      </c>
      <c r="E161" s="10">
        <v>-22488.02</v>
      </c>
      <c r="F161" s="10">
        <v>-22500</v>
      </c>
      <c r="G161" s="10">
        <v>-30000</v>
      </c>
      <c r="H161" s="10">
        <v>-40000</v>
      </c>
      <c r="I161" s="10">
        <v>-22500</v>
      </c>
      <c r="J161" s="10">
        <v>-42500</v>
      </c>
      <c r="K161" s="10">
        <v>-49600</v>
      </c>
      <c r="L161" s="10">
        <v>-51700</v>
      </c>
      <c r="M161" s="10">
        <v>-56199.14</v>
      </c>
      <c r="N161" s="10">
        <v>0</v>
      </c>
      <c r="O161" s="10">
        <v>-60900</v>
      </c>
      <c r="P161" s="10">
        <v>-60900</v>
      </c>
      <c r="Q161" s="10">
        <v>-60900</v>
      </c>
      <c r="R161" s="10">
        <v>-60900</v>
      </c>
      <c r="S161" s="10">
        <v>-42000</v>
      </c>
      <c r="T161" s="10">
        <v>-30000</v>
      </c>
      <c r="U161" s="10">
        <v>-30000</v>
      </c>
      <c r="V161" s="10">
        <v>-30000</v>
      </c>
      <c r="W161" s="10">
        <v>-55200</v>
      </c>
      <c r="X161" s="10">
        <v>-55200</v>
      </c>
      <c r="Y161" s="10">
        <v>-55200</v>
      </c>
      <c r="Z161" s="10">
        <v>-65600</v>
      </c>
      <c r="AA161" s="10">
        <v>-75700</v>
      </c>
      <c r="AB161" s="10">
        <v>-75700</v>
      </c>
      <c r="AC161" s="10">
        <v>-75700</v>
      </c>
      <c r="AD161" s="10">
        <v>-75700</v>
      </c>
      <c r="AE161" s="10">
        <v>-78700</v>
      </c>
      <c r="AF161" s="10">
        <v>-65600</v>
      </c>
      <c r="AG161" s="10">
        <v>-65600</v>
      </c>
      <c r="AH161" s="10">
        <v>-65580</v>
      </c>
      <c r="AI161" s="10">
        <v>-73380</v>
      </c>
      <c r="AJ161" s="10">
        <v>-73380</v>
      </c>
      <c r="AK161" s="10">
        <v>-73380</v>
      </c>
      <c r="AL161" s="10">
        <v>-35380</v>
      </c>
      <c r="AM161" s="10">
        <v>0</v>
      </c>
      <c r="AN161" s="10">
        <v>-65600</v>
      </c>
      <c r="AO161" s="10">
        <v>-65600</v>
      </c>
      <c r="AP161" s="10">
        <v>-68304</v>
      </c>
      <c r="AQ161" s="10">
        <v>-29739.75</v>
      </c>
      <c r="AR161" s="10">
        <v>-270</v>
      </c>
      <c r="AS161" s="10">
        <v>-51295</v>
      </c>
      <c r="AT161" s="10">
        <v>48375</v>
      </c>
      <c r="AU161" s="10">
        <v>0</v>
      </c>
      <c r="AV161" s="10">
        <v>0</v>
      </c>
      <c r="AW161" s="10">
        <f t="shared" si="18"/>
        <v>-2173433.75</v>
      </c>
    </row>
    <row r="162" spans="1:49" x14ac:dyDescent="0.2">
      <c r="A162" s="17" t="s">
        <v>209</v>
      </c>
      <c r="B162" s="10">
        <v>-285.48</v>
      </c>
      <c r="C162" s="10">
        <v>-19.29</v>
      </c>
      <c r="D162" s="10">
        <v>-132.47999999999999</v>
      </c>
      <c r="E162" s="10">
        <v>-57.19</v>
      </c>
      <c r="F162" s="10">
        <v>-191.98</v>
      </c>
      <c r="G162" s="10">
        <v>-89.81</v>
      </c>
      <c r="H162" s="10">
        <v>-180.53</v>
      </c>
      <c r="I162" s="10">
        <v>-26.28</v>
      </c>
      <c r="J162" s="10">
        <v>-368.74</v>
      </c>
      <c r="K162" s="10">
        <v>-103.07</v>
      </c>
      <c r="L162" s="10">
        <v>-31.49</v>
      </c>
      <c r="M162" s="10">
        <v>-132.35</v>
      </c>
      <c r="N162" s="10">
        <v>0</v>
      </c>
      <c r="O162" s="10">
        <v>-274.02</v>
      </c>
      <c r="P162" s="10">
        <v>-166.47</v>
      </c>
      <c r="Q162" s="10">
        <v>-244.35</v>
      </c>
      <c r="R162" s="10">
        <v>-188.71</v>
      </c>
      <c r="S162" s="10">
        <v>-59.47</v>
      </c>
      <c r="T162" s="10">
        <v>-44.97</v>
      </c>
      <c r="U162" s="10">
        <v>-204.46</v>
      </c>
      <c r="V162" s="10">
        <v>-9.19</v>
      </c>
      <c r="W162" s="10">
        <v>-34.46</v>
      </c>
      <c r="X162" s="10">
        <v>-30.43</v>
      </c>
      <c r="Y162" s="10">
        <v>-173.69</v>
      </c>
      <c r="Z162" s="10">
        <v>-152.71</v>
      </c>
      <c r="AA162" s="10">
        <v>-140.06</v>
      </c>
      <c r="AB162" s="10">
        <v>-278.04000000000002</v>
      </c>
      <c r="AC162" s="10">
        <v>-322.05</v>
      </c>
      <c r="AD162" s="10">
        <v>-222.23</v>
      </c>
      <c r="AE162" s="10">
        <v>-165.36</v>
      </c>
      <c r="AF162" s="10">
        <v>-134.72999999999999</v>
      </c>
      <c r="AG162" s="10">
        <v>-60.95</v>
      </c>
      <c r="AH162" s="10">
        <v>-43.01</v>
      </c>
      <c r="AI162" s="10">
        <v>-135.80000000000001</v>
      </c>
      <c r="AJ162" s="10">
        <v>-7.2</v>
      </c>
      <c r="AK162" s="10">
        <v>-346.43</v>
      </c>
      <c r="AL162" s="10">
        <v>-32.6</v>
      </c>
      <c r="AM162" s="10">
        <v>0</v>
      </c>
      <c r="AN162" s="10">
        <v>0</v>
      </c>
      <c r="AO162" s="10">
        <v>-120.75</v>
      </c>
      <c r="AP162" s="10">
        <v>-42.01</v>
      </c>
      <c r="AQ162" s="10">
        <v>-29.37</v>
      </c>
      <c r="AR162" s="10">
        <v>-140.97999999999999</v>
      </c>
      <c r="AS162" s="10">
        <v>-93.9</v>
      </c>
      <c r="AT162" s="10">
        <v>-40.04</v>
      </c>
      <c r="AU162" s="10">
        <v>0</v>
      </c>
      <c r="AV162" s="10">
        <v>0</v>
      </c>
      <c r="AW162" s="10">
        <f t="shared" si="18"/>
        <v>-5557.1299999999983</v>
      </c>
    </row>
    <row r="163" spans="1:49" x14ac:dyDescent="0.2">
      <c r="A163" s="17" t="s">
        <v>210</v>
      </c>
      <c r="B163" s="10">
        <v>0</v>
      </c>
      <c r="C163" s="10">
        <v>0</v>
      </c>
      <c r="D163" s="10">
        <v>0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-1829.14</v>
      </c>
      <c r="AI163" s="10">
        <v>-1739.97</v>
      </c>
      <c r="AJ163" s="10">
        <v>-531.13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10">
        <v>0</v>
      </c>
      <c r="AQ163" s="10">
        <v>0</v>
      </c>
      <c r="AR163" s="10">
        <v>0</v>
      </c>
      <c r="AS163" s="10">
        <v>0</v>
      </c>
      <c r="AT163" s="10">
        <v>0</v>
      </c>
      <c r="AU163" s="10">
        <v>0</v>
      </c>
      <c r="AV163" s="10">
        <v>0</v>
      </c>
      <c r="AW163" s="10">
        <f t="shared" si="18"/>
        <v>-4100.24</v>
      </c>
    </row>
    <row r="164" spans="1:49" x14ac:dyDescent="0.2">
      <c r="A164" s="17" t="s">
        <v>211</v>
      </c>
      <c r="B164" s="10">
        <v>-2478.2399999999998</v>
      </c>
      <c r="C164" s="10">
        <v>-2918.58</v>
      </c>
      <c r="D164" s="10">
        <v>-2918.17</v>
      </c>
      <c r="E164" s="10">
        <v>-2953.08</v>
      </c>
      <c r="F164" s="10">
        <v>-2708.13</v>
      </c>
      <c r="G164" s="10">
        <v>-2749.83</v>
      </c>
      <c r="H164" s="10">
        <v>-2524.61</v>
      </c>
      <c r="I164" s="10">
        <v>-2172.63</v>
      </c>
      <c r="J164" s="10">
        <v>-1896.09</v>
      </c>
      <c r="K164" s="10">
        <v>-2143.19</v>
      </c>
      <c r="L164" s="10">
        <v>-1940.09</v>
      </c>
      <c r="M164" s="10">
        <v>-2605.11</v>
      </c>
      <c r="N164" s="10">
        <v>0</v>
      </c>
      <c r="O164" s="10">
        <v>-2040.87</v>
      </c>
      <c r="P164" s="10">
        <v>-2087.5700000000002</v>
      </c>
      <c r="Q164" s="10">
        <v>-2406.04</v>
      </c>
      <c r="R164" s="10">
        <v>-2689.14</v>
      </c>
      <c r="S164" s="10">
        <v>-2628.09</v>
      </c>
      <c r="T164" s="10">
        <v>-2633.63</v>
      </c>
      <c r="U164" s="10">
        <v>-2126.3000000000002</v>
      </c>
      <c r="V164" s="10">
        <v>-2085.0500000000002</v>
      </c>
      <c r="W164" s="10">
        <v>-2017.4</v>
      </c>
      <c r="X164" s="10">
        <v>-1986.81</v>
      </c>
      <c r="Y164" s="10">
        <v>-2669.7</v>
      </c>
      <c r="Z164" s="10">
        <v>-2169.33</v>
      </c>
      <c r="AA164" s="10">
        <v>-2283.64</v>
      </c>
      <c r="AB164" s="10">
        <v>-2358.1</v>
      </c>
      <c r="AC164" s="10">
        <v>-2210.46</v>
      </c>
      <c r="AD164" s="10">
        <v>-2272.3200000000002</v>
      </c>
      <c r="AE164" s="10">
        <v>-2345.9499999999998</v>
      </c>
      <c r="AF164" s="10">
        <v>-2443.25</v>
      </c>
      <c r="AG164" s="10">
        <v>-1885.43</v>
      </c>
      <c r="AH164" s="10">
        <v>-2276.75</v>
      </c>
      <c r="AI164" s="10">
        <v>-2231.09</v>
      </c>
      <c r="AJ164" s="10">
        <v>-2302.23</v>
      </c>
      <c r="AK164" s="10">
        <v>-2380.0700000000002</v>
      </c>
      <c r="AL164" s="10">
        <v>-2168.64</v>
      </c>
      <c r="AM164" s="10">
        <v>0</v>
      </c>
      <c r="AN164" s="10">
        <v>-2113.6</v>
      </c>
      <c r="AO164" s="10">
        <v>-2241.85</v>
      </c>
      <c r="AP164" s="10">
        <v>-2153.62</v>
      </c>
      <c r="AQ164" s="10">
        <v>-2172.08</v>
      </c>
      <c r="AR164" s="10">
        <v>-2202.7600000000002</v>
      </c>
      <c r="AS164" s="10">
        <v>-2275.89</v>
      </c>
      <c r="AT164" s="10">
        <v>-2236.21</v>
      </c>
      <c r="AU164" s="10">
        <v>0</v>
      </c>
      <c r="AV164" s="10">
        <v>0</v>
      </c>
      <c r="AW164" s="10">
        <f t="shared" si="18"/>
        <v>-100101.62000000001</v>
      </c>
    </row>
    <row r="165" spans="1:49" x14ac:dyDescent="0.2">
      <c r="A165" s="17" t="s">
        <v>212</v>
      </c>
      <c r="B165" s="10">
        <v>-928.26</v>
      </c>
      <c r="C165" s="10">
        <v>-713.91</v>
      </c>
      <c r="D165" s="10">
        <v>-663.63</v>
      </c>
      <c r="E165" s="10">
        <v>-928.26</v>
      </c>
      <c r="F165" s="10">
        <v>-663.63</v>
      </c>
      <c r="G165" s="10">
        <v>-663.63</v>
      </c>
      <c r="H165" s="10">
        <v>-1183.79</v>
      </c>
      <c r="I165" s="10">
        <v>-713.58</v>
      </c>
      <c r="J165" s="10">
        <v>-713.58</v>
      </c>
      <c r="K165" s="10">
        <v>-713.58</v>
      </c>
      <c r="L165" s="10">
        <v>-1028.49</v>
      </c>
      <c r="M165" s="10">
        <v>-51.22</v>
      </c>
      <c r="N165" s="10">
        <v>0</v>
      </c>
      <c r="O165" s="10">
        <v>-1012.36</v>
      </c>
      <c r="P165" s="10">
        <v>-663.63</v>
      </c>
      <c r="Q165" s="10">
        <v>-154.58000000000001</v>
      </c>
      <c r="R165" s="10">
        <v>-469.49</v>
      </c>
      <c r="S165" s="10">
        <v>-154.58000000000001</v>
      </c>
      <c r="T165" s="10">
        <v>-154.58000000000001</v>
      </c>
      <c r="U165" s="10">
        <v>-1028.49</v>
      </c>
      <c r="V165" s="10">
        <v>-713.58</v>
      </c>
      <c r="W165" s="10">
        <v>-713.58</v>
      </c>
      <c r="X165" s="10">
        <v>-1049.25</v>
      </c>
      <c r="Y165" s="10">
        <v>-154.58000000000001</v>
      </c>
      <c r="Z165" s="10">
        <v>-713.58</v>
      </c>
      <c r="AA165" s="10">
        <v>-766</v>
      </c>
      <c r="AB165" s="10">
        <v>-806.4</v>
      </c>
      <c r="AC165" s="10">
        <v>-817.41</v>
      </c>
      <c r="AD165" s="10">
        <v>-813.1</v>
      </c>
      <c r="AE165" s="10">
        <v>-816.16</v>
      </c>
      <c r="AF165" s="10">
        <v>-933.28</v>
      </c>
      <c r="AG165" s="10">
        <v>-791.15</v>
      </c>
      <c r="AH165" s="10">
        <v>-793.39</v>
      </c>
      <c r="AI165" s="10">
        <v>-831.57</v>
      </c>
      <c r="AJ165" s="10">
        <v>-1119.75</v>
      </c>
      <c r="AK165" s="10">
        <v>-717.82</v>
      </c>
      <c r="AL165" s="10">
        <v>-717.82</v>
      </c>
      <c r="AM165" s="10">
        <v>0</v>
      </c>
      <c r="AN165" s="10">
        <v>-1066.6600000000001</v>
      </c>
      <c r="AO165" s="10">
        <v>-717.82</v>
      </c>
      <c r="AP165" s="10">
        <v>-717.82</v>
      </c>
      <c r="AQ165" s="10">
        <v>-717.82</v>
      </c>
      <c r="AR165" s="10">
        <v>-1071.57</v>
      </c>
      <c r="AS165" s="10">
        <v>-835.19</v>
      </c>
      <c r="AT165" s="10">
        <v>-715.82</v>
      </c>
      <c r="AU165" s="10">
        <v>0</v>
      </c>
      <c r="AV165" s="10">
        <v>0</v>
      </c>
      <c r="AW165" s="10">
        <f t="shared" ref="AW165:AW196" si="19">SUM(B165:AV165)</f>
        <v>-31714.389999999992</v>
      </c>
    </row>
    <row r="166" spans="1:49" x14ac:dyDescent="0.2">
      <c r="A166" s="17" t="s">
        <v>213</v>
      </c>
      <c r="B166" s="10">
        <v>-297.47000000000003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35.450000000000003</v>
      </c>
      <c r="AI166" s="10">
        <v>0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10">
        <v>0</v>
      </c>
      <c r="AQ166" s="10">
        <v>0</v>
      </c>
      <c r="AR166" s="10">
        <v>0</v>
      </c>
      <c r="AS166" s="10">
        <v>0</v>
      </c>
      <c r="AT166" s="10">
        <v>0</v>
      </c>
      <c r="AU166" s="10">
        <v>0</v>
      </c>
      <c r="AV166" s="10">
        <v>0</v>
      </c>
      <c r="AW166" s="10">
        <f t="shared" si="19"/>
        <v>-262.02000000000004</v>
      </c>
    </row>
    <row r="167" spans="1:49" x14ac:dyDescent="0.2">
      <c r="A167" s="17" t="s">
        <v>214</v>
      </c>
      <c r="B167" s="10">
        <v>-737.25</v>
      </c>
      <c r="C167" s="10">
        <v>-474.43</v>
      </c>
      <c r="D167" s="10">
        <v>-600.16</v>
      </c>
      <c r="E167" s="10">
        <v>-78</v>
      </c>
      <c r="F167" s="10">
        <v>-452.37</v>
      </c>
      <c r="G167" s="10">
        <v>-239.3</v>
      </c>
      <c r="H167" s="10">
        <v>-1227.96</v>
      </c>
      <c r="I167" s="10">
        <v>-121.74</v>
      </c>
      <c r="J167" s="10">
        <v>-910.7</v>
      </c>
      <c r="K167" s="10">
        <v>-86.3</v>
      </c>
      <c r="L167" s="10">
        <v>-663.15</v>
      </c>
      <c r="M167" s="10">
        <v>-89.19</v>
      </c>
      <c r="N167" s="10">
        <v>0</v>
      </c>
      <c r="O167" s="10">
        <v>-1413.9</v>
      </c>
      <c r="P167" s="10">
        <v>-945.82</v>
      </c>
      <c r="Q167" s="10">
        <v>-339.27</v>
      </c>
      <c r="R167" s="10">
        <v>-46.14</v>
      </c>
      <c r="S167" s="10">
        <v>-69.260000000000005</v>
      </c>
      <c r="T167" s="10">
        <v>-1211.04</v>
      </c>
      <c r="U167" s="10">
        <v>-48.06</v>
      </c>
      <c r="V167" s="10">
        <v>-135.41</v>
      </c>
      <c r="W167" s="10">
        <v>-270.27999999999997</v>
      </c>
      <c r="X167" s="10">
        <v>-430.17</v>
      </c>
      <c r="Y167" s="10">
        <v>-807.6</v>
      </c>
      <c r="Z167" s="10">
        <v>-504.78</v>
      </c>
      <c r="AA167" s="10">
        <v>-189.3</v>
      </c>
      <c r="AB167" s="10">
        <v>-537.58000000000004</v>
      </c>
      <c r="AC167" s="10">
        <v>-759.88</v>
      </c>
      <c r="AD167" s="10">
        <v>-57.27</v>
      </c>
      <c r="AE167" s="10">
        <v>-136.62</v>
      </c>
      <c r="AF167" s="10">
        <v>-93.44</v>
      </c>
      <c r="AG167" s="10">
        <v>-324.51</v>
      </c>
      <c r="AH167" s="10">
        <v>-915.27</v>
      </c>
      <c r="AI167" s="10">
        <v>-1322.79</v>
      </c>
      <c r="AJ167" s="10">
        <v>-512.9</v>
      </c>
      <c r="AK167" s="10">
        <v>-914.92</v>
      </c>
      <c r="AL167" s="10">
        <v>-133.37</v>
      </c>
      <c r="AM167" s="10">
        <v>0</v>
      </c>
      <c r="AN167" s="10">
        <v>-1071.48</v>
      </c>
      <c r="AO167" s="10">
        <v>-442.6</v>
      </c>
      <c r="AP167" s="10">
        <v>-453.41</v>
      </c>
      <c r="AQ167" s="10">
        <v>-1228.8</v>
      </c>
      <c r="AR167" s="10">
        <v>-2383.27</v>
      </c>
      <c r="AS167" s="10">
        <v>-903.08</v>
      </c>
      <c r="AT167" s="10">
        <v>-210.75</v>
      </c>
      <c r="AU167" s="10">
        <v>0</v>
      </c>
      <c r="AV167" s="10">
        <v>0</v>
      </c>
      <c r="AW167" s="10">
        <f t="shared" si="19"/>
        <v>-24493.52</v>
      </c>
    </row>
    <row r="168" spans="1:49" x14ac:dyDescent="0.2">
      <c r="A168" s="17" t="s">
        <v>215</v>
      </c>
      <c r="B168" s="10">
        <v>0</v>
      </c>
      <c r="C168" s="10">
        <v>0</v>
      </c>
      <c r="D168" s="10">
        <v>0</v>
      </c>
      <c r="E168" s="10">
        <v>0</v>
      </c>
      <c r="F168" s="10">
        <v>-233.84</v>
      </c>
      <c r="G168" s="10">
        <v>0</v>
      </c>
      <c r="H168" s="10">
        <v>-924.58</v>
      </c>
      <c r="I168" s="10">
        <v>-753.87</v>
      </c>
      <c r="J168" s="10">
        <v>-245.91</v>
      </c>
      <c r="K168" s="10">
        <v>-92.25</v>
      </c>
      <c r="L168" s="10">
        <v>-751.36</v>
      </c>
      <c r="M168" s="10">
        <v>0</v>
      </c>
      <c r="N168" s="10">
        <v>0</v>
      </c>
      <c r="O168" s="10">
        <v>0</v>
      </c>
      <c r="P168" s="10">
        <v>-498.22</v>
      </c>
      <c r="Q168" s="10">
        <v>-162.51</v>
      </c>
      <c r="R168" s="10">
        <v>-313.08</v>
      </c>
      <c r="S168" s="10">
        <v>-29.37</v>
      </c>
      <c r="T168" s="10">
        <v>-226.64</v>
      </c>
      <c r="U168" s="10">
        <v>-462.52</v>
      </c>
      <c r="V168" s="10">
        <v>-201.16</v>
      </c>
      <c r="W168" s="10">
        <v>-35.54</v>
      </c>
      <c r="X168" s="10">
        <v>-240.64</v>
      </c>
      <c r="Y168" s="10">
        <v>-220.27</v>
      </c>
      <c r="Z168" s="10">
        <v>-108.24</v>
      </c>
      <c r="AA168" s="10">
        <v>-80.040000000000006</v>
      </c>
      <c r="AB168" s="10">
        <v>-1251.5</v>
      </c>
      <c r="AC168" s="10">
        <v>-198.47</v>
      </c>
      <c r="AD168" s="10">
        <v>-138.61000000000001</v>
      </c>
      <c r="AE168" s="10">
        <v>-65.28</v>
      </c>
      <c r="AF168" s="10">
        <v>-1463.95</v>
      </c>
      <c r="AG168" s="10">
        <v>-2645.36</v>
      </c>
      <c r="AH168" s="10">
        <v>-286.3</v>
      </c>
      <c r="AI168" s="10">
        <v>-743.79</v>
      </c>
      <c r="AJ168" s="10">
        <v>-453.32</v>
      </c>
      <c r="AK168" s="10">
        <v>-192.98</v>
      </c>
      <c r="AL168" s="10">
        <v>-674.35</v>
      </c>
      <c r="AM168" s="10">
        <v>0</v>
      </c>
      <c r="AN168" s="10">
        <v>-974.41</v>
      </c>
      <c r="AO168" s="10">
        <v>-1515.45</v>
      </c>
      <c r="AP168" s="10">
        <v>-460.39</v>
      </c>
      <c r="AQ168" s="10">
        <v>-1914.9</v>
      </c>
      <c r="AR168" s="10">
        <v>-326.42</v>
      </c>
      <c r="AS168" s="10">
        <v>-1809.41</v>
      </c>
      <c r="AT168" s="10">
        <v>-240</v>
      </c>
      <c r="AU168" s="10">
        <v>0</v>
      </c>
      <c r="AV168" s="10">
        <v>0</v>
      </c>
      <c r="AW168" s="10">
        <f t="shared" si="19"/>
        <v>-20934.93</v>
      </c>
    </row>
    <row r="169" spans="1:49" x14ac:dyDescent="0.2">
      <c r="A169" s="17" t="s">
        <v>216</v>
      </c>
      <c r="B169" s="10">
        <v>-87.37</v>
      </c>
      <c r="C169" s="10">
        <v>-69.72</v>
      </c>
      <c r="D169" s="10">
        <v>-46.19</v>
      </c>
      <c r="E169" s="10">
        <v>-40.65</v>
      </c>
      <c r="F169" s="10">
        <v>0</v>
      </c>
      <c r="G169" s="10">
        <v>0</v>
      </c>
      <c r="H169" s="10">
        <v>-41.43</v>
      </c>
      <c r="I169" s="10">
        <v>0</v>
      </c>
      <c r="J169" s="10">
        <v>0</v>
      </c>
      <c r="K169" s="10">
        <v>0</v>
      </c>
      <c r="L169" s="10">
        <v>-41.43</v>
      </c>
      <c r="M169" s="10">
        <v>-41.43</v>
      </c>
      <c r="N169" s="10">
        <v>0</v>
      </c>
      <c r="O169" s="10">
        <v>-38.049999999999997</v>
      </c>
      <c r="P169" s="10">
        <v>-140.05000000000001</v>
      </c>
      <c r="Q169" s="10">
        <v>-40.65</v>
      </c>
      <c r="R169" s="10">
        <v>0</v>
      </c>
      <c r="S169" s="10">
        <v>0</v>
      </c>
      <c r="T169" s="10">
        <v>-40.65</v>
      </c>
      <c r="U169" s="10">
        <v>0</v>
      </c>
      <c r="V169" s="10">
        <v>0</v>
      </c>
      <c r="W169" s="10">
        <v>-40.65</v>
      </c>
      <c r="X169" s="10">
        <v>0</v>
      </c>
      <c r="Y169" s="10">
        <v>0</v>
      </c>
      <c r="Z169" s="10">
        <v>-40.65</v>
      </c>
      <c r="AA169" s="10">
        <v>0</v>
      </c>
      <c r="AB169" s="10">
        <v>-255.37</v>
      </c>
      <c r="AC169" s="10">
        <v>0</v>
      </c>
      <c r="AD169" s="10">
        <v>0</v>
      </c>
      <c r="AE169" s="10">
        <v>0</v>
      </c>
      <c r="AF169" s="10">
        <v>-40.65</v>
      </c>
      <c r="AG169" s="10">
        <v>0</v>
      </c>
      <c r="AH169" s="10">
        <v>-40.65</v>
      </c>
      <c r="AI169" s="10">
        <v>0</v>
      </c>
      <c r="AJ169" s="10">
        <v>0</v>
      </c>
      <c r="AK169" s="10">
        <v>0</v>
      </c>
      <c r="AL169" s="10">
        <v>-14</v>
      </c>
      <c r="AM169" s="10">
        <v>0</v>
      </c>
      <c r="AN169" s="10">
        <v>-14</v>
      </c>
      <c r="AO169" s="10">
        <v>-25.23</v>
      </c>
      <c r="AP169" s="10">
        <v>-27.63</v>
      </c>
      <c r="AQ169" s="10">
        <v>-26.74</v>
      </c>
      <c r="AR169" s="10">
        <v>-41.32</v>
      </c>
      <c r="AS169" s="10">
        <v>-26.74</v>
      </c>
      <c r="AT169" s="10">
        <v>0</v>
      </c>
      <c r="AU169" s="10">
        <v>0</v>
      </c>
      <c r="AV169" s="10">
        <v>0</v>
      </c>
      <c r="AW169" s="10">
        <f t="shared" si="19"/>
        <v>-1221.25</v>
      </c>
    </row>
    <row r="170" spans="1:49" x14ac:dyDescent="0.2">
      <c r="A170" s="17" t="s">
        <v>217</v>
      </c>
      <c r="B170" s="10">
        <v>-1845.72</v>
      </c>
      <c r="C170" s="10">
        <v>-6026.09</v>
      </c>
      <c r="D170" s="10">
        <v>-536.01</v>
      </c>
      <c r="E170" s="10">
        <v>-308.77</v>
      </c>
      <c r="F170" s="10">
        <v>-235</v>
      </c>
      <c r="G170" s="10">
        <v>-435</v>
      </c>
      <c r="H170" s="10">
        <v>-470</v>
      </c>
      <c r="I170" s="10">
        <v>-529.49</v>
      </c>
      <c r="J170" s="10">
        <v>-1270</v>
      </c>
      <c r="K170" s="10">
        <v>-518.94000000000005</v>
      </c>
      <c r="L170" s="10">
        <v>-330.05</v>
      </c>
      <c r="M170" s="10">
        <v>-435</v>
      </c>
      <c r="N170" s="10">
        <v>0</v>
      </c>
      <c r="O170" s="10">
        <v>-353.08</v>
      </c>
      <c r="P170" s="10">
        <v>-255</v>
      </c>
      <c r="Q170" s="10">
        <v>-1704.58</v>
      </c>
      <c r="R170" s="10">
        <v>-1140.3699999999999</v>
      </c>
      <c r="S170" s="10">
        <v>-978.88</v>
      </c>
      <c r="T170" s="10">
        <v>-898.88</v>
      </c>
      <c r="U170" s="10">
        <v>-1238.57</v>
      </c>
      <c r="V170" s="10">
        <v>-1768.11</v>
      </c>
      <c r="W170" s="10">
        <v>-2786.6</v>
      </c>
      <c r="X170" s="10">
        <v>-3694.53</v>
      </c>
      <c r="Y170" s="10">
        <v>-43703.49</v>
      </c>
      <c r="Z170" s="10">
        <v>-4963.8599999999997</v>
      </c>
      <c r="AA170" s="10">
        <v>-528.88</v>
      </c>
      <c r="AB170" s="10">
        <v>-1994.58</v>
      </c>
      <c r="AC170" s="10">
        <v>-1173.9100000000001</v>
      </c>
      <c r="AD170" s="10">
        <v>-3055.05</v>
      </c>
      <c r="AE170" s="10">
        <v>-9560.26</v>
      </c>
      <c r="AF170" s="10">
        <v>-757.21</v>
      </c>
      <c r="AG170" s="10">
        <v>-1047.81</v>
      </c>
      <c r="AH170" s="10">
        <v>-2250.39</v>
      </c>
      <c r="AI170" s="10">
        <v>-778.21</v>
      </c>
      <c r="AJ170" s="10">
        <v>-2809.69</v>
      </c>
      <c r="AK170" s="10">
        <v>-46789.67</v>
      </c>
      <c r="AL170" s="10">
        <v>-2569.61</v>
      </c>
      <c r="AM170" s="10">
        <v>0</v>
      </c>
      <c r="AN170" s="10">
        <v>-829.83</v>
      </c>
      <c r="AO170" s="10">
        <v>-1014.75</v>
      </c>
      <c r="AP170" s="10">
        <v>-2729.16</v>
      </c>
      <c r="AQ170" s="10">
        <v>-1935.4</v>
      </c>
      <c r="AR170" s="10">
        <v>-3366.84</v>
      </c>
      <c r="AS170" s="10">
        <v>-1020.35</v>
      </c>
      <c r="AT170" s="10">
        <v>0</v>
      </c>
      <c r="AU170" s="10">
        <v>0</v>
      </c>
      <c r="AV170" s="10">
        <v>0</v>
      </c>
      <c r="AW170" s="10">
        <f t="shared" si="19"/>
        <v>-160637.62</v>
      </c>
    </row>
    <row r="171" spans="1:49" x14ac:dyDescent="0.2">
      <c r="A171" s="17" t="s">
        <v>218</v>
      </c>
      <c r="B171" s="10">
        <v>-869.4</v>
      </c>
      <c r="C171" s="10">
        <v>0</v>
      </c>
      <c r="D171" s="10">
        <v>0</v>
      </c>
      <c r="E171" s="10">
        <v>-520</v>
      </c>
      <c r="F171" s="10">
        <v>-2988</v>
      </c>
      <c r="G171" s="10">
        <v>-4.5</v>
      </c>
      <c r="H171" s="10">
        <v>-808</v>
      </c>
      <c r="I171" s="10">
        <v>0</v>
      </c>
      <c r="J171" s="10">
        <v>-900</v>
      </c>
      <c r="K171" s="10">
        <v>0</v>
      </c>
      <c r="L171" s="10">
        <v>0</v>
      </c>
      <c r="M171" s="10">
        <v>-500</v>
      </c>
      <c r="N171" s="10">
        <v>0</v>
      </c>
      <c r="O171" s="10">
        <v>-13</v>
      </c>
      <c r="P171" s="10">
        <v>0</v>
      </c>
      <c r="Q171" s="10">
        <v>0</v>
      </c>
      <c r="R171" s="10">
        <v>-222.51</v>
      </c>
      <c r="S171" s="10">
        <v>-166.25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-270</v>
      </c>
      <c r="AA171" s="10">
        <v>0</v>
      </c>
      <c r="AB171" s="10">
        <v>0</v>
      </c>
      <c r="AC171" s="10">
        <v>0</v>
      </c>
      <c r="AD171" s="10">
        <v>0</v>
      </c>
      <c r="AE171" s="10">
        <v>-110</v>
      </c>
      <c r="AF171" s="10">
        <v>0</v>
      </c>
      <c r="AG171" s="10">
        <v>0</v>
      </c>
      <c r="AH171" s="10">
        <v>0</v>
      </c>
      <c r="AI171" s="10">
        <v>-20</v>
      </c>
      <c r="AJ171" s="10">
        <v>0</v>
      </c>
      <c r="AK171" s="10">
        <v>-5535.31</v>
      </c>
      <c r="AL171" s="10">
        <v>-5526.66</v>
      </c>
      <c r="AM171" s="10">
        <v>0</v>
      </c>
      <c r="AN171" s="10">
        <v>0</v>
      </c>
      <c r="AO171" s="10">
        <v>-7500</v>
      </c>
      <c r="AP171" s="10">
        <v>-11832.6</v>
      </c>
      <c r="AQ171" s="10">
        <v>-11851.84</v>
      </c>
      <c r="AR171" s="10">
        <v>-12409.15</v>
      </c>
      <c r="AS171" s="10">
        <v>-10000</v>
      </c>
      <c r="AT171" s="10">
        <v>-10111</v>
      </c>
      <c r="AU171" s="10">
        <v>0</v>
      </c>
      <c r="AV171" s="10">
        <v>0</v>
      </c>
      <c r="AW171" s="10">
        <f t="shared" si="19"/>
        <v>-82158.22</v>
      </c>
    </row>
    <row r="172" spans="1:49" x14ac:dyDescent="0.2">
      <c r="A172" s="17" t="s">
        <v>219</v>
      </c>
      <c r="B172" s="10">
        <v>0</v>
      </c>
      <c r="C172" s="10">
        <v>-482.27</v>
      </c>
      <c r="D172" s="10">
        <v>0</v>
      </c>
      <c r="E172" s="10">
        <v>0</v>
      </c>
      <c r="F172" s="10">
        <v>0</v>
      </c>
      <c r="G172" s="10">
        <v>0</v>
      </c>
      <c r="H172" s="10">
        <v>232.5</v>
      </c>
      <c r="I172" s="10">
        <v>41.6</v>
      </c>
      <c r="J172" s="10">
        <v>0</v>
      </c>
      <c r="K172" s="10">
        <v>0</v>
      </c>
      <c r="L172" s="10">
        <v>0</v>
      </c>
      <c r="M172" s="10">
        <v>-13070</v>
      </c>
      <c r="N172" s="10">
        <v>0</v>
      </c>
      <c r="O172" s="10">
        <v>0</v>
      </c>
      <c r="P172" s="10">
        <v>-500.69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-5190.8500000000004</v>
      </c>
      <c r="Y172" s="10">
        <v>4800</v>
      </c>
      <c r="Z172" s="10">
        <v>-15509.8</v>
      </c>
      <c r="AA172" s="10">
        <v>0</v>
      </c>
      <c r="AB172" s="10">
        <v>0</v>
      </c>
      <c r="AC172" s="10">
        <v>-691.46</v>
      </c>
      <c r="AD172" s="10">
        <v>0</v>
      </c>
      <c r="AE172" s="10">
        <v>0</v>
      </c>
      <c r="AF172" s="10">
        <v>-462.5</v>
      </c>
      <c r="AG172" s="10">
        <v>0</v>
      </c>
      <c r="AH172" s="10">
        <v>0</v>
      </c>
      <c r="AI172" s="10">
        <v>0</v>
      </c>
      <c r="AJ172" s="10">
        <v>-1247.95</v>
      </c>
      <c r="AK172" s="10">
        <v>0</v>
      </c>
      <c r="AL172" s="10">
        <v>-16800</v>
      </c>
      <c r="AM172" s="10">
        <v>0</v>
      </c>
      <c r="AN172" s="10">
        <v>0</v>
      </c>
      <c r="AO172" s="10">
        <v>0</v>
      </c>
      <c r="AP172" s="10">
        <v>0</v>
      </c>
      <c r="AQ172" s="10">
        <v>0</v>
      </c>
      <c r="AR172" s="10">
        <v>0</v>
      </c>
      <c r="AS172" s="10">
        <v>-616.28</v>
      </c>
      <c r="AT172" s="10">
        <v>0</v>
      </c>
      <c r="AU172" s="10">
        <v>0</v>
      </c>
      <c r="AV172" s="10">
        <v>0</v>
      </c>
      <c r="AW172" s="10">
        <f t="shared" si="19"/>
        <v>-49497.7</v>
      </c>
    </row>
    <row r="173" spans="1:49" x14ac:dyDescent="0.2">
      <c r="A173" s="17" t="s">
        <v>220</v>
      </c>
      <c r="B173" s="10">
        <v>-800</v>
      </c>
      <c r="C173" s="10">
        <v>-800</v>
      </c>
      <c r="D173" s="10">
        <v>-800</v>
      </c>
      <c r="E173" s="10">
        <v>-800</v>
      </c>
      <c r="F173" s="10">
        <v>-800</v>
      </c>
      <c r="G173" s="10">
        <v>-800</v>
      </c>
      <c r="H173" s="10">
        <v>-800</v>
      </c>
      <c r="I173" s="10">
        <v>-800</v>
      </c>
      <c r="J173" s="10">
        <v>-800</v>
      </c>
      <c r="K173" s="10">
        <v>-6575</v>
      </c>
      <c r="L173" s="10">
        <v>-800</v>
      </c>
      <c r="M173" s="10">
        <v>-800</v>
      </c>
      <c r="N173" s="10">
        <v>0</v>
      </c>
      <c r="O173" s="10">
        <v>-800</v>
      </c>
      <c r="P173" s="10">
        <v>-800</v>
      </c>
      <c r="Q173" s="10">
        <v>-800</v>
      </c>
      <c r="R173" s="10">
        <v>-800</v>
      </c>
      <c r="S173" s="10">
        <v>-800</v>
      </c>
      <c r="T173" s="10">
        <v>-800</v>
      </c>
      <c r="U173" s="10">
        <v>-800</v>
      </c>
      <c r="V173" s="10">
        <v>-800</v>
      </c>
      <c r="W173" s="10">
        <v>-800</v>
      </c>
      <c r="X173" s="10">
        <v>-800</v>
      </c>
      <c r="Y173" s="10">
        <v>-800</v>
      </c>
      <c r="Z173" s="10">
        <v>-800</v>
      </c>
      <c r="AA173" s="10">
        <v>-800</v>
      </c>
      <c r="AB173" s="10">
        <v>-800</v>
      </c>
      <c r="AC173" s="10">
        <v>-800</v>
      </c>
      <c r="AD173" s="10">
        <v>-800</v>
      </c>
      <c r="AE173" s="10">
        <v>-800</v>
      </c>
      <c r="AF173" s="10">
        <v>-800</v>
      </c>
      <c r="AG173" s="10">
        <v>-800</v>
      </c>
      <c r="AH173" s="10">
        <v>-800</v>
      </c>
      <c r="AI173" s="10">
        <v>-800</v>
      </c>
      <c r="AJ173" s="10">
        <v>-800</v>
      </c>
      <c r="AK173" s="10">
        <v>-800</v>
      </c>
      <c r="AL173" s="10">
        <v>-800</v>
      </c>
      <c r="AM173" s="10">
        <v>0</v>
      </c>
      <c r="AN173" s="10">
        <v>-800</v>
      </c>
      <c r="AO173" s="10">
        <v>-800</v>
      </c>
      <c r="AP173" s="10">
        <v>-800</v>
      </c>
      <c r="AQ173" s="10">
        <v>-800</v>
      </c>
      <c r="AR173" s="10">
        <v>-800</v>
      </c>
      <c r="AS173" s="10">
        <v>-800</v>
      </c>
      <c r="AT173" s="10">
        <v>-800</v>
      </c>
      <c r="AU173" s="10">
        <v>0</v>
      </c>
      <c r="AV173" s="10">
        <v>0</v>
      </c>
      <c r="AW173" s="10">
        <f t="shared" si="19"/>
        <v>-40175</v>
      </c>
    </row>
    <row r="174" spans="1:49" x14ac:dyDescent="0.2">
      <c r="A174" s="17" t="s">
        <v>221</v>
      </c>
      <c r="B174" s="10">
        <v>-279.95999999999998</v>
      </c>
      <c r="C174" s="10">
        <v>-244.97</v>
      </c>
      <c r="D174" s="10">
        <v>-209.97</v>
      </c>
      <c r="E174" s="10">
        <v>-209.97</v>
      </c>
      <c r="F174" s="10">
        <v>-209.97</v>
      </c>
      <c r="G174" s="10">
        <v>-209.97</v>
      </c>
      <c r="H174" s="10">
        <v>-209.97</v>
      </c>
      <c r="I174" s="10">
        <v>-209.97</v>
      </c>
      <c r="J174" s="10">
        <v>-577.62</v>
      </c>
      <c r="K174" s="10">
        <v>-1206.08</v>
      </c>
      <c r="L174" s="10">
        <v>-209.97</v>
      </c>
      <c r="M174" s="10">
        <v>-209.97</v>
      </c>
      <c r="N174" s="10">
        <v>0</v>
      </c>
      <c r="O174" s="10">
        <v>-209.97</v>
      </c>
      <c r="P174" s="10">
        <v>-209.97</v>
      </c>
      <c r="Q174" s="10">
        <v>0</v>
      </c>
      <c r="R174" s="10">
        <v>-279.95999999999998</v>
      </c>
      <c r="S174" s="10">
        <v>-279.95999999999998</v>
      </c>
      <c r="T174" s="10">
        <v>-279.95999999999998</v>
      </c>
      <c r="U174" s="10">
        <v>-279.95999999999998</v>
      </c>
      <c r="V174" s="10">
        <v>-279.95999999999998</v>
      </c>
      <c r="W174" s="10">
        <v>-279.95999999999998</v>
      </c>
      <c r="X174" s="10">
        <v>-1076.6199999999999</v>
      </c>
      <c r="Y174" s="10">
        <v>-679.96</v>
      </c>
      <c r="Z174" s="10">
        <v>-279.95999999999998</v>
      </c>
      <c r="AA174" s="10">
        <v>-279.95999999999998</v>
      </c>
      <c r="AB174" s="10">
        <v>-386.93</v>
      </c>
      <c r="AC174" s="10">
        <v>-279.95999999999998</v>
      </c>
      <c r="AD174" s="10">
        <v>-279.95999999999998</v>
      </c>
      <c r="AE174" s="10">
        <v>-279.95999999999998</v>
      </c>
      <c r="AF174" s="10">
        <v>-279.95999999999998</v>
      </c>
      <c r="AG174" s="10">
        <v>-279.95999999999998</v>
      </c>
      <c r="AH174" s="10">
        <v>-279.95999999999998</v>
      </c>
      <c r="AI174" s="10">
        <v>-335.79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10">
        <v>0</v>
      </c>
      <c r="AQ174" s="10">
        <v>0</v>
      </c>
      <c r="AR174" s="10">
        <v>0</v>
      </c>
      <c r="AS174" s="10">
        <v>0</v>
      </c>
      <c r="AT174" s="10">
        <v>0</v>
      </c>
      <c r="AU174" s="10">
        <v>0</v>
      </c>
      <c r="AV174" s="10">
        <v>0</v>
      </c>
      <c r="AW174" s="10">
        <f t="shared" si="19"/>
        <v>-10807.069999999996</v>
      </c>
    </row>
    <row r="175" spans="1:49" x14ac:dyDescent="0.2">
      <c r="A175" s="17" t="s">
        <v>222</v>
      </c>
      <c r="B175" s="10">
        <v>0</v>
      </c>
      <c r="C175" s="10">
        <v>-1872</v>
      </c>
      <c r="D175" s="10">
        <v>-6061.7</v>
      </c>
      <c r="E175" s="10">
        <v>-17.34</v>
      </c>
      <c r="F175" s="10">
        <v>-10048.27</v>
      </c>
      <c r="G175" s="10">
        <v>2736.88</v>
      </c>
      <c r="H175" s="10">
        <v>-335.05</v>
      </c>
      <c r="I175" s="10">
        <v>-5431.15</v>
      </c>
      <c r="J175" s="10">
        <v>-3283.32</v>
      </c>
      <c r="K175" s="10">
        <v>-1044.1099999999999</v>
      </c>
      <c r="L175" s="10">
        <v>-1755.1</v>
      </c>
      <c r="M175" s="10">
        <v>-2492.48</v>
      </c>
      <c r="N175" s="10">
        <v>0</v>
      </c>
      <c r="O175" s="10">
        <v>-8646.18</v>
      </c>
      <c r="P175" s="10">
        <v>-3111.97</v>
      </c>
      <c r="Q175" s="10">
        <v>-4171.92</v>
      </c>
      <c r="R175" s="10">
        <v>-3870.77</v>
      </c>
      <c r="S175" s="10">
        <v>-3757.69</v>
      </c>
      <c r="T175" s="10">
        <v>-3315.72</v>
      </c>
      <c r="U175" s="10">
        <v>-3388.68</v>
      </c>
      <c r="V175" s="10">
        <v>-3388.63</v>
      </c>
      <c r="W175" s="10">
        <v>-3315.74</v>
      </c>
      <c r="X175" s="10">
        <v>-2673.98</v>
      </c>
      <c r="Y175" s="10">
        <v>-3455.17</v>
      </c>
      <c r="Z175" s="10">
        <v>-3727.6</v>
      </c>
      <c r="AA175" s="10">
        <v>-3662.54</v>
      </c>
      <c r="AB175" s="10">
        <v>-3365.29</v>
      </c>
      <c r="AC175" s="10">
        <v>-3744.1</v>
      </c>
      <c r="AD175" s="10">
        <v>-3868.65</v>
      </c>
      <c r="AE175" s="10">
        <v>-3345.91</v>
      </c>
      <c r="AF175" s="10">
        <v>-2944.6</v>
      </c>
      <c r="AG175" s="10">
        <v>-3030.43</v>
      </c>
      <c r="AH175" s="10">
        <v>-3790.95</v>
      </c>
      <c r="AI175" s="10">
        <v>-4047.8</v>
      </c>
      <c r="AJ175" s="10">
        <v>-4255.75</v>
      </c>
      <c r="AK175" s="10">
        <v>-4170.18</v>
      </c>
      <c r="AL175" s="10">
        <v>-4397.66</v>
      </c>
      <c r="AM175" s="10">
        <v>0</v>
      </c>
      <c r="AN175" s="10">
        <v>-4347.97</v>
      </c>
      <c r="AO175" s="10">
        <v>-4781.51</v>
      </c>
      <c r="AP175" s="10">
        <v>-5854.06</v>
      </c>
      <c r="AQ175" s="10">
        <v>-7023.23</v>
      </c>
      <c r="AR175" s="10">
        <v>-6199.54</v>
      </c>
      <c r="AS175" s="10">
        <v>-6575.28</v>
      </c>
      <c r="AT175" s="10">
        <v>-249.01</v>
      </c>
      <c r="AU175" s="10">
        <v>0</v>
      </c>
      <c r="AV175" s="10">
        <v>0</v>
      </c>
      <c r="AW175" s="10">
        <f t="shared" si="19"/>
        <v>-156082.15000000002</v>
      </c>
    </row>
    <row r="176" spans="1:49" x14ac:dyDescent="0.2">
      <c r="A176" s="17" t="s">
        <v>223</v>
      </c>
      <c r="B176" s="10">
        <v>-8900</v>
      </c>
      <c r="C176" s="10">
        <v>-8900</v>
      </c>
      <c r="D176" s="10">
        <v>-8900</v>
      </c>
      <c r="E176" s="10">
        <v>-8900</v>
      </c>
      <c r="F176" s="10">
        <v>-8900</v>
      </c>
      <c r="G176" s="10">
        <v>-8900</v>
      </c>
      <c r="H176" s="10">
        <v>-8900</v>
      </c>
      <c r="I176" s="10">
        <v>-8900</v>
      </c>
      <c r="J176" s="10">
        <v>-8900</v>
      </c>
      <c r="K176" s="10">
        <v>-19075</v>
      </c>
      <c r="L176" s="10">
        <v>-8900</v>
      </c>
      <c r="M176" s="10">
        <v>-8900</v>
      </c>
      <c r="N176" s="10">
        <v>0</v>
      </c>
      <c r="O176" s="10">
        <v>-8900</v>
      </c>
      <c r="P176" s="10">
        <v>-8900</v>
      </c>
      <c r="Q176" s="10">
        <v>-8900</v>
      </c>
      <c r="R176" s="10">
        <v>-15000</v>
      </c>
      <c r="S176" s="10">
        <v>-15000</v>
      </c>
      <c r="T176" s="10">
        <v>-10000</v>
      </c>
      <c r="U176" s="10">
        <v>-10000</v>
      </c>
      <c r="V176" s="10">
        <v>-10000</v>
      </c>
      <c r="W176" s="10">
        <v>0</v>
      </c>
      <c r="X176" s="10">
        <v>0</v>
      </c>
      <c r="Y176" s="10">
        <v>0</v>
      </c>
      <c r="Z176" s="10">
        <v>0</v>
      </c>
      <c r="AA176" s="10">
        <v>-7225</v>
      </c>
      <c r="AB176" s="10">
        <v>-7225</v>
      </c>
      <c r="AC176" s="10">
        <v>-7225</v>
      </c>
      <c r="AD176" s="10">
        <v>-7225</v>
      </c>
      <c r="AE176" s="10">
        <v>-7225</v>
      </c>
      <c r="AF176" s="10">
        <v>-7225</v>
      </c>
      <c r="AG176" s="10">
        <v>-7225</v>
      </c>
      <c r="AH176" s="10">
        <v>-7225</v>
      </c>
      <c r="AI176" s="10">
        <v>-12400</v>
      </c>
      <c r="AJ176" s="10">
        <v>-12400</v>
      </c>
      <c r="AK176" s="10">
        <v>-12400</v>
      </c>
      <c r="AL176" s="10">
        <v>-12400</v>
      </c>
      <c r="AM176" s="10">
        <v>0</v>
      </c>
      <c r="AN176" s="10">
        <v>-12400</v>
      </c>
      <c r="AO176" s="10">
        <v>-12400</v>
      </c>
      <c r="AP176" s="10">
        <v>-12400</v>
      </c>
      <c r="AQ176" s="10">
        <v>-12400</v>
      </c>
      <c r="AR176" s="10">
        <v>-12400</v>
      </c>
      <c r="AS176" s="10">
        <v>-12400</v>
      </c>
      <c r="AT176" s="10">
        <v>-12400</v>
      </c>
      <c r="AU176" s="10">
        <v>0</v>
      </c>
      <c r="AV176" s="10">
        <v>0</v>
      </c>
      <c r="AW176" s="10">
        <f t="shared" si="19"/>
        <v>-397875</v>
      </c>
    </row>
    <row r="177" spans="1:49" x14ac:dyDescent="0.2">
      <c r="A177" s="17" t="s">
        <v>224</v>
      </c>
      <c r="B177" s="10">
        <v>-210.31</v>
      </c>
      <c r="C177" s="10">
        <v>-3952.44</v>
      </c>
      <c r="D177" s="10">
        <v>-1221.48</v>
      </c>
      <c r="E177" s="10">
        <v>-258.52999999999997</v>
      </c>
      <c r="F177" s="10">
        <v>-277.23</v>
      </c>
      <c r="G177" s="10">
        <v>-1202.31</v>
      </c>
      <c r="H177" s="10">
        <v>-893.67</v>
      </c>
      <c r="I177" s="10">
        <v>-5268.64</v>
      </c>
      <c r="J177" s="10">
        <v>-865.47</v>
      </c>
      <c r="K177" s="10">
        <v>-291.13</v>
      </c>
      <c r="L177" s="10">
        <v>-274.89</v>
      </c>
      <c r="M177" s="10">
        <v>-1407.04</v>
      </c>
      <c r="N177" s="10">
        <v>0</v>
      </c>
      <c r="O177" s="10">
        <v>-236.3</v>
      </c>
      <c r="P177" s="10">
        <v>-4292.29</v>
      </c>
      <c r="Q177" s="10">
        <v>-1675.76</v>
      </c>
      <c r="R177" s="10">
        <v>-1142.3499999999999</v>
      </c>
      <c r="S177" s="10">
        <v>-318.66000000000003</v>
      </c>
      <c r="T177" s="10">
        <v>-1446.07</v>
      </c>
      <c r="U177" s="10">
        <v>-457.01</v>
      </c>
      <c r="V177" s="10">
        <v>-4207.62</v>
      </c>
      <c r="W177" s="10">
        <v>-1499.63</v>
      </c>
      <c r="X177" s="10">
        <v>-469.68</v>
      </c>
      <c r="Y177" s="10">
        <v>-638.64</v>
      </c>
      <c r="Z177" s="10">
        <v>-8222.89</v>
      </c>
      <c r="AA177" s="10">
        <v>-288.02</v>
      </c>
      <c r="AB177" s="10">
        <v>-6068.33</v>
      </c>
      <c r="AC177" s="10">
        <v>4580.4399999999996</v>
      </c>
      <c r="AD177" s="10">
        <v>-643.1</v>
      </c>
      <c r="AE177" s="10">
        <v>-317.77999999999997</v>
      </c>
      <c r="AF177" s="10">
        <v>-1542.05</v>
      </c>
      <c r="AG177" s="10">
        <v>-217.09</v>
      </c>
      <c r="AH177" s="10">
        <v>-6864.57</v>
      </c>
      <c r="AI177" s="10">
        <v>-1631.01</v>
      </c>
      <c r="AJ177" s="10">
        <v>-221.59</v>
      </c>
      <c r="AK177" s="10">
        <v>-316.70999999999998</v>
      </c>
      <c r="AL177" s="10">
        <v>-7398.92</v>
      </c>
      <c r="AM177" s="10">
        <v>0</v>
      </c>
      <c r="AN177" s="10">
        <v>-252.22</v>
      </c>
      <c r="AO177" s="10">
        <v>-346.94</v>
      </c>
      <c r="AP177" s="10">
        <v>-1515.86</v>
      </c>
      <c r="AQ177" s="10">
        <v>-416.52</v>
      </c>
      <c r="AR177" s="10">
        <v>-323.23</v>
      </c>
      <c r="AS177" s="10">
        <v>-1482.01</v>
      </c>
      <c r="AT177" s="10">
        <v>-293.89</v>
      </c>
      <c r="AU177" s="10">
        <v>0</v>
      </c>
      <c r="AV177" s="10">
        <v>0</v>
      </c>
      <c r="AW177" s="10">
        <f t="shared" si="19"/>
        <v>-66289.439999999988</v>
      </c>
    </row>
    <row r="178" spans="1:49" x14ac:dyDescent="0.2">
      <c r="A178" s="17" t="s">
        <v>225</v>
      </c>
      <c r="B178" s="10">
        <v>0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-7153.22</v>
      </c>
      <c r="K178" s="10">
        <v>0</v>
      </c>
      <c r="L178" s="10">
        <v>0</v>
      </c>
      <c r="M178" s="10">
        <v>-5419.42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-459.05</v>
      </c>
      <c r="AI178" s="10">
        <v>0</v>
      </c>
      <c r="AJ178" s="10">
        <v>0</v>
      </c>
      <c r="AK178" s="10">
        <v>0</v>
      </c>
      <c r="AL178" s="10">
        <v>-39045.82</v>
      </c>
      <c r="AM178" s="10">
        <v>0</v>
      </c>
      <c r="AN178" s="10">
        <v>0</v>
      </c>
      <c r="AO178" s="10">
        <v>0</v>
      </c>
      <c r="AP178" s="10">
        <v>-1246.27</v>
      </c>
      <c r="AQ178" s="10">
        <v>0</v>
      </c>
      <c r="AR178" s="10">
        <v>0</v>
      </c>
      <c r="AS178" s="10">
        <v>0</v>
      </c>
      <c r="AT178" s="10">
        <v>0</v>
      </c>
      <c r="AU178" s="10">
        <v>0</v>
      </c>
      <c r="AV178" s="10">
        <v>0</v>
      </c>
      <c r="AW178" s="10">
        <f t="shared" si="19"/>
        <v>-53323.779999999992</v>
      </c>
    </row>
    <row r="179" spans="1:49" x14ac:dyDescent="0.2">
      <c r="A179" s="17" t="s">
        <v>226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-2259.61</v>
      </c>
      <c r="N179" s="10">
        <v>0</v>
      </c>
      <c r="O179" s="10">
        <v>1920.13</v>
      </c>
      <c r="P179" s="10">
        <v>803.32</v>
      </c>
      <c r="Q179" s="10">
        <v>4859.1099999999997</v>
      </c>
      <c r="R179" s="10">
        <v>-7705.7</v>
      </c>
      <c r="S179" s="10">
        <v>-3179.37</v>
      </c>
      <c r="T179" s="10">
        <v>12298.12</v>
      </c>
      <c r="U179" s="10">
        <v>1775.95</v>
      </c>
      <c r="V179" s="10">
        <v>1998.34</v>
      </c>
      <c r="W179" s="10">
        <v>15679.14</v>
      </c>
      <c r="X179" s="10">
        <v>6145.11</v>
      </c>
      <c r="Y179" s="10">
        <v>-11626.6</v>
      </c>
      <c r="Z179" s="10">
        <v>-2244.15</v>
      </c>
      <c r="AA179" s="10">
        <v>6517.93</v>
      </c>
      <c r="AB179" s="10">
        <v>-2427.85</v>
      </c>
      <c r="AC179" s="10">
        <v>7776.94</v>
      </c>
      <c r="AD179" s="10">
        <v>40395.56</v>
      </c>
      <c r="AE179" s="10">
        <v>-14767.99</v>
      </c>
      <c r="AF179" s="10">
        <v>36009.49</v>
      </c>
      <c r="AG179" s="10">
        <v>19961.75</v>
      </c>
      <c r="AH179" s="10">
        <v>-48539.55</v>
      </c>
      <c r="AI179" s="10">
        <v>13332.13</v>
      </c>
      <c r="AJ179" s="10">
        <v>-25868.12</v>
      </c>
      <c r="AK179" s="10">
        <v>-24932.38</v>
      </c>
      <c r="AL179" s="10">
        <v>-7054.02</v>
      </c>
      <c r="AM179" s="10">
        <v>0</v>
      </c>
      <c r="AN179" s="10">
        <v>-10983.65</v>
      </c>
      <c r="AO179" s="10">
        <v>14399.33</v>
      </c>
      <c r="AP179" s="10">
        <v>-12214.25</v>
      </c>
      <c r="AQ179" s="10">
        <v>-7235.23</v>
      </c>
      <c r="AR179" s="10">
        <v>31066.58</v>
      </c>
      <c r="AS179" s="10">
        <v>-20876.5</v>
      </c>
      <c r="AT179" s="10">
        <v>-8395.9599999999991</v>
      </c>
      <c r="AU179" s="10">
        <v>-20561.8</v>
      </c>
      <c r="AV179" s="10">
        <v>0</v>
      </c>
      <c r="AW179" s="10">
        <f t="shared" si="19"/>
        <v>-15933.799999999992</v>
      </c>
    </row>
    <row r="180" spans="1:49" x14ac:dyDescent="0.2">
      <c r="A180" s="17" t="s">
        <v>227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-22828.240000000002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-7956.04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-80495.56</v>
      </c>
      <c r="AM180" s="10">
        <v>0</v>
      </c>
      <c r="AN180" s="10">
        <v>0</v>
      </c>
      <c r="AO180" s="10">
        <v>0</v>
      </c>
      <c r="AP180" s="10">
        <v>0</v>
      </c>
      <c r="AQ180" s="10">
        <v>0</v>
      </c>
      <c r="AR180" s="10">
        <v>0</v>
      </c>
      <c r="AS180" s="10">
        <v>0</v>
      </c>
      <c r="AT180" s="10">
        <v>0</v>
      </c>
      <c r="AU180" s="10">
        <v>0</v>
      </c>
      <c r="AV180" s="10">
        <v>0</v>
      </c>
      <c r="AW180" s="10">
        <f t="shared" si="19"/>
        <v>-111279.84</v>
      </c>
    </row>
    <row r="181" spans="1:49" x14ac:dyDescent="0.2">
      <c r="A181" s="17" t="s">
        <v>228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-0.01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0.01</v>
      </c>
      <c r="AM181" s="10">
        <v>0</v>
      </c>
      <c r="AN181" s="10">
        <v>0</v>
      </c>
      <c r="AO181" s="10">
        <v>0</v>
      </c>
      <c r="AP181" s="10">
        <v>0</v>
      </c>
      <c r="AQ181" s="10">
        <v>0</v>
      </c>
      <c r="AR181" s="10">
        <v>0</v>
      </c>
      <c r="AS181" s="10">
        <v>0</v>
      </c>
      <c r="AT181" s="10">
        <v>0</v>
      </c>
      <c r="AU181" s="10">
        <v>0</v>
      </c>
      <c r="AV181" s="10">
        <v>0</v>
      </c>
      <c r="AW181" s="10">
        <f t="shared" si="19"/>
        <v>0</v>
      </c>
    </row>
    <row r="182" spans="1:49" x14ac:dyDescent="0.2">
      <c r="A182" s="17" t="s">
        <v>229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-1305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-1698</v>
      </c>
      <c r="AA182" s="10">
        <v>0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0</v>
      </c>
      <c r="AL182" s="10">
        <v>753</v>
      </c>
      <c r="AM182" s="10">
        <v>0</v>
      </c>
      <c r="AN182" s="10">
        <v>0</v>
      </c>
      <c r="AO182" s="10">
        <v>0</v>
      </c>
      <c r="AP182" s="10">
        <v>0</v>
      </c>
      <c r="AQ182" s="10">
        <v>0</v>
      </c>
      <c r="AR182" s="10">
        <v>0</v>
      </c>
      <c r="AS182" s="10">
        <v>0</v>
      </c>
      <c r="AT182" s="10">
        <v>0</v>
      </c>
      <c r="AU182" s="10">
        <v>0</v>
      </c>
      <c r="AV182" s="10">
        <v>0</v>
      </c>
      <c r="AW182" s="10">
        <f t="shared" si="19"/>
        <v>-2250</v>
      </c>
    </row>
    <row r="183" spans="1:49" x14ac:dyDescent="0.2">
      <c r="A183" s="17" t="s">
        <v>230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-7200</v>
      </c>
      <c r="I183" s="10">
        <v>-2400</v>
      </c>
      <c r="J183" s="10">
        <v>-2400</v>
      </c>
      <c r="K183" s="10">
        <v>-2400</v>
      </c>
      <c r="L183" s="10">
        <v>-2400</v>
      </c>
      <c r="M183" s="10">
        <v>-2400</v>
      </c>
      <c r="N183" s="10">
        <v>0</v>
      </c>
      <c r="O183" s="10">
        <v>-2400</v>
      </c>
      <c r="P183" s="10">
        <v>-2400</v>
      </c>
      <c r="Q183" s="10">
        <v>-2400</v>
      </c>
      <c r="R183" s="10">
        <v>-2400</v>
      </c>
      <c r="S183" s="10">
        <v>-2400</v>
      </c>
      <c r="T183" s="10">
        <v>-2400</v>
      </c>
      <c r="U183" s="10">
        <v>-2400</v>
      </c>
      <c r="V183" s="10">
        <v>-2400</v>
      </c>
      <c r="W183" s="10">
        <v>-2400</v>
      </c>
      <c r="X183" s="10">
        <v>-2400</v>
      </c>
      <c r="Y183" s="10">
        <v>-2400</v>
      </c>
      <c r="Z183" s="10">
        <v>-2400</v>
      </c>
      <c r="AA183" s="10">
        <v>-2400</v>
      </c>
      <c r="AB183" s="10">
        <v>-2400</v>
      </c>
      <c r="AC183" s="10">
        <v>-2400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63888</v>
      </c>
      <c r="AJ183" s="10">
        <v>0</v>
      </c>
      <c r="AK183" s="10">
        <v>0</v>
      </c>
      <c r="AL183" s="10">
        <v>-56688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f t="shared" si="19"/>
        <v>-48000</v>
      </c>
    </row>
    <row r="184" spans="1:49" x14ac:dyDescent="0.2">
      <c r="A184" s="17" t="s">
        <v>231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-3607.95</v>
      </c>
      <c r="AK184" s="10">
        <v>0</v>
      </c>
      <c r="AL184" s="10">
        <v>-0.01</v>
      </c>
      <c r="AM184" s="10">
        <v>0</v>
      </c>
      <c r="AN184" s="10">
        <v>0.01</v>
      </c>
      <c r="AO184" s="10">
        <v>0</v>
      </c>
      <c r="AP184" s="10">
        <v>0</v>
      </c>
      <c r="AQ184" s="10">
        <v>0</v>
      </c>
      <c r="AR184" s="10">
        <v>0</v>
      </c>
      <c r="AS184" s="10">
        <v>0</v>
      </c>
      <c r="AT184" s="10">
        <v>0</v>
      </c>
      <c r="AU184" s="10">
        <v>0</v>
      </c>
      <c r="AV184" s="10">
        <v>0</v>
      </c>
      <c r="AW184" s="10">
        <f t="shared" si="19"/>
        <v>-3607.95</v>
      </c>
    </row>
    <row r="185" spans="1:49" x14ac:dyDescent="0.2">
      <c r="A185" s="17" t="s">
        <v>232</v>
      </c>
      <c r="B185" s="10">
        <v>0</v>
      </c>
      <c r="C185" s="10">
        <v>10850</v>
      </c>
      <c r="D185" s="10">
        <v>0</v>
      </c>
      <c r="E185" s="10">
        <v>0</v>
      </c>
      <c r="F185" s="10">
        <v>0</v>
      </c>
      <c r="G185" s="10">
        <v>0</v>
      </c>
      <c r="H185" s="10">
        <v>-45000</v>
      </c>
      <c r="I185" s="10">
        <v>0</v>
      </c>
      <c r="J185" s="10">
        <v>45000</v>
      </c>
      <c r="K185" s="10">
        <v>0</v>
      </c>
      <c r="L185" s="10">
        <v>0</v>
      </c>
      <c r="M185" s="10">
        <v>-50482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50482</v>
      </c>
      <c r="Z185" s="10">
        <v>-49668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17498</v>
      </c>
      <c r="AI185" s="10">
        <v>0</v>
      </c>
      <c r="AJ185" s="10">
        <v>0</v>
      </c>
      <c r="AK185" s="10">
        <v>32170</v>
      </c>
      <c r="AL185" s="10">
        <v>-80011</v>
      </c>
      <c r="AM185" s="10">
        <v>0</v>
      </c>
      <c r="AN185" s="10">
        <v>0</v>
      </c>
      <c r="AO185" s="10">
        <v>0</v>
      </c>
      <c r="AP185" s="10">
        <v>0</v>
      </c>
      <c r="AQ185" s="10">
        <v>0</v>
      </c>
      <c r="AR185" s="10">
        <v>80011</v>
      </c>
      <c r="AS185" s="10">
        <v>0</v>
      </c>
      <c r="AT185" s="10">
        <v>0</v>
      </c>
      <c r="AU185" s="10">
        <v>0</v>
      </c>
      <c r="AV185" s="10">
        <v>0</v>
      </c>
      <c r="AW185" s="10">
        <f t="shared" si="19"/>
        <v>10850</v>
      </c>
    </row>
    <row r="186" spans="1:49" x14ac:dyDescent="0.2">
      <c r="A186" s="17" t="s">
        <v>233</v>
      </c>
      <c r="B186" s="10">
        <v>-10104.799999999999</v>
      </c>
      <c r="C186" s="10">
        <v>-10990.37</v>
      </c>
      <c r="D186" s="10">
        <v>-16212.5</v>
      </c>
      <c r="E186" s="10">
        <v>-8849.6</v>
      </c>
      <c r="F186" s="10">
        <v>-8546.4</v>
      </c>
      <c r="G186" s="10">
        <v>-19433.599999999999</v>
      </c>
      <c r="H186" s="10">
        <v>-10480.290000000001</v>
      </c>
      <c r="I186" s="10">
        <v>-9800</v>
      </c>
      <c r="J186" s="10">
        <v>-26922.080000000002</v>
      </c>
      <c r="K186" s="10">
        <v>-10578.33</v>
      </c>
      <c r="L186" s="10">
        <v>-9159.4500000000007</v>
      </c>
      <c r="M186" s="10">
        <v>-34071.29</v>
      </c>
      <c r="N186" s="10">
        <v>0</v>
      </c>
      <c r="O186" s="10">
        <v>-9849.58</v>
      </c>
      <c r="P186" s="10">
        <v>-9849.58</v>
      </c>
      <c r="Q186" s="10">
        <v>-44849.58</v>
      </c>
      <c r="R186" s="10">
        <v>-9849.58</v>
      </c>
      <c r="S186" s="10">
        <v>-9849.58</v>
      </c>
      <c r="T186" s="10">
        <v>-36235.910000000003</v>
      </c>
      <c r="U186" s="10">
        <v>-9849.58</v>
      </c>
      <c r="V186" s="10">
        <v>-9849.58</v>
      </c>
      <c r="W186" s="10">
        <v>-19949.580000000002</v>
      </c>
      <c r="X186" s="10">
        <v>-17885.689999999999</v>
      </c>
      <c r="Y186" s="10">
        <v>-10549.9</v>
      </c>
      <c r="Z186" s="10">
        <v>-41181.879999999997</v>
      </c>
      <c r="AA186" s="10">
        <v>-9940</v>
      </c>
      <c r="AB186" s="10">
        <v>-9999.6</v>
      </c>
      <c r="AC186" s="10">
        <v>-29949.82</v>
      </c>
      <c r="AD186" s="10">
        <v>-10000</v>
      </c>
      <c r="AE186" s="10">
        <v>-9800</v>
      </c>
      <c r="AF186" s="10">
        <v>-33264.81</v>
      </c>
      <c r="AG186" s="10">
        <v>-9905.2999999999993</v>
      </c>
      <c r="AH186" s="10">
        <v>-10000</v>
      </c>
      <c r="AI186" s="10">
        <v>-23818.6</v>
      </c>
      <c r="AJ186" s="10">
        <v>-11061.6</v>
      </c>
      <c r="AK186" s="10">
        <v>-10195.98</v>
      </c>
      <c r="AL186" s="10">
        <v>-17278.75</v>
      </c>
      <c r="AM186" s="10">
        <v>0</v>
      </c>
      <c r="AN186" s="10">
        <v>-9072.8700000000008</v>
      </c>
      <c r="AO186" s="10">
        <v>-9345.2999999999993</v>
      </c>
      <c r="AP186" s="10">
        <v>-23692.27</v>
      </c>
      <c r="AQ186" s="10">
        <v>-8000</v>
      </c>
      <c r="AR186" s="10">
        <v>-9194.2199999999993</v>
      </c>
      <c r="AS186" s="10">
        <v>-21687.32</v>
      </c>
      <c r="AT186" s="10">
        <v>-8100</v>
      </c>
      <c r="AU186" s="10">
        <v>0</v>
      </c>
      <c r="AV186" s="10">
        <v>0</v>
      </c>
      <c r="AW186" s="10">
        <f t="shared" si="19"/>
        <v>-679205.16999999993</v>
      </c>
    </row>
    <row r="187" spans="1:49" x14ac:dyDescent="0.2">
      <c r="A187" s="17" t="s">
        <v>234</v>
      </c>
      <c r="B187" s="10">
        <v>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-10108.85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10">
        <v>0</v>
      </c>
      <c r="AQ187" s="10">
        <v>0</v>
      </c>
      <c r="AR187" s="10">
        <v>0</v>
      </c>
      <c r="AS187" s="10">
        <v>0</v>
      </c>
      <c r="AT187" s="10">
        <v>0</v>
      </c>
      <c r="AU187" s="10">
        <v>0</v>
      </c>
      <c r="AV187" s="10">
        <v>0</v>
      </c>
      <c r="AW187" s="10">
        <f t="shared" si="19"/>
        <v>-10108.85</v>
      </c>
    </row>
    <row r="188" spans="1:49" x14ac:dyDescent="0.2">
      <c r="A188" s="15" t="s">
        <v>235</v>
      </c>
      <c r="B188" s="14">
        <f t="shared" ref="B188:AW188" si="20">SUM(B101:B187)</f>
        <v>-201885.94999999995</v>
      </c>
      <c r="C188" s="14">
        <f t="shared" si="20"/>
        <v>-202876.77999999997</v>
      </c>
      <c r="D188" s="14">
        <f t="shared" si="20"/>
        <v>-167323.81000000003</v>
      </c>
      <c r="E188" s="14">
        <f t="shared" si="20"/>
        <v>-94609.299999999988</v>
      </c>
      <c r="F188" s="14">
        <f t="shared" si="20"/>
        <v>-111475.11999999998</v>
      </c>
      <c r="G188" s="14">
        <f t="shared" si="20"/>
        <v>-92146.44</v>
      </c>
      <c r="H188" s="14">
        <f t="shared" si="20"/>
        <v>-179752.24</v>
      </c>
      <c r="I188" s="14">
        <f t="shared" si="20"/>
        <v>-112003.47</v>
      </c>
      <c r="J188" s="14">
        <f t="shared" si="20"/>
        <v>-112222.00000000001</v>
      </c>
      <c r="K188" s="14">
        <f t="shared" si="20"/>
        <v>-155440.74000000002</v>
      </c>
      <c r="L188" s="14">
        <f t="shared" si="20"/>
        <v>-131215.53</v>
      </c>
      <c r="M188" s="14">
        <f t="shared" si="20"/>
        <v>-292733.63999999996</v>
      </c>
      <c r="N188" s="14">
        <f t="shared" si="20"/>
        <v>2260</v>
      </c>
      <c r="O188" s="14">
        <f t="shared" si="20"/>
        <v>-148208.90999999997</v>
      </c>
      <c r="P188" s="14">
        <f t="shared" si="20"/>
        <v>-142383.57999999999</v>
      </c>
      <c r="Q188" s="14">
        <f t="shared" si="20"/>
        <v>-183280.35000000003</v>
      </c>
      <c r="R188" s="14">
        <f t="shared" si="20"/>
        <v>-178167.91</v>
      </c>
      <c r="S188" s="14">
        <f t="shared" si="20"/>
        <v>-147438.35</v>
      </c>
      <c r="T188" s="14">
        <f t="shared" si="20"/>
        <v>-138842.57</v>
      </c>
      <c r="U188" s="14">
        <f t="shared" si="20"/>
        <v>-127315.99000000002</v>
      </c>
      <c r="V188" s="14">
        <f t="shared" si="20"/>
        <v>-134652.63</v>
      </c>
      <c r="W188" s="14">
        <f t="shared" si="20"/>
        <v>-139773.05000000002</v>
      </c>
      <c r="X188" s="14">
        <f t="shared" si="20"/>
        <v>-187210.30000000005</v>
      </c>
      <c r="Y188" s="14">
        <f t="shared" si="20"/>
        <v>-178998.77</v>
      </c>
      <c r="Z188" s="14">
        <f t="shared" si="20"/>
        <v>-290928.37999999995</v>
      </c>
      <c r="AA188" s="14">
        <f t="shared" si="20"/>
        <v>-165778.25999999998</v>
      </c>
      <c r="AB188" s="14">
        <f t="shared" si="20"/>
        <v>-200337.96</v>
      </c>
      <c r="AC188" s="14">
        <f t="shared" si="20"/>
        <v>-206864.57</v>
      </c>
      <c r="AD188" s="14">
        <f t="shared" si="20"/>
        <v>-162939.76999999999</v>
      </c>
      <c r="AE188" s="14">
        <f t="shared" si="20"/>
        <v>-221770.89000000004</v>
      </c>
      <c r="AF188" s="14">
        <f t="shared" si="20"/>
        <v>-170831.13999999998</v>
      </c>
      <c r="AG188" s="14">
        <f t="shared" si="20"/>
        <v>-150006.53999999998</v>
      </c>
      <c r="AH188" s="14">
        <f t="shared" si="20"/>
        <v>-210744.87000000005</v>
      </c>
      <c r="AI188" s="14">
        <f t="shared" si="20"/>
        <v>-183213.39</v>
      </c>
      <c r="AJ188" s="14">
        <f t="shared" si="20"/>
        <v>-266263.89</v>
      </c>
      <c r="AK188" s="14">
        <f t="shared" si="20"/>
        <v>-259756.66999999995</v>
      </c>
      <c r="AL188" s="14">
        <f t="shared" si="20"/>
        <v>-594678.99999999988</v>
      </c>
      <c r="AM188" s="14">
        <f t="shared" si="20"/>
        <v>0</v>
      </c>
      <c r="AN188" s="14">
        <f t="shared" si="20"/>
        <v>-192792.08000000002</v>
      </c>
      <c r="AO188" s="14">
        <f t="shared" si="20"/>
        <v>-197799.60000000009</v>
      </c>
      <c r="AP188" s="14">
        <f t="shared" si="20"/>
        <v>-257225.46</v>
      </c>
      <c r="AQ188" s="14">
        <f t="shared" si="20"/>
        <v>-197568.66999999995</v>
      </c>
      <c r="AR188" s="14">
        <f t="shared" si="20"/>
        <v>-49623.990000000034</v>
      </c>
      <c r="AS188" s="14">
        <f t="shared" si="20"/>
        <v>-231338.12</v>
      </c>
      <c r="AT188" s="14">
        <f t="shared" si="20"/>
        <v>-56802.159999999996</v>
      </c>
      <c r="AU188" s="14">
        <f t="shared" si="20"/>
        <v>-20561.8</v>
      </c>
      <c r="AV188" s="14">
        <f t="shared" si="20"/>
        <v>0</v>
      </c>
      <c r="AW188" s="14">
        <f t="shared" si="20"/>
        <v>-7845524.6400000006</v>
      </c>
    </row>
    <row r="189" spans="1:49" x14ac:dyDescent="0.2">
      <c r="A189" s="16" t="s">
        <v>236</v>
      </c>
      <c r="B189" s="14">
        <f t="shared" ref="B189:AW189" si="21">B90+B99+B188</f>
        <v>-937472.39999999979</v>
      </c>
      <c r="C189" s="14">
        <f t="shared" si="21"/>
        <v>-925511.64999999991</v>
      </c>
      <c r="D189" s="14">
        <f t="shared" si="21"/>
        <v>-648983.61</v>
      </c>
      <c r="E189" s="14">
        <f t="shared" si="21"/>
        <v>-577240.79</v>
      </c>
      <c r="F189" s="14">
        <f t="shared" si="21"/>
        <v>-576022.24</v>
      </c>
      <c r="G189" s="14">
        <f t="shared" si="21"/>
        <v>-618260.40999999992</v>
      </c>
      <c r="H189" s="14">
        <f t="shared" si="21"/>
        <v>-849815.41999999993</v>
      </c>
      <c r="I189" s="14">
        <f t="shared" si="21"/>
        <v>-811619.76</v>
      </c>
      <c r="J189" s="14">
        <f t="shared" si="21"/>
        <v>-711787.35</v>
      </c>
      <c r="K189" s="14">
        <f t="shared" si="21"/>
        <v>-766668.63</v>
      </c>
      <c r="L189" s="14">
        <f t="shared" si="21"/>
        <v>-803992.3899999999</v>
      </c>
      <c r="M189" s="14">
        <f t="shared" si="21"/>
        <v>-982162.7</v>
      </c>
      <c r="N189" s="14">
        <f t="shared" si="21"/>
        <v>2260</v>
      </c>
      <c r="O189" s="14">
        <f t="shared" si="21"/>
        <v>-939358.69</v>
      </c>
      <c r="P189" s="14">
        <f t="shared" si="21"/>
        <v>-942709.09</v>
      </c>
      <c r="Q189" s="14">
        <f t="shared" si="21"/>
        <v>-920302.52</v>
      </c>
      <c r="R189" s="14">
        <f t="shared" si="21"/>
        <v>-1011252.28</v>
      </c>
      <c r="S189" s="14">
        <f t="shared" si="21"/>
        <v>-978507.30999999994</v>
      </c>
      <c r="T189" s="14">
        <f t="shared" si="21"/>
        <v>-836819.20000000019</v>
      </c>
      <c r="U189" s="14">
        <f t="shared" si="21"/>
        <v>-976105.26</v>
      </c>
      <c r="V189" s="14">
        <f t="shared" si="21"/>
        <v>-944789.13</v>
      </c>
      <c r="W189" s="14">
        <f t="shared" si="21"/>
        <v>-964830.38</v>
      </c>
      <c r="X189" s="14">
        <f t="shared" si="21"/>
        <v>-1014748.4400000002</v>
      </c>
      <c r="Y189" s="14">
        <f t="shared" si="21"/>
        <v>-1013930.1000000001</v>
      </c>
      <c r="Z189" s="14">
        <f t="shared" si="21"/>
        <v>-678046.48999999987</v>
      </c>
      <c r="AA189" s="14">
        <f t="shared" si="21"/>
        <v>-958893.00999999989</v>
      </c>
      <c r="AB189" s="14">
        <f t="shared" si="21"/>
        <v>-974594.05999999994</v>
      </c>
      <c r="AC189" s="14">
        <f t="shared" si="21"/>
        <v>-975104.71</v>
      </c>
      <c r="AD189" s="14">
        <f t="shared" si="21"/>
        <v>-993968.60000000021</v>
      </c>
      <c r="AE189" s="14">
        <f t="shared" si="21"/>
        <v>-1088089.56</v>
      </c>
      <c r="AF189" s="14">
        <f t="shared" si="21"/>
        <v>-997998.17</v>
      </c>
      <c r="AG189" s="14">
        <f t="shared" si="21"/>
        <v>-980148.98</v>
      </c>
      <c r="AH189" s="14">
        <f t="shared" si="21"/>
        <v>-1086696.78</v>
      </c>
      <c r="AI189" s="14">
        <f t="shared" si="21"/>
        <v>-1328977.3900000001</v>
      </c>
      <c r="AJ189" s="14">
        <f t="shared" si="21"/>
        <v>-1173978.19</v>
      </c>
      <c r="AK189" s="14">
        <f t="shared" si="21"/>
        <v>-1212710.75</v>
      </c>
      <c r="AL189" s="14">
        <f t="shared" si="21"/>
        <v>-1775050.15</v>
      </c>
      <c r="AM189" s="14">
        <f t="shared" si="21"/>
        <v>0</v>
      </c>
      <c r="AN189" s="14">
        <f t="shared" si="21"/>
        <v>-981244.1100000001</v>
      </c>
      <c r="AO189" s="14">
        <f t="shared" si="21"/>
        <v>-1117570.77</v>
      </c>
      <c r="AP189" s="14">
        <f t="shared" si="21"/>
        <v>-1085941.8900000001</v>
      </c>
      <c r="AQ189" s="14">
        <f t="shared" si="21"/>
        <v>-1246418.22</v>
      </c>
      <c r="AR189" s="14">
        <f t="shared" si="21"/>
        <v>-1123499.9000000001</v>
      </c>
      <c r="AS189" s="14">
        <f t="shared" si="21"/>
        <v>-1496605.3200000003</v>
      </c>
      <c r="AT189" s="14">
        <f t="shared" si="21"/>
        <v>-87617.48</v>
      </c>
      <c r="AU189" s="14">
        <f t="shared" si="21"/>
        <v>-20652.919999999998</v>
      </c>
      <c r="AV189" s="14">
        <f t="shared" si="21"/>
        <v>0</v>
      </c>
      <c r="AW189" s="14">
        <f t="shared" si="21"/>
        <v>-41134437.200000003</v>
      </c>
    </row>
    <row r="190" spans="1:49" x14ac:dyDescent="0.2">
      <c r="A190" s="18" t="s">
        <v>237</v>
      </c>
      <c r="B190" s="14">
        <f t="shared" ref="B190:AW190" si="22">B61+B189</f>
        <v>-119371.18999999983</v>
      </c>
      <c r="C190" s="14">
        <f t="shared" si="22"/>
        <v>-85506.369999999879</v>
      </c>
      <c r="D190" s="14">
        <f t="shared" si="22"/>
        <v>132933.26000000013</v>
      </c>
      <c r="E190" s="14">
        <f t="shared" si="22"/>
        <v>116675.69999999995</v>
      </c>
      <c r="F190" s="14">
        <f t="shared" si="22"/>
        <v>22924.030000000028</v>
      </c>
      <c r="G190" s="14">
        <f t="shared" si="22"/>
        <v>-44035.619999999879</v>
      </c>
      <c r="H190" s="14">
        <f t="shared" si="22"/>
        <v>306014.05000000005</v>
      </c>
      <c r="I190" s="14">
        <f t="shared" si="22"/>
        <v>-5665.3899999998976</v>
      </c>
      <c r="J190" s="14">
        <f t="shared" si="22"/>
        <v>118310.80000000005</v>
      </c>
      <c r="K190" s="14">
        <f t="shared" si="22"/>
        <v>-28152.260000000009</v>
      </c>
      <c r="L190" s="14">
        <f t="shared" si="22"/>
        <v>123217.07000000007</v>
      </c>
      <c r="M190" s="14">
        <f t="shared" si="22"/>
        <v>80636.439999999944</v>
      </c>
      <c r="N190" s="14">
        <f t="shared" si="22"/>
        <v>2260</v>
      </c>
      <c r="O190" s="14">
        <f t="shared" si="22"/>
        <v>-93417.360000000102</v>
      </c>
      <c r="P190" s="14">
        <f t="shared" si="22"/>
        <v>-175877.54000000004</v>
      </c>
      <c r="Q190" s="14">
        <f t="shared" si="22"/>
        <v>287903.30999999982</v>
      </c>
      <c r="R190" s="14">
        <f t="shared" si="22"/>
        <v>143323.93999999971</v>
      </c>
      <c r="S190" s="14">
        <f t="shared" si="22"/>
        <v>-41389.839999999735</v>
      </c>
      <c r="T190" s="14">
        <f t="shared" si="22"/>
        <v>154042.83999999985</v>
      </c>
      <c r="U190" s="14">
        <f t="shared" si="22"/>
        <v>139894.10000000009</v>
      </c>
      <c r="V190" s="14">
        <f t="shared" si="22"/>
        <v>-56815.300000000047</v>
      </c>
      <c r="W190" s="14">
        <f t="shared" si="22"/>
        <v>35973.25</v>
      </c>
      <c r="X190" s="14">
        <f t="shared" si="22"/>
        <v>-69752.940000000177</v>
      </c>
      <c r="Y190" s="14">
        <f t="shared" si="22"/>
        <v>237375.60000000009</v>
      </c>
      <c r="Z190" s="14">
        <f t="shared" si="22"/>
        <v>214660.77000000025</v>
      </c>
      <c r="AA190" s="14">
        <f t="shared" si="22"/>
        <v>39304.680000000168</v>
      </c>
      <c r="AB190" s="14">
        <f t="shared" si="22"/>
        <v>120157.70000000007</v>
      </c>
      <c r="AC190" s="14">
        <f t="shared" si="22"/>
        <v>342432.44000000018</v>
      </c>
      <c r="AD190" s="14">
        <f t="shared" si="22"/>
        <v>108539.82999999996</v>
      </c>
      <c r="AE190" s="14">
        <f t="shared" si="22"/>
        <v>57677.089999999618</v>
      </c>
      <c r="AF190" s="14">
        <f t="shared" si="22"/>
        <v>127623.31999999995</v>
      </c>
      <c r="AG190" s="14">
        <f t="shared" si="22"/>
        <v>-204590.52000000002</v>
      </c>
      <c r="AH190" s="14">
        <f t="shared" si="22"/>
        <v>562875.03</v>
      </c>
      <c r="AI190" s="14">
        <f t="shared" si="22"/>
        <v>-223143.76000000024</v>
      </c>
      <c r="AJ190" s="14">
        <f t="shared" si="22"/>
        <v>320643.74</v>
      </c>
      <c r="AK190" s="14">
        <f t="shared" si="22"/>
        <v>289063.28000000003</v>
      </c>
      <c r="AL190" s="14">
        <f t="shared" si="22"/>
        <v>184082.36999999988</v>
      </c>
      <c r="AM190" s="14">
        <f t="shared" si="22"/>
        <v>0</v>
      </c>
      <c r="AN190" s="14">
        <f t="shared" si="22"/>
        <v>385043.70999999973</v>
      </c>
      <c r="AO190" s="14">
        <f t="shared" si="22"/>
        <v>277295.13999999966</v>
      </c>
      <c r="AP190" s="14">
        <f t="shared" si="22"/>
        <v>457860.33999999985</v>
      </c>
      <c r="AQ190" s="14">
        <f t="shared" si="22"/>
        <v>54693.530000000261</v>
      </c>
      <c r="AR190" s="14">
        <f t="shared" si="22"/>
        <v>177220.84999999986</v>
      </c>
      <c r="AS190" s="14">
        <f t="shared" si="22"/>
        <v>-130810.01000000024</v>
      </c>
      <c r="AT190" s="14">
        <f t="shared" si="22"/>
        <v>1300679.44</v>
      </c>
      <c r="AU190" s="14">
        <f t="shared" si="22"/>
        <v>8947.0800000000017</v>
      </c>
      <c r="AV190" s="14">
        <f t="shared" si="22"/>
        <v>0</v>
      </c>
      <c r="AW190" s="14">
        <f t="shared" si="22"/>
        <v>5651756.6299999803</v>
      </c>
    </row>
    <row r="191" spans="1:49" x14ac:dyDescent="0.2">
      <c r="A191" s="5" t="s">
        <v>238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spans="1:49" x14ac:dyDescent="0.2">
      <c r="A192" s="6" t="s">
        <v>239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spans="1:49" x14ac:dyDescent="0.2">
      <c r="A193" s="19" t="s">
        <v>240</v>
      </c>
      <c r="B193" s="10">
        <v>0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4.42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1.58</v>
      </c>
      <c r="AA193" s="10">
        <v>0</v>
      </c>
      <c r="AB193" s="10">
        <v>0</v>
      </c>
      <c r="AC193" s="10">
        <v>0</v>
      </c>
      <c r="AD193" s="10">
        <v>0</v>
      </c>
      <c r="AE193" s="10">
        <v>2.21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0">
        <v>0.79</v>
      </c>
      <c r="AN193" s="10">
        <v>0</v>
      </c>
      <c r="AO193" s="10">
        <v>0</v>
      </c>
      <c r="AP193" s="10">
        <v>0</v>
      </c>
      <c r="AQ193" s="10">
        <v>0</v>
      </c>
      <c r="AR193" s="10">
        <v>2.21</v>
      </c>
      <c r="AS193" s="10">
        <v>0</v>
      </c>
      <c r="AT193" s="10">
        <v>0</v>
      </c>
      <c r="AU193" s="10">
        <v>0</v>
      </c>
      <c r="AV193" s="10">
        <v>0</v>
      </c>
      <c r="AW193" s="10">
        <f>SUM(B193:AV193)</f>
        <v>11.21</v>
      </c>
    </row>
    <row r="194" spans="1:49" x14ac:dyDescent="0.2">
      <c r="A194" s="16" t="s">
        <v>241</v>
      </c>
      <c r="B194" s="14">
        <f t="shared" ref="B194:AW194" si="23">SUM(B193)</f>
        <v>0</v>
      </c>
      <c r="C194" s="14">
        <f t="shared" si="23"/>
        <v>0</v>
      </c>
      <c r="D194" s="14">
        <f t="shared" si="23"/>
        <v>0</v>
      </c>
      <c r="E194" s="14">
        <f t="shared" si="23"/>
        <v>0</v>
      </c>
      <c r="F194" s="14">
        <f t="shared" si="23"/>
        <v>0</v>
      </c>
      <c r="G194" s="14">
        <f t="shared" si="23"/>
        <v>0</v>
      </c>
      <c r="H194" s="14">
        <f t="shared" si="23"/>
        <v>0</v>
      </c>
      <c r="I194" s="14">
        <f t="shared" si="23"/>
        <v>0</v>
      </c>
      <c r="J194" s="14">
        <f t="shared" si="23"/>
        <v>0</v>
      </c>
      <c r="K194" s="14">
        <f t="shared" si="23"/>
        <v>0</v>
      </c>
      <c r="L194" s="14">
        <f t="shared" si="23"/>
        <v>0</v>
      </c>
      <c r="M194" s="14">
        <f t="shared" si="23"/>
        <v>0</v>
      </c>
      <c r="N194" s="14">
        <f t="shared" si="23"/>
        <v>0</v>
      </c>
      <c r="O194" s="14">
        <f t="shared" si="23"/>
        <v>0</v>
      </c>
      <c r="P194" s="14">
        <f t="shared" si="23"/>
        <v>0</v>
      </c>
      <c r="Q194" s="14">
        <f t="shared" si="23"/>
        <v>0</v>
      </c>
      <c r="R194" s="14">
        <f t="shared" si="23"/>
        <v>0</v>
      </c>
      <c r="S194" s="14">
        <f t="shared" si="23"/>
        <v>4.42</v>
      </c>
      <c r="T194" s="14">
        <f t="shared" si="23"/>
        <v>0</v>
      </c>
      <c r="U194" s="14">
        <f t="shared" si="23"/>
        <v>0</v>
      </c>
      <c r="V194" s="14">
        <f t="shared" si="23"/>
        <v>0</v>
      </c>
      <c r="W194" s="14">
        <f t="shared" si="23"/>
        <v>0</v>
      </c>
      <c r="X194" s="14">
        <f t="shared" si="23"/>
        <v>0</v>
      </c>
      <c r="Y194" s="14">
        <f t="shared" si="23"/>
        <v>0</v>
      </c>
      <c r="Z194" s="14">
        <f t="shared" si="23"/>
        <v>1.58</v>
      </c>
      <c r="AA194" s="14">
        <f t="shared" si="23"/>
        <v>0</v>
      </c>
      <c r="AB194" s="14">
        <f t="shared" si="23"/>
        <v>0</v>
      </c>
      <c r="AC194" s="14">
        <f t="shared" si="23"/>
        <v>0</v>
      </c>
      <c r="AD194" s="14">
        <f t="shared" si="23"/>
        <v>0</v>
      </c>
      <c r="AE194" s="14">
        <f t="shared" si="23"/>
        <v>2.21</v>
      </c>
      <c r="AF194" s="14">
        <f t="shared" si="23"/>
        <v>0</v>
      </c>
      <c r="AG194" s="14">
        <f t="shared" si="23"/>
        <v>0</v>
      </c>
      <c r="AH194" s="14">
        <f t="shared" si="23"/>
        <v>0</v>
      </c>
      <c r="AI194" s="14">
        <f t="shared" si="23"/>
        <v>0</v>
      </c>
      <c r="AJ194" s="14">
        <f t="shared" si="23"/>
        <v>0</v>
      </c>
      <c r="AK194" s="14">
        <f t="shared" si="23"/>
        <v>0</v>
      </c>
      <c r="AL194" s="14">
        <f t="shared" si="23"/>
        <v>0</v>
      </c>
      <c r="AM194" s="14">
        <f t="shared" si="23"/>
        <v>0.79</v>
      </c>
      <c r="AN194" s="14">
        <f t="shared" si="23"/>
        <v>0</v>
      </c>
      <c r="AO194" s="14">
        <f t="shared" si="23"/>
        <v>0</v>
      </c>
      <c r="AP194" s="14">
        <f t="shared" si="23"/>
        <v>0</v>
      </c>
      <c r="AQ194" s="14">
        <f t="shared" si="23"/>
        <v>0</v>
      </c>
      <c r="AR194" s="14">
        <f t="shared" si="23"/>
        <v>2.21</v>
      </c>
      <c r="AS194" s="14">
        <f t="shared" si="23"/>
        <v>0</v>
      </c>
      <c r="AT194" s="14">
        <f t="shared" si="23"/>
        <v>0</v>
      </c>
      <c r="AU194" s="14">
        <f t="shared" si="23"/>
        <v>0</v>
      </c>
      <c r="AV194" s="14">
        <f t="shared" si="23"/>
        <v>0</v>
      </c>
      <c r="AW194" s="14">
        <f t="shared" si="23"/>
        <v>11.21</v>
      </c>
    </row>
    <row r="195" spans="1:49" x14ac:dyDescent="0.2">
      <c r="A195" s="6" t="s">
        <v>242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spans="1:49" x14ac:dyDescent="0.2">
      <c r="A196" s="19" t="s">
        <v>243</v>
      </c>
      <c r="B196" s="10">
        <v>0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4999.6499999999996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685.03</v>
      </c>
      <c r="AA196" s="10">
        <v>0</v>
      </c>
      <c r="AB196" s="10">
        <v>0</v>
      </c>
      <c r="AC196" s="10">
        <v>0</v>
      </c>
      <c r="AD196" s="10">
        <v>0</v>
      </c>
      <c r="AE196" s="10">
        <v>280.98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9046.92</v>
      </c>
      <c r="AM196" s="10">
        <v>0</v>
      </c>
      <c r="AN196" s="10">
        <v>0</v>
      </c>
      <c r="AO196" s="10">
        <v>0</v>
      </c>
      <c r="AP196" s="10">
        <v>0</v>
      </c>
      <c r="AQ196" s="10">
        <v>0</v>
      </c>
      <c r="AR196" s="10">
        <v>8338.7199999999993</v>
      </c>
      <c r="AS196" s="10">
        <v>40.25</v>
      </c>
      <c r="AT196" s="10">
        <v>0</v>
      </c>
      <c r="AU196" s="10">
        <v>0</v>
      </c>
      <c r="AV196" s="10">
        <v>0</v>
      </c>
      <c r="AW196" s="10">
        <f>SUM(B196:AV196)</f>
        <v>23391.55</v>
      </c>
    </row>
    <row r="197" spans="1:49" x14ac:dyDescent="0.2">
      <c r="A197" s="19" t="s">
        <v>244</v>
      </c>
      <c r="B197" s="10">
        <v>0</v>
      </c>
      <c r="C197" s="10">
        <v>0</v>
      </c>
      <c r="D197" s="10">
        <v>0</v>
      </c>
      <c r="E197" s="10">
        <v>0</v>
      </c>
      <c r="F197" s="10">
        <v>137.97</v>
      </c>
      <c r="G197" s="10">
        <v>0</v>
      </c>
      <c r="H197" s="10">
        <v>238.98</v>
      </c>
      <c r="I197" s="10">
        <v>124.34</v>
      </c>
      <c r="J197" s="10">
        <v>0</v>
      </c>
      <c r="K197" s="10">
        <v>0</v>
      </c>
      <c r="L197" s="10">
        <v>0</v>
      </c>
      <c r="M197" s="10">
        <v>14572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17898.13</v>
      </c>
      <c r="AA197" s="10">
        <v>1193.79</v>
      </c>
      <c r="AB197" s="10">
        <v>7367.94</v>
      </c>
      <c r="AC197" s="10">
        <v>658.46</v>
      </c>
      <c r="AD197" s="10">
        <v>0</v>
      </c>
      <c r="AE197" s="10">
        <v>1414.8</v>
      </c>
      <c r="AF197" s="10">
        <v>0</v>
      </c>
      <c r="AG197" s="10">
        <v>8.25</v>
      </c>
      <c r="AH197" s="10">
        <v>0</v>
      </c>
      <c r="AI197" s="10">
        <v>439.74</v>
      </c>
      <c r="AJ197" s="10">
        <v>13.23</v>
      </c>
      <c r="AK197" s="10">
        <v>625.39</v>
      </c>
      <c r="AL197" s="10">
        <v>27839.95</v>
      </c>
      <c r="AM197" s="10">
        <v>0</v>
      </c>
      <c r="AN197" s="10">
        <v>0</v>
      </c>
      <c r="AO197" s="10">
        <v>7884.26</v>
      </c>
      <c r="AP197" s="10">
        <v>736.33</v>
      </c>
      <c r="AQ197" s="10">
        <v>41.21</v>
      </c>
      <c r="AR197" s="10">
        <v>1021.64</v>
      </c>
      <c r="AS197" s="10">
        <v>566.30999999999995</v>
      </c>
      <c r="AT197" s="10">
        <v>45834.92</v>
      </c>
      <c r="AU197" s="10">
        <v>0</v>
      </c>
      <c r="AV197" s="10">
        <v>0</v>
      </c>
      <c r="AW197" s="10">
        <f>SUM(B197:AV197)</f>
        <v>128617.64</v>
      </c>
    </row>
    <row r="198" spans="1:49" x14ac:dyDescent="0.2">
      <c r="A198" s="16" t="s">
        <v>245</v>
      </c>
      <c r="B198" s="14">
        <f t="shared" ref="B198:AW198" si="24">SUM(B196:B197)</f>
        <v>0</v>
      </c>
      <c r="C198" s="14">
        <f t="shared" si="24"/>
        <v>0</v>
      </c>
      <c r="D198" s="14">
        <f t="shared" si="24"/>
        <v>0</v>
      </c>
      <c r="E198" s="14">
        <f t="shared" si="24"/>
        <v>0</v>
      </c>
      <c r="F198" s="14">
        <f t="shared" si="24"/>
        <v>137.97</v>
      </c>
      <c r="G198" s="14">
        <f t="shared" si="24"/>
        <v>0</v>
      </c>
      <c r="H198" s="14">
        <f t="shared" si="24"/>
        <v>238.98</v>
      </c>
      <c r="I198" s="14">
        <f t="shared" si="24"/>
        <v>124.34</v>
      </c>
      <c r="J198" s="14">
        <f t="shared" si="24"/>
        <v>0</v>
      </c>
      <c r="K198" s="14">
        <f t="shared" si="24"/>
        <v>0</v>
      </c>
      <c r="L198" s="14">
        <f t="shared" si="24"/>
        <v>0</v>
      </c>
      <c r="M198" s="14">
        <f t="shared" si="24"/>
        <v>19571.650000000001</v>
      </c>
      <c r="N198" s="14">
        <f t="shared" si="24"/>
        <v>0</v>
      </c>
      <c r="O198" s="14">
        <f t="shared" si="24"/>
        <v>0</v>
      </c>
      <c r="P198" s="14">
        <f t="shared" si="24"/>
        <v>0</v>
      </c>
      <c r="Q198" s="14">
        <f t="shared" si="24"/>
        <v>0</v>
      </c>
      <c r="R198" s="14">
        <f t="shared" si="24"/>
        <v>0</v>
      </c>
      <c r="S198" s="14">
        <f t="shared" si="24"/>
        <v>0</v>
      </c>
      <c r="T198" s="14">
        <f t="shared" si="24"/>
        <v>0</v>
      </c>
      <c r="U198" s="14">
        <f t="shared" si="24"/>
        <v>0</v>
      </c>
      <c r="V198" s="14">
        <f t="shared" si="24"/>
        <v>0</v>
      </c>
      <c r="W198" s="14">
        <f t="shared" si="24"/>
        <v>0</v>
      </c>
      <c r="X198" s="14">
        <f t="shared" si="24"/>
        <v>0</v>
      </c>
      <c r="Y198" s="14">
        <f t="shared" si="24"/>
        <v>0</v>
      </c>
      <c r="Z198" s="14">
        <f t="shared" si="24"/>
        <v>18583.16</v>
      </c>
      <c r="AA198" s="14">
        <f t="shared" si="24"/>
        <v>1193.79</v>
      </c>
      <c r="AB198" s="14">
        <f t="shared" si="24"/>
        <v>7367.94</v>
      </c>
      <c r="AC198" s="14">
        <f t="shared" si="24"/>
        <v>658.46</v>
      </c>
      <c r="AD198" s="14">
        <f t="shared" si="24"/>
        <v>0</v>
      </c>
      <c r="AE198" s="14">
        <f t="shared" si="24"/>
        <v>1695.78</v>
      </c>
      <c r="AF198" s="14">
        <f t="shared" si="24"/>
        <v>0</v>
      </c>
      <c r="AG198" s="14">
        <f t="shared" si="24"/>
        <v>8.25</v>
      </c>
      <c r="AH198" s="14">
        <f t="shared" si="24"/>
        <v>0</v>
      </c>
      <c r="AI198" s="14">
        <f t="shared" si="24"/>
        <v>439.74</v>
      </c>
      <c r="AJ198" s="14">
        <f t="shared" si="24"/>
        <v>13.23</v>
      </c>
      <c r="AK198" s="14">
        <f t="shared" si="24"/>
        <v>625.39</v>
      </c>
      <c r="AL198" s="14">
        <f t="shared" si="24"/>
        <v>36886.870000000003</v>
      </c>
      <c r="AM198" s="14">
        <f t="shared" si="24"/>
        <v>0</v>
      </c>
      <c r="AN198" s="14">
        <f t="shared" si="24"/>
        <v>0</v>
      </c>
      <c r="AO198" s="14">
        <f t="shared" si="24"/>
        <v>7884.26</v>
      </c>
      <c r="AP198" s="14">
        <f t="shared" si="24"/>
        <v>736.33</v>
      </c>
      <c r="AQ198" s="14">
        <f t="shared" si="24"/>
        <v>41.21</v>
      </c>
      <c r="AR198" s="14">
        <f t="shared" si="24"/>
        <v>9360.3599999999988</v>
      </c>
      <c r="AS198" s="14">
        <f t="shared" si="24"/>
        <v>606.55999999999995</v>
      </c>
      <c r="AT198" s="14">
        <f t="shared" si="24"/>
        <v>45834.92</v>
      </c>
      <c r="AU198" s="14">
        <f t="shared" si="24"/>
        <v>0</v>
      </c>
      <c r="AV198" s="14">
        <f t="shared" si="24"/>
        <v>0</v>
      </c>
      <c r="AW198" s="14">
        <f t="shared" si="24"/>
        <v>152009.19</v>
      </c>
    </row>
    <row r="199" spans="1:49" x14ac:dyDescent="0.2">
      <c r="A199" s="6" t="s">
        <v>246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spans="1:49" x14ac:dyDescent="0.2">
      <c r="A200" s="19" t="s">
        <v>247</v>
      </c>
      <c r="B200" s="10">
        <v>1268.98</v>
      </c>
      <c r="C200" s="10">
        <v>1404.22</v>
      </c>
      <c r="D200" s="10">
        <v>763.3</v>
      </c>
      <c r="E200" s="10">
        <v>739.82</v>
      </c>
      <c r="F200" s="10">
        <v>0</v>
      </c>
      <c r="G200" s="10">
        <v>577.6</v>
      </c>
      <c r="H200" s="10">
        <v>0</v>
      </c>
      <c r="I200" s="10">
        <v>240.77</v>
      </c>
      <c r="J200" s="10">
        <v>168.59</v>
      </c>
      <c r="K200" s="10">
        <v>370.66</v>
      </c>
      <c r="L200" s="10">
        <v>279.64999999999998</v>
      </c>
      <c r="M200" s="10">
        <v>-5313.88</v>
      </c>
      <c r="N200" s="10">
        <v>0</v>
      </c>
      <c r="O200" s="10">
        <v>1013.17</v>
      </c>
      <c r="P200" s="10">
        <v>3807.01</v>
      </c>
      <c r="Q200" s="10">
        <v>1730.82</v>
      </c>
      <c r="R200" s="10">
        <v>444.29</v>
      </c>
      <c r="S200" s="10">
        <v>1046.82</v>
      </c>
      <c r="T200" s="10">
        <v>0</v>
      </c>
      <c r="U200" s="10">
        <v>2417.5300000000002</v>
      </c>
      <c r="V200" s="10">
        <v>172.18</v>
      </c>
      <c r="W200" s="10">
        <v>0</v>
      </c>
      <c r="X200" s="10">
        <v>845.7</v>
      </c>
      <c r="Y200" s="10">
        <v>0</v>
      </c>
      <c r="Z200" s="10">
        <v>-11136.63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194.59</v>
      </c>
      <c r="AM200" s="10">
        <v>0</v>
      </c>
      <c r="AN200" s="10">
        <v>0</v>
      </c>
      <c r="AO200" s="10">
        <v>0</v>
      </c>
      <c r="AP200" s="10">
        <v>12.48</v>
      </c>
      <c r="AQ200" s="10">
        <v>0</v>
      </c>
      <c r="AR200" s="10">
        <v>0</v>
      </c>
      <c r="AS200" s="10">
        <v>0</v>
      </c>
      <c r="AT200" s="10">
        <v>0</v>
      </c>
      <c r="AU200" s="10">
        <v>0</v>
      </c>
      <c r="AV200" s="10">
        <v>0</v>
      </c>
      <c r="AW200" s="10">
        <f>SUM(B200:AV200)</f>
        <v>1047.6700000000021</v>
      </c>
    </row>
    <row r="201" spans="1:49" x14ac:dyDescent="0.2">
      <c r="A201" s="19" t="s">
        <v>248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-33</v>
      </c>
      <c r="AM201" s="10">
        <v>0</v>
      </c>
      <c r="AN201" s="10">
        <v>0</v>
      </c>
      <c r="AO201" s="10">
        <v>0</v>
      </c>
      <c r="AP201" s="10">
        <v>0</v>
      </c>
      <c r="AQ201" s="10">
        <v>0</v>
      </c>
      <c r="AR201" s="10">
        <v>0</v>
      </c>
      <c r="AS201" s="10">
        <v>0</v>
      </c>
      <c r="AT201" s="10">
        <v>0</v>
      </c>
      <c r="AU201" s="10">
        <v>0</v>
      </c>
      <c r="AV201" s="10">
        <v>0</v>
      </c>
      <c r="AW201" s="10">
        <f>SUM(B201:AV201)</f>
        <v>-33</v>
      </c>
    </row>
    <row r="202" spans="1:49" x14ac:dyDescent="0.2">
      <c r="A202" s="19" t="s">
        <v>249</v>
      </c>
      <c r="B202" s="10">
        <v>0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-123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45</v>
      </c>
      <c r="AM202" s="10">
        <v>0</v>
      </c>
      <c r="AN202" s="10">
        <v>0</v>
      </c>
      <c r="AO202" s="10">
        <v>436</v>
      </c>
      <c r="AP202" s="10">
        <v>0</v>
      </c>
      <c r="AQ202" s="10">
        <v>0</v>
      </c>
      <c r="AR202" s="10">
        <v>0</v>
      </c>
      <c r="AS202" s="10">
        <v>0</v>
      </c>
      <c r="AT202" s="10">
        <v>0</v>
      </c>
      <c r="AU202" s="10">
        <v>0</v>
      </c>
      <c r="AV202" s="10">
        <v>0</v>
      </c>
      <c r="AW202" s="10">
        <f>SUM(B202:AV202)</f>
        <v>358</v>
      </c>
    </row>
    <row r="203" spans="1:49" x14ac:dyDescent="0.2">
      <c r="A203" s="16" t="s">
        <v>250</v>
      </c>
      <c r="B203" s="14">
        <f t="shared" ref="B203:AW203" si="25">SUM(B200:B202)</f>
        <v>1268.98</v>
      </c>
      <c r="C203" s="14">
        <f t="shared" si="25"/>
        <v>1404.22</v>
      </c>
      <c r="D203" s="14">
        <f t="shared" si="25"/>
        <v>763.3</v>
      </c>
      <c r="E203" s="14">
        <f t="shared" si="25"/>
        <v>739.82</v>
      </c>
      <c r="F203" s="14">
        <f t="shared" si="25"/>
        <v>0</v>
      </c>
      <c r="G203" s="14">
        <f t="shared" si="25"/>
        <v>577.6</v>
      </c>
      <c r="H203" s="14">
        <f t="shared" si="25"/>
        <v>0</v>
      </c>
      <c r="I203" s="14">
        <f t="shared" si="25"/>
        <v>240.77</v>
      </c>
      <c r="J203" s="14">
        <f t="shared" si="25"/>
        <v>168.59</v>
      </c>
      <c r="K203" s="14">
        <f t="shared" si="25"/>
        <v>370.66</v>
      </c>
      <c r="L203" s="14">
        <f t="shared" si="25"/>
        <v>156.64999999999998</v>
      </c>
      <c r="M203" s="14">
        <f t="shared" si="25"/>
        <v>-5313.88</v>
      </c>
      <c r="N203" s="14">
        <f t="shared" si="25"/>
        <v>0</v>
      </c>
      <c r="O203" s="14">
        <f t="shared" si="25"/>
        <v>1013.17</v>
      </c>
      <c r="P203" s="14">
        <f t="shared" si="25"/>
        <v>3807.01</v>
      </c>
      <c r="Q203" s="14">
        <f t="shared" si="25"/>
        <v>1730.82</v>
      </c>
      <c r="R203" s="14">
        <f t="shared" si="25"/>
        <v>444.29</v>
      </c>
      <c r="S203" s="14">
        <f t="shared" si="25"/>
        <v>1046.82</v>
      </c>
      <c r="T203" s="14">
        <f t="shared" si="25"/>
        <v>0</v>
      </c>
      <c r="U203" s="14">
        <f t="shared" si="25"/>
        <v>2417.5300000000002</v>
      </c>
      <c r="V203" s="14">
        <f t="shared" si="25"/>
        <v>172.18</v>
      </c>
      <c r="W203" s="14">
        <f t="shared" si="25"/>
        <v>0</v>
      </c>
      <c r="X203" s="14">
        <f t="shared" si="25"/>
        <v>845.7</v>
      </c>
      <c r="Y203" s="14">
        <f t="shared" si="25"/>
        <v>0</v>
      </c>
      <c r="Z203" s="14">
        <f t="shared" si="25"/>
        <v>-11136.63</v>
      </c>
      <c r="AA203" s="14">
        <f t="shared" si="25"/>
        <v>0</v>
      </c>
      <c r="AB203" s="14">
        <f t="shared" si="25"/>
        <v>0</v>
      </c>
      <c r="AC203" s="14">
        <f t="shared" si="25"/>
        <v>0</v>
      </c>
      <c r="AD203" s="14">
        <f t="shared" si="25"/>
        <v>0</v>
      </c>
      <c r="AE203" s="14">
        <f t="shared" si="25"/>
        <v>0</v>
      </c>
      <c r="AF203" s="14">
        <f t="shared" si="25"/>
        <v>0</v>
      </c>
      <c r="AG203" s="14">
        <f t="shared" si="25"/>
        <v>0</v>
      </c>
      <c r="AH203" s="14">
        <f t="shared" si="25"/>
        <v>0</v>
      </c>
      <c r="AI203" s="14">
        <f t="shared" si="25"/>
        <v>0</v>
      </c>
      <c r="AJ203" s="14">
        <f t="shared" si="25"/>
        <v>0</v>
      </c>
      <c r="AK203" s="14">
        <f t="shared" si="25"/>
        <v>0</v>
      </c>
      <c r="AL203" s="14">
        <f t="shared" si="25"/>
        <v>206.59</v>
      </c>
      <c r="AM203" s="14">
        <f t="shared" si="25"/>
        <v>0</v>
      </c>
      <c r="AN203" s="14">
        <f t="shared" si="25"/>
        <v>0</v>
      </c>
      <c r="AO203" s="14">
        <f t="shared" si="25"/>
        <v>436</v>
      </c>
      <c r="AP203" s="14">
        <f t="shared" si="25"/>
        <v>12.48</v>
      </c>
      <c r="AQ203" s="14">
        <f t="shared" si="25"/>
        <v>0</v>
      </c>
      <c r="AR203" s="14">
        <f t="shared" si="25"/>
        <v>0</v>
      </c>
      <c r="AS203" s="14">
        <f t="shared" si="25"/>
        <v>0</v>
      </c>
      <c r="AT203" s="14">
        <f t="shared" si="25"/>
        <v>0</v>
      </c>
      <c r="AU203" s="14">
        <f t="shared" si="25"/>
        <v>0</v>
      </c>
      <c r="AV203" s="14">
        <f t="shared" si="25"/>
        <v>0</v>
      </c>
      <c r="AW203" s="14">
        <f t="shared" si="25"/>
        <v>1372.6700000000021</v>
      </c>
    </row>
    <row r="204" spans="1:49" x14ac:dyDescent="0.2">
      <c r="A204" s="18" t="s">
        <v>251</v>
      </c>
      <c r="B204" s="14">
        <f t="shared" ref="B204:AW204" si="26">B194+B198+B203+0+0</f>
        <v>1268.98</v>
      </c>
      <c r="C204" s="14">
        <f t="shared" si="26"/>
        <v>1404.22</v>
      </c>
      <c r="D204" s="14">
        <f t="shared" si="26"/>
        <v>763.3</v>
      </c>
      <c r="E204" s="14">
        <f t="shared" si="26"/>
        <v>739.82</v>
      </c>
      <c r="F204" s="14">
        <f t="shared" si="26"/>
        <v>137.97</v>
      </c>
      <c r="G204" s="14">
        <f t="shared" si="26"/>
        <v>577.6</v>
      </c>
      <c r="H204" s="14">
        <f t="shared" si="26"/>
        <v>238.98</v>
      </c>
      <c r="I204" s="14">
        <f t="shared" si="26"/>
        <v>365.11</v>
      </c>
      <c r="J204" s="14">
        <f t="shared" si="26"/>
        <v>168.59</v>
      </c>
      <c r="K204" s="14">
        <f t="shared" si="26"/>
        <v>370.66</v>
      </c>
      <c r="L204" s="14">
        <f t="shared" si="26"/>
        <v>156.64999999999998</v>
      </c>
      <c r="M204" s="14">
        <f t="shared" si="26"/>
        <v>14257.77</v>
      </c>
      <c r="N204" s="14">
        <f t="shared" si="26"/>
        <v>0</v>
      </c>
      <c r="O204" s="14">
        <f t="shared" si="26"/>
        <v>1013.17</v>
      </c>
      <c r="P204" s="14">
        <f t="shared" si="26"/>
        <v>3807.01</v>
      </c>
      <c r="Q204" s="14">
        <f t="shared" si="26"/>
        <v>1730.82</v>
      </c>
      <c r="R204" s="14">
        <f t="shared" si="26"/>
        <v>444.29</v>
      </c>
      <c r="S204" s="14">
        <f t="shared" si="26"/>
        <v>1051.24</v>
      </c>
      <c r="T204" s="14">
        <f t="shared" si="26"/>
        <v>0</v>
      </c>
      <c r="U204" s="14">
        <f t="shared" si="26"/>
        <v>2417.5300000000002</v>
      </c>
      <c r="V204" s="14">
        <f t="shared" si="26"/>
        <v>172.18</v>
      </c>
      <c r="W204" s="14">
        <f t="shared" si="26"/>
        <v>0</v>
      </c>
      <c r="X204" s="14">
        <f t="shared" si="26"/>
        <v>845.7</v>
      </c>
      <c r="Y204" s="14">
        <f t="shared" si="26"/>
        <v>0</v>
      </c>
      <c r="Z204" s="14">
        <f t="shared" si="26"/>
        <v>7448.1100000000024</v>
      </c>
      <c r="AA204" s="14">
        <f t="shared" si="26"/>
        <v>1193.79</v>
      </c>
      <c r="AB204" s="14">
        <f t="shared" si="26"/>
        <v>7367.94</v>
      </c>
      <c r="AC204" s="14">
        <f t="shared" si="26"/>
        <v>658.46</v>
      </c>
      <c r="AD204" s="14">
        <f t="shared" si="26"/>
        <v>0</v>
      </c>
      <c r="AE204" s="14">
        <f t="shared" si="26"/>
        <v>1697.99</v>
      </c>
      <c r="AF204" s="14">
        <f t="shared" si="26"/>
        <v>0</v>
      </c>
      <c r="AG204" s="14">
        <f t="shared" si="26"/>
        <v>8.25</v>
      </c>
      <c r="AH204" s="14">
        <f t="shared" si="26"/>
        <v>0</v>
      </c>
      <c r="AI204" s="14">
        <f t="shared" si="26"/>
        <v>439.74</v>
      </c>
      <c r="AJ204" s="14">
        <f t="shared" si="26"/>
        <v>13.23</v>
      </c>
      <c r="AK204" s="14">
        <f t="shared" si="26"/>
        <v>625.39</v>
      </c>
      <c r="AL204" s="14">
        <f t="shared" si="26"/>
        <v>37093.46</v>
      </c>
      <c r="AM204" s="14">
        <f t="shared" si="26"/>
        <v>0.79</v>
      </c>
      <c r="AN204" s="14">
        <f t="shared" si="26"/>
        <v>0</v>
      </c>
      <c r="AO204" s="14">
        <f t="shared" si="26"/>
        <v>8320.26</v>
      </c>
      <c r="AP204" s="14">
        <f t="shared" si="26"/>
        <v>748.81000000000006</v>
      </c>
      <c r="AQ204" s="14">
        <f t="shared" si="26"/>
        <v>41.21</v>
      </c>
      <c r="AR204" s="14">
        <f t="shared" si="26"/>
        <v>9362.5699999999979</v>
      </c>
      <c r="AS204" s="14">
        <f t="shared" si="26"/>
        <v>606.55999999999995</v>
      </c>
      <c r="AT204" s="14">
        <f t="shared" si="26"/>
        <v>45834.92</v>
      </c>
      <c r="AU204" s="14">
        <f t="shared" si="26"/>
        <v>0</v>
      </c>
      <c r="AV204" s="14">
        <f t="shared" si="26"/>
        <v>0</v>
      </c>
      <c r="AW204" s="14">
        <f t="shared" si="26"/>
        <v>153393.07</v>
      </c>
    </row>
    <row r="205" spans="1:49" x14ac:dyDescent="0.2">
      <c r="A205" s="5" t="s">
        <v>252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spans="1:49" x14ac:dyDescent="0.2">
      <c r="A206" s="20" t="s">
        <v>253</v>
      </c>
      <c r="B206" s="10">
        <v>0</v>
      </c>
      <c r="C206" s="10">
        <v>0</v>
      </c>
      <c r="D206" s="10">
        <v>-110504</v>
      </c>
      <c r="E206" s="10">
        <v>110504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-92575</v>
      </c>
      <c r="N206" s="10">
        <v>0</v>
      </c>
      <c r="O206" s="10">
        <v>0</v>
      </c>
      <c r="P206" s="10">
        <v>0</v>
      </c>
      <c r="Q206" s="10">
        <v>-22500</v>
      </c>
      <c r="R206" s="10">
        <v>0</v>
      </c>
      <c r="S206" s="10">
        <v>0</v>
      </c>
      <c r="T206" s="10">
        <v>-22500</v>
      </c>
      <c r="U206" s="10">
        <v>0</v>
      </c>
      <c r="V206" s="10">
        <v>0</v>
      </c>
      <c r="W206" s="10">
        <v>-22500</v>
      </c>
      <c r="X206" s="10">
        <v>0</v>
      </c>
      <c r="Y206" s="10">
        <v>0</v>
      </c>
      <c r="Z206" s="10">
        <v>-48440</v>
      </c>
      <c r="AA206" s="10">
        <v>0</v>
      </c>
      <c r="AB206" s="10">
        <v>0</v>
      </c>
      <c r="AC206" s="10">
        <v>-22500</v>
      </c>
      <c r="AD206" s="10">
        <v>0</v>
      </c>
      <c r="AE206" s="10">
        <v>0</v>
      </c>
      <c r="AF206" s="10">
        <v>-22500</v>
      </c>
      <c r="AG206" s="10">
        <v>0</v>
      </c>
      <c r="AH206" s="10">
        <v>0</v>
      </c>
      <c r="AI206" s="10">
        <v>-35470</v>
      </c>
      <c r="AJ206" s="10">
        <v>0</v>
      </c>
      <c r="AK206" s="10">
        <v>0</v>
      </c>
      <c r="AL206" s="10">
        <v>-108673</v>
      </c>
      <c r="AM206" s="10">
        <v>0</v>
      </c>
      <c r="AN206" s="10">
        <v>0</v>
      </c>
      <c r="AO206" s="10">
        <v>0</v>
      </c>
      <c r="AP206" s="10">
        <v>-28985</v>
      </c>
      <c r="AQ206" s="10">
        <v>0</v>
      </c>
      <c r="AR206" s="10">
        <v>0</v>
      </c>
      <c r="AS206" s="10">
        <v>-28985</v>
      </c>
      <c r="AT206" s="10">
        <v>0</v>
      </c>
      <c r="AU206" s="10">
        <v>0</v>
      </c>
      <c r="AV206" s="10">
        <v>0</v>
      </c>
      <c r="AW206" s="10">
        <f t="shared" ref="AW206:AW212" si="27">SUM(B206:AV206)</f>
        <v>-455628</v>
      </c>
    </row>
    <row r="207" spans="1:49" x14ac:dyDescent="0.2">
      <c r="A207" s="20" t="s">
        <v>254</v>
      </c>
      <c r="B207" s="10">
        <v>0</v>
      </c>
      <c r="C207" s="10">
        <v>0</v>
      </c>
      <c r="D207" s="10">
        <v>-6077.72</v>
      </c>
      <c r="E207" s="10">
        <v>6077.72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-5091.8500000000004</v>
      </c>
      <c r="N207" s="10">
        <v>0</v>
      </c>
      <c r="O207" s="10">
        <v>0</v>
      </c>
      <c r="P207" s="10">
        <v>0</v>
      </c>
      <c r="Q207" s="10">
        <v>-1237.5</v>
      </c>
      <c r="R207" s="10">
        <v>0</v>
      </c>
      <c r="S207" s="10">
        <v>0</v>
      </c>
      <c r="T207" s="10">
        <v>-1237.5</v>
      </c>
      <c r="U207" s="10">
        <v>0</v>
      </c>
      <c r="V207" s="10">
        <v>0</v>
      </c>
      <c r="W207" s="10">
        <v>-1237.5</v>
      </c>
      <c r="X207" s="10">
        <v>0</v>
      </c>
      <c r="Y207" s="10">
        <v>0</v>
      </c>
      <c r="Z207" s="10">
        <v>-2664.38</v>
      </c>
      <c r="AA207" s="10">
        <v>0</v>
      </c>
      <c r="AB207" s="10">
        <v>0</v>
      </c>
      <c r="AC207" s="10">
        <v>-1237.5</v>
      </c>
      <c r="AD207" s="10">
        <v>0</v>
      </c>
      <c r="AE207" s="10">
        <v>0</v>
      </c>
      <c r="AF207" s="10">
        <v>-1237.5</v>
      </c>
      <c r="AG207" s="10">
        <v>0</v>
      </c>
      <c r="AH207" s="10">
        <v>0</v>
      </c>
      <c r="AI207" s="10">
        <v>-1950.85</v>
      </c>
      <c r="AJ207" s="10">
        <v>0</v>
      </c>
      <c r="AK207" s="10">
        <v>0</v>
      </c>
      <c r="AL207" s="10">
        <v>-5977.14</v>
      </c>
      <c r="AM207" s="10">
        <v>0</v>
      </c>
      <c r="AN207" s="10">
        <v>0</v>
      </c>
      <c r="AO207" s="10">
        <v>0</v>
      </c>
      <c r="AP207" s="10">
        <v>-1594.17</v>
      </c>
      <c r="AQ207" s="10">
        <v>0</v>
      </c>
      <c r="AR207" s="10">
        <v>0</v>
      </c>
      <c r="AS207" s="10">
        <v>-1594.17</v>
      </c>
      <c r="AT207" s="10">
        <v>0</v>
      </c>
      <c r="AU207" s="10">
        <v>0</v>
      </c>
      <c r="AV207" s="10">
        <v>0</v>
      </c>
      <c r="AW207" s="10">
        <f t="shared" si="27"/>
        <v>-25060.059999999998</v>
      </c>
    </row>
    <row r="208" spans="1:49" x14ac:dyDescent="0.2">
      <c r="A208" s="20" t="s">
        <v>255</v>
      </c>
      <c r="B208" s="10">
        <v>0</v>
      </c>
      <c r="C208" s="10">
        <v>-24152</v>
      </c>
      <c r="D208" s="10">
        <v>0</v>
      </c>
      <c r="E208" s="10">
        <v>0</v>
      </c>
      <c r="F208" s="10">
        <v>24152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-19928</v>
      </c>
      <c r="M208" s="10">
        <v>-66385</v>
      </c>
      <c r="N208" s="10">
        <v>0</v>
      </c>
      <c r="O208" s="10">
        <v>0</v>
      </c>
      <c r="P208" s="10">
        <v>-20264</v>
      </c>
      <c r="Q208" s="10">
        <v>0</v>
      </c>
      <c r="R208" s="10">
        <v>0</v>
      </c>
      <c r="S208" s="10">
        <v>-20264</v>
      </c>
      <c r="T208" s="10">
        <v>0</v>
      </c>
      <c r="U208" s="10">
        <v>0</v>
      </c>
      <c r="V208" s="10">
        <v>-21522</v>
      </c>
      <c r="W208" s="10">
        <v>0</v>
      </c>
      <c r="X208" s="10">
        <v>0</v>
      </c>
      <c r="Y208" s="10">
        <v>-21522</v>
      </c>
      <c r="Z208" s="10">
        <v>-27735</v>
      </c>
      <c r="AA208" s="10">
        <v>0</v>
      </c>
      <c r="AB208" s="10">
        <v>-20893</v>
      </c>
      <c r="AC208" s="10">
        <v>0</v>
      </c>
      <c r="AD208" s="10">
        <v>0</v>
      </c>
      <c r="AE208" s="10">
        <v>-20893</v>
      </c>
      <c r="AF208" s="10">
        <v>0</v>
      </c>
      <c r="AG208" s="10">
        <v>0</v>
      </c>
      <c r="AH208" s="10">
        <v>-34759</v>
      </c>
      <c r="AI208" s="10">
        <v>0</v>
      </c>
      <c r="AJ208" s="10">
        <v>0</v>
      </c>
      <c r="AK208" s="10">
        <v>-34759</v>
      </c>
      <c r="AL208" s="10">
        <v>-67576</v>
      </c>
      <c r="AM208" s="10">
        <v>0</v>
      </c>
      <c r="AN208" s="10">
        <v>0</v>
      </c>
      <c r="AO208" s="10">
        <v>-27825</v>
      </c>
      <c r="AP208" s="10">
        <v>0</v>
      </c>
      <c r="AQ208" s="10">
        <v>0</v>
      </c>
      <c r="AR208" s="10">
        <v>-27825</v>
      </c>
      <c r="AS208" s="10">
        <v>0</v>
      </c>
      <c r="AT208" s="10">
        <v>0</v>
      </c>
      <c r="AU208" s="10">
        <v>0</v>
      </c>
      <c r="AV208" s="10">
        <v>0</v>
      </c>
      <c r="AW208" s="10">
        <f t="shared" si="27"/>
        <v>-432150</v>
      </c>
    </row>
    <row r="209" spans="1:49" x14ac:dyDescent="0.2">
      <c r="A209" s="20" t="s">
        <v>256</v>
      </c>
      <c r="B209" s="10">
        <v>-436.85</v>
      </c>
      <c r="C209" s="10">
        <v>-367.47</v>
      </c>
      <c r="D209" s="10">
        <v>-221.8</v>
      </c>
      <c r="E209" s="10">
        <v>-160.13</v>
      </c>
      <c r="F209" s="10">
        <v>-34.49</v>
      </c>
      <c r="G209" s="10">
        <v>-32.01</v>
      </c>
      <c r="H209" s="10">
        <v>-25.93</v>
      </c>
      <c r="I209" s="10">
        <v>-91.28</v>
      </c>
      <c r="J209" s="10">
        <v>-143.74</v>
      </c>
      <c r="K209" s="10">
        <v>-92.67</v>
      </c>
      <c r="L209" s="10">
        <v>-69.92</v>
      </c>
      <c r="M209" s="10">
        <v>-1593.26</v>
      </c>
      <c r="N209" s="10">
        <v>0</v>
      </c>
      <c r="O209" s="10">
        <v>-253.3</v>
      </c>
      <c r="P209" s="10">
        <v>-610.9</v>
      </c>
      <c r="Q209" s="10">
        <v>-210.69</v>
      </c>
      <c r="R209" s="10">
        <v>-32.450000000000003</v>
      </c>
      <c r="S209" s="10">
        <v>-132.44</v>
      </c>
      <c r="T209" s="10">
        <v>0</v>
      </c>
      <c r="U209" s="10">
        <v>-505.72</v>
      </c>
      <c r="V209" s="10">
        <v>-43.05</v>
      </c>
      <c r="W209" s="10">
        <v>0</v>
      </c>
      <c r="X209" s="10">
        <v>-211.43</v>
      </c>
      <c r="Y209" s="10">
        <v>0</v>
      </c>
      <c r="Z209" s="10">
        <v>-804.65</v>
      </c>
      <c r="AA209" s="10">
        <v>-298.45</v>
      </c>
      <c r="AB209" s="10">
        <v>-1285.72</v>
      </c>
      <c r="AC209" s="10">
        <v>-164.62</v>
      </c>
      <c r="AD209" s="10">
        <v>0</v>
      </c>
      <c r="AE209" s="10">
        <v>-201.19</v>
      </c>
      <c r="AF209" s="10">
        <v>0</v>
      </c>
      <c r="AG209" s="10">
        <v>-2.06</v>
      </c>
      <c r="AH209" s="10">
        <v>0</v>
      </c>
      <c r="AI209" s="10">
        <v>-109.93</v>
      </c>
      <c r="AJ209" s="10">
        <v>-3.31</v>
      </c>
      <c r="AK209" s="10">
        <v>-156.35</v>
      </c>
      <c r="AL209" s="10">
        <v>-760.78</v>
      </c>
      <c r="AM209" s="10">
        <v>-0.75</v>
      </c>
      <c r="AN209" s="10">
        <v>0</v>
      </c>
      <c r="AO209" s="10">
        <v>-1384.12</v>
      </c>
      <c r="AP209" s="10">
        <v>-187.21</v>
      </c>
      <c r="AQ209" s="10">
        <v>-10.3</v>
      </c>
      <c r="AR209" s="10">
        <v>-1900.84</v>
      </c>
      <c r="AS209" s="10">
        <v>-151.63999999999999</v>
      </c>
      <c r="AT209" s="10">
        <v>-11082.61</v>
      </c>
      <c r="AU209" s="10">
        <v>0</v>
      </c>
      <c r="AV209" s="10">
        <v>0</v>
      </c>
      <c r="AW209" s="10">
        <f t="shared" si="27"/>
        <v>-23774.059999999998</v>
      </c>
    </row>
    <row r="210" spans="1:49" x14ac:dyDescent="0.2">
      <c r="A210" s="20" t="s">
        <v>257</v>
      </c>
      <c r="B210" s="10">
        <v>-24</v>
      </c>
      <c r="C210" s="10">
        <v>-20.170000000000002</v>
      </c>
      <c r="D210" s="10">
        <v>-12.19</v>
      </c>
      <c r="E210" s="10">
        <v>-8.8000000000000007</v>
      </c>
      <c r="F210" s="10">
        <v>-1.89</v>
      </c>
      <c r="G210" s="10">
        <v>-1.76</v>
      </c>
      <c r="H210" s="10">
        <v>-1.42</v>
      </c>
      <c r="I210" s="10">
        <v>-5</v>
      </c>
      <c r="J210" s="10">
        <v>-7.89</v>
      </c>
      <c r="K210" s="10">
        <v>-5.08</v>
      </c>
      <c r="L210" s="10">
        <v>-3.83</v>
      </c>
      <c r="M210" s="10">
        <v>-87.59</v>
      </c>
      <c r="N210" s="10">
        <v>0</v>
      </c>
      <c r="O210" s="10">
        <v>-13.92</v>
      </c>
      <c r="P210" s="10">
        <v>-33.590000000000003</v>
      </c>
      <c r="Q210" s="10">
        <v>-11.55</v>
      </c>
      <c r="R210" s="10">
        <v>-1.78</v>
      </c>
      <c r="S210" s="10">
        <v>-7.28</v>
      </c>
      <c r="T210" s="10">
        <v>0</v>
      </c>
      <c r="U210" s="10">
        <v>-27.79</v>
      </c>
      <c r="V210" s="10">
        <v>-2.35</v>
      </c>
      <c r="W210" s="10">
        <v>0</v>
      </c>
      <c r="X210" s="10">
        <v>-11.61</v>
      </c>
      <c r="Y210" s="10">
        <v>0</v>
      </c>
      <c r="Z210" s="10">
        <v>-44.22</v>
      </c>
      <c r="AA210" s="10">
        <v>-16.41</v>
      </c>
      <c r="AB210" s="10">
        <v>-70.709999999999994</v>
      </c>
      <c r="AC210" s="10">
        <v>-9.0500000000000007</v>
      </c>
      <c r="AD210" s="10">
        <v>0</v>
      </c>
      <c r="AE210" s="10">
        <v>-11.06</v>
      </c>
      <c r="AF210" s="10">
        <v>0</v>
      </c>
      <c r="AG210" s="10">
        <v>-0.11</v>
      </c>
      <c r="AH210" s="10">
        <v>0</v>
      </c>
      <c r="AI210" s="10">
        <v>-6.03</v>
      </c>
      <c r="AJ210" s="10">
        <v>-0.18</v>
      </c>
      <c r="AK210" s="10">
        <v>-8.59</v>
      </c>
      <c r="AL210" s="10">
        <v>-41.81</v>
      </c>
      <c r="AM210" s="10">
        <v>-0.04</v>
      </c>
      <c r="AN210" s="10">
        <v>0</v>
      </c>
      <c r="AO210" s="10">
        <v>-76.11</v>
      </c>
      <c r="AP210" s="10">
        <v>-10.28</v>
      </c>
      <c r="AQ210" s="10">
        <v>-0.56000000000000005</v>
      </c>
      <c r="AR210" s="10">
        <v>-104.53</v>
      </c>
      <c r="AS210" s="10">
        <v>-8.32</v>
      </c>
      <c r="AT210" s="10">
        <v>-609.54</v>
      </c>
      <c r="AU210" s="10">
        <v>0</v>
      </c>
      <c r="AV210" s="10">
        <v>0</v>
      </c>
      <c r="AW210" s="10">
        <f t="shared" si="27"/>
        <v>-1307.04</v>
      </c>
    </row>
    <row r="211" spans="1:49" x14ac:dyDescent="0.2">
      <c r="A211" s="20" t="s">
        <v>258</v>
      </c>
      <c r="B211" s="10">
        <v>0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-299.88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299.88</v>
      </c>
      <c r="AA211" s="10">
        <v>-743.31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743.31</v>
      </c>
      <c r="AM211" s="10">
        <v>0</v>
      </c>
      <c r="AN211" s="10">
        <v>0</v>
      </c>
      <c r="AO211" s="10">
        <v>0</v>
      </c>
      <c r="AP211" s="10">
        <v>0</v>
      </c>
      <c r="AQ211" s="10">
        <v>0</v>
      </c>
      <c r="AR211" s="10">
        <v>0</v>
      </c>
      <c r="AS211" s="10">
        <v>0</v>
      </c>
      <c r="AT211" s="10">
        <v>0</v>
      </c>
      <c r="AU211" s="10">
        <v>0</v>
      </c>
      <c r="AV211" s="10">
        <v>0</v>
      </c>
      <c r="AW211" s="10">
        <f t="shared" si="27"/>
        <v>0</v>
      </c>
    </row>
    <row r="212" spans="1:49" x14ac:dyDescent="0.2">
      <c r="A212" s="20" t="s">
        <v>259</v>
      </c>
      <c r="B212" s="10">
        <v>0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-1617.27</v>
      </c>
      <c r="M212" s="10">
        <v>1612.23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-299.88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-0.47</v>
      </c>
      <c r="AH212" s="10">
        <v>0</v>
      </c>
      <c r="AI212" s="10">
        <v>0</v>
      </c>
      <c r="AJ212" s="10">
        <v>0</v>
      </c>
      <c r="AK212" s="10">
        <v>0</v>
      </c>
      <c r="AL212" s="10">
        <v>-743.31</v>
      </c>
      <c r="AM212" s="10">
        <v>0</v>
      </c>
      <c r="AN212" s="10">
        <v>0</v>
      </c>
      <c r="AO212" s="10">
        <v>0</v>
      </c>
      <c r="AP212" s="10">
        <v>0</v>
      </c>
      <c r="AQ212" s="10">
        <v>0</v>
      </c>
      <c r="AR212" s="10">
        <v>0</v>
      </c>
      <c r="AS212" s="10">
        <v>0</v>
      </c>
      <c r="AT212" s="10">
        <v>0</v>
      </c>
      <c r="AU212" s="10">
        <v>0</v>
      </c>
      <c r="AV212" s="10">
        <v>0</v>
      </c>
      <c r="AW212" s="10">
        <f t="shared" si="27"/>
        <v>-1048.6999999999998</v>
      </c>
    </row>
    <row r="213" spans="1:49" x14ac:dyDescent="0.2">
      <c r="A213" s="18" t="s">
        <v>260</v>
      </c>
      <c r="B213" s="14">
        <f t="shared" ref="B213:AW213" si="28">SUM(B206:B212)</f>
        <v>-460.85</v>
      </c>
      <c r="C213" s="14">
        <f t="shared" si="28"/>
        <v>-24539.64</v>
      </c>
      <c r="D213" s="14">
        <f t="shared" si="28"/>
        <v>-116815.71</v>
      </c>
      <c r="E213" s="14">
        <f t="shared" si="28"/>
        <v>116412.79</v>
      </c>
      <c r="F213" s="14">
        <f t="shared" si="28"/>
        <v>24115.62</v>
      </c>
      <c r="G213" s="14">
        <f t="shared" si="28"/>
        <v>-33.769999999999996</v>
      </c>
      <c r="H213" s="14">
        <f t="shared" si="28"/>
        <v>-27.35</v>
      </c>
      <c r="I213" s="14">
        <f t="shared" si="28"/>
        <v>-96.28</v>
      </c>
      <c r="J213" s="14">
        <f t="shared" si="28"/>
        <v>-151.63</v>
      </c>
      <c r="K213" s="14">
        <f t="shared" si="28"/>
        <v>-97.75</v>
      </c>
      <c r="L213" s="14">
        <f t="shared" si="28"/>
        <v>-21619.02</v>
      </c>
      <c r="M213" s="14">
        <f t="shared" si="28"/>
        <v>-164120.47</v>
      </c>
      <c r="N213" s="14">
        <f t="shared" si="28"/>
        <v>0</v>
      </c>
      <c r="O213" s="14">
        <f t="shared" si="28"/>
        <v>-567.1</v>
      </c>
      <c r="P213" s="14">
        <f t="shared" si="28"/>
        <v>-20908.490000000002</v>
      </c>
      <c r="Q213" s="14">
        <f t="shared" si="28"/>
        <v>-23959.739999999998</v>
      </c>
      <c r="R213" s="14">
        <f t="shared" si="28"/>
        <v>-34.230000000000004</v>
      </c>
      <c r="S213" s="14">
        <f t="shared" si="28"/>
        <v>-20403.719999999998</v>
      </c>
      <c r="T213" s="14">
        <f t="shared" si="28"/>
        <v>-23737.5</v>
      </c>
      <c r="U213" s="14">
        <f t="shared" si="28"/>
        <v>-533.51</v>
      </c>
      <c r="V213" s="14">
        <f t="shared" si="28"/>
        <v>-21567.399999999998</v>
      </c>
      <c r="W213" s="14">
        <f t="shared" si="28"/>
        <v>-23737.5</v>
      </c>
      <c r="X213" s="14">
        <f t="shared" si="28"/>
        <v>-223.04000000000002</v>
      </c>
      <c r="Y213" s="14">
        <f t="shared" si="28"/>
        <v>-21522</v>
      </c>
      <c r="Z213" s="14">
        <f t="shared" si="28"/>
        <v>-79688.25</v>
      </c>
      <c r="AA213" s="14">
        <f t="shared" si="28"/>
        <v>-1058.17</v>
      </c>
      <c r="AB213" s="14">
        <f t="shared" si="28"/>
        <v>-22249.43</v>
      </c>
      <c r="AC213" s="14">
        <f t="shared" si="28"/>
        <v>-23911.17</v>
      </c>
      <c r="AD213" s="14">
        <f t="shared" si="28"/>
        <v>0</v>
      </c>
      <c r="AE213" s="14">
        <f t="shared" si="28"/>
        <v>-21105.25</v>
      </c>
      <c r="AF213" s="14">
        <f t="shared" si="28"/>
        <v>-23737.5</v>
      </c>
      <c r="AG213" s="14">
        <f t="shared" si="28"/>
        <v>-2.6399999999999997</v>
      </c>
      <c r="AH213" s="14">
        <f t="shared" si="28"/>
        <v>-34759</v>
      </c>
      <c r="AI213" s="14">
        <f t="shared" si="28"/>
        <v>-37536.81</v>
      </c>
      <c r="AJ213" s="14">
        <f t="shared" si="28"/>
        <v>-3.49</v>
      </c>
      <c r="AK213" s="14">
        <f t="shared" si="28"/>
        <v>-34923.939999999995</v>
      </c>
      <c r="AL213" s="14">
        <f t="shared" si="28"/>
        <v>-183028.73</v>
      </c>
      <c r="AM213" s="14">
        <f t="shared" si="28"/>
        <v>-0.79</v>
      </c>
      <c r="AN213" s="14">
        <f t="shared" si="28"/>
        <v>0</v>
      </c>
      <c r="AO213" s="14">
        <f t="shared" si="28"/>
        <v>-29285.23</v>
      </c>
      <c r="AP213" s="14">
        <f t="shared" si="28"/>
        <v>-30776.659999999996</v>
      </c>
      <c r="AQ213" s="14">
        <f t="shared" si="28"/>
        <v>-10.860000000000001</v>
      </c>
      <c r="AR213" s="14">
        <f t="shared" si="28"/>
        <v>-29830.37</v>
      </c>
      <c r="AS213" s="14">
        <f t="shared" si="28"/>
        <v>-30739.129999999997</v>
      </c>
      <c r="AT213" s="14">
        <f t="shared" si="28"/>
        <v>-11692.150000000001</v>
      </c>
      <c r="AU213" s="14">
        <f t="shared" si="28"/>
        <v>0</v>
      </c>
      <c r="AV213" s="14">
        <f t="shared" si="28"/>
        <v>0</v>
      </c>
      <c r="AW213" s="14">
        <f t="shared" si="28"/>
        <v>-938967.8600000001</v>
      </c>
    </row>
    <row r="214" spans="1:49" x14ac:dyDescent="0.2">
      <c r="A214" s="5" t="s">
        <v>261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spans="1:49" x14ac:dyDescent="0.2">
      <c r="A215" s="20" t="s">
        <v>262</v>
      </c>
      <c r="B215" s="10">
        <v>0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-2260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-1959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-2032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f>SUM(B215:AV215)</f>
        <v>-6251</v>
      </c>
    </row>
    <row r="216" spans="1:49" x14ac:dyDescent="0.2">
      <c r="A216" s="20" t="s">
        <v>263</v>
      </c>
      <c r="B216" s="10">
        <v>0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-2021.18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-4376.3999999999996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f>SUM(B216:AV216)</f>
        <v>-6397.58</v>
      </c>
    </row>
    <row r="217" spans="1:49" x14ac:dyDescent="0.2">
      <c r="A217" s="18" t="s">
        <v>264</v>
      </c>
      <c r="B217" s="14">
        <f t="shared" ref="B217:AW217" si="29">SUM(B215:B216)</f>
        <v>0</v>
      </c>
      <c r="C217" s="14">
        <f t="shared" si="29"/>
        <v>0</v>
      </c>
      <c r="D217" s="14">
        <f t="shared" si="29"/>
        <v>0</v>
      </c>
      <c r="E217" s="14">
        <f t="shared" si="29"/>
        <v>0</v>
      </c>
      <c r="F217" s="14">
        <f t="shared" si="29"/>
        <v>0</v>
      </c>
      <c r="G217" s="14">
        <f t="shared" si="29"/>
        <v>0</v>
      </c>
      <c r="H217" s="14">
        <f t="shared" si="29"/>
        <v>0</v>
      </c>
      <c r="I217" s="14">
        <f t="shared" si="29"/>
        <v>0</v>
      </c>
      <c r="J217" s="14">
        <f t="shared" si="29"/>
        <v>0</v>
      </c>
      <c r="K217" s="14">
        <f t="shared" si="29"/>
        <v>0</v>
      </c>
      <c r="L217" s="14">
        <f t="shared" si="29"/>
        <v>0</v>
      </c>
      <c r="M217" s="14">
        <f t="shared" si="29"/>
        <v>0</v>
      </c>
      <c r="N217" s="14">
        <f t="shared" si="29"/>
        <v>-2260</v>
      </c>
      <c r="O217" s="14">
        <f t="shared" si="29"/>
        <v>0</v>
      </c>
      <c r="P217" s="14">
        <f t="shared" si="29"/>
        <v>0</v>
      </c>
      <c r="Q217" s="14">
        <f t="shared" si="29"/>
        <v>0</v>
      </c>
      <c r="R217" s="14">
        <f t="shared" si="29"/>
        <v>0</v>
      </c>
      <c r="S217" s="14">
        <f t="shared" si="29"/>
        <v>0</v>
      </c>
      <c r="T217" s="14">
        <f t="shared" si="29"/>
        <v>0</v>
      </c>
      <c r="U217" s="14">
        <f t="shared" si="29"/>
        <v>0</v>
      </c>
      <c r="V217" s="14">
        <f t="shared" si="29"/>
        <v>0</v>
      </c>
      <c r="W217" s="14">
        <f t="shared" si="29"/>
        <v>0</v>
      </c>
      <c r="X217" s="14">
        <f t="shared" si="29"/>
        <v>0</v>
      </c>
      <c r="Y217" s="14">
        <f t="shared" si="29"/>
        <v>0</v>
      </c>
      <c r="Z217" s="14">
        <f t="shared" si="29"/>
        <v>-3980.1800000000003</v>
      </c>
      <c r="AA217" s="14">
        <f t="shared" si="29"/>
        <v>0</v>
      </c>
      <c r="AB217" s="14">
        <f t="shared" si="29"/>
        <v>0</v>
      </c>
      <c r="AC217" s="14">
        <f t="shared" si="29"/>
        <v>0</v>
      </c>
      <c r="AD217" s="14">
        <f t="shared" si="29"/>
        <v>0</v>
      </c>
      <c r="AE217" s="14">
        <f t="shared" si="29"/>
        <v>0</v>
      </c>
      <c r="AF217" s="14">
        <f t="shared" si="29"/>
        <v>0</v>
      </c>
      <c r="AG217" s="14">
        <f t="shared" si="29"/>
        <v>-4376.3999999999996</v>
      </c>
      <c r="AH217" s="14">
        <f t="shared" si="29"/>
        <v>0</v>
      </c>
      <c r="AI217" s="14">
        <f t="shared" si="29"/>
        <v>0</v>
      </c>
      <c r="AJ217" s="14">
        <f t="shared" si="29"/>
        <v>0</v>
      </c>
      <c r="AK217" s="14">
        <f t="shared" si="29"/>
        <v>0</v>
      </c>
      <c r="AL217" s="14">
        <f t="shared" si="29"/>
        <v>-2032</v>
      </c>
      <c r="AM217" s="14">
        <f t="shared" si="29"/>
        <v>0</v>
      </c>
      <c r="AN217" s="14">
        <f t="shared" si="29"/>
        <v>0</v>
      </c>
      <c r="AO217" s="14">
        <f t="shared" si="29"/>
        <v>0</v>
      </c>
      <c r="AP217" s="14">
        <f t="shared" si="29"/>
        <v>0</v>
      </c>
      <c r="AQ217" s="14">
        <f t="shared" si="29"/>
        <v>0</v>
      </c>
      <c r="AR217" s="14">
        <f t="shared" si="29"/>
        <v>0</v>
      </c>
      <c r="AS217" s="14">
        <f t="shared" si="29"/>
        <v>0</v>
      </c>
      <c r="AT217" s="14">
        <f t="shared" si="29"/>
        <v>0</v>
      </c>
      <c r="AU217" s="14">
        <f t="shared" si="29"/>
        <v>0</v>
      </c>
      <c r="AV217" s="14">
        <f t="shared" si="29"/>
        <v>0</v>
      </c>
      <c r="AW217" s="14">
        <f t="shared" si="29"/>
        <v>-12648.58</v>
      </c>
    </row>
    <row r="218" spans="1:49" x14ac:dyDescent="0.2">
      <c r="A218" s="21" t="s">
        <v>265</v>
      </c>
      <c r="B218" s="14">
        <f t="shared" ref="B218:AW218" si="30">B190+B204+B213+B217</f>
        <v>-118563.05999999984</v>
      </c>
      <c r="C218" s="14">
        <f t="shared" si="30"/>
        <v>-108641.78999999988</v>
      </c>
      <c r="D218" s="14">
        <f t="shared" si="30"/>
        <v>16880.850000000108</v>
      </c>
      <c r="E218" s="14">
        <f t="shared" si="30"/>
        <v>233828.30999999994</v>
      </c>
      <c r="F218" s="14">
        <f t="shared" si="30"/>
        <v>47177.620000000024</v>
      </c>
      <c r="G218" s="14">
        <f t="shared" si="30"/>
        <v>-43491.789999999877</v>
      </c>
      <c r="H218" s="14">
        <f t="shared" si="30"/>
        <v>306225.68000000005</v>
      </c>
      <c r="I218" s="14">
        <f t="shared" si="30"/>
        <v>-5396.5599999998976</v>
      </c>
      <c r="J218" s="14">
        <f t="shared" si="30"/>
        <v>118327.76000000004</v>
      </c>
      <c r="K218" s="14">
        <f t="shared" si="30"/>
        <v>-27879.350000000009</v>
      </c>
      <c r="L218" s="14">
        <f t="shared" si="30"/>
        <v>101754.70000000006</v>
      </c>
      <c r="M218" s="14">
        <f t="shared" si="30"/>
        <v>-69226.260000000053</v>
      </c>
      <c r="N218" s="14">
        <f t="shared" si="30"/>
        <v>0</v>
      </c>
      <c r="O218" s="14">
        <f t="shared" si="30"/>
        <v>-92971.29000000011</v>
      </c>
      <c r="P218" s="14">
        <f t="shared" si="30"/>
        <v>-192979.02000000002</v>
      </c>
      <c r="Q218" s="14">
        <f t="shared" si="30"/>
        <v>265674.38999999984</v>
      </c>
      <c r="R218" s="14">
        <f t="shared" si="30"/>
        <v>143733.99999999971</v>
      </c>
      <c r="S218" s="14">
        <f t="shared" si="30"/>
        <v>-60742.31999999973</v>
      </c>
      <c r="T218" s="14">
        <f t="shared" si="30"/>
        <v>130305.33999999985</v>
      </c>
      <c r="U218" s="14">
        <f t="shared" si="30"/>
        <v>141778.12000000008</v>
      </c>
      <c r="V218" s="14">
        <f t="shared" si="30"/>
        <v>-78210.520000000048</v>
      </c>
      <c r="W218" s="14">
        <f t="shared" si="30"/>
        <v>12235.75</v>
      </c>
      <c r="X218" s="14">
        <f t="shared" si="30"/>
        <v>-69130.280000000173</v>
      </c>
      <c r="Y218" s="14">
        <f t="shared" si="30"/>
        <v>215853.60000000009</v>
      </c>
      <c r="Z218" s="14">
        <f t="shared" si="30"/>
        <v>138440.45000000027</v>
      </c>
      <c r="AA218" s="14">
        <f t="shared" si="30"/>
        <v>39440.30000000017</v>
      </c>
      <c r="AB218" s="14">
        <f t="shared" si="30"/>
        <v>105276.21000000008</v>
      </c>
      <c r="AC218" s="14">
        <f t="shared" si="30"/>
        <v>319179.73000000021</v>
      </c>
      <c r="AD218" s="14">
        <f t="shared" si="30"/>
        <v>108539.82999999996</v>
      </c>
      <c r="AE218" s="14">
        <f t="shared" si="30"/>
        <v>38269.829999999616</v>
      </c>
      <c r="AF218" s="14">
        <f t="shared" si="30"/>
        <v>103885.81999999995</v>
      </c>
      <c r="AG218" s="14">
        <f t="shared" si="30"/>
        <v>-208961.31000000003</v>
      </c>
      <c r="AH218" s="14">
        <f t="shared" si="30"/>
        <v>528116.03</v>
      </c>
      <c r="AI218" s="14">
        <f t="shared" si="30"/>
        <v>-260240.83000000025</v>
      </c>
      <c r="AJ218" s="14">
        <f t="shared" si="30"/>
        <v>320653.48</v>
      </c>
      <c r="AK218" s="14">
        <f t="shared" si="30"/>
        <v>254764.73000000004</v>
      </c>
      <c r="AL218" s="14">
        <f t="shared" si="30"/>
        <v>36115.09999999986</v>
      </c>
      <c r="AM218" s="14">
        <f t="shared" si="30"/>
        <v>0</v>
      </c>
      <c r="AN218" s="14">
        <f t="shared" si="30"/>
        <v>385043.70999999973</v>
      </c>
      <c r="AO218" s="14">
        <f t="shared" si="30"/>
        <v>256330.16999999966</v>
      </c>
      <c r="AP218" s="14">
        <f t="shared" si="30"/>
        <v>427832.48999999987</v>
      </c>
      <c r="AQ218" s="14">
        <f t="shared" si="30"/>
        <v>54723.880000000259</v>
      </c>
      <c r="AR218" s="14">
        <f t="shared" si="30"/>
        <v>156753.04999999987</v>
      </c>
      <c r="AS218" s="14">
        <f t="shared" si="30"/>
        <v>-160942.58000000025</v>
      </c>
      <c r="AT218" s="14">
        <f t="shared" si="30"/>
        <v>1334822.21</v>
      </c>
      <c r="AU218" s="14">
        <f t="shared" si="30"/>
        <v>8947.0800000000017</v>
      </c>
      <c r="AV218" s="14">
        <f t="shared" si="30"/>
        <v>0</v>
      </c>
      <c r="AW218" s="14">
        <f t="shared" si="30"/>
        <v>4853533.2599999802</v>
      </c>
    </row>
  </sheetData>
  <mergeCells count="3">
    <mergeCell ref="A1:AW1"/>
    <mergeCell ref="A2:AW2"/>
    <mergeCell ref="A3:AW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2023-08-08T18:19:44Z</dcterms:created>
  <dcterms:modified xsi:type="dcterms:W3CDTF">2023-08-08T18:21:19Z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