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DE\"/>
    </mc:Choice>
  </mc:AlternateContent>
  <xr:revisionPtr revIDLastSave="0" documentId="13_ncr:40009_{104948E5-93DE-46CE-8F6C-68A7F32DF6DC}" xr6:coauthVersionLast="47" xr6:coauthVersionMax="47" xr10:uidLastSave="{00000000-0000-0000-0000-000000000000}"/>
  <bookViews>
    <workbookView xWindow="-28920" yWindow="-120" windowWidth="29040" windowHeight="15840"/>
  </bookViews>
  <sheets>
    <sheet name="PGBalanceSheetbyEntity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9" i="1" l="1"/>
  <c r="H209" i="1"/>
  <c r="G209" i="1"/>
  <c r="F209" i="1"/>
  <c r="E209" i="1"/>
  <c r="D209" i="1"/>
  <c r="C209" i="1"/>
  <c r="B209" i="1"/>
  <c r="I203" i="1"/>
  <c r="H203" i="1"/>
  <c r="G203" i="1"/>
  <c r="F203" i="1"/>
  <c r="E203" i="1"/>
  <c r="D203" i="1"/>
  <c r="C203" i="1"/>
  <c r="B203" i="1"/>
  <c r="I149" i="1"/>
  <c r="H149" i="1"/>
  <c r="G149" i="1"/>
  <c r="F149" i="1"/>
  <c r="E149" i="1"/>
  <c r="D149" i="1"/>
  <c r="C149" i="1"/>
  <c r="B149" i="1"/>
  <c r="I145" i="1"/>
  <c r="H145" i="1"/>
  <c r="G145" i="1"/>
  <c r="F145" i="1"/>
  <c r="E145" i="1"/>
  <c r="D145" i="1"/>
  <c r="C145" i="1"/>
  <c r="B145" i="1"/>
  <c r="I139" i="1"/>
  <c r="I204" i="1" s="1"/>
  <c r="H139" i="1"/>
  <c r="H204" i="1" s="1"/>
  <c r="G139" i="1"/>
  <c r="G204" i="1" s="1"/>
  <c r="F139" i="1"/>
  <c r="E139" i="1"/>
  <c r="D139" i="1"/>
  <c r="C139" i="1"/>
  <c r="B139" i="1"/>
  <c r="I133" i="1"/>
  <c r="H133" i="1"/>
  <c r="G133" i="1"/>
  <c r="F133" i="1"/>
  <c r="E133" i="1"/>
  <c r="D133" i="1"/>
  <c r="C133" i="1"/>
  <c r="B133" i="1"/>
  <c r="I123" i="1"/>
  <c r="I134" i="1" s="1"/>
  <c r="H123" i="1"/>
  <c r="H134" i="1" s="1"/>
  <c r="G123" i="1"/>
  <c r="G134" i="1" s="1"/>
  <c r="F123" i="1"/>
  <c r="F134" i="1" s="1"/>
  <c r="E123" i="1"/>
  <c r="E134" i="1" s="1"/>
  <c r="D123" i="1"/>
  <c r="C123" i="1"/>
  <c r="C134" i="1" s="1"/>
  <c r="B123" i="1"/>
  <c r="B134" i="1" s="1"/>
  <c r="I114" i="1"/>
  <c r="H114" i="1"/>
  <c r="G114" i="1"/>
  <c r="F114" i="1"/>
  <c r="E114" i="1"/>
  <c r="D114" i="1"/>
  <c r="C114" i="1"/>
  <c r="B114" i="1"/>
  <c r="I113" i="1"/>
  <c r="I116" i="1" s="1"/>
  <c r="I211" i="1" s="1"/>
  <c r="H113" i="1"/>
  <c r="H116" i="1" s="1"/>
  <c r="H211" i="1" s="1"/>
  <c r="G113" i="1"/>
  <c r="G116" i="1" s="1"/>
  <c r="G211" i="1" s="1"/>
  <c r="F113" i="1"/>
  <c r="F116" i="1" s="1"/>
  <c r="E113" i="1"/>
  <c r="E116" i="1" s="1"/>
  <c r="D113" i="1"/>
  <c r="D116" i="1" s="1"/>
  <c r="C113" i="1"/>
  <c r="C116" i="1" s="1"/>
  <c r="B113" i="1"/>
  <c r="B116" i="1" s="1"/>
  <c r="I106" i="1"/>
  <c r="H106" i="1"/>
  <c r="G106" i="1"/>
  <c r="F106" i="1"/>
  <c r="E106" i="1"/>
  <c r="D106" i="1"/>
  <c r="C106" i="1"/>
  <c r="B106" i="1"/>
  <c r="I100" i="1"/>
  <c r="H100" i="1"/>
  <c r="G100" i="1"/>
  <c r="F100" i="1"/>
  <c r="E100" i="1"/>
  <c r="D100" i="1"/>
  <c r="C100" i="1"/>
  <c r="B100" i="1"/>
  <c r="I86" i="1"/>
  <c r="I101" i="1" s="1"/>
  <c r="H86" i="1"/>
  <c r="H101" i="1" s="1"/>
  <c r="G86" i="1"/>
  <c r="G101" i="1" s="1"/>
  <c r="F86" i="1"/>
  <c r="F101" i="1" s="1"/>
  <c r="E86" i="1"/>
  <c r="D86" i="1"/>
  <c r="D101" i="1" s="1"/>
  <c r="C86" i="1"/>
  <c r="C101" i="1" s="1"/>
  <c r="B86" i="1"/>
  <c r="I81" i="1"/>
  <c r="H81" i="1"/>
  <c r="G81" i="1"/>
  <c r="F81" i="1"/>
  <c r="E81" i="1"/>
  <c r="D81" i="1"/>
  <c r="C81" i="1"/>
  <c r="B81" i="1"/>
  <c r="I71" i="1"/>
  <c r="H71" i="1"/>
  <c r="G71" i="1"/>
  <c r="F71" i="1"/>
  <c r="E71" i="1"/>
  <c r="D71" i="1"/>
  <c r="C71" i="1"/>
  <c r="B71" i="1"/>
  <c r="I66" i="1"/>
  <c r="I82" i="1" s="1"/>
  <c r="H66" i="1"/>
  <c r="H82" i="1" s="1"/>
  <c r="G66" i="1"/>
  <c r="G82" i="1" s="1"/>
  <c r="F66" i="1"/>
  <c r="F82" i="1" s="1"/>
  <c r="E66" i="1"/>
  <c r="E82" i="1" s="1"/>
  <c r="D66" i="1"/>
  <c r="D82" i="1" s="1"/>
  <c r="C66" i="1"/>
  <c r="C82" i="1" s="1"/>
  <c r="B66" i="1"/>
  <c r="B82" i="1" s="1"/>
  <c r="I58" i="1"/>
  <c r="I59" i="1" s="1"/>
  <c r="I102" i="1" s="1"/>
  <c r="H58" i="1"/>
  <c r="H59" i="1" s="1"/>
  <c r="H102" i="1" s="1"/>
  <c r="G58" i="1"/>
  <c r="G59" i="1" s="1"/>
  <c r="G102" i="1" s="1"/>
  <c r="F58" i="1"/>
  <c r="F59" i="1" s="1"/>
  <c r="F102" i="1" s="1"/>
  <c r="E58" i="1"/>
  <c r="E59" i="1" s="1"/>
  <c r="D58" i="1"/>
  <c r="D59" i="1" s="1"/>
  <c r="C58" i="1"/>
  <c r="C59" i="1" s="1"/>
  <c r="B58" i="1"/>
  <c r="B59" i="1" s="1"/>
  <c r="I50" i="1"/>
  <c r="H50" i="1"/>
  <c r="G50" i="1"/>
  <c r="F50" i="1"/>
  <c r="E50" i="1"/>
  <c r="D50" i="1"/>
  <c r="C50" i="1"/>
  <c r="B50" i="1"/>
  <c r="I47" i="1"/>
  <c r="H47" i="1"/>
  <c r="G47" i="1"/>
  <c r="F47" i="1"/>
  <c r="E47" i="1"/>
  <c r="D47" i="1"/>
  <c r="C47" i="1"/>
  <c r="B47" i="1"/>
  <c r="I42" i="1"/>
  <c r="I51" i="1" s="1"/>
  <c r="H42" i="1"/>
  <c r="H51" i="1" s="1"/>
  <c r="G42" i="1"/>
  <c r="G51" i="1" s="1"/>
  <c r="F42" i="1"/>
  <c r="E42" i="1"/>
  <c r="E51" i="1" s="1"/>
  <c r="D42" i="1"/>
  <c r="C42" i="1"/>
  <c r="B42" i="1"/>
  <c r="B51" i="1" s="1"/>
  <c r="I37" i="1"/>
  <c r="H37" i="1"/>
  <c r="G37" i="1"/>
  <c r="F37" i="1"/>
  <c r="E37" i="1"/>
  <c r="D37" i="1"/>
  <c r="C37" i="1"/>
  <c r="B37" i="1"/>
  <c r="I24" i="1"/>
  <c r="I38" i="1" s="1"/>
  <c r="H24" i="1"/>
  <c r="H38" i="1" s="1"/>
  <c r="G24" i="1"/>
  <c r="G38" i="1" s="1"/>
  <c r="F24" i="1"/>
  <c r="F38" i="1" s="1"/>
  <c r="E24" i="1"/>
  <c r="E38" i="1" s="1"/>
  <c r="D24" i="1"/>
  <c r="C24" i="1"/>
  <c r="C38" i="1" s="1"/>
  <c r="B24" i="1"/>
  <c r="B38" i="1" s="1"/>
  <c r="I16" i="1"/>
  <c r="H16" i="1"/>
  <c r="G16" i="1"/>
  <c r="F16" i="1"/>
  <c r="E16" i="1"/>
  <c r="D16" i="1"/>
  <c r="C16" i="1"/>
  <c r="B16" i="1"/>
  <c r="I12" i="1"/>
  <c r="I17" i="1" s="1"/>
  <c r="I52" i="1" s="1"/>
  <c r="I107" i="1" s="1"/>
  <c r="H12" i="1"/>
  <c r="H17" i="1" s="1"/>
  <c r="H52" i="1" s="1"/>
  <c r="H107" i="1" s="1"/>
  <c r="G12" i="1"/>
  <c r="G17" i="1" s="1"/>
  <c r="G52" i="1" s="1"/>
  <c r="G107" i="1" s="1"/>
  <c r="F12" i="1"/>
  <c r="F17" i="1" s="1"/>
  <c r="E12" i="1"/>
  <c r="E17" i="1" s="1"/>
  <c r="E52" i="1" s="1"/>
  <c r="D12" i="1"/>
  <c r="D17" i="1" s="1"/>
  <c r="C12" i="1"/>
  <c r="C17" i="1" s="1"/>
  <c r="B12" i="1"/>
  <c r="B17" i="1" s="1"/>
  <c r="B52" i="1" s="1"/>
  <c r="E101" i="1" l="1"/>
  <c r="F51" i="1"/>
  <c r="F204" i="1"/>
  <c r="B101" i="1"/>
  <c r="C204" i="1"/>
  <c r="E102" i="1"/>
  <c r="E107" i="1" s="1"/>
  <c r="F52" i="1"/>
  <c r="F107" i="1" s="1"/>
  <c r="C211" i="1"/>
  <c r="F211" i="1"/>
  <c r="D134" i="1"/>
  <c r="D51" i="1"/>
  <c r="B204" i="1"/>
  <c r="B211" i="1" s="1"/>
  <c r="C51" i="1"/>
  <c r="C52" i="1" s="1"/>
  <c r="C107" i="1" s="1"/>
  <c r="B102" i="1"/>
  <c r="B107" i="1" s="1"/>
  <c r="C102" i="1"/>
  <c r="D52" i="1"/>
  <c r="D107" i="1" s="1"/>
  <c r="D38" i="1"/>
  <c r="D102" i="1"/>
  <c r="D204" i="1"/>
  <c r="D211" i="1" s="1"/>
  <c r="E204" i="1"/>
  <c r="E211" i="1" s="1"/>
</calcChain>
</file>

<file path=xl/sharedStrings.xml><?xml version="1.0" encoding="utf-8"?>
<sst xmlns="http://schemas.openxmlformats.org/spreadsheetml/2006/main" count="220" uniqueCount="212">
  <si>
    <t>Firma : PROMATIS software GmbH</t>
  </si>
  <si>
    <t>PG Balance Sheet by Entity and Month/Quarter/Year</t>
  </si>
  <si>
    <t>End of Dez 2023</t>
  </si>
  <si>
    <t> 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</si>
  <si>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</si>
  <si>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</si>
  <si>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</si>
  <si>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</si>
  <si>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</si>
  <si>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</si>
  <si>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</si>
  <si>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</si>
  <si>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As of Dez 2023</t>
  </si>
  <si>
    <t>ASSETS</t>
  </si>
  <si>
    <t>A. Fixed assets</t>
  </si>
  <si>
    <t>I. Intangible assets</t>
  </si>
  <si>
    <t>2. Purchased concessions rights, assets and licences</t>
  </si>
  <si>
    <t>013500 - Computer software</t>
  </si>
  <si>
    <t>013510 - Accumulated depreciation of data processing software</t>
  </si>
  <si>
    <t>Total Purchased concessions rights, assets and licences</t>
  </si>
  <si>
    <t>3. Goodwill</t>
  </si>
  <si>
    <t>015000 - Goodwill</t>
  </si>
  <si>
    <t>015010 - Accumulated depreciation goodwill</t>
  </si>
  <si>
    <t>Total Goodwill</t>
  </si>
  <si>
    <t>Total Intangible assets</t>
  </si>
  <si>
    <t>II. Tangible assets</t>
  </si>
  <si>
    <t>2. Technical equipment and machinery</t>
  </si>
  <si>
    <t>042000 - Technical equipment</t>
  </si>
  <si>
    <t>042010 - Accumulated depreciation-Technical equipment</t>
  </si>
  <si>
    <t>044000 - Machinery</t>
  </si>
  <si>
    <t>044010 - Accumulated depreciation- personal computers and machinery</t>
  </si>
  <si>
    <t>Total Technical equipment and machinery</t>
  </si>
  <si>
    <t>3. Other equipment, operating and office equipment</t>
  </si>
  <si>
    <t>052000 - Passenger cars</t>
  </si>
  <si>
    <t>052010 - Accumulated depreciation - passenger cars</t>
  </si>
  <si>
    <t>063000 - Operating equipment</t>
  </si>
  <si>
    <t>067010 - Low value assets - software</t>
  </si>
  <si>
    <t>067020 - Accumulated depr. low value assets - software</t>
  </si>
  <si>
    <t>067030 - low value economic goods</t>
  </si>
  <si>
    <t>067040 - Accumulated depreciation- low value economic goods</t>
  </si>
  <si>
    <t>067050 - low value assets - hardware</t>
  </si>
  <si>
    <t>067060 - Accumulated depreciation - low value assets - hardware</t>
  </si>
  <si>
    <t>067070 - Low-value assets</t>
  </si>
  <si>
    <t>067080 - Accumulated depreciation-Low-value assets</t>
  </si>
  <si>
    <t>Total Other equipment, operating and office equipment</t>
  </si>
  <si>
    <t>Total Tangible assets</t>
  </si>
  <si>
    <t>III. Financial assets</t>
  </si>
  <si>
    <t>1. Shares in affiliated companies</t>
  </si>
  <si>
    <t>080400 - Shares in affiliated companies, corporations</t>
  </si>
  <si>
    <t>Total Shares in affiliated companies</t>
  </si>
  <si>
    <t>5. Long-term securities</t>
  </si>
  <si>
    <t>090000 - Long-term securities</t>
  </si>
  <si>
    <t>090100 - Long-term securities,Union Investment</t>
  </si>
  <si>
    <t>090200 - Long-term-securities, Merck Finck</t>
  </si>
  <si>
    <t>Total Long-term securities</t>
  </si>
  <si>
    <t>7. Cooperative shares</t>
  </si>
  <si>
    <t>098000 - Long-term shares in cooperatives</t>
  </si>
  <si>
    <t>Total Cooperative shares</t>
  </si>
  <si>
    <t>Total Financial assets</t>
  </si>
  <si>
    <t>Total Fixed assets</t>
  </si>
  <si>
    <t>B. Current assets</t>
  </si>
  <si>
    <t>I. Inventories</t>
  </si>
  <si>
    <t>6. Prepayments</t>
  </si>
  <si>
    <t>118000 - Prepayments for inventories</t>
  </si>
  <si>
    <t>Total Prepayments</t>
  </si>
  <si>
    <t>Total Inventories</t>
  </si>
  <si>
    <t>II. Trade receivables and other receivables</t>
  </si>
  <si>
    <t>1. Trade receivables</t>
  </si>
  <si>
    <t>120100 - Trade receivables</t>
  </si>
  <si>
    <t>120201 - Creditors with debit balances - Assets</t>
  </si>
  <si>
    <t>124600 - Specific valuation allowances on receivab. due within 1 year</t>
  </si>
  <si>
    <t>124800 - Global valuation allowance on receivables due within 1 year</t>
  </si>
  <si>
    <t>Total Trade receivables</t>
  </si>
  <si>
    <t>2. Receivables from affiliated companies</t>
  </si>
  <si>
    <t>127106 - Receivables from PROMATIS Corp (US)</t>
  </si>
  <si>
    <t>127107 - Receivables from PROMATIS AG (CH)</t>
  </si>
  <si>
    <t>127108 - Receivables from PROMATIS GmbH (AT)</t>
  </si>
  <si>
    <t>Total Receivables from affiliated companies</t>
  </si>
  <si>
    <t>6. Other receivables and other assets</t>
  </si>
  <si>
    <t>130000 - Other assets</t>
  </si>
  <si>
    <t>130100 - Other assets - due within 1 year</t>
  </si>
  <si>
    <t>134000 - Receivables from employees (payroll)</t>
  </si>
  <si>
    <t>135000 - Security deposits</t>
  </si>
  <si>
    <t>142000 - VAT receivables</t>
  </si>
  <si>
    <t>142200 - VAT receivables, previous year</t>
  </si>
  <si>
    <t>143500 - Receivables from trade tax overpayments</t>
  </si>
  <si>
    <t>145000 - Reclaimed corporate income tax</t>
  </si>
  <si>
    <t>Total Other receivables and other assets</t>
  </si>
  <si>
    <t>Total Trade receivables and other receivables</t>
  </si>
  <si>
    <t>IV. Cash-in-hand, central / bank balances and cheques</t>
  </si>
  <si>
    <t>Cash-in-hand</t>
  </si>
  <si>
    <t>160001 - Petty cash PROMATIS Ettlingen</t>
  </si>
  <si>
    <t>Total Cash-in-hand</t>
  </si>
  <si>
    <t>Bank</t>
  </si>
  <si>
    <t>180001 - Volksbank Karlsruhe Girokonto -54916302- PROMATIS D</t>
  </si>
  <si>
    <t>180002 - Clearing Volksbank Karlsruhe Girokonto -54916302</t>
  </si>
  <si>
    <t>180005 - Volksbank Karlsruhe Profitkonto -30063082- PROMATIS D</t>
  </si>
  <si>
    <t>180011 - Volksbank KA Währungskonto USD -465106271- PROMATIS D</t>
  </si>
  <si>
    <t>180014 - BMW Bank Tagesgeld -5005023817- PROMATIS D</t>
  </si>
  <si>
    <t>180017 - Südwestbank Girokonto -573872007- PROMATIS D</t>
  </si>
  <si>
    <t>180021 - Südwestbank Tagesgeld -573872031- PROMATIS D</t>
  </si>
  <si>
    <t>180024 - Südwestbank Vermögensverwaltung -573872015- PROMATIS D</t>
  </si>
  <si>
    <t>180027 - Commerzbank Ettlingen Girokonto -4688818- PROMATIS D</t>
  </si>
  <si>
    <t>180074 - Merck Finck Girokonto Verm.-verw. -1050667123- PROMATIS D</t>
  </si>
  <si>
    <t>189001 - Cash invest, short-term CM PROMATIS (DE)</t>
  </si>
  <si>
    <t>189999 - Bank Clearing</t>
  </si>
  <si>
    <t>Gesamt Bank</t>
  </si>
  <si>
    <t>Total Cash-in-hand, central / bank balances and cheques</t>
  </si>
  <si>
    <t>Total Current assets</t>
  </si>
  <si>
    <t>C. Prepaid expenses</t>
  </si>
  <si>
    <t>190000 - Prepaid expenses</t>
  </si>
  <si>
    <t>Total Prepaid expenses</t>
  </si>
  <si>
    <t>TOTAL ASSETS</t>
  </si>
  <si>
    <t>EQUITY &amp; LIABILITIES</t>
  </si>
  <si>
    <t>A. Equity</t>
  </si>
  <si>
    <t>I. Issued capital</t>
  </si>
  <si>
    <t>290000 - Subscribed capital</t>
  </si>
  <si>
    <t>Total Issued capital</t>
  </si>
  <si>
    <t>IV. Profit Brought Forward</t>
  </si>
  <si>
    <t>VI. Net profit/loss for the year</t>
  </si>
  <si>
    <t>Total Equity</t>
  </si>
  <si>
    <t>B. Provisions</t>
  </si>
  <si>
    <t>2. Provision for taxes</t>
  </si>
  <si>
    <t>303000 - Provision for trade tax</t>
  </si>
  <si>
    <t>303500 - Provision for trade tax, section 4(5b) EStG</t>
  </si>
  <si>
    <t>304000 - Provision for corporate income tax</t>
  </si>
  <si>
    <t>Total Provision for taxes</t>
  </si>
  <si>
    <t>3. Other provisions</t>
  </si>
  <si>
    <t>307010 - Accrual goods purchases</t>
  </si>
  <si>
    <t>307000 - Other provisions</t>
  </si>
  <si>
    <t>309500 - Provisions for period-end closing and audit costs</t>
  </si>
  <si>
    <t>307400 - Provisions for personnel expenses</t>
  </si>
  <si>
    <t>309600 - Provisions for record retention obligations</t>
  </si>
  <si>
    <t>308600 - Provisions for services</t>
  </si>
  <si>
    <t>307900 - Provisions for vacation pay</t>
  </si>
  <si>
    <t>309000 - Provisions for warranties (contra account 4790)</t>
  </si>
  <si>
    <t>Total Other provisions</t>
  </si>
  <si>
    <t>Total Provisions</t>
  </si>
  <si>
    <t>C. Liabilities</t>
  </si>
  <si>
    <t>3. Payments received on account of purchase orders</t>
  </si>
  <si>
    <t>328020 - Non-assigned Customer Payments</t>
  </si>
  <si>
    <t>Total Payments received on account of purchase orders</t>
  </si>
  <si>
    <t>4. Trade payables</t>
  </si>
  <si>
    <t>330100 - Trade payables starting with 2016</t>
  </si>
  <si>
    <t>330200 - Liabilities to employees</t>
  </si>
  <si>
    <t>330201 - Creditors with debit balances - Liabilities</t>
  </si>
  <si>
    <t>330202 - Debitors with a credit balance - Liabilities</t>
  </si>
  <si>
    <t>Total Trade payables</t>
  </si>
  <si>
    <t>6. Liabilities to affiliated companies</t>
  </si>
  <si>
    <t>340105 - Liabilities ag. Asero GmbH</t>
  </si>
  <si>
    <t>340108 - Liabilities ag. PROMATIS GmbH (AT)</t>
  </si>
  <si>
    <t>Total Liabilities to affiliated companies</t>
  </si>
  <si>
    <t>8. Other liabilities</t>
  </si>
  <si>
    <t>140101 - Deduct. input tax - reduced</t>
  </si>
  <si>
    <t>140400 - Deductible input tax on intra-EU acquisitions - standard</t>
  </si>
  <si>
    <t>140500 - VAT 16% Purchase</t>
  </si>
  <si>
    <t>140600 - VAT on Purchases</t>
  </si>
  <si>
    <t>140700 - Deductible input tax under section 13b UStG - standard</t>
  </si>
  <si>
    <t>140800 - Deductible input tax under section 13b UStG, Non-EU</t>
  </si>
  <si>
    <t>146000 - Cash in Transit</t>
  </si>
  <si>
    <t>146101 - Credit Card Mastercard Volksbank FSch - PROMATIS D</t>
  </si>
  <si>
    <t>146104 - Credit Card Mastercard Volksbank R. Mann - PROMATIS D</t>
  </si>
  <si>
    <t>350000 - Other liabilities</t>
  </si>
  <si>
    <t>350100 - Other liabilities - due within 1 year</t>
  </si>
  <si>
    <t>370000 - Liabilities from taxes and levies</t>
  </si>
  <si>
    <t>372000 - Payroll liabilities</t>
  </si>
  <si>
    <t>372500 - Liabilities for amounts withheld from employees</t>
  </si>
  <si>
    <t>372501 - BAV - Allianz Lebensversicherungs AG</t>
  </si>
  <si>
    <t>372504 - BAV - ALTE LEIPZIGER LEBEN</t>
  </si>
  <si>
    <t>372508 - BAV - HDI Lebensversicherung AG</t>
  </si>
  <si>
    <t>372510 - BAV - Die Stuttgarter</t>
  </si>
  <si>
    <t>373000 - Wage and church tax payables</t>
  </si>
  <si>
    <t>374000 - Social security liabilities</t>
  </si>
  <si>
    <t>374002 - KK_AOK Bayern</t>
  </si>
  <si>
    <t>374003 - KK_AOK Niedersachsen</t>
  </si>
  <si>
    <t>374005 - KK_AOK NordWest</t>
  </si>
  <si>
    <t>374006 - KK_AOK PLUS</t>
  </si>
  <si>
    <t>374007 - KK_AOK Rheinland</t>
  </si>
  <si>
    <t>374010 - KK_BKK Gildemeister/Seidensticker</t>
  </si>
  <si>
    <t>374012 - KK_BKK VerbundPlus</t>
  </si>
  <si>
    <t>374013 - KK_Mercedes Benz BKK (Daimler BKK)</t>
  </si>
  <si>
    <t>374015 - KK_Debeka BKK</t>
  </si>
  <si>
    <t>374016 - KK_Handelskrankenkasse</t>
  </si>
  <si>
    <t>374017 - KK_HEK</t>
  </si>
  <si>
    <t>374018 - KK_IKK classic</t>
  </si>
  <si>
    <t>374019 - KK_IKK gesund plus Ost</t>
  </si>
  <si>
    <t>374021 - KK_Knappschaft-Bahn-See</t>
  </si>
  <si>
    <t>374022 - KK_mhplus BKK</t>
  </si>
  <si>
    <t>374024 - KK_SBK</t>
  </si>
  <si>
    <t>374026 - KK_VIACTIV KRANKENKASSE</t>
  </si>
  <si>
    <t>374029 - KK_AOK RP/SAARL.</t>
  </si>
  <si>
    <t>374030 - KK_IKK SUEDWEST</t>
  </si>
  <si>
    <t>374031 - KK_BKK firmus</t>
  </si>
  <si>
    <t>374032 - KK_pronova BKK</t>
  </si>
  <si>
    <t>374033 - KK_BKK Scheufelen</t>
  </si>
  <si>
    <t>374034 - KK_BKK Pfaff</t>
  </si>
  <si>
    <t>374035 - KK_BKK ZF Partner</t>
  </si>
  <si>
    <t>379000 - Payroll allocation</t>
  </si>
  <si>
    <t>380400 - VAT on intra-EU acquisitions - standard rate</t>
  </si>
  <si>
    <t>380600 - VAT - standard rate</t>
  </si>
  <si>
    <t>382000 - VAT prepayments</t>
  </si>
  <si>
    <t>383700 - VAT under section 13b UStG - standard rate Non-EU</t>
  </si>
  <si>
    <t>383800 - VAT under section 13b UStG - from EU</t>
  </si>
  <si>
    <t>384100 - VAT, previous year</t>
  </si>
  <si>
    <t>386000 - Vat liabilities</t>
  </si>
  <si>
    <t>Total Other liabilities</t>
  </si>
  <si>
    <t>Total Liabilities</t>
  </si>
  <si>
    <t>D. Deferred income</t>
  </si>
  <si>
    <t>390000 - Deferred Income - manual booking</t>
  </si>
  <si>
    <t>390001 - Deferred Revenue - Accounts Receivables</t>
  </si>
  <si>
    <t>Total Deferred income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</si>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</sst>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6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10"/>
      <color indexed="16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9"/>
      <color indexed="56"/>
      <name val="Arial"/>
    </font>
    <font>
      <b/>
      <sz val="9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800000"/>
      </bottom>
      <diagonal/>
    </border>
    <border>
      <left/>
      <right/>
      <top style="dotted">
        <color rgb="FF969696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10" xfId="0" applyFont="1" applyBorder="1" applyAlignment="1">
      <alignment horizontal="left" vertical="center"/>
    </xf>
    <xf numFmtId="168" fontId="21" fillId="0" borderId="10" xfId="0" applyNumberFormat="1" applyFont="1" applyBorder="1" applyAlignment="1">
      <alignment horizontal="right" vertical="center"/>
    </xf>
    <xf numFmtId="0" fontId="24" fillId="0" borderId="0" xfId="0" applyFont="1" applyBorder="1" applyAlignment="1">
      <alignment horizontal="left" indent="1"/>
    </xf>
    <xf numFmtId="168" fontId="24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2"/>
    </xf>
    <xf numFmtId="168" fontId="22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3"/>
    </xf>
    <xf numFmtId="0" fontId="23" fillId="0" borderId="0" xfId="0" applyFont="1" applyBorder="1" applyAlignment="1">
      <alignment horizontal="left" indent="4"/>
    </xf>
    <xf numFmtId="168" fontId="23" fillId="0" borderId="0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3"/>
    </xf>
    <xf numFmtId="4" fontId="22" fillId="0" borderId="11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2"/>
    </xf>
    <xf numFmtId="168" fontId="22" fillId="0" borderId="11" xfId="0" applyNumberFormat="1" applyFont="1" applyBorder="1" applyAlignment="1">
      <alignment horizontal="right" vertical="center"/>
    </xf>
    <xf numFmtId="4" fontId="23" fillId="0" borderId="0" xfId="0" applyNumberFormat="1" applyFont="1" applyBorder="1" applyAlignment="1">
      <alignment horizontal="right" vertical="center"/>
    </xf>
    <xf numFmtId="0" fontId="22" fillId="0" borderId="12" xfId="0" applyFont="1" applyBorder="1" applyAlignment="1">
      <alignment horizontal="left" indent="1"/>
    </xf>
    <xf numFmtId="168" fontId="22" fillId="0" borderId="12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1"/>
    </xf>
    <xf numFmtId="0" fontId="23" fillId="0" borderId="0" xfId="0" applyFont="1" applyBorder="1" applyAlignment="1">
      <alignment horizontal="left" indent="2"/>
    </xf>
    <xf numFmtId="0" fontId="22" fillId="0" borderId="11" xfId="0" applyFont="1" applyBorder="1" applyAlignment="1">
      <alignment horizontal="left" indent="1"/>
    </xf>
    <xf numFmtId="0" fontId="25" fillId="0" borderId="13" xfId="0" applyFont="1" applyBorder="1" applyAlignment="1">
      <alignment horizontal="left" vertical="center"/>
    </xf>
    <xf numFmtId="168" fontId="25" fillId="0" borderId="13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indent="3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1"/>
  <sheetViews>
    <sheetView tabSelected="1" zoomScale="115" zoomScaleNormal="115" workbookViewId="0">
      <selection activeCell="G109" sqref="G109"/>
    </sheetView>
  </sheetViews>
  <sheetFormatPr baseColWidth="10" defaultRowHeight="11.25" x14ac:dyDescent="0.2"/>
  <cols>
    <col min="1" max="1" width="68.5" bestFit="1" customWidth="1"/>
    <col min="2" max="9" width="17.1640625" customWidth="1"/>
  </cols>
  <sheetData>
    <row r="1" spans="1:9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8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x14ac:dyDescent="0.2">
      <c r="A5" s="3" t="s">
        <v>3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spans="1:9" ht="12.75" x14ac:dyDescent="0.2">
      <c r="A6" s="5" t="s">
        <v>13</v>
      </c>
      <c r="B6" s="6"/>
      <c r="C6" s="6"/>
      <c r="D6" s="6"/>
      <c r="E6" s="6"/>
      <c r="F6" s="6"/>
      <c r="G6" s="6"/>
      <c r="H6" s="6"/>
      <c r="I6" s="6"/>
    </row>
    <row r="7" spans="1:9" ht="12" x14ac:dyDescent="0.2">
      <c r="A7" s="7" t="s">
        <v>14</v>
      </c>
      <c r="B7" s="8"/>
      <c r="C7" s="8"/>
      <c r="D7" s="8"/>
      <c r="E7" s="8"/>
      <c r="F7" s="8"/>
      <c r="G7" s="8"/>
      <c r="H7" s="8"/>
      <c r="I7" s="8"/>
    </row>
    <row r="8" spans="1:9" x14ac:dyDescent="0.2">
      <c r="A8" s="9" t="s">
        <v>15</v>
      </c>
      <c r="B8" s="10">
        <v>8426</v>
      </c>
      <c r="C8" s="10">
        <v>27095</v>
      </c>
      <c r="D8" s="10">
        <v>14096</v>
      </c>
      <c r="E8" s="10">
        <v>5058</v>
      </c>
      <c r="F8" s="10">
        <v>0</v>
      </c>
      <c r="G8" s="10">
        <v>1127.7699999999968</v>
      </c>
      <c r="H8" s="10">
        <v>661.08999999999651</v>
      </c>
      <c r="I8" s="10">
        <v>388.85999999999331</v>
      </c>
    </row>
    <row r="9" spans="1:9" hidden="1" x14ac:dyDescent="0.2">
      <c r="A9" s="11" t="s">
        <v>16</v>
      </c>
      <c r="B9" s="10"/>
      <c r="C9" s="10"/>
      <c r="D9" s="10"/>
      <c r="E9" s="10"/>
      <c r="F9" s="10"/>
      <c r="G9" s="10"/>
      <c r="H9" s="10"/>
      <c r="I9" s="10"/>
    </row>
    <row r="10" spans="1:9" hidden="1" x14ac:dyDescent="0.2">
      <c r="A10" s="12" t="s">
        <v>17</v>
      </c>
      <c r="B10" s="13">
        <v>7951</v>
      </c>
      <c r="C10" s="13">
        <v>26753</v>
      </c>
      <c r="D10" s="13">
        <v>13887</v>
      </c>
      <c r="E10" s="13">
        <v>4981</v>
      </c>
      <c r="F10" s="13">
        <v>57757.24</v>
      </c>
      <c r="G10" s="13">
        <v>59157.24</v>
      </c>
      <c r="H10" s="13">
        <v>59157.24</v>
      </c>
      <c r="I10" s="13">
        <v>59157.24</v>
      </c>
    </row>
    <row r="11" spans="1:9" hidden="1" x14ac:dyDescent="0.2">
      <c r="A11" s="12" t="s">
        <v>18</v>
      </c>
      <c r="B11" s="13">
        <v>0</v>
      </c>
      <c r="C11" s="13">
        <v>0</v>
      </c>
      <c r="D11" s="13">
        <v>0</v>
      </c>
      <c r="E11" s="13">
        <v>0</v>
      </c>
      <c r="F11" s="13">
        <v>-57757.24</v>
      </c>
      <c r="G11" s="13">
        <v>-58029.47</v>
      </c>
      <c r="H11" s="13">
        <v>-58496.15</v>
      </c>
      <c r="I11" s="13">
        <v>-58768.380000000005</v>
      </c>
    </row>
    <row r="12" spans="1:9" hidden="1" x14ac:dyDescent="0.2">
      <c r="A12" s="14" t="s">
        <v>19</v>
      </c>
      <c r="B12" s="15">
        <f t="shared" ref="B12:I12" si="0">SUM(B10:B11)</f>
        <v>7951</v>
      </c>
      <c r="C12" s="15">
        <f t="shared" si="0"/>
        <v>26753</v>
      </c>
      <c r="D12" s="15">
        <f t="shared" si="0"/>
        <v>13887</v>
      </c>
      <c r="E12" s="15">
        <f t="shared" si="0"/>
        <v>4981</v>
      </c>
      <c r="F12" s="15">
        <f t="shared" si="0"/>
        <v>0</v>
      </c>
      <c r="G12" s="15">
        <f t="shared" si="0"/>
        <v>1127.7699999999968</v>
      </c>
      <c r="H12" s="15">
        <f t="shared" si="0"/>
        <v>661.08999999999651</v>
      </c>
      <c r="I12" s="15">
        <f t="shared" si="0"/>
        <v>388.85999999999331</v>
      </c>
    </row>
    <row r="13" spans="1:9" hidden="1" x14ac:dyDescent="0.2">
      <c r="A13" s="11" t="s">
        <v>20</v>
      </c>
      <c r="B13" s="10"/>
      <c r="C13" s="10"/>
      <c r="D13" s="10"/>
      <c r="E13" s="10"/>
      <c r="F13" s="10"/>
      <c r="G13" s="10"/>
      <c r="H13" s="10"/>
      <c r="I13" s="10"/>
    </row>
    <row r="14" spans="1:9" hidden="1" x14ac:dyDescent="0.2">
      <c r="A14" s="12" t="s">
        <v>21</v>
      </c>
      <c r="B14" s="13">
        <v>475</v>
      </c>
      <c r="C14" s="13">
        <v>342</v>
      </c>
      <c r="D14" s="13">
        <v>209</v>
      </c>
      <c r="E14" s="13">
        <v>77</v>
      </c>
      <c r="F14" s="13">
        <v>2000</v>
      </c>
      <c r="G14" s="13">
        <v>2000</v>
      </c>
      <c r="H14" s="13">
        <v>2000</v>
      </c>
      <c r="I14" s="13">
        <v>2000</v>
      </c>
    </row>
    <row r="15" spans="1:9" hidden="1" x14ac:dyDescent="0.2">
      <c r="A15" s="12" t="s">
        <v>22</v>
      </c>
      <c r="B15" s="13">
        <v>0</v>
      </c>
      <c r="C15" s="13">
        <v>0</v>
      </c>
      <c r="D15" s="13">
        <v>0</v>
      </c>
      <c r="E15" s="13">
        <v>0</v>
      </c>
      <c r="F15" s="13">
        <v>-2000</v>
      </c>
      <c r="G15" s="13">
        <v>-2000</v>
      </c>
      <c r="H15" s="13">
        <v>-2000</v>
      </c>
      <c r="I15" s="13">
        <v>-2000</v>
      </c>
    </row>
    <row r="16" spans="1:9" hidden="1" x14ac:dyDescent="0.2">
      <c r="A16" s="14" t="s">
        <v>23</v>
      </c>
      <c r="B16" s="15">
        <f t="shared" ref="B16:I16" si="1">SUM(B14:B15)</f>
        <v>475</v>
      </c>
      <c r="C16" s="15">
        <f t="shared" si="1"/>
        <v>342</v>
      </c>
      <c r="D16" s="15">
        <f t="shared" si="1"/>
        <v>209</v>
      </c>
      <c r="E16" s="15">
        <f t="shared" si="1"/>
        <v>77</v>
      </c>
      <c r="F16" s="15">
        <f t="shared" si="1"/>
        <v>0</v>
      </c>
      <c r="G16" s="15">
        <f t="shared" si="1"/>
        <v>0</v>
      </c>
      <c r="H16" s="15">
        <f t="shared" si="1"/>
        <v>0</v>
      </c>
      <c r="I16" s="15">
        <f t="shared" si="1"/>
        <v>0</v>
      </c>
    </row>
    <row r="17" spans="1:9" hidden="1" x14ac:dyDescent="0.2">
      <c r="A17" s="16" t="s">
        <v>24</v>
      </c>
      <c r="B17" s="17">
        <f t="shared" ref="B17:I17" si="2">0+B12+B16+0</f>
        <v>8426</v>
      </c>
      <c r="C17" s="17">
        <f t="shared" si="2"/>
        <v>27095</v>
      </c>
      <c r="D17" s="17">
        <f t="shared" si="2"/>
        <v>14096</v>
      </c>
      <c r="E17" s="17">
        <f t="shared" si="2"/>
        <v>5058</v>
      </c>
      <c r="F17" s="17">
        <f t="shared" si="2"/>
        <v>0</v>
      </c>
      <c r="G17" s="17">
        <f t="shared" si="2"/>
        <v>1127.7699999999968</v>
      </c>
      <c r="H17" s="17">
        <f t="shared" si="2"/>
        <v>661.08999999999651</v>
      </c>
      <c r="I17" s="17">
        <f t="shared" si="2"/>
        <v>388.85999999999331</v>
      </c>
    </row>
    <row r="18" spans="1:9" x14ac:dyDescent="0.2">
      <c r="A18" s="9" t="s">
        <v>25</v>
      </c>
      <c r="B18" s="10">
        <v>4993</v>
      </c>
      <c r="C18" s="10">
        <v>4170</v>
      </c>
      <c r="D18" s="10">
        <v>2627</v>
      </c>
      <c r="E18" s="10">
        <v>49621</v>
      </c>
      <c r="F18" s="10">
        <v>39797</v>
      </c>
      <c r="G18" s="10">
        <v>30117.68</v>
      </c>
      <c r="H18" s="10">
        <v>20438.420000000002</v>
      </c>
      <c r="I18" s="10">
        <v>14792.180000000011</v>
      </c>
    </row>
    <row r="19" spans="1:9" hidden="1" x14ac:dyDescent="0.2">
      <c r="A19" s="11" t="s">
        <v>26</v>
      </c>
      <c r="B19" s="10"/>
      <c r="C19" s="10"/>
      <c r="D19" s="10"/>
      <c r="E19" s="10"/>
      <c r="F19" s="10"/>
      <c r="G19" s="10"/>
      <c r="H19" s="10"/>
      <c r="I19" s="10"/>
    </row>
    <row r="20" spans="1:9" hidden="1" x14ac:dyDescent="0.2">
      <c r="A20" s="12" t="s">
        <v>27</v>
      </c>
      <c r="B20" s="18">
        <v>2660</v>
      </c>
      <c r="C20" s="18">
        <v>2637</v>
      </c>
      <c r="D20" s="18">
        <v>1894</v>
      </c>
      <c r="E20" s="18">
        <v>3744</v>
      </c>
      <c r="F20" s="18">
        <v>8000.09</v>
      </c>
      <c r="G20" s="18">
        <v>8000.09</v>
      </c>
      <c r="H20" s="18">
        <v>8000.09</v>
      </c>
      <c r="I20" s="18">
        <v>8000.09</v>
      </c>
    </row>
    <row r="21" spans="1:9" hidden="1" x14ac:dyDescent="0.2">
      <c r="A21" s="12" t="s">
        <v>28</v>
      </c>
      <c r="B21" s="18">
        <v>0</v>
      </c>
      <c r="C21" s="18">
        <v>0</v>
      </c>
      <c r="D21" s="18">
        <v>0</v>
      </c>
      <c r="E21" s="18">
        <v>0</v>
      </c>
      <c r="F21" s="18">
        <v>-5200.09</v>
      </c>
      <c r="G21" s="18">
        <v>-6000.13</v>
      </c>
      <c r="H21" s="18">
        <v>-6800.1100000000006</v>
      </c>
      <c r="I21" s="18">
        <v>-7266.77</v>
      </c>
    </row>
    <row r="22" spans="1:9" hidden="1" x14ac:dyDescent="0.2">
      <c r="A22" s="12" t="s">
        <v>29</v>
      </c>
      <c r="B22" s="18">
        <v>0</v>
      </c>
      <c r="C22" s="18">
        <v>0</v>
      </c>
      <c r="D22" s="18">
        <v>0</v>
      </c>
      <c r="E22" s="18">
        <v>0</v>
      </c>
      <c r="F22" s="18">
        <v>576.46</v>
      </c>
      <c r="G22" s="18">
        <v>576.46</v>
      </c>
      <c r="H22" s="18">
        <v>576.46</v>
      </c>
      <c r="I22" s="18">
        <v>576.46</v>
      </c>
    </row>
    <row r="23" spans="1:9" hidden="1" x14ac:dyDescent="0.2">
      <c r="A23" s="12" t="s">
        <v>30</v>
      </c>
      <c r="B23" s="18">
        <v>0</v>
      </c>
      <c r="C23" s="18">
        <v>0</v>
      </c>
      <c r="D23" s="18">
        <v>0</v>
      </c>
      <c r="E23" s="18">
        <v>0</v>
      </c>
      <c r="F23" s="18">
        <v>-576.46</v>
      </c>
      <c r="G23" s="18">
        <v>-576.46</v>
      </c>
      <c r="H23" s="18">
        <v>-576.46</v>
      </c>
      <c r="I23" s="18">
        <v>-576.46</v>
      </c>
    </row>
    <row r="24" spans="1:9" hidden="1" x14ac:dyDescent="0.2">
      <c r="A24" s="14" t="s">
        <v>31</v>
      </c>
      <c r="B24" s="15">
        <f t="shared" ref="B24:I24" si="3">SUM(B20:B23)</f>
        <v>2660</v>
      </c>
      <c r="C24" s="15">
        <f t="shared" si="3"/>
        <v>2637</v>
      </c>
      <c r="D24" s="15">
        <f t="shared" si="3"/>
        <v>1894</v>
      </c>
      <c r="E24" s="15">
        <f t="shared" si="3"/>
        <v>3744</v>
      </c>
      <c r="F24" s="15">
        <f t="shared" si="3"/>
        <v>2800</v>
      </c>
      <c r="G24" s="15">
        <f t="shared" si="3"/>
        <v>1999.96</v>
      </c>
      <c r="H24" s="15">
        <f t="shared" si="3"/>
        <v>1199.9799999999996</v>
      </c>
      <c r="I24" s="15">
        <f t="shared" si="3"/>
        <v>733.31999999999971</v>
      </c>
    </row>
    <row r="25" spans="1:9" hidden="1" x14ac:dyDescent="0.2">
      <c r="A25" s="11" t="s">
        <v>32</v>
      </c>
      <c r="B25" s="10"/>
      <c r="C25" s="10"/>
      <c r="D25" s="10"/>
      <c r="E25" s="10"/>
      <c r="F25" s="10"/>
      <c r="G25" s="10"/>
      <c r="H25" s="10"/>
      <c r="I25" s="10"/>
    </row>
    <row r="26" spans="1:9" hidden="1" x14ac:dyDescent="0.2">
      <c r="A26" s="12" t="s">
        <v>33</v>
      </c>
      <c r="B26" s="18">
        <v>0</v>
      </c>
      <c r="C26" s="18">
        <v>0</v>
      </c>
      <c r="D26" s="18">
        <v>0</v>
      </c>
      <c r="E26" s="18">
        <v>45877</v>
      </c>
      <c r="F26" s="18">
        <v>53277.26</v>
      </c>
      <c r="G26" s="18">
        <v>53277.26</v>
      </c>
      <c r="H26" s="18">
        <v>53277.26</v>
      </c>
      <c r="I26" s="18">
        <v>53277.26</v>
      </c>
    </row>
    <row r="27" spans="1:9" hidden="1" x14ac:dyDescent="0.2">
      <c r="A27" s="12" t="s">
        <v>34</v>
      </c>
      <c r="B27" s="18">
        <v>0</v>
      </c>
      <c r="C27" s="18">
        <v>0</v>
      </c>
      <c r="D27" s="18">
        <v>0</v>
      </c>
      <c r="E27" s="18">
        <v>0</v>
      </c>
      <c r="F27" s="18">
        <v>-16280.26</v>
      </c>
      <c r="G27" s="18">
        <v>-25159.54</v>
      </c>
      <c r="H27" s="18">
        <v>-34038.82</v>
      </c>
      <c r="I27" s="18">
        <v>-39218.400000000001</v>
      </c>
    </row>
    <row r="28" spans="1:9" hidden="1" x14ac:dyDescent="0.2">
      <c r="A28" s="12" t="s">
        <v>35</v>
      </c>
      <c r="B28" s="18">
        <v>2333</v>
      </c>
      <c r="C28" s="18">
        <v>1533</v>
      </c>
      <c r="D28" s="18">
        <v>733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</row>
    <row r="29" spans="1:9" hidden="1" x14ac:dyDescent="0.2">
      <c r="A29" s="12" t="s">
        <v>36</v>
      </c>
      <c r="B29" s="18">
        <v>0</v>
      </c>
      <c r="C29" s="18">
        <v>0</v>
      </c>
      <c r="D29" s="18">
        <v>0</v>
      </c>
      <c r="E29" s="18">
        <v>0</v>
      </c>
      <c r="F29" s="18">
        <v>52449.14</v>
      </c>
      <c r="G29" s="18">
        <v>52449.14</v>
      </c>
      <c r="H29" s="18">
        <v>52449.14</v>
      </c>
      <c r="I29" s="18">
        <v>52536.959999999999</v>
      </c>
    </row>
    <row r="30" spans="1:9" hidden="1" x14ac:dyDescent="0.2">
      <c r="A30" s="12" t="s">
        <v>37</v>
      </c>
      <c r="B30" s="18">
        <v>0</v>
      </c>
      <c r="C30" s="18">
        <v>0</v>
      </c>
      <c r="D30" s="18">
        <v>0</v>
      </c>
      <c r="E30" s="18">
        <v>0</v>
      </c>
      <c r="F30" s="18">
        <v>-52449.14</v>
      </c>
      <c r="G30" s="18">
        <v>-52449.14</v>
      </c>
      <c r="H30" s="18">
        <v>-52449.14</v>
      </c>
      <c r="I30" s="18">
        <v>-52536.959999999999</v>
      </c>
    </row>
    <row r="31" spans="1:9" hidden="1" x14ac:dyDescent="0.2">
      <c r="A31" s="12" t="s">
        <v>38</v>
      </c>
      <c r="B31" s="18">
        <v>0</v>
      </c>
      <c r="C31" s="18">
        <v>0</v>
      </c>
      <c r="D31" s="18">
        <v>0</v>
      </c>
      <c r="E31" s="18">
        <v>0</v>
      </c>
      <c r="F31" s="18">
        <v>1423.88</v>
      </c>
      <c r="G31" s="18">
        <v>1423.88</v>
      </c>
      <c r="H31" s="18">
        <v>1666.7400000000002</v>
      </c>
      <c r="I31" s="18">
        <v>1666.7400000000002</v>
      </c>
    </row>
    <row r="32" spans="1:9" hidden="1" x14ac:dyDescent="0.2">
      <c r="A32" s="12" t="s">
        <v>39</v>
      </c>
      <c r="B32" s="18">
        <v>0</v>
      </c>
      <c r="C32" s="18">
        <v>0</v>
      </c>
      <c r="D32" s="18">
        <v>0</v>
      </c>
      <c r="E32" s="18">
        <v>0</v>
      </c>
      <c r="F32" s="18">
        <v>-1423.88</v>
      </c>
      <c r="G32" s="18">
        <v>-1423.88</v>
      </c>
      <c r="H32" s="18">
        <v>-1666.7400000000002</v>
      </c>
      <c r="I32" s="18">
        <v>-1666.7400000000002</v>
      </c>
    </row>
    <row r="33" spans="1:9" hidden="1" x14ac:dyDescent="0.2">
      <c r="A33" s="12" t="s">
        <v>40</v>
      </c>
      <c r="B33" s="18">
        <v>0</v>
      </c>
      <c r="C33" s="18">
        <v>0</v>
      </c>
      <c r="D33" s="18">
        <v>0</v>
      </c>
      <c r="E33" s="18">
        <v>0</v>
      </c>
      <c r="F33" s="18">
        <v>34295.56</v>
      </c>
      <c r="G33" s="18">
        <v>27675.809999999998</v>
      </c>
      <c r="H33" s="18">
        <v>22383.309999999998</v>
      </c>
      <c r="I33" s="18">
        <v>22210.539999999997</v>
      </c>
    </row>
    <row r="34" spans="1:9" hidden="1" x14ac:dyDescent="0.2">
      <c r="A34" s="12" t="s">
        <v>41</v>
      </c>
      <c r="B34" s="18">
        <v>0</v>
      </c>
      <c r="C34" s="18">
        <v>0</v>
      </c>
      <c r="D34" s="18">
        <v>0</v>
      </c>
      <c r="E34" s="18">
        <v>0</v>
      </c>
      <c r="F34" s="18">
        <v>-34295.56</v>
      </c>
      <c r="G34" s="18">
        <v>-27675.809999999998</v>
      </c>
      <c r="H34" s="18">
        <v>-22383.309999999998</v>
      </c>
      <c r="I34" s="18">
        <v>-22210.539999999997</v>
      </c>
    </row>
    <row r="35" spans="1:9" hidden="1" x14ac:dyDescent="0.2">
      <c r="A35" s="12" t="s">
        <v>42</v>
      </c>
      <c r="B35" s="18">
        <v>0</v>
      </c>
      <c r="C35" s="18">
        <v>0</v>
      </c>
      <c r="D35" s="18">
        <v>0</v>
      </c>
      <c r="E35" s="18">
        <v>0</v>
      </c>
      <c r="F35" s="18">
        <v>1534.27</v>
      </c>
      <c r="G35" s="18">
        <v>1534.27</v>
      </c>
      <c r="H35" s="18">
        <v>2263.17</v>
      </c>
      <c r="I35" s="18">
        <v>2263.17</v>
      </c>
    </row>
    <row r="36" spans="1:9" hidden="1" x14ac:dyDescent="0.2">
      <c r="A36" s="12" t="s">
        <v>43</v>
      </c>
      <c r="B36" s="18">
        <v>0</v>
      </c>
      <c r="C36" s="18">
        <v>0</v>
      </c>
      <c r="D36" s="18">
        <v>0</v>
      </c>
      <c r="E36" s="18">
        <v>0</v>
      </c>
      <c r="F36" s="18">
        <v>-1534.27</v>
      </c>
      <c r="G36" s="18">
        <v>-1534.27</v>
      </c>
      <c r="H36" s="18">
        <v>-2263.17</v>
      </c>
      <c r="I36" s="18">
        <v>-2263.17</v>
      </c>
    </row>
    <row r="37" spans="1:9" hidden="1" x14ac:dyDescent="0.2">
      <c r="A37" s="14" t="s">
        <v>44</v>
      </c>
      <c r="B37" s="15">
        <f t="shared" ref="B37:I37" si="4">SUM(B26:B36)</f>
        <v>2333</v>
      </c>
      <c r="C37" s="15">
        <f t="shared" si="4"/>
        <v>1533</v>
      </c>
      <c r="D37" s="15">
        <f t="shared" si="4"/>
        <v>733</v>
      </c>
      <c r="E37" s="15">
        <f t="shared" si="4"/>
        <v>45877</v>
      </c>
      <c r="F37" s="15">
        <f t="shared" si="4"/>
        <v>36997</v>
      </c>
      <c r="G37" s="15">
        <f t="shared" si="4"/>
        <v>28117.72</v>
      </c>
      <c r="H37" s="15">
        <f t="shared" si="4"/>
        <v>19238.440000000002</v>
      </c>
      <c r="I37" s="15">
        <f t="shared" si="4"/>
        <v>14058.860000000011</v>
      </c>
    </row>
    <row r="38" spans="1:9" hidden="1" x14ac:dyDescent="0.2">
      <c r="A38" s="16" t="s">
        <v>45</v>
      </c>
      <c r="B38" s="17">
        <f t="shared" ref="B38:I38" si="5">0+B24+B37+0</f>
        <v>4993</v>
      </c>
      <c r="C38" s="17">
        <f t="shared" si="5"/>
        <v>4170</v>
      </c>
      <c r="D38" s="17">
        <f t="shared" si="5"/>
        <v>2627</v>
      </c>
      <c r="E38" s="17">
        <f t="shared" si="5"/>
        <v>49621</v>
      </c>
      <c r="F38" s="17">
        <f t="shared" si="5"/>
        <v>39797</v>
      </c>
      <c r="G38" s="17">
        <f t="shared" si="5"/>
        <v>30117.68</v>
      </c>
      <c r="H38" s="17">
        <f t="shared" si="5"/>
        <v>20438.420000000002</v>
      </c>
      <c r="I38" s="17">
        <f t="shared" si="5"/>
        <v>14792.180000000011</v>
      </c>
    </row>
    <row r="39" spans="1:9" x14ac:dyDescent="0.2">
      <c r="A39" s="9" t="s">
        <v>46</v>
      </c>
      <c r="B39" s="10">
        <v>576640.73</v>
      </c>
      <c r="C39" s="10">
        <v>905105.57000000007</v>
      </c>
      <c r="D39" s="10">
        <v>1245970.07</v>
      </c>
      <c r="E39" s="10">
        <v>1231410.29</v>
      </c>
      <c r="F39" s="10">
        <v>1204531.3799999999</v>
      </c>
      <c r="G39" s="10">
        <v>1724174.14</v>
      </c>
      <c r="H39" s="10">
        <v>2289890.9200000004</v>
      </c>
      <c r="I39" s="10">
        <v>1653061.66</v>
      </c>
    </row>
    <row r="40" spans="1:9" hidden="1" x14ac:dyDescent="0.2">
      <c r="A40" s="11" t="s">
        <v>47</v>
      </c>
      <c r="B40" s="10"/>
      <c r="C40" s="10"/>
      <c r="D40" s="10"/>
      <c r="E40" s="10"/>
      <c r="F40" s="10"/>
      <c r="G40" s="10"/>
      <c r="H40" s="10"/>
      <c r="I40" s="10"/>
    </row>
    <row r="41" spans="1:9" hidden="1" x14ac:dyDescent="0.2">
      <c r="A41" s="12" t="s">
        <v>48</v>
      </c>
      <c r="B41" s="13">
        <v>0</v>
      </c>
      <c r="C41" s="13">
        <v>279407.65999999997</v>
      </c>
      <c r="D41" s="13">
        <v>279407.65999999997</v>
      </c>
      <c r="E41" s="13">
        <v>279407.65999999997</v>
      </c>
      <c r="F41" s="13">
        <v>279407.65999999997</v>
      </c>
      <c r="G41" s="13">
        <v>279407.65999999997</v>
      </c>
      <c r="H41" s="13">
        <v>279407.65999999997</v>
      </c>
      <c r="I41" s="13">
        <v>281907.65999999997</v>
      </c>
    </row>
    <row r="42" spans="1:9" hidden="1" x14ac:dyDescent="0.2">
      <c r="A42" s="14" t="s">
        <v>49</v>
      </c>
      <c r="B42" s="15">
        <f t="shared" ref="B42:I42" si="6">SUM(B41)</f>
        <v>0</v>
      </c>
      <c r="C42" s="15">
        <f t="shared" si="6"/>
        <v>279407.65999999997</v>
      </c>
      <c r="D42" s="15">
        <f t="shared" si="6"/>
        <v>279407.65999999997</v>
      </c>
      <c r="E42" s="15">
        <f t="shared" si="6"/>
        <v>279407.65999999997</v>
      </c>
      <c r="F42" s="15">
        <f t="shared" si="6"/>
        <v>279407.65999999997</v>
      </c>
      <c r="G42" s="15">
        <f t="shared" si="6"/>
        <v>279407.65999999997</v>
      </c>
      <c r="H42" s="15">
        <f t="shared" si="6"/>
        <v>279407.65999999997</v>
      </c>
      <c r="I42" s="15">
        <f t="shared" si="6"/>
        <v>281907.65999999997</v>
      </c>
    </row>
    <row r="43" spans="1:9" hidden="1" x14ac:dyDescent="0.2">
      <c r="A43" s="11" t="s">
        <v>50</v>
      </c>
      <c r="B43" s="10"/>
      <c r="C43" s="10"/>
      <c r="D43" s="10"/>
      <c r="E43" s="10"/>
      <c r="F43" s="10"/>
      <c r="G43" s="10"/>
      <c r="H43" s="10"/>
      <c r="I43" s="10"/>
    </row>
    <row r="44" spans="1:9" hidden="1" x14ac:dyDescent="0.2">
      <c r="A44" s="12" t="s">
        <v>51</v>
      </c>
      <c r="B44" s="13">
        <v>381781.07</v>
      </c>
      <c r="C44" s="13">
        <v>400747.32</v>
      </c>
      <c r="D44" s="13">
        <v>740960.62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9" hidden="1" x14ac:dyDescent="0.2">
      <c r="A45" s="12" t="s">
        <v>52</v>
      </c>
      <c r="B45" s="13">
        <v>194759.66</v>
      </c>
      <c r="C45" s="13">
        <v>224850.59</v>
      </c>
      <c r="D45" s="13">
        <v>225501.79</v>
      </c>
      <c r="E45" s="13">
        <v>225831.34</v>
      </c>
      <c r="F45" s="13">
        <v>221307.11</v>
      </c>
      <c r="G45" s="13">
        <v>221802.46999999997</v>
      </c>
      <c r="H45" s="13">
        <v>829792.65</v>
      </c>
      <c r="I45" s="13">
        <v>836261.94000000006</v>
      </c>
    </row>
    <row r="46" spans="1:9" hidden="1" x14ac:dyDescent="0.2">
      <c r="A46" s="12" t="s">
        <v>53</v>
      </c>
      <c r="B46" s="13">
        <v>0</v>
      </c>
      <c r="C46" s="13">
        <v>0</v>
      </c>
      <c r="D46" s="13">
        <v>0</v>
      </c>
      <c r="E46" s="13">
        <v>726071.29</v>
      </c>
      <c r="F46" s="13">
        <v>703716.61</v>
      </c>
      <c r="G46" s="13">
        <v>1222864.01</v>
      </c>
      <c r="H46" s="13">
        <v>1180590.6100000001</v>
      </c>
      <c r="I46" s="13">
        <v>534792.06000000006</v>
      </c>
    </row>
    <row r="47" spans="1:9" hidden="1" x14ac:dyDescent="0.2">
      <c r="A47" s="14" t="s">
        <v>54</v>
      </c>
      <c r="B47" s="15">
        <f t="shared" ref="B47:I47" si="7">SUM(B44:B46)</f>
        <v>576540.73</v>
      </c>
      <c r="C47" s="15">
        <f t="shared" si="7"/>
        <v>625597.91</v>
      </c>
      <c r="D47" s="15">
        <f t="shared" si="7"/>
        <v>966462.41</v>
      </c>
      <c r="E47" s="15">
        <f t="shared" si="7"/>
        <v>951902.63</v>
      </c>
      <c r="F47" s="15">
        <f t="shared" si="7"/>
        <v>925023.72</v>
      </c>
      <c r="G47" s="15">
        <f t="shared" si="7"/>
        <v>1444666.48</v>
      </c>
      <c r="H47" s="15">
        <f t="shared" si="7"/>
        <v>2010383.2600000002</v>
      </c>
      <c r="I47" s="15">
        <f t="shared" si="7"/>
        <v>1371054</v>
      </c>
    </row>
    <row r="48" spans="1:9" hidden="1" x14ac:dyDescent="0.2">
      <c r="A48" s="11" t="s">
        <v>55</v>
      </c>
      <c r="B48" s="10"/>
      <c r="C48" s="10"/>
      <c r="D48" s="10"/>
      <c r="E48" s="10"/>
      <c r="F48" s="10"/>
      <c r="G48" s="10"/>
      <c r="H48" s="10"/>
      <c r="I48" s="10"/>
    </row>
    <row r="49" spans="1:9" hidden="1" x14ac:dyDescent="0.2">
      <c r="A49" s="12" t="s">
        <v>56</v>
      </c>
      <c r="B49" s="13">
        <v>100</v>
      </c>
      <c r="C49" s="13">
        <v>100</v>
      </c>
      <c r="D49" s="13">
        <v>100</v>
      </c>
      <c r="E49" s="13">
        <v>100</v>
      </c>
      <c r="F49" s="13">
        <v>100</v>
      </c>
      <c r="G49" s="13">
        <v>100</v>
      </c>
      <c r="H49" s="13">
        <v>100</v>
      </c>
      <c r="I49" s="13">
        <v>100</v>
      </c>
    </row>
    <row r="50" spans="1:9" hidden="1" x14ac:dyDescent="0.2">
      <c r="A50" s="14" t="s">
        <v>57</v>
      </c>
      <c r="B50" s="15">
        <f t="shared" ref="B50:I50" si="8">SUM(B49)</f>
        <v>100</v>
      </c>
      <c r="C50" s="15">
        <f t="shared" si="8"/>
        <v>100</v>
      </c>
      <c r="D50" s="15">
        <f t="shared" si="8"/>
        <v>100</v>
      </c>
      <c r="E50" s="15">
        <f t="shared" si="8"/>
        <v>100</v>
      </c>
      <c r="F50" s="15">
        <f t="shared" si="8"/>
        <v>100</v>
      </c>
      <c r="G50" s="15">
        <f t="shared" si="8"/>
        <v>100</v>
      </c>
      <c r="H50" s="15">
        <f t="shared" si="8"/>
        <v>100</v>
      </c>
      <c r="I50" s="15">
        <f t="shared" si="8"/>
        <v>100</v>
      </c>
    </row>
    <row r="51" spans="1:9" hidden="1" x14ac:dyDescent="0.2">
      <c r="A51" s="16" t="s">
        <v>58</v>
      </c>
      <c r="B51" s="17">
        <f t="shared" ref="B51:I51" si="9">B42+0+0+0+B47+0+B50+0</f>
        <v>576640.73</v>
      </c>
      <c r="C51" s="17">
        <f t="shared" si="9"/>
        <v>905105.57000000007</v>
      </c>
      <c r="D51" s="17">
        <f t="shared" si="9"/>
        <v>1245970.07</v>
      </c>
      <c r="E51" s="17">
        <f t="shared" si="9"/>
        <v>1231410.29</v>
      </c>
      <c r="F51" s="17">
        <f t="shared" si="9"/>
        <v>1204531.3799999999</v>
      </c>
      <c r="G51" s="17">
        <f t="shared" si="9"/>
        <v>1724174.14</v>
      </c>
      <c r="H51" s="17">
        <f t="shared" si="9"/>
        <v>2289890.9200000004</v>
      </c>
      <c r="I51" s="17">
        <f t="shared" si="9"/>
        <v>1653061.66</v>
      </c>
    </row>
    <row r="52" spans="1:9" x14ac:dyDescent="0.2">
      <c r="A52" s="19" t="s">
        <v>59</v>
      </c>
      <c r="B52" s="20">
        <f t="shared" ref="B52:I52" si="10">B17+B38+B51</f>
        <v>590059.73</v>
      </c>
      <c r="C52" s="20">
        <f t="shared" si="10"/>
        <v>936370.57000000007</v>
      </c>
      <c r="D52" s="20">
        <f t="shared" si="10"/>
        <v>1262693.07</v>
      </c>
      <c r="E52" s="20">
        <f t="shared" si="10"/>
        <v>1286089.29</v>
      </c>
      <c r="F52" s="20">
        <f t="shared" si="10"/>
        <v>1244328.3799999999</v>
      </c>
      <c r="G52" s="20">
        <f t="shared" si="10"/>
        <v>1755419.5899999999</v>
      </c>
      <c r="H52" s="20">
        <f t="shared" si="10"/>
        <v>2310990.4300000002</v>
      </c>
      <c r="I52" s="20">
        <f t="shared" si="10"/>
        <v>1668242.7</v>
      </c>
    </row>
    <row r="53" spans="1:9" x14ac:dyDescent="0.2">
      <c r="A53" s="21"/>
      <c r="B53" s="10"/>
      <c r="C53" s="10"/>
      <c r="D53" s="10"/>
      <c r="E53" s="10"/>
      <c r="F53" s="10"/>
      <c r="G53" s="10"/>
      <c r="H53" s="10"/>
      <c r="I53" s="10"/>
    </row>
    <row r="54" spans="1:9" ht="12" x14ac:dyDescent="0.2">
      <c r="A54" s="7" t="s">
        <v>60</v>
      </c>
      <c r="B54" s="8"/>
      <c r="C54" s="8"/>
      <c r="D54" s="8"/>
      <c r="E54" s="8"/>
      <c r="F54" s="8"/>
      <c r="G54" s="8"/>
      <c r="H54" s="8"/>
      <c r="I54" s="8"/>
    </row>
    <row r="55" spans="1:9" x14ac:dyDescent="0.2">
      <c r="A55" s="9" t="s">
        <v>61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11304</v>
      </c>
    </row>
    <row r="56" spans="1:9" hidden="1" x14ac:dyDescent="0.2">
      <c r="A56" s="11" t="s">
        <v>62</v>
      </c>
      <c r="B56" s="10"/>
      <c r="C56" s="10"/>
      <c r="D56" s="10"/>
      <c r="E56" s="10"/>
      <c r="F56" s="10"/>
      <c r="G56" s="10"/>
      <c r="H56" s="10"/>
      <c r="I56" s="10"/>
    </row>
    <row r="57" spans="1:9" hidden="1" x14ac:dyDescent="0.2">
      <c r="A57" s="12" t="s">
        <v>63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11304</v>
      </c>
    </row>
    <row r="58" spans="1:9" hidden="1" x14ac:dyDescent="0.2">
      <c r="A58" s="14" t="s">
        <v>64</v>
      </c>
      <c r="B58" s="15">
        <f t="shared" ref="B58:I58" si="11">SUM(B57)</f>
        <v>0</v>
      </c>
      <c r="C58" s="15">
        <f t="shared" si="11"/>
        <v>0</v>
      </c>
      <c r="D58" s="15">
        <f t="shared" si="11"/>
        <v>0</v>
      </c>
      <c r="E58" s="15">
        <f t="shared" si="11"/>
        <v>0</v>
      </c>
      <c r="F58" s="15">
        <f t="shared" si="11"/>
        <v>0</v>
      </c>
      <c r="G58" s="15">
        <f t="shared" si="11"/>
        <v>0</v>
      </c>
      <c r="H58" s="15">
        <f t="shared" si="11"/>
        <v>0</v>
      </c>
      <c r="I58" s="15">
        <f t="shared" si="11"/>
        <v>11304</v>
      </c>
    </row>
    <row r="59" spans="1:9" hidden="1" x14ac:dyDescent="0.2">
      <c r="A59" s="16" t="s">
        <v>65</v>
      </c>
      <c r="B59" s="17">
        <f t="shared" ref="B59:I59" si="12">0+0+0+0+0+B58+0</f>
        <v>0</v>
      </c>
      <c r="C59" s="17">
        <f t="shared" si="12"/>
        <v>0</v>
      </c>
      <c r="D59" s="17">
        <f t="shared" si="12"/>
        <v>0</v>
      </c>
      <c r="E59" s="17">
        <f t="shared" si="12"/>
        <v>0</v>
      </c>
      <c r="F59" s="17">
        <f t="shared" si="12"/>
        <v>0</v>
      </c>
      <c r="G59" s="17">
        <f t="shared" si="12"/>
        <v>0</v>
      </c>
      <c r="H59" s="17">
        <f t="shared" si="12"/>
        <v>0</v>
      </c>
      <c r="I59" s="17">
        <f t="shared" si="12"/>
        <v>11304</v>
      </c>
    </row>
    <row r="60" spans="1:9" x14ac:dyDescent="0.2">
      <c r="A60" s="9" t="s">
        <v>66</v>
      </c>
      <c r="B60" s="10">
        <v>3921631.4299999997</v>
      </c>
      <c r="C60" s="10">
        <v>4116445.48</v>
      </c>
      <c r="D60" s="10">
        <v>1651812.68</v>
      </c>
      <c r="E60" s="10">
        <v>1384762.5399999998</v>
      </c>
      <c r="F60" s="10">
        <v>1525131.5399999996</v>
      </c>
      <c r="G60" s="10">
        <v>1912067.2999999996</v>
      </c>
      <c r="H60" s="10">
        <v>2468341.2699999996</v>
      </c>
      <c r="I60" s="10">
        <v>3467845.4899999998</v>
      </c>
    </row>
    <row r="61" spans="1:9" hidden="1" x14ac:dyDescent="0.2">
      <c r="A61" s="11" t="s">
        <v>67</v>
      </c>
      <c r="B61" s="10"/>
      <c r="C61" s="10"/>
      <c r="D61" s="10"/>
      <c r="E61" s="10"/>
      <c r="F61" s="10"/>
      <c r="G61" s="10"/>
      <c r="H61" s="10"/>
      <c r="I61" s="10"/>
    </row>
    <row r="62" spans="1:9" hidden="1" x14ac:dyDescent="0.2">
      <c r="A62" s="12" t="s">
        <v>68</v>
      </c>
      <c r="B62" s="13">
        <v>3953835.53</v>
      </c>
      <c r="C62" s="13">
        <v>4151224.54</v>
      </c>
      <c r="D62" s="13">
        <v>1397881.9</v>
      </c>
      <c r="E62" s="13">
        <v>1151821.0699999998</v>
      </c>
      <c r="F62" s="13">
        <v>1313673.1799999997</v>
      </c>
      <c r="G62" s="13">
        <v>1578296.9399999997</v>
      </c>
      <c r="H62" s="13">
        <v>1437398.4299999997</v>
      </c>
      <c r="I62" s="13">
        <v>1981930.6299999997</v>
      </c>
    </row>
    <row r="63" spans="1:9" hidden="1" x14ac:dyDescent="0.2">
      <c r="A63" s="12" t="s">
        <v>69</v>
      </c>
      <c r="B63" s="13">
        <v>0</v>
      </c>
      <c r="C63" s="13">
        <v>0</v>
      </c>
      <c r="D63" s="13">
        <v>0</v>
      </c>
      <c r="E63" s="13">
        <v>0</v>
      </c>
      <c r="F63" s="13">
        <v>1787.23</v>
      </c>
      <c r="G63" s="13">
        <v>0</v>
      </c>
      <c r="H63" s="13">
        <v>0</v>
      </c>
      <c r="I63" s="13">
        <v>0</v>
      </c>
    </row>
    <row r="64" spans="1:9" hidden="1" x14ac:dyDescent="0.2">
      <c r="A64" s="12" t="s">
        <v>70</v>
      </c>
      <c r="B64" s="13">
        <v>0</v>
      </c>
      <c r="C64" s="13">
        <v>0</v>
      </c>
      <c r="D64" s="13">
        <v>0</v>
      </c>
      <c r="E64" s="13">
        <v>0</v>
      </c>
      <c r="F64" s="13">
        <v>-22416</v>
      </c>
      <c r="G64" s="13">
        <v>-56688</v>
      </c>
      <c r="H64" s="13">
        <v>0</v>
      </c>
      <c r="I64" s="13">
        <v>0</v>
      </c>
    </row>
    <row r="65" spans="1:9" hidden="1" x14ac:dyDescent="0.2">
      <c r="A65" s="12" t="s">
        <v>71</v>
      </c>
      <c r="B65" s="13">
        <v>-34735</v>
      </c>
      <c r="C65" s="13">
        <v>-36749</v>
      </c>
      <c r="D65" s="13">
        <v>-11228</v>
      </c>
      <c r="E65" s="13">
        <v>-9829</v>
      </c>
      <c r="F65" s="13">
        <v>-11134</v>
      </c>
      <c r="G65" s="13">
        <v>-12832</v>
      </c>
      <c r="H65" s="13">
        <v>-12079</v>
      </c>
      <c r="I65" s="13">
        <v>-12079</v>
      </c>
    </row>
    <row r="66" spans="1:9" hidden="1" x14ac:dyDescent="0.2">
      <c r="A66" s="14" t="s">
        <v>72</v>
      </c>
      <c r="B66" s="15">
        <f t="shared" ref="B66:I66" si="13">SUM(B62:B65)</f>
        <v>3919100.53</v>
      </c>
      <c r="C66" s="15">
        <f t="shared" si="13"/>
        <v>4114475.54</v>
      </c>
      <c r="D66" s="15">
        <f t="shared" si="13"/>
        <v>1386653.9</v>
      </c>
      <c r="E66" s="15">
        <f t="shared" si="13"/>
        <v>1141992.0699999998</v>
      </c>
      <c r="F66" s="15">
        <f t="shared" si="13"/>
        <v>1281910.4099999997</v>
      </c>
      <c r="G66" s="15">
        <f t="shared" si="13"/>
        <v>1508776.9399999997</v>
      </c>
      <c r="H66" s="15">
        <f t="shared" si="13"/>
        <v>1425319.4299999997</v>
      </c>
      <c r="I66" s="15">
        <f t="shared" si="13"/>
        <v>1969851.6299999997</v>
      </c>
    </row>
    <row r="67" spans="1:9" hidden="1" x14ac:dyDescent="0.2">
      <c r="A67" s="11" t="s">
        <v>73</v>
      </c>
      <c r="B67" s="10"/>
      <c r="C67" s="10"/>
      <c r="D67" s="10"/>
      <c r="E67" s="10"/>
      <c r="F67" s="10"/>
      <c r="G67" s="10"/>
      <c r="H67" s="10"/>
      <c r="I67" s="10"/>
    </row>
    <row r="68" spans="1:9" hidden="1" x14ac:dyDescent="0.2">
      <c r="A68" s="12" t="s">
        <v>74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183632.53</v>
      </c>
      <c r="H68" s="13">
        <v>73663.22</v>
      </c>
      <c r="I68" s="13">
        <v>619300.30999999994</v>
      </c>
    </row>
    <row r="69" spans="1:9" hidden="1" x14ac:dyDescent="0.2">
      <c r="A69" s="12" t="s">
        <v>75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66189.59</v>
      </c>
      <c r="H69" s="13">
        <v>393226.28</v>
      </c>
      <c r="I69" s="13">
        <v>292826.58</v>
      </c>
    </row>
    <row r="70" spans="1:9" hidden="1" x14ac:dyDescent="0.2">
      <c r="A70" s="12" t="s">
        <v>76</v>
      </c>
      <c r="B70" s="13">
        <v>0</v>
      </c>
      <c r="C70" s="13">
        <v>0</v>
      </c>
      <c r="D70" s="13">
        <v>0</v>
      </c>
      <c r="E70" s="13">
        <v>0</v>
      </c>
      <c r="F70" s="13">
        <v>159527</v>
      </c>
      <c r="G70" s="13">
        <v>70104</v>
      </c>
      <c r="H70" s="13">
        <v>48425</v>
      </c>
      <c r="I70" s="13">
        <v>64854</v>
      </c>
    </row>
    <row r="71" spans="1:9" hidden="1" x14ac:dyDescent="0.2">
      <c r="A71" s="14" t="s">
        <v>77</v>
      </c>
      <c r="B71" s="15">
        <f t="shared" ref="B71:I71" si="14">SUM(B68:B70)</f>
        <v>0</v>
      </c>
      <c r="C71" s="15">
        <f t="shared" si="14"/>
        <v>0</v>
      </c>
      <c r="D71" s="15">
        <f t="shared" si="14"/>
        <v>0</v>
      </c>
      <c r="E71" s="15">
        <f t="shared" si="14"/>
        <v>0</v>
      </c>
      <c r="F71" s="15">
        <f t="shared" si="14"/>
        <v>159527</v>
      </c>
      <c r="G71" s="15">
        <f t="shared" si="14"/>
        <v>319926.12</v>
      </c>
      <c r="H71" s="15">
        <f t="shared" si="14"/>
        <v>515314.5</v>
      </c>
      <c r="I71" s="15">
        <f t="shared" si="14"/>
        <v>976980.8899999999</v>
      </c>
    </row>
    <row r="72" spans="1:9" hidden="1" x14ac:dyDescent="0.2">
      <c r="A72" s="11" t="s">
        <v>78</v>
      </c>
      <c r="B72" s="10"/>
      <c r="C72" s="10"/>
      <c r="D72" s="10"/>
      <c r="E72" s="10"/>
      <c r="F72" s="10"/>
      <c r="G72" s="10"/>
      <c r="H72" s="10"/>
      <c r="I72" s="10"/>
    </row>
    <row r="73" spans="1:9" hidden="1" x14ac:dyDescent="0.2">
      <c r="A73" s="12" t="s">
        <v>79</v>
      </c>
      <c r="B73" s="13">
        <v>0</v>
      </c>
      <c r="C73" s="13">
        <v>0</v>
      </c>
      <c r="D73" s="13">
        <v>0</v>
      </c>
      <c r="E73" s="13">
        <v>1181.29</v>
      </c>
      <c r="F73" s="13">
        <v>787.56</v>
      </c>
      <c r="G73" s="13">
        <v>2352.1</v>
      </c>
      <c r="H73" s="13">
        <v>0</v>
      </c>
      <c r="I73" s="13">
        <v>848.01</v>
      </c>
    </row>
    <row r="74" spans="1:9" hidden="1" x14ac:dyDescent="0.2">
      <c r="A74" s="12" t="s">
        <v>80</v>
      </c>
      <c r="B74" s="13">
        <v>0</v>
      </c>
      <c r="C74" s="13">
        <v>0</v>
      </c>
      <c r="D74" s="13">
        <v>0</v>
      </c>
      <c r="E74" s="13">
        <v>9273.42</v>
      </c>
      <c r="F74" s="13">
        <v>0</v>
      </c>
      <c r="G74" s="13">
        <v>0</v>
      </c>
      <c r="H74" s="13">
        <v>0</v>
      </c>
      <c r="I74" s="13">
        <v>0</v>
      </c>
    </row>
    <row r="75" spans="1:9" hidden="1" x14ac:dyDescent="0.2">
      <c r="A75" s="12" t="s">
        <v>81</v>
      </c>
      <c r="B75" s="13">
        <v>1006.86</v>
      </c>
      <c r="C75" s="13">
        <v>1969.94</v>
      </c>
      <c r="D75" s="13">
        <v>1590.98</v>
      </c>
      <c r="E75" s="13">
        <v>2886.7200000000003</v>
      </c>
      <c r="F75" s="13">
        <v>4670.75</v>
      </c>
      <c r="G75" s="13">
        <v>418.38000000000011</v>
      </c>
      <c r="H75" s="13">
        <v>3126.7200000000003</v>
      </c>
      <c r="I75" s="13">
        <v>93.400000000000091</v>
      </c>
    </row>
    <row r="76" spans="1:9" hidden="1" x14ac:dyDescent="0.2">
      <c r="A76" s="12" t="s">
        <v>82</v>
      </c>
      <c r="B76" s="13">
        <v>0</v>
      </c>
      <c r="C76" s="13">
        <v>0</v>
      </c>
      <c r="D76" s="13">
        <v>74700</v>
      </c>
      <c r="E76" s="13">
        <v>75980</v>
      </c>
      <c r="F76" s="13">
        <v>74700</v>
      </c>
      <c r="G76" s="13">
        <v>74700</v>
      </c>
      <c r="H76" s="13">
        <v>107541.15</v>
      </c>
      <c r="I76" s="13">
        <v>108927.15</v>
      </c>
    </row>
    <row r="77" spans="1:9" hidden="1" x14ac:dyDescent="0.2">
      <c r="A77" s="12" t="s">
        <v>83</v>
      </c>
      <c r="B77" s="13">
        <v>751.92</v>
      </c>
      <c r="C77" s="13">
        <v>0</v>
      </c>
      <c r="D77" s="13">
        <v>3724.3</v>
      </c>
      <c r="E77" s="13">
        <v>0</v>
      </c>
      <c r="F77" s="13">
        <v>3535.82</v>
      </c>
      <c r="G77" s="13">
        <v>5893.76</v>
      </c>
      <c r="H77" s="13">
        <v>0</v>
      </c>
      <c r="I77" s="13">
        <v>0</v>
      </c>
    </row>
    <row r="78" spans="1:9" hidden="1" x14ac:dyDescent="0.2">
      <c r="A78" s="12" t="s">
        <v>84</v>
      </c>
      <c r="B78" s="13">
        <v>0</v>
      </c>
      <c r="C78" s="13">
        <v>0</v>
      </c>
      <c r="D78" s="13">
        <v>688.09</v>
      </c>
      <c r="E78" s="13">
        <v>0</v>
      </c>
      <c r="F78" s="13">
        <v>0</v>
      </c>
      <c r="G78" s="13">
        <v>0</v>
      </c>
      <c r="H78" s="13">
        <v>5893.76</v>
      </c>
      <c r="I78" s="13">
        <v>-1.3000000000001819</v>
      </c>
    </row>
    <row r="79" spans="1:9" hidden="1" x14ac:dyDescent="0.2">
      <c r="A79" s="12" t="s">
        <v>85</v>
      </c>
      <c r="B79" s="13">
        <v>0</v>
      </c>
      <c r="C79" s="13">
        <v>0</v>
      </c>
      <c r="D79" s="13">
        <v>83263</v>
      </c>
      <c r="E79" s="13">
        <v>13112</v>
      </c>
      <c r="F79" s="13">
        <v>0</v>
      </c>
      <c r="G79" s="13">
        <v>0</v>
      </c>
      <c r="H79" s="13">
        <v>0</v>
      </c>
      <c r="I79" s="13">
        <v>0</v>
      </c>
    </row>
    <row r="80" spans="1:9" hidden="1" x14ac:dyDescent="0.2">
      <c r="A80" s="12" t="s">
        <v>86</v>
      </c>
      <c r="B80" s="13">
        <v>772.12</v>
      </c>
      <c r="C80" s="13">
        <v>0</v>
      </c>
      <c r="D80" s="13">
        <v>101192.41</v>
      </c>
      <c r="E80" s="13">
        <v>140337.04</v>
      </c>
      <c r="F80" s="13">
        <v>0</v>
      </c>
      <c r="G80" s="13">
        <v>0</v>
      </c>
      <c r="H80" s="13">
        <v>411145.71</v>
      </c>
      <c r="I80" s="13">
        <v>411145.71</v>
      </c>
    </row>
    <row r="81" spans="1:9" hidden="1" x14ac:dyDescent="0.2">
      <c r="A81" s="14" t="s">
        <v>87</v>
      </c>
      <c r="B81" s="15">
        <f t="shared" ref="B81:I81" si="15">SUM(B73:B80)</f>
        <v>2530.9</v>
      </c>
      <c r="C81" s="15">
        <f t="shared" si="15"/>
        <v>1969.94</v>
      </c>
      <c r="D81" s="15">
        <f t="shared" si="15"/>
        <v>265158.78000000003</v>
      </c>
      <c r="E81" s="15">
        <f t="shared" si="15"/>
        <v>242770.47</v>
      </c>
      <c r="F81" s="15">
        <f t="shared" si="15"/>
        <v>83694.13</v>
      </c>
      <c r="G81" s="15">
        <f t="shared" si="15"/>
        <v>83364.239999999991</v>
      </c>
      <c r="H81" s="15">
        <f t="shared" si="15"/>
        <v>527707.34</v>
      </c>
      <c r="I81" s="15">
        <f t="shared" si="15"/>
        <v>521012.97000000003</v>
      </c>
    </row>
    <row r="82" spans="1:9" hidden="1" x14ac:dyDescent="0.2">
      <c r="A82" s="16" t="s">
        <v>88</v>
      </c>
      <c r="B82" s="17">
        <f t="shared" ref="B82:I82" si="16">B66+B71+0+0+0+B81</f>
        <v>3921631.4299999997</v>
      </c>
      <c r="C82" s="17">
        <f t="shared" si="16"/>
        <v>4116445.48</v>
      </c>
      <c r="D82" s="17">
        <f t="shared" si="16"/>
        <v>1651812.68</v>
      </c>
      <c r="E82" s="17">
        <f t="shared" si="16"/>
        <v>1384762.5399999998</v>
      </c>
      <c r="F82" s="17">
        <f t="shared" si="16"/>
        <v>1525131.5399999996</v>
      </c>
      <c r="G82" s="17">
        <f t="shared" si="16"/>
        <v>1912067.2999999996</v>
      </c>
      <c r="H82" s="17">
        <f t="shared" si="16"/>
        <v>2468341.2699999996</v>
      </c>
      <c r="I82" s="17">
        <f t="shared" si="16"/>
        <v>3467845.4899999998</v>
      </c>
    </row>
    <row r="83" spans="1:9" x14ac:dyDescent="0.2">
      <c r="A83" s="9" t="s">
        <v>89</v>
      </c>
      <c r="B83" s="10">
        <v>2625461.3800000004</v>
      </c>
      <c r="C83" s="10">
        <v>3843728.74</v>
      </c>
      <c r="D83" s="10">
        <v>4311176.22</v>
      </c>
      <c r="E83" s="10">
        <v>3044379.96</v>
      </c>
      <c r="F83" s="10">
        <v>3463024.5499999993</v>
      </c>
      <c r="G83" s="10">
        <v>3248942.4099999997</v>
      </c>
      <c r="H83" s="10">
        <v>3621662.8600000003</v>
      </c>
      <c r="I83" s="10">
        <v>4748086.2799999993</v>
      </c>
    </row>
    <row r="84" spans="1:9" hidden="1" x14ac:dyDescent="0.2">
      <c r="A84" s="11" t="s">
        <v>90</v>
      </c>
      <c r="B84" s="10"/>
      <c r="C84" s="10"/>
      <c r="D84" s="10"/>
      <c r="E84" s="10"/>
      <c r="F84" s="10"/>
      <c r="G84" s="10"/>
      <c r="H84" s="10"/>
      <c r="I84" s="10"/>
    </row>
    <row r="85" spans="1:9" hidden="1" x14ac:dyDescent="0.2">
      <c r="A85" s="12" t="s">
        <v>91</v>
      </c>
      <c r="B85" s="13">
        <v>41.37</v>
      </c>
      <c r="C85" s="13">
        <v>18.229999999999997</v>
      </c>
      <c r="D85" s="13">
        <v>34.709999999999994</v>
      </c>
      <c r="E85" s="13">
        <v>72.819999999999993</v>
      </c>
      <c r="F85" s="13">
        <v>139.44</v>
      </c>
      <c r="G85" s="13">
        <v>14.340000000000003</v>
      </c>
      <c r="H85" s="13">
        <v>30.230000000000004</v>
      </c>
      <c r="I85" s="13">
        <v>41.56</v>
      </c>
    </row>
    <row r="86" spans="1:9" hidden="1" x14ac:dyDescent="0.2">
      <c r="A86" s="14" t="s">
        <v>92</v>
      </c>
      <c r="B86" s="17">
        <f t="shared" ref="B86:I86" si="17">SUM(B85)</f>
        <v>41.37</v>
      </c>
      <c r="C86" s="17">
        <f t="shared" si="17"/>
        <v>18.229999999999997</v>
      </c>
      <c r="D86" s="17">
        <f t="shared" si="17"/>
        <v>34.709999999999994</v>
      </c>
      <c r="E86" s="17">
        <f t="shared" si="17"/>
        <v>72.819999999999993</v>
      </c>
      <c r="F86" s="17">
        <f t="shared" si="17"/>
        <v>139.44</v>
      </c>
      <c r="G86" s="17">
        <f t="shared" si="17"/>
        <v>14.340000000000003</v>
      </c>
      <c r="H86" s="17">
        <f t="shared" si="17"/>
        <v>30.230000000000004</v>
      </c>
      <c r="I86" s="17">
        <f t="shared" si="17"/>
        <v>41.56</v>
      </c>
    </row>
    <row r="87" spans="1:9" hidden="1" x14ac:dyDescent="0.2">
      <c r="A87" s="11" t="s">
        <v>93</v>
      </c>
      <c r="B87" s="10"/>
      <c r="C87" s="10"/>
      <c r="D87" s="10"/>
      <c r="E87" s="10"/>
      <c r="F87" s="10"/>
      <c r="G87" s="10"/>
      <c r="H87" s="10"/>
      <c r="I87" s="10"/>
    </row>
    <row r="88" spans="1:9" hidden="1" x14ac:dyDescent="0.2">
      <c r="A88" s="12" t="s">
        <v>94</v>
      </c>
      <c r="B88" s="13">
        <v>91145.14</v>
      </c>
      <c r="C88" s="13">
        <v>91549.1</v>
      </c>
      <c r="D88" s="13">
        <v>142198.5</v>
      </c>
      <c r="E88" s="13">
        <v>20400.97</v>
      </c>
      <c r="F88" s="13">
        <v>126102.59</v>
      </c>
      <c r="G88" s="13">
        <v>218362.97</v>
      </c>
      <c r="H88" s="13">
        <v>643047.19999999995</v>
      </c>
      <c r="I88" s="13">
        <v>212870.07999999996</v>
      </c>
    </row>
    <row r="89" spans="1:9" hidden="1" x14ac:dyDescent="0.2">
      <c r="A89" s="12" t="s">
        <v>95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1892.1</v>
      </c>
      <c r="I89" s="13">
        <v>405571.87</v>
      </c>
    </row>
    <row r="90" spans="1:9" hidden="1" x14ac:dyDescent="0.2">
      <c r="A90" s="12" t="s">
        <v>96</v>
      </c>
      <c r="B90" s="13">
        <v>150000</v>
      </c>
      <c r="C90" s="13">
        <v>499000</v>
      </c>
      <c r="D90" s="13">
        <v>49000</v>
      </c>
      <c r="E90" s="13">
        <v>49000</v>
      </c>
      <c r="F90" s="13">
        <v>5000</v>
      </c>
      <c r="G90" s="13">
        <v>34900</v>
      </c>
      <c r="H90" s="13">
        <v>49900</v>
      </c>
      <c r="I90" s="13">
        <v>4909.1900000000023</v>
      </c>
    </row>
    <row r="91" spans="1:9" hidden="1" x14ac:dyDescent="0.2">
      <c r="A91" s="12" t="s">
        <v>97</v>
      </c>
      <c r="B91" s="13">
        <v>0</v>
      </c>
      <c r="C91" s="13">
        <v>219631.68</v>
      </c>
      <c r="D91" s="13">
        <v>149610.78999999998</v>
      </c>
      <c r="E91" s="13">
        <v>174502.86</v>
      </c>
      <c r="F91" s="13">
        <v>159670.60999999999</v>
      </c>
      <c r="G91" s="13">
        <v>316788.64</v>
      </c>
      <c r="H91" s="13">
        <v>316646.18</v>
      </c>
      <c r="I91" s="13">
        <v>270486.40999999997</v>
      </c>
    </row>
    <row r="92" spans="1:9" hidden="1" x14ac:dyDescent="0.2">
      <c r="A92" s="12" t="s">
        <v>98</v>
      </c>
      <c r="B92" s="13">
        <v>1245301.27</v>
      </c>
      <c r="C92" s="13">
        <v>2047802.51</v>
      </c>
      <c r="D92" s="13">
        <v>2737217.36</v>
      </c>
      <c r="E92" s="13">
        <v>1538341.67</v>
      </c>
      <c r="F92" s="13">
        <v>1988709.5799999998</v>
      </c>
      <c r="G92" s="13">
        <v>2400250.9899999998</v>
      </c>
      <c r="H92" s="13">
        <v>1700143.2699999998</v>
      </c>
      <c r="I92" s="13">
        <v>2680143.2699999996</v>
      </c>
    </row>
    <row r="93" spans="1:9" hidden="1" x14ac:dyDescent="0.2">
      <c r="A93" s="12" t="s">
        <v>99</v>
      </c>
      <c r="B93" s="13">
        <v>420238.41</v>
      </c>
      <c r="C93" s="13">
        <v>519228.41</v>
      </c>
      <c r="D93" s="13">
        <v>892160.37999999989</v>
      </c>
      <c r="E93" s="13">
        <v>537871.77999999991</v>
      </c>
      <c r="F93" s="13">
        <v>498513.23999999993</v>
      </c>
      <c r="G93" s="13">
        <v>47544.009999999951</v>
      </c>
      <c r="H93" s="13">
        <v>459094.44999999995</v>
      </c>
      <c r="I93" s="13">
        <v>196441.63999999996</v>
      </c>
    </row>
    <row r="94" spans="1:9" hidden="1" x14ac:dyDescent="0.2">
      <c r="A94" s="12" t="s">
        <v>100</v>
      </c>
      <c r="B94" s="13">
        <v>547943.93000000005</v>
      </c>
      <c r="C94" s="13">
        <v>0</v>
      </c>
      <c r="D94" s="13">
        <v>0</v>
      </c>
      <c r="E94" s="13">
        <v>435000</v>
      </c>
      <c r="F94" s="13">
        <v>290111.12</v>
      </c>
      <c r="G94" s="13">
        <v>0</v>
      </c>
      <c r="H94" s="13">
        <v>0</v>
      </c>
      <c r="I94" s="13">
        <v>0</v>
      </c>
    </row>
    <row r="95" spans="1:9" hidden="1" x14ac:dyDescent="0.2">
      <c r="A95" s="12" t="s">
        <v>101</v>
      </c>
      <c r="B95" s="13">
        <v>20311.580000000002</v>
      </c>
      <c r="C95" s="13">
        <v>5380.5600000000013</v>
      </c>
      <c r="D95" s="13">
        <v>60841.490000000005</v>
      </c>
      <c r="E95" s="13">
        <v>7.2759576141834259E-12</v>
      </c>
      <c r="F95" s="13">
        <v>7.2759576141834259E-12</v>
      </c>
      <c r="G95" s="13">
        <v>7.2759576141834259E-12</v>
      </c>
      <c r="H95" s="13">
        <v>7.2759576141834259E-12</v>
      </c>
      <c r="I95" s="13">
        <v>7.2759576141834259E-12</v>
      </c>
    </row>
    <row r="96" spans="1:9" hidden="1" x14ac:dyDescent="0.2">
      <c r="A96" s="12" t="s">
        <v>102</v>
      </c>
      <c r="B96" s="13">
        <v>150479.67999999999</v>
      </c>
      <c r="C96" s="13">
        <v>461118.25</v>
      </c>
      <c r="D96" s="13">
        <v>280112.99</v>
      </c>
      <c r="E96" s="13">
        <v>257222.40999999997</v>
      </c>
      <c r="F96" s="13">
        <v>350961.05</v>
      </c>
      <c r="G96" s="13">
        <v>210416.49</v>
      </c>
      <c r="H96" s="13">
        <v>442963.01</v>
      </c>
      <c r="I96" s="13">
        <v>289261.21999999997</v>
      </c>
    </row>
    <row r="97" spans="1:9" hidden="1" x14ac:dyDescent="0.2">
      <c r="A97" s="12" t="s">
        <v>103</v>
      </c>
      <c r="B97" s="13">
        <v>0</v>
      </c>
      <c r="C97" s="13">
        <v>0</v>
      </c>
      <c r="D97" s="13">
        <v>0</v>
      </c>
      <c r="E97" s="13">
        <v>31967.45</v>
      </c>
      <c r="F97" s="13">
        <v>43816.92</v>
      </c>
      <c r="G97" s="13">
        <v>20664.969999999998</v>
      </c>
      <c r="H97" s="13">
        <v>7946.4299999999967</v>
      </c>
      <c r="I97" s="13">
        <v>288361.03999999998</v>
      </c>
    </row>
    <row r="98" spans="1:9" hidden="1" x14ac:dyDescent="0.2">
      <c r="A98" s="12" t="s">
        <v>104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400000</v>
      </c>
    </row>
    <row r="99" spans="1:9" hidden="1" x14ac:dyDescent="0.2">
      <c r="A99" s="12" t="s">
        <v>105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-0.01</v>
      </c>
      <c r="I99" s="13">
        <v>0</v>
      </c>
    </row>
    <row r="100" spans="1:9" hidden="1" x14ac:dyDescent="0.2">
      <c r="A100" s="14" t="s">
        <v>106</v>
      </c>
      <c r="B100" s="17">
        <f t="shared" ref="B100:I100" si="18">SUM(B88:B99)</f>
        <v>2625420.0100000002</v>
      </c>
      <c r="C100" s="17">
        <f t="shared" si="18"/>
        <v>3843710.5100000002</v>
      </c>
      <c r="D100" s="17">
        <f t="shared" si="18"/>
        <v>4311141.51</v>
      </c>
      <c r="E100" s="17">
        <f t="shared" si="18"/>
        <v>3044307.14</v>
      </c>
      <c r="F100" s="17">
        <f t="shared" si="18"/>
        <v>3462885.1099999994</v>
      </c>
      <c r="G100" s="17">
        <f t="shared" si="18"/>
        <v>3248928.07</v>
      </c>
      <c r="H100" s="17">
        <f t="shared" si="18"/>
        <v>3621632.6300000004</v>
      </c>
      <c r="I100" s="17">
        <f t="shared" si="18"/>
        <v>4748044.72</v>
      </c>
    </row>
    <row r="101" spans="1:9" hidden="1" x14ac:dyDescent="0.2">
      <c r="A101" s="16" t="s">
        <v>107</v>
      </c>
      <c r="B101" s="17">
        <f t="shared" ref="B101:I101" si="19">B86+0+B100</f>
        <v>2625461.3800000004</v>
      </c>
      <c r="C101" s="17">
        <f t="shared" si="19"/>
        <v>3843728.74</v>
      </c>
      <c r="D101" s="17">
        <f t="shared" si="19"/>
        <v>4311176.22</v>
      </c>
      <c r="E101" s="17">
        <f t="shared" si="19"/>
        <v>3044379.96</v>
      </c>
      <c r="F101" s="17">
        <f t="shared" si="19"/>
        <v>3463024.5499999993</v>
      </c>
      <c r="G101" s="17">
        <f t="shared" si="19"/>
        <v>3248942.4099999997</v>
      </c>
      <c r="H101" s="17">
        <f t="shared" si="19"/>
        <v>3621662.8600000003</v>
      </c>
      <c r="I101" s="17">
        <f t="shared" si="19"/>
        <v>4748086.2799999993</v>
      </c>
    </row>
    <row r="102" spans="1:9" x14ac:dyDescent="0.2">
      <c r="A102" s="19" t="s">
        <v>108</v>
      </c>
      <c r="B102" s="20">
        <f t="shared" ref="B102:I102" si="20">B59+B82+0+B101</f>
        <v>6547092.8100000005</v>
      </c>
      <c r="C102" s="20">
        <f t="shared" si="20"/>
        <v>7960174.2200000007</v>
      </c>
      <c r="D102" s="20">
        <f t="shared" si="20"/>
        <v>5962988.8999999994</v>
      </c>
      <c r="E102" s="20">
        <f t="shared" si="20"/>
        <v>4429142.5</v>
      </c>
      <c r="F102" s="20">
        <f t="shared" si="20"/>
        <v>4988156.0899999989</v>
      </c>
      <c r="G102" s="20">
        <f t="shared" si="20"/>
        <v>5161009.709999999</v>
      </c>
      <c r="H102" s="20">
        <f t="shared" si="20"/>
        <v>6090004.1299999999</v>
      </c>
      <c r="I102" s="20">
        <f t="shared" si="20"/>
        <v>8227235.7699999996</v>
      </c>
    </row>
    <row r="103" spans="1:9" x14ac:dyDescent="0.2">
      <c r="A103" s="21"/>
      <c r="B103" s="10"/>
      <c r="C103" s="10"/>
      <c r="D103" s="10"/>
      <c r="E103" s="10"/>
      <c r="F103" s="10"/>
      <c r="G103" s="10"/>
      <c r="H103" s="10"/>
      <c r="I103" s="10"/>
    </row>
    <row r="104" spans="1:9" ht="12.75" thickBot="1" x14ac:dyDescent="0.25">
      <c r="A104" s="7" t="s">
        <v>109</v>
      </c>
      <c r="B104" s="8">
        <v>21190.799999999999</v>
      </c>
      <c r="C104" s="8">
        <v>18003.7</v>
      </c>
      <c r="D104" s="8">
        <v>15979.300000000001</v>
      </c>
      <c r="E104" s="8">
        <v>28545.07</v>
      </c>
      <c r="F104" s="8">
        <v>23226.1</v>
      </c>
      <c r="G104" s="8">
        <v>46808.7</v>
      </c>
      <c r="H104" s="8">
        <v>49853.57</v>
      </c>
      <c r="I104" s="8">
        <v>72591.489999999991</v>
      </c>
    </row>
    <row r="105" spans="1:9" ht="12" hidden="1" thickBot="1" x14ac:dyDescent="0.25">
      <c r="A105" s="22" t="s">
        <v>110</v>
      </c>
      <c r="B105" s="13">
        <v>21190.799999999999</v>
      </c>
      <c r="C105" s="13">
        <v>18003.7</v>
      </c>
      <c r="D105" s="13">
        <v>15979.300000000001</v>
      </c>
      <c r="E105" s="13">
        <v>28545.07</v>
      </c>
      <c r="F105" s="13">
        <v>23226.1</v>
      </c>
      <c r="G105" s="13">
        <v>46808.7</v>
      </c>
      <c r="H105" s="13">
        <v>49853.57</v>
      </c>
      <c r="I105" s="13">
        <v>72591.489999999991</v>
      </c>
    </row>
    <row r="106" spans="1:9" ht="12" hidden="1" thickBot="1" x14ac:dyDescent="0.25">
      <c r="A106" s="23" t="s">
        <v>111</v>
      </c>
      <c r="B106" s="17">
        <f t="shared" ref="B106:I106" si="21">SUM(B105)</f>
        <v>21190.799999999999</v>
      </c>
      <c r="C106" s="17">
        <f t="shared" si="21"/>
        <v>18003.7</v>
      </c>
      <c r="D106" s="17">
        <f t="shared" si="21"/>
        <v>15979.300000000001</v>
      </c>
      <c r="E106" s="17">
        <f t="shared" si="21"/>
        <v>28545.07</v>
      </c>
      <c r="F106" s="17">
        <f t="shared" si="21"/>
        <v>23226.1</v>
      </c>
      <c r="G106" s="17">
        <f t="shared" si="21"/>
        <v>46808.7</v>
      </c>
      <c r="H106" s="17">
        <f t="shared" si="21"/>
        <v>49853.57</v>
      </c>
      <c r="I106" s="17">
        <f t="shared" si="21"/>
        <v>72591.489999999991</v>
      </c>
    </row>
    <row r="107" spans="1:9" ht="12.75" thickTop="1" x14ac:dyDescent="0.2">
      <c r="A107" s="24" t="s">
        <v>112</v>
      </c>
      <c r="B107" s="25">
        <f t="shared" ref="B107:I107" si="22">B52+B53+B102+B103+B106+0</f>
        <v>7158343.3400000008</v>
      </c>
      <c r="C107" s="25">
        <f t="shared" si="22"/>
        <v>8914548.4900000002</v>
      </c>
      <c r="D107" s="25">
        <f t="shared" si="22"/>
        <v>7241661.2699999996</v>
      </c>
      <c r="E107" s="25">
        <f t="shared" si="22"/>
        <v>5743776.8600000003</v>
      </c>
      <c r="F107" s="25">
        <f t="shared" si="22"/>
        <v>6255710.5699999984</v>
      </c>
      <c r="G107" s="25">
        <f t="shared" si="22"/>
        <v>6963237.9999999991</v>
      </c>
      <c r="H107" s="25">
        <f t="shared" si="22"/>
        <v>8450848.1300000008</v>
      </c>
      <c r="I107" s="25">
        <f t="shared" si="22"/>
        <v>9968069.959999999</v>
      </c>
    </row>
    <row r="108" spans="1:9" x14ac:dyDescent="0.2">
      <c r="A108" s="26"/>
      <c r="B108" s="10"/>
      <c r="C108" s="10"/>
      <c r="D108" s="10"/>
      <c r="E108" s="10"/>
      <c r="F108" s="10"/>
      <c r="G108" s="10"/>
      <c r="H108" s="10"/>
      <c r="I108" s="10"/>
    </row>
    <row r="109" spans="1:9" ht="12.75" x14ac:dyDescent="0.2">
      <c r="A109" s="5" t="s">
        <v>113</v>
      </c>
      <c r="B109" s="6"/>
      <c r="C109" s="6"/>
      <c r="D109" s="6"/>
      <c r="E109" s="6"/>
      <c r="F109" s="6"/>
      <c r="G109" s="6"/>
      <c r="H109" s="6"/>
      <c r="I109" s="6"/>
    </row>
    <row r="110" spans="1:9" ht="12" x14ac:dyDescent="0.2">
      <c r="A110" s="7" t="s">
        <v>114</v>
      </c>
      <c r="B110" s="8"/>
      <c r="C110" s="8"/>
      <c r="D110" s="8"/>
      <c r="E110" s="8"/>
      <c r="F110" s="8"/>
      <c r="G110" s="8"/>
      <c r="H110" s="8"/>
      <c r="I110" s="8"/>
    </row>
    <row r="111" spans="1:9" x14ac:dyDescent="0.2">
      <c r="A111" s="9" t="s">
        <v>115</v>
      </c>
      <c r="B111" s="10">
        <v>52000</v>
      </c>
      <c r="C111" s="10">
        <v>52000</v>
      </c>
      <c r="D111" s="10">
        <v>52000</v>
      </c>
      <c r="E111" s="10">
        <v>52000</v>
      </c>
      <c r="F111" s="10">
        <v>52000</v>
      </c>
      <c r="G111" s="10">
        <v>52000</v>
      </c>
      <c r="H111" s="10">
        <v>52000</v>
      </c>
      <c r="I111" s="10">
        <v>52000</v>
      </c>
    </row>
    <row r="112" spans="1:9" hidden="1" x14ac:dyDescent="0.2">
      <c r="A112" s="27" t="s">
        <v>116</v>
      </c>
      <c r="B112" s="13">
        <v>52000</v>
      </c>
      <c r="C112" s="13">
        <v>52000</v>
      </c>
      <c r="D112" s="13">
        <v>52000</v>
      </c>
      <c r="E112" s="13">
        <v>52000</v>
      </c>
      <c r="F112" s="13">
        <v>52000</v>
      </c>
      <c r="G112" s="13">
        <v>52000</v>
      </c>
      <c r="H112" s="13">
        <v>52000</v>
      </c>
      <c r="I112" s="13">
        <v>52000</v>
      </c>
    </row>
    <row r="113" spans="1:9" hidden="1" x14ac:dyDescent="0.2">
      <c r="A113" s="16" t="s">
        <v>117</v>
      </c>
      <c r="B113" s="17">
        <f t="shared" ref="B113:I113" si="23">SUM(B112)</f>
        <v>52000</v>
      </c>
      <c r="C113" s="17">
        <f t="shared" si="23"/>
        <v>52000</v>
      </c>
      <c r="D113" s="17">
        <f t="shared" si="23"/>
        <v>52000</v>
      </c>
      <c r="E113" s="17">
        <f t="shared" si="23"/>
        <v>52000</v>
      </c>
      <c r="F113" s="17">
        <f t="shared" si="23"/>
        <v>52000</v>
      </c>
      <c r="G113" s="17">
        <f t="shared" si="23"/>
        <v>52000</v>
      </c>
      <c r="H113" s="17">
        <f t="shared" si="23"/>
        <v>52000</v>
      </c>
      <c r="I113" s="17">
        <f t="shared" si="23"/>
        <v>52000</v>
      </c>
    </row>
    <row r="114" spans="1:9" x14ac:dyDescent="0.2">
      <c r="A114" s="16" t="s">
        <v>118</v>
      </c>
      <c r="B114" s="17">
        <f>3944678.37-B115</f>
        <v>3944678.37</v>
      </c>
      <c r="C114" s="17">
        <f>5036830.2-C115</f>
        <v>5036830.2</v>
      </c>
      <c r="D114" s="17">
        <f>5026394.70999998-D115</f>
        <v>5026394.7099999804</v>
      </c>
      <c r="E114" s="17">
        <f>4753656.81999998-E115</f>
        <v>4753656.8199999798</v>
      </c>
      <c r="F114" s="17">
        <f>5204652.92999999-F115</f>
        <v>5204652.9299999904</v>
      </c>
      <c r="G114" s="17">
        <f>5158641.14999998-G115</f>
        <v>5158641.1499999799</v>
      </c>
      <c r="H114" s="17">
        <f>5743680.07000002-H115</f>
        <v>5743680.0700000199</v>
      </c>
      <c r="I114" s="17">
        <f>8207190.08000002-I115</f>
        <v>5743680.0700000208</v>
      </c>
    </row>
    <row r="115" spans="1:9" x14ac:dyDescent="0.2">
      <c r="A115" s="9" t="s">
        <v>119</v>
      </c>
      <c r="B115" s="13">
        <v>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2463510.0099999984</v>
      </c>
    </row>
    <row r="116" spans="1:9" x14ac:dyDescent="0.2">
      <c r="A116" s="19" t="s">
        <v>120</v>
      </c>
      <c r="B116" s="20">
        <f t="shared" ref="B116:I116" si="24">B113+0+0+B114+0+B115</f>
        <v>3996678.37</v>
      </c>
      <c r="C116" s="20">
        <f t="shared" si="24"/>
        <v>5088830.2</v>
      </c>
      <c r="D116" s="20">
        <f t="shared" si="24"/>
        <v>5078394.7099999804</v>
      </c>
      <c r="E116" s="20">
        <f t="shared" si="24"/>
        <v>4805656.8199999798</v>
      </c>
      <c r="F116" s="20">
        <f t="shared" si="24"/>
        <v>5256652.9299999904</v>
      </c>
      <c r="G116" s="20">
        <f t="shared" si="24"/>
        <v>5210641.1499999799</v>
      </c>
      <c r="H116" s="20">
        <f t="shared" si="24"/>
        <v>5795680.0700000199</v>
      </c>
      <c r="I116" s="20">
        <f t="shared" si="24"/>
        <v>8259190.0800000187</v>
      </c>
    </row>
    <row r="117" spans="1:9" x14ac:dyDescent="0.2">
      <c r="A117" s="21"/>
      <c r="B117" s="10"/>
      <c r="C117" s="10"/>
      <c r="D117" s="10"/>
      <c r="E117" s="10"/>
      <c r="F117" s="10"/>
      <c r="G117" s="10"/>
      <c r="H117" s="10"/>
      <c r="I117" s="10"/>
    </row>
    <row r="118" spans="1:9" ht="12" x14ac:dyDescent="0.2">
      <c r="A118" s="7" t="s">
        <v>121</v>
      </c>
      <c r="B118" s="8"/>
      <c r="C118" s="8"/>
      <c r="D118" s="8"/>
      <c r="E118" s="8"/>
      <c r="F118" s="8"/>
      <c r="G118" s="8"/>
      <c r="H118" s="8"/>
      <c r="I118" s="8"/>
    </row>
    <row r="119" spans="1:9" x14ac:dyDescent="0.2">
      <c r="A119" s="9" t="s">
        <v>122</v>
      </c>
      <c r="B119" s="10">
        <v>398827.52000000002</v>
      </c>
      <c r="C119" s="10">
        <v>559643.4</v>
      </c>
      <c r="D119" s="10">
        <v>60550</v>
      </c>
      <c r="E119" s="10">
        <v>2028</v>
      </c>
      <c r="F119" s="10">
        <v>9994.85</v>
      </c>
      <c r="G119" s="10">
        <v>57863.88</v>
      </c>
      <c r="H119" s="10">
        <v>67576</v>
      </c>
      <c r="I119" s="10">
        <v>67576</v>
      </c>
    </row>
    <row r="120" spans="1:9" hidden="1" x14ac:dyDescent="0.2">
      <c r="A120" s="27" t="s">
        <v>123</v>
      </c>
      <c r="B120" s="13">
        <v>197631</v>
      </c>
      <c r="C120" s="13">
        <v>469462</v>
      </c>
      <c r="D120" s="13">
        <v>60550</v>
      </c>
      <c r="E120" s="13">
        <v>2028</v>
      </c>
      <c r="F120" s="13">
        <v>7278</v>
      </c>
      <c r="G120" s="13">
        <v>0</v>
      </c>
      <c r="H120" s="13">
        <v>0</v>
      </c>
      <c r="I120" s="13">
        <v>0</v>
      </c>
    </row>
    <row r="121" spans="1:9" hidden="1" x14ac:dyDescent="0.2">
      <c r="A121" s="27" t="s">
        <v>124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30497</v>
      </c>
      <c r="H121" s="13">
        <v>67576</v>
      </c>
      <c r="I121" s="13">
        <v>67576</v>
      </c>
    </row>
    <row r="122" spans="1:9" hidden="1" x14ac:dyDescent="0.2">
      <c r="A122" s="27" t="s">
        <v>125</v>
      </c>
      <c r="B122" s="13">
        <v>201196.52</v>
      </c>
      <c r="C122" s="13">
        <v>90181.4</v>
      </c>
      <c r="D122" s="13">
        <v>0</v>
      </c>
      <c r="E122" s="13">
        <v>0</v>
      </c>
      <c r="F122" s="13">
        <v>2716.85</v>
      </c>
      <c r="G122" s="13">
        <v>27366.879999999997</v>
      </c>
      <c r="H122" s="13">
        <v>-3.637978807091713E-12</v>
      </c>
      <c r="I122" s="13">
        <v>-3.637978807091713E-12</v>
      </c>
    </row>
    <row r="123" spans="1:9" hidden="1" x14ac:dyDescent="0.2">
      <c r="A123" s="16" t="s">
        <v>126</v>
      </c>
      <c r="B123" s="17">
        <f t="shared" ref="B123:I123" si="25">SUM(B120:B122)</f>
        <v>398827.52000000002</v>
      </c>
      <c r="C123" s="17">
        <f t="shared" si="25"/>
        <v>559643.4</v>
      </c>
      <c r="D123" s="17">
        <f t="shared" si="25"/>
        <v>60550</v>
      </c>
      <c r="E123" s="17">
        <f t="shared" si="25"/>
        <v>2028</v>
      </c>
      <c r="F123" s="17">
        <f t="shared" si="25"/>
        <v>9994.85</v>
      </c>
      <c r="G123" s="17">
        <f t="shared" si="25"/>
        <v>57863.88</v>
      </c>
      <c r="H123" s="17">
        <f t="shared" si="25"/>
        <v>67576</v>
      </c>
      <c r="I123" s="17">
        <f t="shared" si="25"/>
        <v>67576</v>
      </c>
    </row>
    <row r="124" spans="1:9" x14ac:dyDescent="0.2">
      <c r="A124" s="9" t="s">
        <v>127</v>
      </c>
      <c r="B124" s="10">
        <v>1111575.57</v>
      </c>
      <c r="C124" s="10">
        <v>1639154.68</v>
      </c>
      <c r="D124" s="10">
        <v>1387209.63</v>
      </c>
      <c r="E124" s="10">
        <v>638638.31999999983</v>
      </c>
      <c r="F124" s="10">
        <v>687504.80999999982</v>
      </c>
      <c r="G124" s="10">
        <v>1113302.44</v>
      </c>
      <c r="H124" s="10">
        <v>2068865.8099999998</v>
      </c>
      <c r="I124" s="10">
        <v>1163020.3999999997</v>
      </c>
    </row>
    <row r="125" spans="1:9" hidden="1" x14ac:dyDescent="0.2">
      <c r="A125" s="27" t="s">
        <v>128</v>
      </c>
      <c r="B125" s="13">
        <v>0</v>
      </c>
      <c r="C125" s="13">
        <v>0</v>
      </c>
      <c r="D125" s="13">
        <v>0</v>
      </c>
      <c r="E125" s="13">
        <v>0</v>
      </c>
      <c r="F125" s="13">
        <v>0</v>
      </c>
      <c r="G125" s="13">
        <v>121402</v>
      </c>
      <c r="H125" s="13">
        <v>124452.3</v>
      </c>
      <c r="I125" s="13">
        <v>161500.35</v>
      </c>
    </row>
    <row r="126" spans="1:9" hidden="1" x14ac:dyDescent="0.2">
      <c r="A126" s="27" t="s">
        <v>129</v>
      </c>
      <c r="B126" s="13">
        <v>39895.800000000003</v>
      </c>
      <c r="C126" s="13">
        <v>350383.33</v>
      </c>
      <c r="D126" s="13">
        <v>1615</v>
      </c>
      <c r="E126" s="13">
        <v>0</v>
      </c>
      <c r="F126" s="13">
        <v>1712</v>
      </c>
      <c r="G126" s="13">
        <v>155078.19</v>
      </c>
      <c r="H126" s="13">
        <v>5971.2399999999907</v>
      </c>
      <c r="I126" s="13">
        <v>37999.999999999985</v>
      </c>
    </row>
    <row r="127" spans="1:9" hidden="1" x14ac:dyDescent="0.2">
      <c r="A127" s="27" t="s">
        <v>130</v>
      </c>
      <c r="B127" s="13">
        <v>8000</v>
      </c>
      <c r="C127" s="13">
        <v>15500</v>
      </c>
      <c r="D127" s="13">
        <v>15500</v>
      </c>
      <c r="E127" s="13">
        <v>13500</v>
      </c>
      <c r="F127" s="13">
        <v>12800</v>
      </c>
      <c r="G127" s="13">
        <v>13900</v>
      </c>
      <c r="H127" s="13">
        <v>16800</v>
      </c>
      <c r="I127" s="13">
        <v>16800</v>
      </c>
    </row>
    <row r="128" spans="1:9" hidden="1" x14ac:dyDescent="0.2">
      <c r="A128" s="27" t="s">
        <v>131</v>
      </c>
      <c r="B128" s="13">
        <v>936265.44</v>
      </c>
      <c r="C128" s="13">
        <v>1075052.44</v>
      </c>
      <c r="D128" s="13">
        <v>1151262.1199999999</v>
      </c>
      <c r="E128" s="13">
        <v>507187.07999999984</v>
      </c>
      <c r="F128" s="13">
        <v>498107.92999999982</v>
      </c>
      <c r="G128" s="13">
        <v>651803.68999999983</v>
      </c>
      <c r="H128" s="13">
        <v>1668648.4899999998</v>
      </c>
      <c r="I128" s="13">
        <v>907506.51999999979</v>
      </c>
    </row>
    <row r="129" spans="1:9" hidden="1" x14ac:dyDescent="0.2">
      <c r="A129" s="27" t="s">
        <v>132</v>
      </c>
      <c r="B129" s="13">
        <v>6850</v>
      </c>
      <c r="C129" s="13">
        <v>6850</v>
      </c>
      <c r="D129" s="13">
        <v>6850</v>
      </c>
      <c r="E129" s="13">
        <v>6850</v>
      </c>
      <c r="F129" s="13">
        <v>6850</v>
      </c>
      <c r="G129" s="13">
        <v>6850</v>
      </c>
      <c r="H129" s="13">
        <v>6850</v>
      </c>
      <c r="I129" s="13">
        <v>6850</v>
      </c>
    </row>
    <row r="130" spans="1:9" hidden="1" x14ac:dyDescent="0.2">
      <c r="A130" s="27" t="s">
        <v>133</v>
      </c>
      <c r="B130" s="13">
        <v>0</v>
      </c>
      <c r="C130" s="13">
        <v>11070</v>
      </c>
      <c r="D130" s="13">
        <v>41190</v>
      </c>
      <c r="E130" s="13">
        <v>10850</v>
      </c>
      <c r="F130" s="13">
        <v>50482</v>
      </c>
      <c r="G130" s="13">
        <v>49668</v>
      </c>
      <c r="H130" s="13">
        <v>80011</v>
      </c>
      <c r="I130" s="13">
        <v>0</v>
      </c>
    </row>
    <row r="131" spans="1:9" hidden="1" x14ac:dyDescent="0.2">
      <c r="A131" s="27" t="s">
        <v>134</v>
      </c>
      <c r="B131" s="13">
        <v>106164.33</v>
      </c>
      <c r="C131" s="13">
        <v>180298.91</v>
      </c>
      <c r="D131" s="13">
        <v>170792.51</v>
      </c>
      <c r="E131" s="13">
        <v>100251.24</v>
      </c>
      <c r="F131" s="13">
        <v>117552.88</v>
      </c>
      <c r="G131" s="13">
        <v>114600.56</v>
      </c>
      <c r="H131" s="13">
        <v>166132.78</v>
      </c>
      <c r="I131" s="13">
        <v>32363.53</v>
      </c>
    </row>
    <row r="132" spans="1:9" hidden="1" x14ac:dyDescent="0.2">
      <c r="A132" s="27" t="s">
        <v>135</v>
      </c>
      <c r="B132" s="13">
        <v>14400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</row>
    <row r="133" spans="1:9" hidden="1" x14ac:dyDescent="0.2">
      <c r="A133" s="16" t="s">
        <v>136</v>
      </c>
      <c r="B133" s="17">
        <f t="shared" ref="B133:I133" si="26">SUM(B125:B132)</f>
        <v>1111575.57</v>
      </c>
      <c r="C133" s="17">
        <f t="shared" si="26"/>
        <v>1639154.68</v>
      </c>
      <c r="D133" s="17">
        <f t="shared" si="26"/>
        <v>1387209.63</v>
      </c>
      <c r="E133" s="17">
        <f t="shared" si="26"/>
        <v>638638.31999999983</v>
      </c>
      <c r="F133" s="17">
        <f t="shared" si="26"/>
        <v>687504.80999999982</v>
      </c>
      <c r="G133" s="17">
        <f t="shared" si="26"/>
        <v>1113302.44</v>
      </c>
      <c r="H133" s="17">
        <f t="shared" si="26"/>
        <v>2068865.8099999998</v>
      </c>
      <c r="I133" s="17">
        <f t="shared" si="26"/>
        <v>1163020.3999999997</v>
      </c>
    </row>
    <row r="134" spans="1:9" x14ac:dyDescent="0.2">
      <c r="A134" s="19" t="s">
        <v>137</v>
      </c>
      <c r="B134" s="20">
        <f t="shared" ref="B134:I134" si="27">0+B123+B133</f>
        <v>1510403.09</v>
      </c>
      <c r="C134" s="20">
        <f t="shared" si="27"/>
        <v>2198798.08</v>
      </c>
      <c r="D134" s="20">
        <f t="shared" si="27"/>
        <v>1447759.63</v>
      </c>
      <c r="E134" s="20">
        <f t="shared" si="27"/>
        <v>640666.31999999983</v>
      </c>
      <c r="F134" s="20">
        <f t="shared" si="27"/>
        <v>697499.6599999998</v>
      </c>
      <c r="G134" s="20">
        <f t="shared" si="27"/>
        <v>1171166.3199999998</v>
      </c>
      <c r="H134" s="20">
        <f t="shared" si="27"/>
        <v>2136441.8099999996</v>
      </c>
      <c r="I134" s="20">
        <f t="shared" si="27"/>
        <v>1230596.3999999997</v>
      </c>
    </row>
    <row r="135" spans="1:9" x14ac:dyDescent="0.2">
      <c r="A135" s="21"/>
      <c r="B135" s="10"/>
      <c r="C135" s="10"/>
      <c r="D135" s="10"/>
      <c r="E135" s="10"/>
      <c r="F135" s="10"/>
      <c r="G135" s="10"/>
      <c r="H135" s="10"/>
      <c r="I135" s="10"/>
    </row>
    <row r="136" spans="1:9" ht="12" x14ac:dyDescent="0.2">
      <c r="A136" s="7" t="s">
        <v>138</v>
      </c>
      <c r="B136" s="8"/>
      <c r="C136" s="8"/>
      <c r="D136" s="8"/>
      <c r="E136" s="8"/>
      <c r="F136" s="8"/>
      <c r="G136" s="8"/>
      <c r="H136" s="8"/>
      <c r="I136" s="8"/>
    </row>
    <row r="137" spans="1:9" x14ac:dyDescent="0.2">
      <c r="A137" s="9" t="s">
        <v>139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54258.37</v>
      </c>
      <c r="H137" s="10">
        <v>0</v>
      </c>
      <c r="I137" s="10">
        <v>838.14</v>
      </c>
    </row>
    <row r="138" spans="1:9" hidden="1" x14ac:dyDescent="0.2">
      <c r="A138" s="27" t="s">
        <v>140</v>
      </c>
      <c r="B138" s="13">
        <v>0</v>
      </c>
      <c r="C138" s="13">
        <v>0</v>
      </c>
      <c r="D138" s="13">
        <v>0</v>
      </c>
      <c r="E138" s="13">
        <v>0</v>
      </c>
      <c r="F138" s="13">
        <v>0</v>
      </c>
      <c r="G138" s="13">
        <v>54258.37</v>
      </c>
      <c r="H138" s="13">
        <v>0</v>
      </c>
      <c r="I138" s="13">
        <v>838.14</v>
      </c>
    </row>
    <row r="139" spans="1:9" hidden="1" x14ac:dyDescent="0.2">
      <c r="A139" s="16" t="s">
        <v>141</v>
      </c>
      <c r="B139" s="17">
        <f t="shared" ref="B139:I139" si="28">SUM(B138)</f>
        <v>0</v>
      </c>
      <c r="C139" s="17">
        <f t="shared" si="28"/>
        <v>0</v>
      </c>
      <c r="D139" s="17">
        <f t="shared" si="28"/>
        <v>0</v>
      </c>
      <c r="E139" s="17">
        <f t="shared" si="28"/>
        <v>0</v>
      </c>
      <c r="F139" s="17">
        <f t="shared" si="28"/>
        <v>0</v>
      </c>
      <c r="G139" s="17">
        <f t="shared" si="28"/>
        <v>54258.37</v>
      </c>
      <c r="H139" s="17">
        <f t="shared" si="28"/>
        <v>0</v>
      </c>
      <c r="I139" s="17">
        <f t="shared" si="28"/>
        <v>838.14</v>
      </c>
    </row>
    <row r="140" spans="1:9" x14ac:dyDescent="0.2">
      <c r="A140" s="9" t="s">
        <v>142</v>
      </c>
      <c r="B140" s="10">
        <v>308740.21000000002</v>
      </c>
      <c r="C140" s="10">
        <v>732393.75</v>
      </c>
      <c r="D140" s="10">
        <v>212669.95</v>
      </c>
      <c r="E140" s="10">
        <v>20570.890000000029</v>
      </c>
      <c r="F140" s="10">
        <v>9242.1300000000283</v>
      </c>
      <c r="G140" s="10">
        <v>105573.07000000002</v>
      </c>
      <c r="H140" s="10">
        <v>27559.270000000015</v>
      </c>
      <c r="I140" s="10">
        <v>34780.300000000017</v>
      </c>
    </row>
    <row r="141" spans="1:9" hidden="1" x14ac:dyDescent="0.2">
      <c r="A141" s="27" t="s">
        <v>143</v>
      </c>
      <c r="B141" s="13">
        <v>308740.21000000002</v>
      </c>
      <c r="C141" s="13">
        <v>732393.75</v>
      </c>
      <c r="D141" s="13">
        <v>139461.15000000002</v>
      </c>
      <c r="E141" s="13">
        <v>20570.890000000029</v>
      </c>
      <c r="F141" s="13">
        <v>7454.9000000000287</v>
      </c>
      <c r="G141" s="13">
        <v>105573.07000000002</v>
      </c>
      <c r="H141" s="13">
        <v>27476.830000000016</v>
      </c>
      <c r="I141" s="13">
        <v>34780.300000000017</v>
      </c>
    </row>
    <row r="142" spans="1:9" hidden="1" x14ac:dyDescent="0.2">
      <c r="A142" s="27" t="s">
        <v>144</v>
      </c>
      <c r="B142" s="13">
        <v>0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82.44</v>
      </c>
      <c r="I142" s="13">
        <v>0</v>
      </c>
    </row>
    <row r="143" spans="1:9" hidden="1" x14ac:dyDescent="0.2">
      <c r="A143" s="27" t="s">
        <v>145</v>
      </c>
      <c r="B143" s="13">
        <v>0</v>
      </c>
      <c r="C143" s="13">
        <v>0</v>
      </c>
      <c r="D143" s="13">
        <v>0</v>
      </c>
      <c r="E143" s="13">
        <v>0</v>
      </c>
      <c r="F143" s="13">
        <v>1787.23</v>
      </c>
      <c r="G143" s="13">
        <v>0</v>
      </c>
      <c r="H143" s="13">
        <v>0</v>
      </c>
      <c r="I143" s="13">
        <v>0</v>
      </c>
    </row>
    <row r="144" spans="1:9" hidden="1" x14ac:dyDescent="0.2">
      <c r="A144" s="27" t="s">
        <v>146</v>
      </c>
      <c r="B144" s="13">
        <v>0</v>
      </c>
      <c r="C144" s="13">
        <v>0</v>
      </c>
      <c r="D144" s="13">
        <v>73208.800000000003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</row>
    <row r="145" spans="1:9" hidden="1" x14ac:dyDescent="0.2">
      <c r="A145" s="16" t="s">
        <v>147</v>
      </c>
      <c r="B145" s="17">
        <f t="shared" ref="B145:I145" si="29">SUM(B141:B144)</f>
        <v>308740.21000000002</v>
      </c>
      <c r="C145" s="17">
        <f t="shared" si="29"/>
        <v>732393.75</v>
      </c>
      <c r="D145" s="17">
        <f t="shared" si="29"/>
        <v>212669.95</v>
      </c>
      <c r="E145" s="17">
        <f t="shared" si="29"/>
        <v>20570.890000000029</v>
      </c>
      <c r="F145" s="17">
        <f t="shared" si="29"/>
        <v>9242.1300000000283</v>
      </c>
      <c r="G145" s="17">
        <f t="shared" si="29"/>
        <v>105573.07000000002</v>
      </c>
      <c r="H145" s="17">
        <f t="shared" si="29"/>
        <v>27559.270000000015</v>
      </c>
      <c r="I145" s="17">
        <f t="shared" si="29"/>
        <v>34780.300000000017</v>
      </c>
    </row>
    <row r="146" spans="1:9" x14ac:dyDescent="0.2">
      <c r="A146" s="9" t="s">
        <v>148</v>
      </c>
      <c r="B146" s="10">
        <v>0</v>
      </c>
      <c r="C146" s="10">
        <v>0</v>
      </c>
      <c r="D146" s="10">
        <v>0</v>
      </c>
      <c r="E146" s="10">
        <v>0</v>
      </c>
      <c r="F146" s="10">
        <v>19251</v>
      </c>
      <c r="G146" s="10">
        <v>12281.5</v>
      </c>
      <c r="H146" s="10">
        <v>23768.309999999998</v>
      </c>
      <c r="I146" s="10">
        <v>0</v>
      </c>
    </row>
    <row r="147" spans="1:9" hidden="1" x14ac:dyDescent="0.2">
      <c r="A147" s="27" t="s">
        <v>149</v>
      </c>
      <c r="B147" s="13">
        <v>0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11424</v>
      </c>
      <c r="I147" s="13">
        <v>0</v>
      </c>
    </row>
    <row r="148" spans="1:9" hidden="1" x14ac:dyDescent="0.2">
      <c r="A148" s="27" t="s">
        <v>150</v>
      </c>
      <c r="B148" s="13">
        <v>0</v>
      </c>
      <c r="C148" s="13">
        <v>0</v>
      </c>
      <c r="D148" s="13">
        <v>0</v>
      </c>
      <c r="E148" s="13">
        <v>0</v>
      </c>
      <c r="F148" s="13">
        <v>19251</v>
      </c>
      <c r="G148" s="13">
        <v>12281.5</v>
      </c>
      <c r="H148" s="13">
        <v>12344.31</v>
      </c>
      <c r="I148" s="13">
        <v>0</v>
      </c>
    </row>
    <row r="149" spans="1:9" hidden="1" x14ac:dyDescent="0.2">
      <c r="A149" s="16" t="s">
        <v>151</v>
      </c>
      <c r="B149" s="17">
        <f t="shared" ref="B149:I149" si="30">SUM(B147:B148)</f>
        <v>0</v>
      </c>
      <c r="C149" s="17">
        <f t="shared" si="30"/>
        <v>0</v>
      </c>
      <c r="D149" s="17">
        <f t="shared" si="30"/>
        <v>0</v>
      </c>
      <c r="E149" s="17">
        <f t="shared" si="30"/>
        <v>0</v>
      </c>
      <c r="F149" s="17">
        <f t="shared" si="30"/>
        <v>19251</v>
      </c>
      <c r="G149" s="17">
        <f t="shared" si="30"/>
        <v>12281.5</v>
      </c>
      <c r="H149" s="17">
        <f t="shared" si="30"/>
        <v>23768.309999999998</v>
      </c>
      <c r="I149" s="17">
        <f t="shared" si="30"/>
        <v>0</v>
      </c>
    </row>
    <row r="150" spans="1:9" x14ac:dyDescent="0.2">
      <c r="A150" s="9" t="s">
        <v>152</v>
      </c>
      <c r="B150" s="10">
        <v>558401.48</v>
      </c>
      <c r="C150" s="10">
        <v>865474.37</v>
      </c>
      <c r="D150" s="10">
        <v>480330.31000000006</v>
      </c>
      <c r="E150" s="10">
        <v>224284.83</v>
      </c>
      <c r="F150" s="10">
        <v>222267.59999999998</v>
      </c>
      <c r="G150" s="10">
        <v>359188.55999999994</v>
      </c>
      <c r="H150" s="10">
        <v>396430.37999999995</v>
      </c>
      <c r="I150" s="10">
        <v>153885.34999999974</v>
      </c>
    </row>
    <row r="151" spans="1:9" hidden="1" x14ac:dyDescent="0.2">
      <c r="A151" s="27" t="s">
        <v>153</v>
      </c>
      <c r="B151" s="13">
        <v>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-6855.45</v>
      </c>
    </row>
    <row r="152" spans="1:9" hidden="1" x14ac:dyDescent="0.2">
      <c r="A152" s="27" t="s">
        <v>154</v>
      </c>
      <c r="B152" s="13">
        <v>0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-763.49</v>
      </c>
    </row>
    <row r="153" spans="1:9" hidden="1" x14ac:dyDescent="0.2">
      <c r="A153" s="27" t="s">
        <v>155</v>
      </c>
      <c r="B153" s="13">
        <v>0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  <c r="I153" s="13">
        <v>14.91</v>
      </c>
    </row>
    <row r="154" spans="1:9" hidden="1" x14ac:dyDescent="0.2">
      <c r="A154" s="27" t="s">
        <v>156</v>
      </c>
      <c r="B154" s="13">
        <v>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-262290.71000000002</v>
      </c>
    </row>
    <row r="155" spans="1:9" hidden="1" x14ac:dyDescent="0.2">
      <c r="A155" s="27" t="s">
        <v>157</v>
      </c>
      <c r="B155" s="13">
        <v>0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v>-85979.35</v>
      </c>
    </row>
    <row r="156" spans="1:9" hidden="1" x14ac:dyDescent="0.2">
      <c r="A156" s="27" t="s">
        <v>158</v>
      </c>
      <c r="B156" s="13">
        <v>0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-3001.66</v>
      </c>
    </row>
    <row r="157" spans="1:9" hidden="1" x14ac:dyDescent="0.2">
      <c r="A157" s="27" t="s">
        <v>159</v>
      </c>
      <c r="B157" s="13">
        <v>0</v>
      </c>
      <c r="C157" s="13">
        <v>0</v>
      </c>
      <c r="D157" s="13">
        <v>0</v>
      </c>
      <c r="E157" s="13">
        <v>0</v>
      </c>
      <c r="F157" s="13">
        <v>2276.52</v>
      </c>
      <c r="G157" s="13">
        <v>3854.63</v>
      </c>
      <c r="H157" s="13">
        <v>9064.5</v>
      </c>
      <c r="I157" s="13">
        <v>-70.719999999999345</v>
      </c>
    </row>
    <row r="158" spans="1:9" hidden="1" x14ac:dyDescent="0.2">
      <c r="A158" s="27" t="s">
        <v>160</v>
      </c>
      <c r="B158" s="13">
        <v>-157.87</v>
      </c>
      <c r="C158" s="13">
        <v>-379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1633.92</v>
      </c>
    </row>
    <row r="159" spans="1:9" hidden="1" x14ac:dyDescent="0.2">
      <c r="A159" s="27" t="s">
        <v>161</v>
      </c>
      <c r="B159" s="13">
        <v>0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103.5</v>
      </c>
    </row>
    <row r="160" spans="1:9" hidden="1" x14ac:dyDescent="0.2">
      <c r="A160" s="27" t="s">
        <v>162</v>
      </c>
      <c r="B160" s="13">
        <v>62714.13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</row>
    <row r="161" spans="1:9" hidden="1" x14ac:dyDescent="0.2">
      <c r="A161" s="27" t="s">
        <v>163</v>
      </c>
      <c r="B161" s="13">
        <v>22952.26</v>
      </c>
      <c r="C161" s="13">
        <v>28455.309999999998</v>
      </c>
      <c r="D161" s="13">
        <v>8829.4799999999959</v>
      </c>
      <c r="E161" s="13">
        <v>9690.649999999996</v>
      </c>
      <c r="F161" s="13">
        <v>-3.637978807091713E-12</v>
      </c>
      <c r="G161" s="13">
        <v>-3.637978807091713E-12</v>
      </c>
      <c r="H161" s="13">
        <v>-3.637978807091713E-12</v>
      </c>
      <c r="I161" s="13">
        <v>-3.637978807091713E-12</v>
      </c>
    </row>
    <row r="162" spans="1:9" hidden="1" x14ac:dyDescent="0.2">
      <c r="A162" s="27" t="s">
        <v>164</v>
      </c>
      <c r="B162" s="13">
        <v>0</v>
      </c>
      <c r="C162" s="13">
        <v>434947.59</v>
      </c>
      <c r="D162" s="13">
        <v>219359.53000000003</v>
      </c>
      <c r="E162" s="13">
        <v>5461.0000000000291</v>
      </c>
      <c r="F162" s="13">
        <v>-868.42999999997119</v>
      </c>
      <c r="G162" s="13">
        <v>2.8762769943568856E-11</v>
      </c>
      <c r="H162" s="13">
        <v>2.8762769943568856E-11</v>
      </c>
      <c r="I162" s="13">
        <v>2.8762769943568856E-11</v>
      </c>
    </row>
    <row r="163" spans="1:9" hidden="1" x14ac:dyDescent="0.2">
      <c r="A163" s="27" t="s">
        <v>165</v>
      </c>
      <c r="B163" s="13">
        <v>10221.040000000001</v>
      </c>
      <c r="C163" s="13">
        <v>14689.69</v>
      </c>
      <c r="D163" s="13">
        <v>22407.760000000002</v>
      </c>
      <c r="E163" s="13">
        <v>17357.600000000002</v>
      </c>
      <c r="F163" s="13">
        <v>59.390000000003056</v>
      </c>
      <c r="G163" s="13">
        <v>3.0553337637684308E-12</v>
      </c>
      <c r="H163" s="13">
        <v>14637.330000000004</v>
      </c>
      <c r="I163" s="13">
        <v>-3111.1299999999956</v>
      </c>
    </row>
    <row r="164" spans="1:9" hidden="1" x14ac:dyDescent="0.2">
      <c r="A164" s="27" t="s">
        <v>166</v>
      </c>
      <c r="B164" s="13">
        <v>-1497.62</v>
      </c>
      <c r="C164" s="13">
        <v>3317.1500000000005</v>
      </c>
      <c r="D164" s="13">
        <v>-2813.0299999999997</v>
      </c>
      <c r="E164" s="13">
        <v>-48.799999999999727</v>
      </c>
      <c r="F164" s="13">
        <v>-1949.7499999999998</v>
      </c>
      <c r="G164" s="13">
        <v>92.770000000000209</v>
      </c>
      <c r="H164" s="13">
        <v>2.1316282072803006E-13</v>
      </c>
      <c r="I164" s="13">
        <v>-20300.990000000002</v>
      </c>
    </row>
    <row r="165" spans="1:9" hidden="1" x14ac:dyDescent="0.2">
      <c r="A165" s="27" t="s">
        <v>167</v>
      </c>
      <c r="B165" s="13">
        <v>0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1533.87</v>
      </c>
      <c r="I165" s="13">
        <v>464.53999999999996</v>
      </c>
    </row>
    <row r="166" spans="1:9" hidden="1" x14ac:dyDescent="0.2">
      <c r="A166" s="27" t="s">
        <v>168</v>
      </c>
      <c r="B166" s="13">
        <v>0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896</v>
      </c>
    </row>
    <row r="167" spans="1:9" hidden="1" x14ac:dyDescent="0.2">
      <c r="A167" s="27" t="s">
        <v>169</v>
      </c>
      <c r="B167" s="13">
        <v>0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 s="13">
        <v>282</v>
      </c>
      <c r="I167" s="13">
        <v>0</v>
      </c>
    </row>
    <row r="168" spans="1:9" hidden="1" x14ac:dyDescent="0.2">
      <c r="A168" s="27" t="s">
        <v>170</v>
      </c>
      <c r="B168" s="13">
        <v>0</v>
      </c>
      <c r="C168" s="13">
        <v>0</v>
      </c>
      <c r="D168" s="13">
        <v>0</v>
      </c>
      <c r="E168" s="13">
        <v>0</v>
      </c>
      <c r="F168" s="13">
        <v>341.29</v>
      </c>
      <c r="G168" s="13">
        <v>55.830000000000041</v>
      </c>
      <c r="H168" s="13">
        <v>53.320000000000043</v>
      </c>
      <c r="I168" s="13">
        <v>349.16</v>
      </c>
    </row>
    <row r="169" spans="1:9" hidden="1" x14ac:dyDescent="0.2">
      <c r="A169" s="27" t="s">
        <v>171</v>
      </c>
      <c r="B169" s="13">
        <v>179601.08</v>
      </c>
      <c r="C169" s="13">
        <v>219016.02</v>
      </c>
      <c r="D169" s="13">
        <v>230861.78999999998</v>
      </c>
      <c r="E169" s="13">
        <v>97562.199999999983</v>
      </c>
      <c r="F169" s="13">
        <v>107599.95999999998</v>
      </c>
      <c r="G169" s="13">
        <v>221852.32999999996</v>
      </c>
      <c r="H169" s="13">
        <v>232826.93999999994</v>
      </c>
      <c r="I169" s="13">
        <v>18.199999999953434</v>
      </c>
    </row>
    <row r="170" spans="1:9" hidden="1" x14ac:dyDescent="0.2">
      <c r="A170" s="27" t="s">
        <v>172</v>
      </c>
      <c r="B170" s="13">
        <v>-1842.64</v>
      </c>
      <c r="C170" s="13">
        <v>4749.8999999999996</v>
      </c>
      <c r="D170" s="13">
        <v>1684.7799999999997</v>
      </c>
      <c r="E170" s="13">
        <v>2547.0899999999997</v>
      </c>
      <c r="F170" s="13">
        <v>4254.2299999999996</v>
      </c>
      <c r="G170" s="13">
        <v>4490.1699999999992</v>
      </c>
      <c r="H170" s="13">
        <v>4213.869999999999</v>
      </c>
      <c r="I170" s="13">
        <v>4011.619999999999</v>
      </c>
    </row>
    <row r="171" spans="1:9" hidden="1" x14ac:dyDescent="0.2">
      <c r="A171" s="27" t="s">
        <v>173</v>
      </c>
      <c r="B171" s="13">
        <v>0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-2449.2399999999998</v>
      </c>
    </row>
    <row r="172" spans="1:9" hidden="1" x14ac:dyDescent="0.2">
      <c r="A172" s="27" t="s">
        <v>174</v>
      </c>
      <c r="B172" s="13">
        <v>0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-3241.38</v>
      </c>
    </row>
    <row r="173" spans="1:9" hidden="1" x14ac:dyDescent="0.2">
      <c r="A173" s="27" t="s">
        <v>175</v>
      </c>
      <c r="B173" s="13">
        <v>0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-2369.81</v>
      </c>
    </row>
    <row r="174" spans="1:9" hidden="1" x14ac:dyDescent="0.2">
      <c r="A174" s="27" t="s">
        <v>176</v>
      </c>
      <c r="B174" s="13">
        <v>0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v>-2388.46</v>
      </c>
    </row>
    <row r="175" spans="1:9" hidden="1" x14ac:dyDescent="0.2">
      <c r="A175" s="27" t="s">
        <v>177</v>
      </c>
      <c r="B175" s="13">
        <v>0</v>
      </c>
      <c r="C175" s="13">
        <v>0</v>
      </c>
      <c r="D175" s="13">
        <v>0</v>
      </c>
      <c r="E175" s="13">
        <v>0</v>
      </c>
      <c r="F175" s="13">
        <v>0</v>
      </c>
      <c r="G175" s="13">
        <v>0</v>
      </c>
      <c r="H175" s="13">
        <v>0</v>
      </c>
      <c r="I175" s="13">
        <v>-1482.84</v>
      </c>
    </row>
    <row r="176" spans="1:9" hidden="1" x14ac:dyDescent="0.2">
      <c r="A176" s="27" t="s">
        <v>178</v>
      </c>
      <c r="B176" s="13">
        <v>0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-2702.39</v>
      </c>
    </row>
    <row r="177" spans="1:9" hidden="1" x14ac:dyDescent="0.2">
      <c r="A177" s="27" t="s">
        <v>179</v>
      </c>
      <c r="B177" s="13">
        <v>0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-1577.76</v>
      </c>
    </row>
    <row r="178" spans="1:9" hidden="1" x14ac:dyDescent="0.2">
      <c r="A178" s="27" t="s">
        <v>180</v>
      </c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-5565.86</v>
      </c>
    </row>
    <row r="179" spans="1:9" hidden="1" x14ac:dyDescent="0.2">
      <c r="A179" s="27" t="s">
        <v>181</v>
      </c>
      <c r="B179" s="13">
        <v>0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-1824.42</v>
      </c>
    </row>
    <row r="180" spans="1:9" hidden="1" x14ac:dyDescent="0.2">
      <c r="A180" s="27" t="s">
        <v>182</v>
      </c>
      <c r="B180" s="13">
        <v>0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-4557.57</v>
      </c>
    </row>
    <row r="181" spans="1:9" hidden="1" x14ac:dyDescent="0.2">
      <c r="A181" s="27" t="s">
        <v>183</v>
      </c>
      <c r="B181" s="13">
        <v>0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-4292.3</v>
      </c>
    </row>
    <row r="182" spans="1:9" hidden="1" x14ac:dyDescent="0.2">
      <c r="A182" s="27" t="s">
        <v>184</v>
      </c>
      <c r="B182" s="13">
        <v>0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v>-2012</v>
      </c>
    </row>
    <row r="183" spans="1:9" hidden="1" x14ac:dyDescent="0.2">
      <c r="A183" s="27" t="s">
        <v>185</v>
      </c>
      <c r="B183" s="13">
        <v>0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v>-1595.78</v>
      </c>
    </row>
    <row r="184" spans="1:9" hidden="1" x14ac:dyDescent="0.2">
      <c r="A184" s="27" t="s">
        <v>186</v>
      </c>
      <c r="B184" s="13">
        <v>0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-473.26</v>
      </c>
    </row>
    <row r="185" spans="1:9" hidden="1" x14ac:dyDescent="0.2">
      <c r="A185" s="27" t="s">
        <v>187</v>
      </c>
      <c r="B185" s="13">
        <v>0</v>
      </c>
      <c r="C185" s="13">
        <v>0</v>
      </c>
      <c r="D185" s="13">
        <v>0</v>
      </c>
      <c r="E185" s="13">
        <v>0</v>
      </c>
      <c r="F185" s="13">
        <v>-161.6</v>
      </c>
      <c r="G185" s="13">
        <v>-217.85</v>
      </c>
      <c r="H185" s="13">
        <v>0</v>
      </c>
      <c r="I185" s="13">
        <v>-28.27</v>
      </c>
    </row>
    <row r="186" spans="1:9" hidden="1" x14ac:dyDescent="0.2">
      <c r="A186" s="27" t="s">
        <v>188</v>
      </c>
      <c r="B186" s="13">
        <v>0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-5595.78</v>
      </c>
    </row>
    <row r="187" spans="1:9" hidden="1" x14ac:dyDescent="0.2">
      <c r="A187" s="27" t="s">
        <v>189</v>
      </c>
      <c r="B187" s="13">
        <v>0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-2045.39</v>
      </c>
    </row>
    <row r="188" spans="1:9" hidden="1" x14ac:dyDescent="0.2">
      <c r="A188" s="27" t="s">
        <v>190</v>
      </c>
      <c r="B188" s="13">
        <v>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-2559.9899999999998</v>
      </c>
    </row>
    <row r="189" spans="1:9" hidden="1" x14ac:dyDescent="0.2">
      <c r="A189" s="27" t="s">
        <v>191</v>
      </c>
      <c r="B189" s="13">
        <v>0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-451.12</v>
      </c>
    </row>
    <row r="190" spans="1:9" hidden="1" x14ac:dyDescent="0.2">
      <c r="A190" s="27" t="s">
        <v>192</v>
      </c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-1823.79</v>
      </c>
    </row>
    <row r="191" spans="1:9" hidden="1" x14ac:dyDescent="0.2">
      <c r="A191" s="27" t="s">
        <v>193</v>
      </c>
      <c r="B191" s="13">
        <v>0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-1858.18</v>
      </c>
    </row>
    <row r="192" spans="1:9" hidden="1" x14ac:dyDescent="0.2">
      <c r="A192" s="27" t="s">
        <v>194</v>
      </c>
      <c r="B192" s="13">
        <v>0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-1874.7</v>
      </c>
    </row>
    <row r="193" spans="1:9" hidden="1" x14ac:dyDescent="0.2">
      <c r="A193" s="27" t="s">
        <v>195</v>
      </c>
      <c r="B193" s="13">
        <v>0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-1765.58</v>
      </c>
    </row>
    <row r="194" spans="1:9" hidden="1" x14ac:dyDescent="0.2">
      <c r="A194" s="27" t="s">
        <v>196</v>
      </c>
      <c r="B194" s="13">
        <v>0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-1252.8</v>
      </c>
    </row>
    <row r="195" spans="1:9" hidden="1" x14ac:dyDescent="0.2">
      <c r="A195" s="27" t="s">
        <v>197</v>
      </c>
      <c r="B195" s="13">
        <v>0</v>
      </c>
      <c r="C195" s="13">
        <v>0</v>
      </c>
      <c r="D195" s="13">
        <v>0</v>
      </c>
      <c r="E195" s="13">
        <v>0</v>
      </c>
      <c r="F195" s="13">
        <v>1655.45</v>
      </c>
      <c r="G195" s="13">
        <v>0</v>
      </c>
      <c r="H195" s="13">
        <v>0</v>
      </c>
      <c r="I195" s="13">
        <v>0</v>
      </c>
    </row>
    <row r="196" spans="1:9" hidden="1" x14ac:dyDescent="0.2">
      <c r="A196" s="27" t="s">
        <v>198</v>
      </c>
      <c r="B196" s="13">
        <v>0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  <c r="I196" s="13">
        <v>763.49</v>
      </c>
    </row>
    <row r="197" spans="1:9" hidden="1" x14ac:dyDescent="0.2">
      <c r="A197" s="27" t="s">
        <v>199</v>
      </c>
      <c r="B197" s="13">
        <v>0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v>1616037.73</v>
      </c>
    </row>
    <row r="198" spans="1:9" hidden="1" x14ac:dyDescent="0.2">
      <c r="A198" s="27" t="s">
        <v>200</v>
      </c>
      <c r="B198" s="13">
        <v>0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3">
        <v>-1126988.3999999999</v>
      </c>
    </row>
    <row r="199" spans="1:9" hidden="1" x14ac:dyDescent="0.2">
      <c r="A199" s="27" t="s">
        <v>201</v>
      </c>
      <c r="B199" s="13">
        <v>0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v>3001.66</v>
      </c>
    </row>
    <row r="200" spans="1:9" hidden="1" x14ac:dyDescent="0.2">
      <c r="A200" s="27" t="s">
        <v>202</v>
      </c>
      <c r="B200" s="13">
        <v>0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85979.35</v>
      </c>
    </row>
    <row r="201" spans="1:9" hidden="1" x14ac:dyDescent="0.2">
      <c r="A201" s="27" t="s">
        <v>203</v>
      </c>
      <c r="B201" s="13">
        <v>286411.09999999998</v>
      </c>
      <c r="C201" s="13">
        <v>160677.70999999996</v>
      </c>
      <c r="D201" s="13">
        <v>-2.9103830456733704E-11</v>
      </c>
      <c r="E201" s="13">
        <v>91715.089999999967</v>
      </c>
      <c r="F201" s="13">
        <v>-2.9103830456733704E-11</v>
      </c>
      <c r="G201" s="13">
        <v>-2.9103830456733704E-11</v>
      </c>
      <c r="H201" s="13">
        <v>-2.9103830456733704E-11</v>
      </c>
      <c r="I201" s="13">
        <v>-2.9103830456733704E-11</v>
      </c>
    </row>
    <row r="202" spans="1:9" hidden="1" x14ac:dyDescent="0.2">
      <c r="A202" s="27" t="s">
        <v>204</v>
      </c>
      <c r="B202" s="13">
        <v>0</v>
      </c>
      <c r="C202" s="13">
        <v>0</v>
      </c>
      <c r="D202" s="13">
        <v>0</v>
      </c>
      <c r="E202" s="13">
        <v>0</v>
      </c>
      <c r="F202" s="13">
        <v>109060.54</v>
      </c>
      <c r="G202" s="13">
        <v>129060.68</v>
      </c>
      <c r="H202" s="13">
        <v>133818.54999999999</v>
      </c>
      <c r="I202" s="13">
        <v>5761.839999999982</v>
      </c>
    </row>
    <row r="203" spans="1:9" hidden="1" x14ac:dyDescent="0.2">
      <c r="A203" s="16" t="s">
        <v>205</v>
      </c>
      <c r="B203" s="17">
        <f t="shared" ref="B203:I203" si="31">SUM(B151:B202)</f>
        <v>558401.48</v>
      </c>
      <c r="C203" s="17">
        <f t="shared" si="31"/>
        <v>865474.37</v>
      </c>
      <c r="D203" s="17">
        <f t="shared" si="31"/>
        <v>480330.31000000006</v>
      </c>
      <c r="E203" s="17">
        <f t="shared" si="31"/>
        <v>224284.83</v>
      </c>
      <c r="F203" s="17">
        <f t="shared" si="31"/>
        <v>222267.59999999998</v>
      </c>
      <c r="G203" s="17">
        <f t="shared" si="31"/>
        <v>359188.55999999994</v>
      </c>
      <c r="H203" s="17">
        <f t="shared" si="31"/>
        <v>396430.37999999995</v>
      </c>
      <c r="I203" s="17">
        <f t="shared" si="31"/>
        <v>153885.34999999974</v>
      </c>
    </row>
    <row r="204" spans="1:9" x14ac:dyDescent="0.2">
      <c r="A204" s="19" t="s">
        <v>206</v>
      </c>
      <c r="B204" s="20">
        <f t="shared" ref="B204:I204" si="32">0+0+B139+B145+0+B149+0+B203</f>
        <v>867141.69</v>
      </c>
      <c r="C204" s="20">
        <f t="shared" si="32"/>
        <v>1597868.12</v>
      </c>
      <c r="D204" s="20">
        <f t="shared" si="32"/>
        <v>693000.26</v>
      </c>
      <c r="E204" s="20">
        <f t="shared" si="32"/>
        <v>244855.72000000003</v>
      </c>
      <c r="F204" s="20">
        <f t="shared" si="32"/>
        <v>250760.73</v>
      </c>
      <c r="G204" s="20">
        <f t="shared" si="32"/>
        <v>531301.5</v>
      </c>
      <c r="H204" s="20">
        <f t="shared" si="32"/>
        <v>447757.95999999996</v>
      </c>
      <c r="I204" s="20">
        <f t="shared" si="32"/>
        <v>189503.78999999975</v>
      </c>
    </row>
    <row r="205" spans="1:9" x14ac:dyDescent="0.2">
      <c r="A205" s="21"/>
      <c r="B205" s="10"/>
      <c r="C205" s="10"/>
      <c r="D205" s="10"/>
      <c r="E205" s="10"/>
      <c r="F205" s="10"/>
      <c r="G205" s="10"/>
      <c r="H205" s="10"/>
      <c r="I205" s="10"/>
    </row>
    <row r="206" spans="1:9" ht="12" x14ac:dyDescent="0.2">
      <c r="A206" s="7" t="s">
        <v>207</v>
      </c>
      <c r="B206" s="8">
        <v>784120.19</v>
      </c>
      <c r="C206" s="8">
        <v>29052.089999999967</v>
      </c>
      <c r="D206" s="8">
        <v>22506.669999999969</v>
      </c>
      <c r="E206" s="8">
        <v>52597.999999999971</v>
      </c>
      <c r="F206" s="8">
        <v>50797.249999999971</v>
      </c>
      <c r="G206" s="8">
        <v>50129.02999999997</v>
      </c>
      <c r="H206" s="8">
        <v>70968.289999999964</v>
      </c>
      <c r="I206" s="8">
        <v>288779.68999999994</v>
      </c>
    </row>
    <row r="207" spans="1:9" hidden="1" x14ac:dyDescent="0.2">
      <c r="A207" s="22" t="s">
        <v>208</v>
      </c>
      <c r="B207" s="13">
        <v>784120.19</v>
      </c>
      <c r="C207" s="13">
        <v>29052.089999999967</v>
      </c>
      <c r="D207" s="13">
        <v>22506.669999999969</v>
      </c>
      <c r="E207" s="13">
        <v>52597.999999999971</v>
      </c>
      <c r="F207" s="13">
        <v>43554.999999999971</v>
      </c>
      <c r="G207" s="13">
        <v>-2.9103830456733704E-11</v>
      </c>
      <c r="H207" s="13">
        <v>-2.9103830456733704E-11</v>
      </c>
      <c r="I207" s="13">
        <v>-2.9103830456733704E-11</v>
      </c>
    </row>
    <row r="208" spans="1:9" hidden="1" x14ac:dyDescent="0.2">
      <c r="A208" s="22" t="s">
        <v>209</v>
      </c>
      <c r="B208" s="13">
        <v>0</v>
      </c>
      <c r="C208" s="13">
        <v>0</v>
      </c>
      <c r="D208" s="13">
        <v>0</v>
      </c>
      <c r="E208" s="13">
        <v>0</v>
      </c>
      <c r="F208" s="13">
        <v>7242.25</v>
      </c>
      <c r="G208" s="13">
        <v>50129.03</v>
      </c>
      <c r="H208" s="13">
        <v>70968.289999999994</v>
      </c>
      <c r="I208" s="13">
        <v>288779.69</v>
      </c>
    </row>
    <row r="209" spans="1:9" hidden="1" x14ac:dyDescent="0.2">
      <c r="A209" s="23" t="s">
        <v>210</v>
      </c>
      <c r="B209" s="17">
        <f t="shared" ref="B209:I209" si="33">SUM(B207:B208)</f>
        <v>784120.19</v>
      </c>
      <c r="C209" s="17">
        <f t="shared" si="33"/>
        <v>29052.089999999967</v>
      </c>
      <c r="D209" s="17">
        <f t="shared" si="33"/>
        <v>22506.669999999969</v>
      </c>
      <c r="E209" s="17">
        <f t="shared" si="33"/>
        <v>52597.999999999971</v>
      </c>
      <c r="F209" s="17">
        <f t="shared" si="33"/>
        <v>50797.249999999971</v>
      </c>
      <c r="G209" s="17">
        <f t="shared" si="33"/>
        <v>50129.02999999997</v>
      </c>
      <c r="H209" s="17">
        <f t="shared" si="33"/>
        <v>70968.289999999964</v>
      </c>
      <c r="I209" s="17">
        <f t="shared" si="33"/>
        <v>288779.68999999994</v>
      </c>
    </row>
    <row r="210" spans="1:9" ht="12" thickBot="1" x14ac:dyDescent="0.25">
      <c r="A210" s="21"/>
      <c r="B210" s="10"/>
      <c r="C210" s="10"/>
      <c r="D210" s="10"/>
      <c r="E210" s="10"/>
      <c r="F210" s="10"/>
      <c r="G210" s="10"/>
      <c r="H210" s="10"/>
      <c r="I210" s="10"/>
    </row>
    <row r="211" spans="1:9" ht="12.75" thickTop="1" x14ac:dyDescent="0.2">
      <c r="A211" s="24" t="s">
        <v>211</v>
      </c>
      <c r="B211" s="25">
        <f t="shared" ref="B211:I211" si="34">B116+B117+B134+B135+B204+B205+B209+B210+0</f>
        <v>7158343.3399999999</v>
      </c>
      <c r="C211" s="25">
        <f t="shared" si="34"/>
        <v>8914548.4900000002</v>
      </c>
      <c r="D211" s="25">
        <f t="shared" si="34"/>
        <v>7241661.26999998</v>
      </c>
      <c r="E211" s="25">
        <f t="shared" si="34"/>
        <v>5743776.8599999798</v>
      </c>
      <c r="F211" s="25">
        <f t="shared" si="34"/>
        <v>6255710.569999991</v>
      </c>
      <c r="G211" s="25">
        <f t="shared" si="34"/>
        <v>6963237.9999999804</v>
      </c>
      <c r="H211" s="25">
        <f t="shared" si="34"/>
        <v>8450848.1300000194</v>
      </c>
      <c r="I211" s="25">
        <f t="shared" si="34"/>
        <v>9968069.9600000177</v>
      </c>
    </row>
  </sheetData>
  <mergeCells count="3">
    <mergeCell ref="A1:I1"/>
    <mergeCell ref="A2:I2"/>
    <mergeCell ref="A3:I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PGBalanceSheetbyEntityand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2023-08-08T18:29:38Z</dcterms:created>
  <dcterms:modified xsi:type="dcterms:W3CDTF">2023-08-08T18:30:06Z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