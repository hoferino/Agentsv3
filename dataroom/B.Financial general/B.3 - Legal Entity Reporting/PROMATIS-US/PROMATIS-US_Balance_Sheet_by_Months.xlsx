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Q:\Gesellschaft\PROMATIS software\Beteiligungskapital\Datenraum_PwC_IceLake\FDD\B.Financial general\B.3 - Legal Entity Reporting\PROMATIS-US\"/>
    </mc:Choice>
  </mc:AlternateContent>
  <xr:revisionPtr revIDLastSave="0" documentId="13_ncr:40009_{2B7C8766-BD42-4370-9D3E-A0654F096F7E}" xr6:coauthVersionLast="47" xr6:coauthVersionMax="47" xr10:uidLastSave="{00000000-0000-0000-0000-000000000000}"/>
  <bookViews>
    <workbookView xWindow="-28920" yWindow="-120" windowWidth="29040" windowHeight="15840"/>
  </bookViews>
  <sheets>
    <sheet name="PGBalanceSheetbyEntityan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X49" i="1" l="1"/>
  <c r="BW49" i="1"/>
  <c r="BV49" i="1"/>
  <c r="BU49" i="1"/>
  <c r="BT49" i="1"/>
  <c r="BS49" i="1"/>
  <c r="BR49" i="1"/>
  <c r="BQ49" i="1"/>
  <c r="BP49" i="1"/>
  <c r="BO49" i="1"/>
  <c r="BN49" i="1"/>
  <c r="BM49" i="1"/>
  <c r="BL49" i="1"/>
  <c r="BK49" i="1"/>
  <c r="BJ49" i="1"/>
  <c r="BI49" i="1"/>
  <c r="BH49" i="1"/>
  <c r="BG49" i="1"/>
  <c r="BF49" i="1"/>
  <c r="BE49" i="1"/>
  <c r="BD49" i="1"/>
  <c r="BC49" i="1"/>
  <c r="BB49" i="1"/>
  <c r="BA49" i="1"/>
  <c r="AZ49" i="1"/>
  <c r="AY49" i="1"/>
  <c r="AX49" i="1"/>
  <c r="AW49" i="1"/>
  <c r="AV49" i="1"/>
  <c r="AU49" i="1"/>
  <c r="AT49" i="1"/>
  <c r="AS49" i="1"/>
  <c r="AR49" i="1"/>
  <c r="AQ49" i="1"/>
  <c r="AP49" i="1"/>
  <c r="AO49" i="1"/>
  <c r="AN49" i="1"/>
  <c r="AM49" i="1"/>
  <c r="AL49" i="1"/>
  <c r="AK49" i="1"/>
  <c r="AJ49" i="1"/>
  <c r="AI49" i="1"/>
  <c r="AH49" i="1"/>
  <c r="AG49" i="1"/>
  <c r="AF49" i="1"/>
  <c r="AE49" i="1"/>
  <c r="AD49" i="1"/>
  <c r="AC49" i="1"/>
  <c r="AB49" i="1"/>
  <c r="AA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F49" i="1"/>
  <c r="E49" i="1"/>
  <c r="D49" i="1"/>
  <c r="C49" i="1"/>
  <c r="B49" i="1"/>
  <c r="BX45" i="1"/>
  <c r="BW45" i="1"/>
  <c r="BV45" i="1"/>
  <c r="BU45" i="1"/>
  <c r="BT45" i="1"/>
  <c r="BS45" i="1"/>
  <c r="BR45" i="1"/>
  <c r="BQ45" i="1"/>
  <c r="BP45" i="1"/>
  <c r="BO45" i="1"/>
  <c r="BN45" i="1"/>
  <c r="BM45" i="1"/>
  <c r="BL45" i="1"/>
  <c r="BK45" i="1"/>
  <c r="BJ45" i="1"/>
  <c r="BI45" i="1"/>
  <c r="BH45" i="1"/>
  <c r="BG45" i="1"/>
  <c r="BF45" i="1"/>
  <c r="BE45" i="1"/>
  <c r="BD45" i="1"/>
  <c r="BC45" i="1"/>
  <c r="BB45" i="1"/>
  <c r="BA45" i="1"/>
  <c r="AZ45" i="1"/>
  <c r="AY45" i="1"/>
  <c r="AX45" i="1"/>
  <c r="AW45" i="1"/>
  <c r="AV45" i="1"/>
  <c r="AU45" i="1"/>
  <c r="AT45" i="1"/>
  <c r="AS45" i="1"/>
  <c r="AR45" i="1"/>
  <c r="AQ45" i="1"/>
  <c r="AP45" i="1"/>
  <c r="AO45" i="1"/>
  <c r="AN45" i="1"/>
  <c r="AM45" i="1"/>
  <c r="AL45" i="1"/>
  <c r="AK45" i="1"/>
  <c r="AJ45" i="1"/>
  <c r="AI45" i="1"/>
  <c r="AH45" i="1"/>
  <c r="AG45" i="1"/>
  <c r="AF45" i="1"/>
  <c r="AE45" i="1"/>
  <c r="AD45" i="1"/>
  <c r="AC45" i="1"/>
  <c r="AB45" i="1"/>
  <c r="AA45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F45" i="1"/>
  <c r="E45" i="1"/>
  <c r="D45" i="1"/>
  <c r="C45" i="1"/>
  <c r="B45" i="1"/>
  <c r="BX42" i="1"/>
  <c r="BW42" i="1"/>
  <c r="BV42" i="1"/>
  <c r="BU42" i="1"/>
  <c r="BT42" i="1"/>
  <c r="BS42" i="1"/>
  <c r="BR42" i="1"/>
  <c r="BQ42" i="1"/>
  <c r="BP42" i="1"/>
  <c r="BO42" i="1"/>
  <c r="BN42" i="1"/>
  <c r="BM42" i="1"/>
  <c r="BL42" i="1"/>
  <c r="BK42" i="1"/>
  <c r="BJ42" i="1"/>
  <c r="BI42" i="1"/>
  <c r="BH42" i="1"/>
  <c r="BG42" i="1"/>
  <c r="BF42" i="1"/>
  <c r="BE42" i="1"/>
  <c r="BD42" i="1"/>
  <c r="BC42" i="1"/>
  <c r="BB42" i="1"/>
  <c r="BA42" i="1"/>
  <c r="AZ42" i="1"/>
  <c r="AY42" i="1"/>
  <c r="AX42" i="1"/>
  <c r="AW42" i="1"/>
  <c r="AV42" i="1"/>
  <c r="AU42" i="1"/>
  <c r="AT42" i="1"/>
  <c r="AS42" i="1"/>
  <c r="AR42" i="1"/>
  <c r="AQ42" i="1"/>
  <c r="AP42" i="1"/>
  <c r="AO42" i="1"/>
  <c r="AN42" i="1"/>
  <c r="AM42" i="1"/>
  <c r="AL42" i="1"/>
  <c r="AK42" i="1"/>
  <c r="AJ42" i="1"/>
  <c r="AI42" i="1"/>
  <c r="AH42" i="1"/>
  <c r="AG42" i="1"/>
  <c r="AF42" i="1"/>
  <c r="AE42" i="1"/>
  <c r="AD42" i="1"/>
  <c r="AC42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F42" i="1"/>
  <c r="E42" i="1"/>
  <c r="D42" i="1"/>
  <c r="C42" i="1"/>
  <c r="B42" i="1"/>
  <c r="BX39" i="1"/>
  <c r="BW39" i="1"/>
  <c r="BV39" i="1"/>
  <c r="BU39" i="1"/>
  <c r="BU50" i="1" s="1"/>
  <c r="BT39" i="1"/>
  <c r="BS39" i="1"/>
  <c r="BR39" i="1"/>
  <c r="BQ39" i="1"/>
  <c r="BP39" i="1"/>
  <c r="BO39" i="1"/>
  <c r="BN39" i="1"/>
  <c r="BM39" i="1"/>
  <c r="BM50" i="1" s="1"/>
  <c r="BL39" i="1"/>
  <c r="BK39" i="1"/>
  <c r="BJ39" i="1"/>
  <c r="BI39" i="1"/>
  <c r="BH39" i="1"/>
  <c r="BG39" i="1"/>
  <c r="BF39" i="1"/>
  <c r="BE39" i="1"/>
  <c r="BE50" i="1" s="1"/>
  <c r="BD39" i="1"/>
  <c r="BC39" i="1"/>
  <c r="BB39" i="1"/>
  <c r="BA39" i="1"/>
  <c r="AZ39" i="1"/>
  <c r="AY39" i="1"/>
  <c r="AX39" i="1"/>
  <c r="AW39" i="1"/>
  <c r="AW50" i="1" s="1"/>
  <c r="AV39" i="1"/>
  <c r="AU39" i="1"/>
  <c r="AT39" i="1"/>
  <c r="AS39" i="1"/>
  <c r="AR39" i="1"/>
  <c r="AQ39" i="1"/>
  <c r="AP39" i="1"/>
  <c r="AO39" i="1"/>
  <c r="AO50" i="1" s="1"/>
  <c r="AN39" i="1"/>
  <c r="AM39" i="1"/>
  <c r="AL39" i="1"/>
  <c r="AK39" i="1"/>
  <c r="AJ39" i="1"/>
  <c r="AI39" i="1"/>
  <c r="AH39" i="1"/>
  <c r="AG39" i="1"/>
  <c r="AG50" i="1" s="1"/>
  <c r="AF39" i="1"/>
  <c r="AE39" i="1"/>
  <c r="AD39" i="1"/>
  <c r="AC39" i="1"/>
  <c r="AB39" i="1"/>
  <c r="AA39" i="1"/>
  <c r="Z39" i="1"/>
  <c r="Y39" i="1"/>
  <c r="Y50" i="1" s="1"/>
  <c r="X39" i="1"/>
  <c r="W39" i="1"/>
  <c r="V39" i="1"/>
  <c r="U39" i="1"/>
  <c r="T39" i="1"/>
  <c r="S39" i="1"/>
  <c r="R39" i="1"/>
  <c r="Q39" i="1"/>
  <c r="Q50" i="1" s="1"/>
  <c r="P39" i="1"/>
  <c r="O39" i="1"/>
  <c r="N39" i="1"/>
  <c r="M39" i="1"/>
  <c r="L39" i="1"/>
  <c r="K39" i="1"/>
  <c r="J39" i="1"/>
  <c r="I39" i="1"/>
  <c r="I50" i="1" s="1"/>
  <c r="H39" i="1"/>
  <c r="G39" i="1"/>
  <c r="F39" i="1"/>
  <c r="E39" i="1"/>
  <c r="D39" i="1"/>
  <c r="C39" i="1"/>
  <c r="B39" i="1"/>
  <c r="BX31" i="1"/>
  <c r="BW31" i="1"/>
  <c r="BV31" i="1"/>
  <c r="BU31" i="1"/>
  <c r="BT31" i="1"/>
  <c r="BS31" i="1"/>
  <c r="BR31" i="1"/>
  <c r="BQ31" i="1"/>
  <c r="BP31" i="1"/>
  <c r="BO31" i="1"/>
  <c r="BN31" i="1"/>
  <c r="BM31" i="1"/>
  <c r="BL31" i="1"/>
  <c r="BK31" i="1"/>
  <c r="BJ31" i="1"/>
  <c r="BI31" i="1"/>
  <c r="BH31" i="1"/>
  <c r="BG31" i="1"/>
  <c r="BF31" i="1"/>
  <c r="BE31" i="1"/>
  <c r="BD31" i="1"/>
  <c r="BC31" i="1"/>
  <c r="BB31" i="1"/>
  <c r="BA31" i="1"/>
  <c r="AZ31" i="1"/>
  <c r="AY31" i="1"/>
  <c r="AX31" i="1"/>
  <c r="AW31" i="1"/>
  <c r="AV31" i="1"/>
  <c r="AU31" i="1"/>
  <c r="AT31" i="1"/>
  <c r="AS31" i="1"/>
  <c r="AS33" i="1" s="1"/>
  <c r="AR31" i="1"/>
  <c r="AQ31" i="1"/>
  <c r="AP31" i="1"/>
  <c r="AO31" i="1"/>
  <c r="AN31" i="1"/>
  <c r="AM31" i="1"/>
  <c r="AL31" i="1"/>
  <c r="AK31" i="1"/>
  <c r="AJ31" i="1"/>
  <c r="AI31" i="1"/>
  <c r="AH31" i="1"/>
  <c r="AG31" i="1"/>
  <c r="AF31" i="1"/>
  <c r="AE31" i="1"/>
  <c r="AD31" i="1"/>
  <c r="AC31" i="1"/>
  <c r="AB31" i="1"/>
  <c r="AA31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B31" i="1"/>
  <c r="BX30" i="1"/>
  <c r="BX33" i="1" s="1"/>
  <c r="BW30" i="1"/>
  <c r="BV30" i="1"/>
  <c r="BU30" i="1"/>
  <c r="BT30" i="1"/>
  <c r="BS30" i="1"/>
  <c r="BR30" i="1"/>
  <c r="BQ30" i="1"/>
  <c r="BP30" i="1"/>
  <c r="BP33" i="1" s="1"/>
  <c r="BO30" i="1"/>
  <c r="BN30" i="1"/>
  <c r="BM30" i="1"/>
  <c r="BL30" i="1"/>
  <c r="BK30" i="1"/>
  <c r="BJ30" i="1"/>
  <c r="BJ33" i="1" s="1"/>
  <c r="BI30" i="1"/>
  <c r="BH30" i="1"/>
  <c r="BH33" i="1" s="1"/>
  <c r="BG30" i="1"/>
  <c r="BF30" i="1"/>
  <c r="BE30" i="1"/>
  <c r="BD30" i="1"/>
  <c r="BC30" i="1"/>
  <c r="BB30" i="1"/>
  <c r="BB33" i="1" s="1"/>
  <c r="BA30" i="1"/>
  <c r="BA33" i="1" s="1"/>
  <c r="AZ30" i="1"/>
  <c r="AZ33" i="1" s="1"/>
  <c r="AY30" i="1"/>
  <c r="AX30" i="1"/>
  <c r="AW30" i="1"/>
  <c r="AV30" i="1"/>
  <c r="AU30" i="1"/>
  <c r="AT30" i="1"/>
  <c r="AS30" i="1"/>
  <c r="AR30" i="1"/>
  <c r="AR33" i="1" s="1"/>
  <c r="AQ30" i="1"/>
  <c r="AP30" i="1"/>
  <c r="AO30" i="1"/>
  <c r="AN30" i="1"/>
  <c r="AM30" i="1"/>
  <c r="AL30" i="1"/>
  <c r="AK30" i="1"/>
  <c r="AJ30" i="1"/>
  <c r="AJ33" i="1" s="1"/>
  <c r="AI30" i="1"/>
  <c r="AH30" i="1"/>
  <c r="AG30" i="1"/>
  <c r="AF30" i="1"/>
  <c r="AE30" i="1"/>
  <c r="AD30" i="1"/>
  <c r="AD33" i="1" s="1"/>
  <c r="AC30" i="1"/>
  <c r="AB30" i="1"/>
  <c r="AB33" i="1" s="1"/>
  <c r="AA30" i="1"/>
  <c r="Z30" i="1"/>
  <c r="Y30" i="1"/>
  <c r="X30" i="1"/>
  <c r="W30" i="1"/>
  <c r="V30" i="1"/>
  <c r="V33" i="1" s="1"/>
  <c r="U30" i="1"/>
  <c r="T30" i="1"/>
  <c r="T33" i="1" s="1"/>
  <c r="S30" i="1"/>
  <c r="R30" i="1"/>
  <c r="Q30" i="1"/>
  <c r="P30" i="1"/>
  <c r="O30" i="1"/>
  <c r="N30" i="1"/>
  <c r="M30" i="1"/>
  <c r="L30" i="1"/>
  <c r="L33" i="1" s="1"/>
  <c r="K30" i="1"/>
  <c r="J30" i="1"/>
  <c r="I30" i="1"/>
  <c r="H30" i="1"/>
  <c r="G30" i="1"/>
  <c r="F30" i="1"/>
  <c r="E30" i="1"/>
  <c r="D30" i="1"/>
  <c r="D33" i="1" s="1"/>
  <c r="C30" i="1"/>
  <c r="B30" i="1"/>
  <c r="BX20" i="1"/>
  <c r="BX21" i="1" s="1"/>
  <c r="BW20" i="1"/>
  <c r="BW21" i="1" s="1"/>
  <c r="BV20" i="1"/>
  <c r="BV21" i="1" s="1"/>
  <c r="BU20" i="1"/>
  <c r="BU21" i="1" s="1"/>
  <c r="BT20" i="1"/>
  <c r="BT21" i="1" s="1"/>
  <c r="BS20" i="1"/>
  <c r="BS21" i="1" s="1"/>
  <c r="BR20" i="1"/>
  <c r="BR21" i="1" s="1"/>
  <c r="BQ20" i="1"/>
  <c r="BQ21" i="1" s="1"/>
  <c r="BP20" i="1"/>
  <c r="BP21" i="1" s="1"/>
  <c r="BO20" i="1"/>
  <c r="BO21" i="1" s="1"/>
  <c r="BN20" i="1"/>
  <c r="BN21" i="1" s="1"/>
  <c r="BM20" i="1"/>
  <c r="BM21" i="1" s="1"/>
  <c r="BL20" i="1"/>
  <c r="BL21" i="1" s="1"/>
  <c r="BK20" i="1"/>
  <c r="BK21" i="1" s="1"/>
  <c r="BJ20" i="1"/>
  <c r="BJ21" i="1" s="1"/>
  <c r="BI20" i="1"/>
  <c r="BI21" i="1" s="1"/>
  <c r="BH20" i="1"/>
  <c r="BH21" i="1" s="1"/>
  <c r="BG20" i="1"/>
  <c r="BG21" i="1" s="1"/>
  <c r="BF20" i="1"/>
  <c r="BF21" i="1" s="1"/>
  <c r="BE20" i="1"/>
  <c r="BE21" i="1" s="1"/>
  <c r="BD20" i="1"/>
  <c r="BD21" i="1" s="1"/>
  <c r="BC20" i="1"/>
  <c r="BC21" i="1" s="1"/>
  <c r="BB20" i="1"/>
  <c r="BB21" i="1" s="1"/>
  <c r="BA20" i="1"/>
  <c r="BA21" i="1" s="1"/>
  <c r="AZ20" i="1"/>
  <c r="AZ21" i="1" s="1"/>
  <c r="AY20" i="1"/>
  <c r="AY21" i="1" s="1"/>
  <c r="AX20" i="1"/>
  <c r="AX21" i="1" s="1"/>
  <c r="AW20" i="1"/>
  <c r="AW21" i="1" s="1"/>
  <c r="AV20" i="1"/>
  <c r="AV21" i="1" s="1"/>
  <c r="AU20" i="1"/>
  <c r="AU21" i="1" s="1"/>
  <c r="AT20" i="1"/>
  <c r="AT21" i="1" s="1"/>
  <c r="AS20" i="1"/>
  <c r="AS21" i="1" s="1"/>
  <c r="AR20" i="1"/>
  <c r="AR21" i="1" s="1"/>
  <c r="AQ20" i="1"/>
  <c r="AQ21" i="1" s="1"/>
  <c r="AP20" i="1"/>
  <c r="AP21" i="1" s="1"/>
  <c r="AO20" i="1"/>
  <c r="AO21" i="1" s="1"/>
  <c r="AN20" i="1"/>
  <c r="AN21" i="1" s="1"/>
  <c r="AM20" i="1"/>
  <c r="AM21" i="1" s="1"/>
  <c r="AL20" i="1"/>
  <c r="AL21" i="1" s="1"/>
  <c r="AK20" i="1"/>
  <c r="AK21" i="1" s="1"/>
  <c r="AJ20" i="1"/>
  <c r="AJ21" i="1" s="1"/>
  <c r="AI20" i="1"/>
  <c r="AI21" i="1" s="1"/>
  <c r="AH20" i="1"/>
  <c r="AH21" i="1" s="1"/>
  <c r="AG20" i="1"/>
  <c r="AG21" i="1" s="1"/>
  <c r="AF20" i="1"/>
  <c r="AF21" i="1" s="1"/>
  <c r="AE20" i="1"/>
  <c r="AE21" i="1" s="1"/>
  <c r="AD20" i="1"/>
  <c r="AD21" i="1" s="1"/>
  <c r="AC20" i="1"/>
  <c r="AC21" i="1" s="1"/>
  <c r="AB20" i="1"/>
  <c r="AB21" i="1" s="1"/>
  <c r="AA20" i="1"/>
  <c r="AA21" i="1" s="1"/>
  <c r="Z20" i="1"/>
  <c r="Z21" i="1" s="1"/>
  <c r="Y20" i="1"/>
  <c r="Y21" i="1" s="1"/>
  <c r="X20" i="1"/>
  <c r="X21" i="1" s="1"/>
  <c r="W20" i="1"/>
  <c r="W21" i="1" s="1"/>
  <c r="V20" i="1"/>
  <c r="V21" i="1" s="1"/>
  <c r="U20" i="1"/>
  <c r="U21" i="1" s="1"/>
  <c r="T20" i="1"/>
  <c r="T21" i="1" s="1"/>
  <c r="S20" i="1"/>
  <c r="S21" i="1" s="1"/>
  <c r="R20" i="1"/>
  <c r="R21" i="1" s="1"/>
  <c r="Q20" i="1"/>
  <c r="Q21" i="1" s="1"/>
  <c r="P20" i="1"/>
  <c r="P21" i="1" s="1"/>
  <c r="O20" i="1"/>
  <c r="O21" i="1" s="1"/>
  <c r="N20" i="1"/>
  <c r="N21" i="1" s="1"/>
  <c r="M20" i="1"/>
  <c r="M21" i="1" s="1"/>
  <c r="L20" i="1"/>
  <c r="L21" i="1" s="1"/>
  <c r="K20" i="1"/>
  <c r="K21" i="1" s="1"/>
  <c r="J20" i="1"/>
  <c r="J21" i="1" s="1"/>
  <c r="I20" i="1"/>
  <c r="I21" i="1" s="1"/>
  <c r="H20" i="1"/>
  <c r="H21" i="1" s="1"/>
  <c r="G20" i="1"/>
  <c r="G21" i="1" s="1"/>
  <c r="F20" i="1"/>
  <c r="F21" i="1" s="1"/>
  <c r="E20" i="1"/>
  <c r="E21" i="1" s="1"/>
  <c r="D20" i="1"/>
  <c r="D21" i="1" s="1"/>
  <c r="C20" i="1"/>
  <c r="C21" i="1" s="1"/>
  <c r="B20" i="1"/>
  <c r="B21" i="1" s="1"/>
  <c r="AX14" i="1"/>
  <c r="J14" i="1"/>
  <c r="BX13" i="1"/>
  <c r="BX14" i="1" s="1"/>
  <c r="BW13" i="1"/>
  <c r="BW14" i="1" s="1"/>
  <c r="BW22" i="1" s="1"/>
  <c r="BW24" i="1" s="1"/>
  <c r="BV13" i="1"/>
  <c r="BV14" i="1" s="1"/>
  <c r="BU13" i="1"/>
  <c r="BU14" i="1" s="1"/>
  <c r="BT13" i="1"/>
  <c r="BT14" i="1" s="1"/>
  <c r="BS13" i="1"/>
  <c r="BS14" i="1" s="1"/>
  <c r="BR13" i="1"/>
  <c r="BR14" i="1" s="1"/>
  <c r="BQ13" i="1"/>
  <c r="BQ14" i="1" s="1"/>
  <c r="BP13" i="1"/>
  <c r="BP14" i="1" s="1"/>
  <c r="BO13" i="1"/>
  <c r="BO14" i="1" s="1"/>
  <c r="BO22" i="1" s="1"/>
  <c r="BO24" i="1" s="1"/>
  <c r="BN13" i="1"/>
  <c r="BN14" i="1" s="1"/>
  <c r="BM13" i="1"/>
  <c r="BM14" i="1" s="1"/>
  <c r="BL13" i="1"/>
  <c r="BL14" i="1" s="1"/>
  <c r="BK13" i="1"/>
  <c r="BK14" i="1" s="1"/>
  <c r="BJ13" i="1"/>
  <c r="BJ14" i="1" s="1"/>
  <c r="BI13" i="1"/>
  <c r="BI14" i="1" s="1"/>
  <c r="BH13" i="1"/>
  <c r="BH14" i="1" s="1"/>
  <c r="BG13" i="1"/>
  <c r="BG14" i="1" s="1"/>
  <c r="BG22" i="1" s="1"/>
  <c r="BG24" i="1" s="1"/>
  <c r="BF13" i="1"/>
  <c r="BF14" i="1" s="1"/>
  <c r="BE13" i="1"/>
  <c r="BE14" i="1" s="1"/>
  <c r="BD13" i="1"/>
  <c r="BD14" i="1" s="1"/>
  <c r="BC13" i="1"/>
  <c r="BC14" i="1" s="1"/>
  <c r="BB13" i="1"/>
  <c r="BB14" i="1" s="1"/>
  <c r="BA13" i="1"/>
  <c r="BA14" i="1" s="1"/>
  <c r="AZ13" i="1"/>
  <c r="AZ14" i="1" s="1"/>
  <c r="AY13" i="1"/>
  <c r="AY14" i="1" s="1"/>
  <c r="AY22" i="1" s="1"/>
  <c r="AY24" i="1" s="1"/>
  <c r="AX13" i="1"/>
  <c r="AW13" i="1"/>
  <c r="AW14" i="1" s="1"/>
  <c r="AV13" i="1"/>
  <c r="AV14" i="1" s="1"/>
  <c r="AU13" i="1"/>
  <c r="AU14" i="1" s="1"/>
  <c r="AT13" i="1"/>
  <c r="AT14" i="1" s="1"/>
  <c r="AS13" i="1"/>
  <c r="AS14" i="1" s="1"/>
  <c r="AR13" i="1"/>
  <c r="AR14" i="1" s="1"/>
  <c r="AQ13" i="1"/>
  <c r="AQ14" i="1" s="1"/>
  <c r="AQ22" i="1" s="1"/>
  <c r="AQ24" i="1" s="1"/>
  <c r="AP13" i="1"/>
  <c r="AP14" i="1" s="1"/>
  <c r="AO13" i="1"/>
  <c r="AO14" i="1" s="1"/>
  <c r="AN13" i="1"/>
  <c r="AN14" i="1" s="1"/>
  <c r="AM13" i="1"/>
  <c r="AM14" i="1" s="1"/>
  <c r="AL13" i="1"/>
  <c r="AL14" i="1" s="1"/>
  <c r="AK13" i="1"/>
  <c r="AK14" i="1" s="1"/>
  <c r="AJ13" i="1"/>
  <c r="AJ14" i="1" s="1"/>
  <c r="AI13" i="1"/>
  <c r="AI14" i="1" s="1"/>
  <c r="AI22" i="1" s="1"/>
  <c r="AI24" i="1" s="1"/>
  <c r="AH13" i="1"/>
  <c r="AH14" i="1" s="1"/>
  <c r="AG13" i="1"/>
  <c r="AG14" i="1" s="1"/>
  <c r="AF13" i="1"/>
  <c r="AF14" i="1" s="1"/>
  <c r="AE13" i="1"/>
  <c r="AE14" i="1" s="1"/>
  <c r="AD13" i="1"/>
  <c r="AD14" i="1" s="1"/>
  <c r="AC13" i="1"/>
  <c r="AC14" i="1" s="1"/>
  <c r="AB13" i="1"/>
  <c r="AB14" i="1" s="1"/>
  <c r="AA13" i="1"/>
  <c r="AA14" i="1" s="1"/>
  <c r="AA22" i="1" s="1"/>
  <c r="AA24" i="1" s="1"/>
  <c r="Z13" i="1"/>
  <c r="Z14" i="1" s="1"/>
  <c r="Y13" i="1"/>
  <c r="Y14" i="1" s="1"/>
  <c r="X13" i="1"/>
  <c r="X14" i="1" s="1"/>
  <c r="W13" i="1"/>
  <c r="W14" i="1" s="1"/>
  <c r="V13" i="1"/>
  <c r="V14" i="1" s="1"/>
  <c r="U13" i="1"/>
  <c r="U14" i="1" s="1"/>
  <c r="T13" i="1"/>
  <c r="T14" i="1" s="1"/>
  <c r="S13" i="1"/>
  <c r="S14" i="1" s="1"/>
  <c r="S22" i="1" s="1"/>
  <c r="S24" i="1" s="1"/>
  <c r="R13" i="1"/>
  <c r="R14" i="1" s="1"/>
  <c r="Q13" i="1"/>
  <c r="Q14" i="1" s="1"/>
  <c r="P13" i="1"/>
  <c r="P14" i="1" s="1"/>
  <c r="O13" i="1"/>
  <c r="O14" i="1" s="1"/>
  <c r="N13" i="1"/>
  <c r="N14" i="1" s="1"/>
  <c r="M13" i="1"/>
  <c r="M14" i="1" s="1"/>
  <c r="L13" i="1"/>
  <c r="L14" i="1" s="1"/>
  <c r="K13" i="1"/>
  <c r="K14" i="1" s="1"/>
  <c r="K22" i="1" s="1"/>
  <c r="K24" i="1" s="1"/>
  <c r="J13" i="1"/>
  <c r="I13" i="1"/>
  <c r="I14" i="1" s="1"/>
  <c r="H13" i="1"/>
  <c r="H14" i="1" s="1"/>
  <c r="G13" i="1"/>
  <c r="G14" i="1" s="1"/>
  <c r="F13" i="1"/>
  <c r="F14" i="1" s="1"/>
  <c r="E13" i="1"/>
  <c r="E14" i="1" s="1"/>
  <c r="D13" i="1"/>
  <c r="D14" i="1" s="1"/>
  <c r="C13" i="1"/>
  <c r="C14" i="1" s="1"/>
  <c r="C22" i="1" s="1"/>
  <c r="C24" i="1" s="1"/>
  <c r="B13" i="1"/>
  <c r="B14" i="1" s="1"/>
  <c r="O50" i="1" l="1"/>
  <c r="AU50" i="1"/>
  <c r="AD50" i="1"/>
  <c r="AD53" i="1" s="1"/>
  <c r="BJ50" i="1"/>
  <c r="B33" i="1"/>
  <c r="B53" i="1" s="1"/>
  <c r="J33" i="1"/>
  <c r="J53" i="1" s="1"/>
  <c r="R33" i="1"/>
  <c r="Z33" i="1"/>
  <c r="AH33" i="1"/>
  <c r="AP33" i="1"/>
  <c r="AX33" i="1"/>
  <c r="AX53" i="1" s="1"/>
  <c r="BF33" i="1"/>
  <c r="BN33" i="1"/>
  <c r="BV33" i="1"/>
  <c r="C33" i="1"/>
  <c r="K33" i="1"/>
  <c r="S33" i="1"/>
  <c r="AA33" i="1"/>
  <c r="AI33" i="1"/>
  <c r="AQ33" i="1"/>
  <c r="AY33" i="1"/>
  <c r="BG33" i="1"/>
  <c r="BO33" i="1"/>
  <c r="BW33" i="1"/>
  <c r="E33" i="1"/>
  <c r="M33" i="1"/>
  <c r="U33" i="1"/>
  <c r="AC33" i="1"/>
  <c r="AK33" i="1"/>
  <c r="BI33" i="1"/>
  <c r="BI53" i="1" s="1"/>
  <c r="BQ33" i="1"/>
  <c r="Z50" i="1"/>
  <c r="BN50" i="1"/>
  <c r="BC50" i="1"/>
  <c r="J50" i="1"/>
  <c r="AX50" i="1"/>
  <c r="BV22" i="1"/>
  <c r="BV24" i="1" s="1"/>
  <c r="D50" i="1"/>
  <c r="D53" i="1" s="1"/>
  <c r="L50" i="1"/>
  <c r="L53" i="1" s="1"/>
  <c r="T50" i="1"/>
  <c r="AB50" i="1"/>
  <c r="AB53" i="1" s="1"/>
  <c r="AJ50" i="1"/>
  <c r="AR50" i="1"/>
  <c r="AR53" i="1" s="1"/>
  <c r="AZ50" i="1"/>
  <c r="AZ53" i="1" s="1"/>
  <c r="BH50" i="1"/>
  <c r="BH53" i="1" s="1"/>
  <c r="BP50" i="1"/>
  <c r="BP53" i="1" s="1"/>
  <c r="BX50" i="1"/>
  <c r="BX53" i="1" s="1"/>
  <c r="AH53" i="1"/>
  <c r="BN53" i="1"/>
  <c r="B50" i="1"/>
  <c r="AP50" i="1"/>
  <c r="W50" i="1"/>
  <c r="J22" i="1"/>
  <c r="J24" i="1" s="1"/>
  <c r="T53" i="1"/>
  <c r="AH50" i="1"/>
  <c r="BV50" i="1"/>
  <c r="F50" i="1"/>
  <c r="F53" i="1" s="1"/>
  <c r="N50" i="1"/>
  <c r="V50" i="1"/>
  <c r="AL50" i="1"/>
  <c r="AT50" i="1"/>
  <c r="AT53" i="1" s="1"/>
  <c r="BB50" i="1"/>
  <c r="BB53" i="1" s="1"/>
  <c r="BR50" i="1"/>
  <c r="Z53" i="1"/>
  <c r="BV53" i="1"/>
  <c r="AJ53" i="1"/>
  <c r="R50" i="1"/>
  <c r="BF50" i="1"/>
  <c r="BF53" i="1" s="1"/>
  <c r="AP22" i="1"/>
  <c r="AP24" i="1" s="1"/>
  <c r="I33" i="1"/>
  <c r="I53" i="1" s="1"/>
  <c r="Q33" i="1"/>
  <c r="Q53" i="1" s="1"/>
  <c r="Y33" i="1"/>
  <c r="Y53" i="1" s="1"/>
  <c r="AG33" i="1"/>
  <c r="AG53" i="1" s="1"/>
  <c r="AO33" i="1"/>
  <c r="AO53" i="1" s="1"/>
  <c r="AW33" i="1"/>
  <c r="AW53" i="1" s="1"/>
  <c r="BE33" i="1"/>
  <c r="BE53" i="1" s="1"/>
  <c r="BM33" i="1"/>
  <c r="BM53" i="1" s="1"/>
  <c r="BU33" i="1"/>
  <c r="BU53" i="1" s="1"/>
  <c r="F33" i="1"/>
  <c r="N33" i="1"/>
  <c r="AL33" i="1"/>
  <c r="AL53" i="1" s="1"/>
  <c r="AT33" i="1"/>
  <c r="BR33" i="1"/>
  <c r="BR53" i="1" s="1"/>
  <c r="G50" i="1"/>
  <c r="AE50" i="1"/>
  <c r="AM50" i="1"/>
  <c r="BK50" i="1"/>
  <c r="BS50" i="1"/>
  <c r="N53" i="1"/>
  <c r="V53" i="1"/>
  <c r="BJ53" i="1"/>
  <c r="O22" i="1"/>
  <c r="O24" i="1" s="1"/>
  <c r="R22" i="1"/>
  <c r="R24" i="1" s="1"/>
  <c r="D22" i="1"/>
  <c r="D24" i="1" s="1"/>
  <c r="E22" i="1"/>
  <c r="E24" i="1" s="1"/>
  <c r="M22" i="1"/>
  <c r="M24" i="1" s="1"/>
  <c r="U22" i="1"/>
  <c r="U24" i="1" s="1"/>
  <c r="AC22" i="1"/>
  <c r="AC24" i="1" s="1"/>
  <c r="AK22" i="1"/>
  <c r="AK24" i="1" s="1"/>
  <c r="AS22" i="1"/>
  <c r="AS24" i="1" s="1"/>
  <c r="BA22" i="1"/>
  <c r="BA24" i="1" s="1"/>
  <c r="BI22" i="1"/>
  <c r="BI24" i="1" s="1"/>
  <c r="BQ22" i="1"/>
  <c r="BQ24" i="1" s="1"/>
  <c r="H33" i="1"/>
  <c r="P33" i="1"/>
  <c r="X33" i="1"/>
  <c r="AF33" i="1"/>
  <c r="AN33" i="1"/>
  <c r="AV33" i="1"/>
  <c r="AV53" i="1" s="1"/>
  <c r="BD33" i="1"/>
  <c r="BL33" i="1"/>
  <c r="BT33" i="1"/>
  <c r="H50" i="1"/>
  <c r="P50" i="1"/>
  <c r="X50" i="1"/>
  <c r="AF50" i="1"/>
  <c r="AN50" i="1"/>
  <c r="AV50" i="1"/>
  <c r="BD50" i="1"/>
  <c r="BL50" i="1"/>
  <c r="BT50" i="1"/>
  <c r="W22" i="1"/>
  <c r="W24" i="1" s="1"/>
  <c r="AE22" i="1"/>
  <c r="AE24" i="1" s="1"/>
  <c r="AM22" i="1"/>
  <c r="AM24" i="1" s="1"/>
  <c r="AU22" i="1"/>
  <c r="AU24" i="1" s="1"/>
  <c r="BC22" i="1"/>
  <c r="BC24" i="1" s="1"/>
  <c r="BK22" i="1"/>
  <c r="BK24" i="1" s="1"/>
  <c r="BS22" i="1"/>
  <c r="BS24" i="1" s="1"/>
  <c r="AI53" i="1"/>
  <c r="C50" i="1"/>
  <c r="K50" i="1"/>
  <c r="K53" i="1" s="1"/>
  <c r="S50" i="1"/>
  <c r="S53" i="1" s="1"/>
  <c r="AA50" i="1"/>
  <c r="AA53" i="1" s="1"/>
  <c r="AI50" i="1"/>
  <c r="AQ50" i="1"/>
  <c r="AQ53" i="1" s="1"/>
  <c r="AY50" i="1"/>
  <c r="AY53" i="1" s="1"/>
  <c r="BG50" i="1"/>
  <c r="BG53" i="1" s="1"/>
  <c r="BO50" i="1"/>
  <c r="BW50" i="1"/>
  <c r="BW53" i="1" s="1"/>
  <c r="B22" i="1"/>
  <c r="B24" i="1" s="1"/>
  <c r="BN22" i="1"/>
  <c r="BN24" i="1" s="1"/>
  <c r="E50" i="1"/>
  <c r="M50" i="1"/>
  <c r="U50" i="1"/>
  <c r="AC50" i="1"/>
  <c r="AC53" i="1" s="1"/>
  <c r="AK50" i="1"/>
  <c r="AS50" i="1"/>
  <c r="AS53" i="1" s="1"/>
  <c r="BA50" i="1"/>
  <c r="BA53" i="1" s="1"/>
  <c r="BI50" i="1"/>
  <c r="BQ50" i="1"/>
  <c r="Z22" i="1"/>
  <c r="Z24" i="1" s="1"/>
  <c r="BF22" i="1"/>
  <c r="BF24" i="1" s="1"/>
  <c r="U53" i="1"/>
  <c r="G22" i="1"/>
  <c r="G24" i="1" s="1"/>
  <c r="AH22" i="1"/>
  <c r="AH24" i="1" s="1"/>
  <c r="AX22" i="1"/>
  <c r="AX24" i="1" s="1"/>
  <c r="L22" i="1"/>
  <c r="L24" i="1" s="1"/>
  <c r="T22" i="1"/>
  <c r="T24" i="1" s="1"/>
  <c r="AB22" i="1"/>
  <c r="AB24" i="1" s="1"/>
  <c r="AJ22" i="1"/>
  <c r="AJ24" i="1" s="1"/>
  <c r="AR22" i="1"/>
  <c r="AR24" i="1" s="1"/>
  <c r="AZ22" i="1"/>
  <c r="AZ24" i="1" s="1"/>
  <c r="BH22" i="1"/>
  <c r="BH24" i="1" s="1"/>
  <c r="BP22" i="1"/>
  <c r="BP24" i="1" s="1"/>
  <c r="BX22" i="1"/>
  <c r="BX24" i="1" s="1"/>
  <c r="G33" i="1"/>
  <c r="O33" i="1"/>
  <c r="O53" i="1" s="1"/>
  <c r="W33" i="1"/>
  <c r="AE33" i="1"/>
  <c r="AE53" i="1" s="1"/>
  <c r="AM33" i="1"/>
  <c r="AM53" i="1" s="1"/>
  <c r="AU33" i="1"/>
  <c r="BC33" i="1"/>
  <c r="BK33" i="1"/>
  <c r="BK53" i="1" s="1"/>
  <c r="BS33" i="1"/>
  <c r="F22" i="1"/>
  <c r="F24" i="1" s="1"/>
  <c r="N22" i="1"/>
  <c r="N24" i="1" s="1"/>
  <c r="V22" i="1"/>
  <c r="V24" i="1" s="1"/>
  <c r="AD22" i="1"/>
  <c r="AD24" i="1" s="1"/>
  <c r="AL22" i="1"/>
  <c r="AL24" i="1" s="1"/>
  <c r="AT22" i="1"/>
  <c r="AT24" i="1" s="1"/>
  <c r="BB22" i="1"/>
  <c r="BB24" i="1" s="1"/>
  <c r="BJ22" i="1"/>
  <c r="BJ24" i="1" s="1"/>
  <c r="BR22" i="1"/>
  <c r="BR24" i="1" s="1"/>
  <c r="AN22" i="1"/>
  <c r="AN24" i="1" s="1"/>
  <c r="X22" i="1"/>
  <c r="X24" i="1" s="1"/>
  <c r="BD22" i="1"/>
  <c r="BD24" i="1" s="1"/>
  <c r="AW22" i="1"/>
  <c r="AW24" i="1" s="1"/>
  <c r="P22" i="1"/>
  <c r="P24" i="1" s="1"/>
  <c r="AV22" i="1"/>
  <c r="AV24" i="1" s="1"/>
  <c r="BT22" i="1"/>
  <c r="BT24" i="1" s="1"/>
  <c r="I22" i="1"/>
  <c r="I24" i="1" s="1"/>
  <c r="Y22" i="1"/>
  <c r="Y24" i="1" s="1"/>
  <c r="AO22" i="1"/>
  <c r="AO24" i="1" s="1"/>
  <c r="BU22" i="1"/>
  <c r="BU24" i="1" s="1"/>
  <c r="H22" i="1"/>
  <c r="H24" i="1" s="1"/>
  <c r="AF22" i="1"/>
  <c r="AF24" i="1" s="1"/>
  <c r="BL22" i="1"/>
  <c r="BL24" i="1" s="1"/>
  <c r="Q22" i="1"/>
  <c r="Q24" i="1" s="1"/>
  <c r="AG22" i="1"/>
  <c r="AG24" i="1" s="1"/>
  <c r="BE22" i="1"/>
  <c r="BE24" i="1" s="1"/>
  <c r="BM22" i="1"/>
  <c r="BM24" i="1" s="1"/>
  <c r="BL53" i="1" l="1"/>
  <c r="R53" i="1"/>
  <c r="G53" i="1"/>
  <c r="BQ53" i="1"/>
  <c r="E53" i="1"/>
  <c r="AU53" i="1"/>
  <c r="BC53" i="1"/>
  <c r="AP53" i="1"/>
  <c r="AK53" i="1"/>
  <c r="BO53" i="1"/>
  <c r="C53" i="1"/>
  <c r="M53" i="1"/>
  <c r="W53" i="1"/>
  <c r="BT53" i="1"/>
  <c r="BS53" i="1"/>
  <c r="X53" i="1"/>
  <c r="BD53" i="1"/>
  <c r="AN53" i="1"/>
  <c r="AF53" i="1"/>
  <c r="P53" i="1"/>
  <c r="H53" i="1"/>
</calcChain>
</file>

<file path=xl/sharedStrings.xml><?xml version="1.0" encoding="utf-8"?>
<sst xmlns="http://schemas.openxmlformats.org/spreadsheetml/2006/main" count="196" uniqueCount="121">
  <si>
    <t>Firma : PROMATIS Corp.</t>
  </si>
  <si>
    <t>PG Balance Sheet by Entity and Month/Quarter/Year</t>
  </si>
  <si>
    <t>End of Dez 2023</t>
  </si>
  <si>
    <t> </t>
  </si>
  <si>
    <t>Mar 2017</t>
  </si>
  <si>
    <t>Apr 2017</t>
  </si>
  <si>
    <t>Jul 2017</t>
  </si>
  <si>
    <t>Aug 2017</t>
  </si>
  <si>
    <t>Sep 2017</t>
  </si>
  <si>
    <t>Oct 2017</t>
  </si>
  <si>
    <t>Nov 2017</t>
  </si>
  <si>
    <t>Dec 2017</t>
  </si>
  <si>
    <t>Jan 2018</t>
  </si>
  <si>
    <t>Feb 2018</t>
  </si>
  <si>
    <t>Mar 2018</t>
  </si>
  <si>
    <t>Apr 2018</t>
  </si>
  <si>
    <t>May 2018</t>
  </si>
  <si>
    <t>Jun 2018</t>
  </si>
  <si>
    <t>Jul 2018</t>
  </si>
  <si>
    <t>Aug 2018</t>
  </si>
  <si>
    <t>Sep 2018</t>
  </si>
  <si>
    <t>Oct 2018</t>
  </si>
  <si>
    <t>Nov 2018</t>
  </si>
  <si>
    <t>Dec 2018</t>
  </si>
  <si>
    <t>Jan 2019</t>
  </si>
  <si>
    <t>Feb 2019</t>
  </si>
  <si>
    <t>Mar 2019</t>
  </si>
  <si>
    <t>Apr 2019</t>
  </si>
  <si>
    <t>May 2019</t>
  </si>
  <si>
    <t>Jun 2019</t>
  </si>
  <si>
    <t>Jul 2019</t>
  </si>
  <si>
    <t>Aug 2019</t>
  </si>
  <si>
    <t>Sep 2019</t>
  </si>
  <si>
    <t>Oct 2019</t>
  </si>
  <si>
    <t>Nov 2019</t>
  </si>
  <si>
    <t>Dec 2019</t>
  </si>
  <si>
    <t>Jan 2020</t>
  </si>
  <si>
    <t>Feb 2020</t>
  </si>
  <si>
    <t>Mar 2020</t>
  </si>
  <si>
    <t>Apr 2020</t>
  </si>
  <si>
    <t>May 2020</t>
  </si>
  <si>
    <t>Jun 2020</t>
  </si>
  <si>
    <t>Jul 2020</t>
  </si>
  <si>
    <t>Aug 2020</t>
  </si>
  <si>
    <t>Sep 2020</t>
  </si>
  <si>
    <t>Oct 2020</t>
  </si>
  <si>
    <t>Nov 2020</t>
  </si>
  <si>
    <t>Dec 2020</t>
  </si>
  <si>
    <t>Jan 2021</t>
  </si>
  <si>
    <t>Feb 2021</t>
  </si>
  <si>
    <t>Mar 2021</t>
  </si>
  <si>
    <t>Apr 2021</t>
  </si>
  <si>
    <t>May 2021</t>
  </si>
  <si>
    <t>Jun 2021</t>
  </si>
  <si>
    <t>Jul 2021</t>
  </si>
  <si>
    <t>Aug 2021</t>
  </si>
  <si>
    <t>Sep 2021</t>
  </si>
  <si>
    <t>Oct 2021</t>
  </si>
  <si>
    <t>Nov 2021</t>
  </si>
  <si>
    <t>Dec 2021</t>
  </si>
  <si>
    <t>Jan 2022</t>
  </si>
  <si>
    <t>Feb 2022</t>
  </si>
  <si>
    <t>Mar 2022</t>
  </si>
  <si>
    <t>Apr 2022</t>
  </si>
  <si>
    <t>May 2022</t>
  </si>
  <si>
    <t>Jun 2022</t>
  </si>
  <si>
    <t>Jul 2022</t>
  </si>
  <si>
    <t>Aug 2022</t>
  </si>
  <si>
    <t>Sep 2022</t>
  </si>
  <si>
    <t>Oct 2022</t>
  </si>
  <si>
    <t>Nov 2022</t>
  </si>
  <si>
    <t>Dec 2022</t>
  </si>
  <si>
    <t>Jan 2023</t>
  </si>
  <si>
    <t>Feb 2023</t>
  </si>
  <si>
    <t>Mrz 2023</t>
  </si>
  <si>
    <t>Apr 2023</t>
  </si>
  <si>
    <t>Mai 2023</t>
  </si>
  <si>
    <t>Jun 2023</t>
  </si>
  <si>
    <t>Aug 2023</t>
  </si>
  <si>
    <t>As of Dez 2023</t>
  </si>
  <si>
    <t>ASSETS</t>
  </si>
  <si>
    <t>B. Current assets</t>
  </si>
  <si>
    <t>II. Trade receivables and other receivables</t>
  </si>
  <si>
    <t>1. Trade receivables</t>
  </si>
  <si>
    <t>120100 - Trade receivables</t>
  </si>
  <si>
    <t>123000 - Bills receivable</t>
  </si>
  <si>
    <t>Total Trade receivables</t>
  </si>
  <si>
    <t>Total Trade receivables and other receivables</t>
  </si>
  <si>
    <t>IV. Cash-in-hand, central / bank balances and cheques</t>
  </si>
  <si>
    <t>Bank</t>
  </si>
  <si>
    <t>180081 - AMG Bank - PROMATIS US</t>
  </si>
  <si>
    <t>1860 - WF Checking - PROMATIS US</t>
  </si>
  <si>
    <t>1890 - Cash invest, short-term CM PROMATIS (US)</t>
  </si>
  <si>
    <t>Gesamt Bank</t>
  </si>
  <si>
    <t>Total Cash-in-hand, central / bank balances and cheques</t>
  </si>
  <si>
    <t>Total Current assets</t>
  </si>
  <si>
    <t>TOTAL ASSETS</t>
  </si>
  <si>
    <t>EQUITY &amp; LIABILITIES</t>
  </si>
  <si>
    <t>A. Equity</t>
  </si>
  <si>
    <t>I. Issued capital</t>
  </si>
  <si>
    <t>2900 - Subscribed capital</t>
  </si>
  <si>
    <t>Total Issued capital</t>
  </si>
  <si>
    <t>IV. Profit Brought Forward</t>
  </si>
  <si>
    <t>VI. Net profit/loss for the year</t>
  </si>
  <si>
    <t>Total Equity</t>
  </si>
  <si>
    <t>C. Liabilities</t>
  </si>
  <si>
    <t>2. Liabilities to banks</t>
  </si>
  <si>
    <t>315100 - Liabilities to banks - due within 1 year</t>
  </si>
  <si>
    <t>Total Liabilities to banks</t>
  </si>
  <si>
    <t>4. Trade payables</t>
  </si>
  <si>
    <t>3301 - Trade payables</t>
  </si>
  <si>
    <t>Total Trade payables</t>
  </si>
  <si>
    <t>6. Liabilities to affiliated companies</t>
  </si>
  <si>
    <t>340101 - Liabilities ag. PROMATIS software GmbH</t>
  </si>
  <si>
    <t>Total Liabilities to affiliated companies</t>
  </si>
  <si>
    <t>8. Other liabilities</t>
  </si>
  <si>
    <t>146000 - Cash in Transit</t>
  </si>
  <si>
    <t>370000 - Liabilities from taxes and levies</t>
  </si>
  <si>
    <t>Total Other liabilities</t>
  </si>
  <si>
    <t>Total Liabilities</t>
  </si>
  <si>
    <t>TOTAL EQUITY &amp; LIABILITIES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</si>
</sst>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&quot;$&quot;#,##0.00"/>
  </numFmts>
  <fonts count="26" x14ac:knownFonts="1">
    <font>
      <sz val="8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name val="Arial"/>
    </font>
    <font>
      <b/>
      <sz val="14"/>
      <name val="Arial"/>
    </font>
    <font>
      <b/>
      <sz val="7"/>
      <name val="Arial"/>
    </font>
    <font>
      <b/>
      <sz val="10"/>
      <color indexed="16"/>
      <name val="Arial"/>
    </font>
    <font>
      <b/>
      <sz val="8"/>
      <color indexed="8"/>
      <name val="Arial"/>
    </font>
    <font>
      <sz val="8"/>
      <color indexed="8"/>
      <name val="Arial"/>
    </font>
    <font>
      <b/>
      <sz val="9"/>
      <color indexed="56"/>
      <name val="Arial"/>
    </font>
    <font>
      <b/>
      <sz val="9"/>
      <color indexed="8"/>
      <name val="Arial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0D0D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rgb="FF800000"/>
      </bottom>
      <diagonal/>
    </border>
    <border>
      <left/>
      <right/>
      <top style="dotted">
        <color rgb="FF969696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double">
        <color rgb="FF00000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0" fontId="20" fillId="33" borderId="0" xfId="0" applyFont="1" applyFill="1" applyAlignment="1">
      <alignment horizontal="left"/>
    </xf>
    <xf numFmtId="0" fontId="20" fillId="33" borderId="0" xfId="0" applyFont="1" applyFill="1" applyAlignment="1">
      <alignment horizontal="right"/>
    </xf>
    <xf numFmtId="0" fontId="21" fillId="0" borderId="10" xfId="0" applyFont="1" applyBorder="1" applyAlignment="1">
      <alignment horizontal="left" vertical="center"/>
    </xf>
    <xf numFmtId="168" fontId="21" fillId="0" borderId="10" xfId="0" applyNumberFormat="1" applyFont="1" applyBorder="1" applyAlignment="1">
      <alignment horizontal="right" vertical="center"/>
    </xf>
    <xf numFmtId="0" fontId="22" fillId="0" borderId="0" xfId="0" applyFont="1" applyBorder="1" applyAlignment="1">
      <alignment horizontal="left" indent="1"/>
    </xf>
    <xf numFmtId="168" fontId="22" fillId="0" borderId="0" xfId="0" applyNumberFormat="1" applyFont="1" applyBorder="1" applyAlignment="1">
      <alignment horizontal="right" vertical="center"/>
    </xf>
    <xf numFmtId="0" fontId="24" fillId="0" borderId="0" xfId="0" applyFont="1" applyBorder="1" applyAlignment="1">
      <alignment horizontal="left" indent="1"/>
    </xf>
    <xf numFmtId="168" fontId="24" fillId="0" borderId="0" xfId="0" applyNumberFormat="1" applyFont="1" applyBorder="1" applyAlignment="1">
      <alignment horizontal="right" vertical="center"/>
    </xf>
    <xf numFmtId="0" fontId="22" fillId="0" borderId="0" xfId="0" applyFont="1" applyBorder="1" applyAlignment="1">
      <alignment horizontal="left" indent="2"/>
    </xf>
    <xf numFmtId="0" fontId="22" fillId="0" borderId="0" xfId="0" applyFont="1" applyBorder="1" applyAlignment="1">
      <alignment horizontal="left" indent="3"/>
    </xf>
    <xf numFmtId="0" fontId="23" fillId="0" borderId="0" xfId="0" applyFont="1" applyBorder="1" applyAlignment="1">
      <alignment horizontal="left" indent="4"/>
    </xf>
    <xf numFmtId="168" fontId="23" fillId="0" borderId="0" xfId="0" applyNumberFormat="1" applyFont="1" applyBorder="1" applyAlignment="1">
      <alignment horizontal="right" vertical="center"/>
    </xf>
    <xf numFmtId="0" fontId="22" fillId="0" borderId="11" xfId="0" applyFont="1" applyBorder="1" applyAlignment="1">
      <alignment horizontal="left" indent="3"/>
    </xf>
    <xf numFmtId="4" fontId="22" fillId="0" borderId="11" xfId="0" applyNumberFormat="1" applyFont="1" applyBorder="1" applyAlignment="1">
      <alignment horizontal="right" vertical="center"/>
    </xf>
    <xf numFmtId="0" fontId="22" fillId="0" borderId="11" xfId="0" applyFont="1" applyBorder="1" applyAlignment="1">
      <alignment horizontal="left" indent="2"/>
    </xf>
    <xf numFmtId="168" fontId="22" fillId="0" borderId="11" xfId="0" applyNumberFormat="1" applyFont="1" applyBorder="1" applyAlignment="1">
      <alignment horizontal="right" vertical="center"/>
    </xf>
    <xf numFmtId="0" fontId="22" fillId="0" borderId="12" xfId="0" applyFont="1" applyBorder="1" applyAlignment="1">
      <alignment horizontal="left" indent="1"/>
    </xf>
    <xf numFmtId="168" fontId="22" fillId="0" borderId="12" xfId="0" applyNumberFormat="1" applyFont="1" applyBorder="1" applyAlignment="1">
      <alignment horizontal="right" vertical="center"/>
    </xf>
    <xf numFmtId="0" fontId="25" fillId="0" borderId="13" xfId="0" applyFont="1" applyBorder="1" applyAlignment="1">
      <alignment horizontal="left" vertical="center"/>
    </xf>
    <xf numFmtId="168" fontId="25" fillId="0" borderId="13" xfId="0" applyNumberFormat="1" applyFont="1" applyBorder="1" applyAlignment="1">
      <alignment horizontal="right" vertical="center"/>
    </xf>
    <xf numFmtId="0" fontId="22" fillId="0" borderId="0" xfId="0" applyFont="1" applyBorder="1" applyAlignment="1">
      <alignment horizontal="left" vertical="center"/>
    </xf>
    <xf numFmtId="0" fontId="23" fillId="0" borderId="0" xfId="0" applyFont="1" applyBorder="1" applyAlignment="1">
      <alignment horizontal="left" indent="3"/>
    </xf>
    <xf numFmtId="0" fontId="18" fillId="0" borderId="0" xfId="0" applyFont="1" applyAlignment="1">
      <alignment horizontal="left"/>
    </xf>
    <xf numFmtId="0" fontId="0" fillId="0" borderId="0" xfId="0" applyAlignment="1">
      <alignment horizontal="left"/>
    </xf>
    <xf numFmtId="0" fontId="19" fillId="0" borderId="0" xfId="0" applyFont="1" applyAlignment="1">
      <alignment horizontal="left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 customBuiltin="1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X53"/>
  <sheetViews>
    <sheetView tabSelected="1" workbookViewId="0">
      <selection activeCell="A4" sqref="A4:XFD4"/>
    </sheetView>
  </sheetViews>
  <sheetFormatPr baseColWidth="10" defaultRowHeight="11.25" x14ac:dyDescent="0.2"/>
  <cols>
    <col min="2" max="16" width="12.6640625" bestFit="1" customWidth="1"/>
    <col min="17" max="17" width="12.1640625" bestFit="1" customWidth="1"/>
    <col min="18" max="23" width="12.6640625" bestFit="1" customWidth="1"/>
    <col min="24" max="28" width="12.1640625" bestFit="1" customWidth="1"/>
    <col min="29" max="53" width="12.6640625" bestFit="1" customWidth="1"/>
    <col min="54" max="55" width="14.33203125" bestFit="1" customWidth="1"/>
    <col min="56" max="61" width="12.6640625" bestFit="1" customWidth="1"/>
    <col min="62" max="64" width="14.33203125" bestFit="1" customWidth="1"/>
    <col min="65" max="67" width="12.6640625" bestFit="1" customWidth="1"/>
    <col min="68" max="68" width="14.33203125" bestFit="1" customWidth="1"/>
    <col min="69" max="72" width="12.6640625" bestFit="1" customWidth="1"/>
    <col min="73" max="76" width="14.33203125" bestFit="1" customWidth="1"/>
  </cols>
  <sheetData>
    <row r="1" spans="1:76" s="24" customFormat="1" ht="15.75" x14ac:dyDescent="0.25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3"/>
      <c r="BK1" s="23"/>
      <c r="BL1" s="23"/>
      <c r="BM1" s="23"/>
      <c r="BN1" s="23"/>
      <c r="BO1" s="23"/>
      <c r="BP1" s="23"/>
      <c r="BQ1" s="23"/>
      <c r="BR1" s="23"/>
      <c r="BS1" s="23"/>
      <c r="BT1" s="23"/>
      <c r="BU1" s="23"/>
      <c r="BV1" s="23"/>
      <c r="BW1" s="23"/>
      <c r="BX1" s="23"/>
    </row>
    <row r="2" spans="1:76" s="24" customFormat="1" ht="18" x14ac:dyDescent="0.25">
      <c r="A2" s="25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  <c r="AR2" s="25"/>
      <c r="AS2" s="25"/>
      <c r="AT2" s="25"/>
      <c r="AU2" s="25"/>
      <c r="AV2" s="25"/>
      <c r="AW2" s="25"/>
      <c r="AX2" s="25"/>
      <c r="AY2" s="25"/>
      <c r="AZ2" s="25"/>
      <c r="BA2" s="25"/>
      <c r="BB2" s="25"/>
      <c r="BC2" s="25"/>
      <c r="BD2" s="25"/>
      <c r="BE2" s="25"/>
      <c r="BF2" s="25"/>
      <c r="BG2" s="25"/>
      <c r="BH2" s="25"/>
      <c r="BI2" s="25"/>
      <c r="BJ2" s="25"/>
      <c r="BK2" s="25"/>
      <c r="BL2" s="25"/>
      <c r="BM2" s="25"/>
      <c r="BN2" s="25"/>
      <c r="BO2" s="25"/>
      <c r="BP2" s="25"/>
      <c r="BQ2" s="25"/>
      <c r="BR2" s="25"/>
      <c r="BS2" s="25"/>
      <c r="BT2" s="25"/>
      <c r="BU2" s="25"/>
      <c r="BV2" s="25"/>
      <c r="BW2" s="25"/>
      <c r="BX2" s="25"/>
    </row>
    <row r="3" spans="1:76" s="24" customFormat="1" ht="18" x14ac:dyDescent="0.25">
      <c r="A3" s="25" t="s">
        <v>2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</row>
    <row r="4" spans="1:76" x14ac:dyDescent="0.2">
      <c r="A4" s="1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  <c r="L4" s="2" t="s">
        <v>14</v>
      </c>
      <c r="M4" s="2" t="s">
        <v>15</v>
      </c>
      <c r="N4" s="2" t="s">
        <v>16</v>
      </c>
      <c r="O4" s="2" t="s">
        <v>17</v>
      </c>
      <c r="P4" s="2" t="s">
        <v>18</v>
      </c>
      <c r="Q4" s="2" t="s">
        <v>19</v>
      </c>
      <c r="R4" s="2" t="s">
        <v>20</v>
      </c>
      <c r="S4" s="2" t="s">
        <v>21</v>
      </c>
      <c r="T4" s="2" t="s">
        <v>22</v>
      </c>
      <c r="U4" s="2" t="s">
        <v>23</v>
      </c>
      <c r="V4" s="2" t="s">
        <v>24</v>
      </c>
      <c r="W4" s="2" t="s">
        <v>25</v>
      </c>
      <c r="X4" s="2" t="s">
        <v>26</v>
      </c>
      <c r="Y4" s="2" t="s">
        <v>27</v>
      </c>
      <c r="Z4" s="2" t="s">
        <v>28</v>
      </c>
      <c r="AA4" s="2" t="s">
        <v>29</v>
      </c>
      <c r="AB4" s="2" t="s">
        <v>30</v>
      </c>
      <c r="AC4" s="2" t="s">
        <v>31</v>
      </c>
      <c r="AD4" s="2" t="s">
        <v>32</v>
      </c>
      <c r="AE4" s="2" t="s">
        <v>33</v>
      </c>
      <c r="AF4" s="2" t="s">
        <v>34</v>
      </c>
      <c r="AG4" s="2" t="s">
        <v>35</v>
      </c>
      <c r="AH4" s="2" t="s">
        <v>36</v>
      </c>
      <c r="AI4" s="2" t="s">
        <v>37</v>
      </c>
      <c r="AJ4" s="2" t="s">
        <v>38</v>
      </c>
      <c r="AK4" s="2" t="s">
        <v>39</v>
      </c>
      <c r="AL4" s="2" t="s">
        <v>40</v>
      </c>
      <c r="AM4" s="2" t="s">
        <v>41</v>
      </c>
      <c r="AN4" s="2" t="s">
        <v>42</v>
      </c>
      <c r="AO4" s="2" t="s">
        <v>43</v>
      </c>
      <c r="AP4" s="2" t="s">
        <v>44</v>
      </c>
      <c r="AQ4" s="2" t="s">
        <v>45</v>
      </c>
      <c r="AR4" s="2" t="s">
        <v>46</v>
      </c>
      <c r="AS4" s="2" t="s">
        <v>47</v>
      </c>
      <c r="AT4" s="2" t="s">
        <v>48</v>
      </c>
      <c r="AU4" s="2" t="s">
        <v>49</v>
      </c>
      <c r="AV4" s="2" t="s">
        <v>50</v>
      </c>
      <c r="AW4" s="2" t="s">
        <v>51</v>
      </c>
      <c r="AX4" s="2" t="s">
        <v>52</v>
      </c>
      <c r="AY4" s="2" t="s">
        <v>53</v>
      </c>
      <c r="AZ4" s="2" t="s">
        <v>54</v>
      </c>
      <c r="BA4" s="2" t="s">
        <v>55</v>
      </c>
      <c r="BB4" s="2" t="s">
        <v>56</v>
      </c>
      <c r="BC4" s="2" t="s">
        <v>57</v>
      </c>
      <c r="BD4" s="2" t="s">
        <v>58</v>
      </c>
      <c r="BE4" s="2" t="s">
        <v>59</v>
      </c>
      <c r="BF4" s="2" t="s">
        <v>60</v>
      </c>
      <c r="BG4" s="2" t="s">
        <v>61</v>
      </c>
      <c r="BH4" s="2" t="s">
        <v>62</v>
      </c>
      <c r="BI4" s="2" t="s">
        <v>63</v>
      </c>
      <c r="BJ4" s="2" t="s">
        <v>64</v>
      </c>
      <c r="BK4" s="2" t="s">
        <v>65</v>
      </c>
      <c r="BL4" s="2" t="s">
        <v>66</v>
      </c>
      <c r="BM4" s="2" t="s">
        <v>67</v>
      </c>
      <c r="BN4" s="2" t="s">
        <v>68</v>
      </c>
      <c r="BO4" s="2" t="s">
        <v>69</v>
      </c>
      <c r="BP4" s="2" t="s">
        <v>70</v>
      </c>
      <c r="BQ4" s="2" t="s">
        <v>71</v>
      </c>
      <c r="BR4" s="2" t="s">
        <v>72</v>
      </c>
      <c r="BS4" s="2" t="s">
        <v>73</v>
      </c>
      <c r="BT4" s="2" t="s">
        <v>74</v>
      </c>
      <c r="BU4" s="2" t="s">
        <v>75</v>
      </c>
      <c r="BV4" s="2" t="s">
        <v>76</v>
      </c>
      <c r="BW4" s="2" t="s">
        <v>77</v>
      </c>
      <c r="BX4" s="2" t="s">
        <v>78</v>
      </c>
    </row>
    <row r="5" spans="1:76" x14ac:dyDescent="0.2">
      <c r="A5" s="1" t="s">
        <v>3</v>
      </c>
      <c r="B5" s="2" t="s">
        <v>79</v>
      </c>
      <c r="C5" s="2" t="s">
        <v>79</v>
      </c>
      <c r="D5" s="2" t="s">
        <v>79</v>
      </c>
      <c r="E5" s="2" t="s">
        <v>79</v>
      </c>
      <c r="F5" s="2" t="s">
        <v>79</v>
      </c>
      <c r="G5" s="2" t="s">
        <v>79</v>
      </c>
      <c r="H5" s="2" t="s">
        <v>79</v>
      </c>
      <c r="I5" s="2" t="s">
        <v>79</v>
      </c>
      <c r="J5" s="2" t="s">
        <v>79</v>
      </c>
      <c r="K5" s="2" t="s">
        <v>79</v>
      </c>
      <c r="L5" s="2" t="s">
        <v>79</v>
      </c>
      <c r="M5" s="2" t="s">
        <v>79</v>
      </c>
      <c r="N5" s="2" t="s">
        <v>79</v>
      </c>
      <c r="O5" s="2" t="s">
        <v>79</v>
      </c>
      <c r="P5" s="2" t="s">
        <v>79</v>
      </c>
      <c r="Q5" s="2" t="s">
        <v>79</v>
      </c>
      <c r="R5" s="2" t="s">
        <v>79</v>
      </c>
      <c r="S5" s="2" t="s">
        <v>79</v>
      </c>
      <c r="T5" s="2" t="s">
        <v>79</v>
      </c>
      <c r="U5" s="2" t="s">
        <v>79</v>
      </c>
      <c r="V5" s="2" t="s">
        <v>79</v>
      </c>
      <c r="W5" s="2" t="s">
        <v>79</v>
      </c>
      <c r="X5" s="2" t="s">
        <v>79</v>
      </c>
      <c r="Y5" s="2" t="s">
        <v>79</v>
      </c>
      <c r="Z5" s="2" t="s">
        <v>79</v>
      </c>
      <c r="AA5" s="2" t="s">
        <v>79</v>
      </c>
      <c r="AB5" s="2" t="s">
        <v>79</v>
      </c>
      <c r="AC5" s="2" t="s">
        <v>79</v>
      </c>
      <c r="AD5" s="2" t="s">
        <v>79</v>
      </c>
      <c r="AE5" s="2" t="s">
        <v>79</v>
      </c>
      <c r="AF5" s="2" t="s">
        <v>79</v>
      </c>
      <c r="AG5" s="2" t="s">
        <v>79</v>
      </c>
      <c r="AH5" s="2" t="s">
        <v>79</v>
      </c>
      <c r="AI5" s="2" t="s">
        <v>79</v>
      </c>
      <c r="AJ5" s="2" t="s">
        <v>79</v>
      </c>
      <c r="AK5" s="2" t="s">
        <v>79</v>
      </c>
      <c r="AL5" s="2" t="s">
        <v>79</v>
      </c>
      <c r="AM5" s="2" t="s">
        <v>79</v>
      </c>
      <c r="AN5" s="2" t="s">
        <v>79</v>
      </c>
      <c r="AO5" s="2" t="s">
        <v>79</v>
      </c>
      <c r="AP5" s="2" t="s">
        <v>79</v>
      </c>
      <c r="AQ5" s="2" t="s">
        <v>79</v>
      </c>
      <c r="AR5" s="2" t="s">
        <v>79</v>
      </c>
      <c r="AS5" s="2" t="s">
        <v>79</v>
      </c>
      <c r="AT5" s="2" t="s">
        <v>79</v>
      </c>
      <c r="AU5" s="2" t="s">
        <v>79</v>
      </c>
      <c r="AV5" s="2" t="s">
        <v>79</v>
      </c>
      <c r="AW5" s="2" t="s">
        <v>79</v>
      </c>
      <c r="AX5" s="2" t="s">
        <v>79</v>
      </c>
      <c r="AY5" s="2" t="s">
        <v>79</v>
      </c>
      <c r="AZ5" s="2" t="s">
        <v>79</v>
      </c>
      <c r="BA5" s="2" t="s">
        <v>79</v>
      </c>
      <c r="BB5" s="2" t="s">
        <v>79</v>
      </c>
      <c r="BC5" s="2" t="s">
        <v>79</v>
      </c>
      <c r="BD5" s="2" t="s">
        <v>79</v>
      </c>
      <c r="BE5" s="2" t="s">
        <v>79</v>
      </c>
      <c r="BF5" s="2" t="s">
        <v>79</v>
      </c>
      <c r="BG5" s="2" t="s">
        <v>79</v>
      </c>
      <c r="BH5" s="2" t="s">
        <v>79</v>
      </c>
      <c r="BI5" s="2" t="s">
        <v>79</v>
      </c>
      <c r="BJ5" s="2" t="s">
        <v>79</v>
      </c>
      <c r="BK5" s="2" t="s">
        <v>79</v>
      </c>
      <c r="BL5" s="2" t="s">
        <v>79</v>
      </c>
      <c r="BM5" s="2" t="s">
        <v>79</v>
      </c>
      <c r="BN5" s="2" t="s">
        <v>79</v>
      </c>
      <c r="BO5" s="2" t="s">
        <v>79</v>
      </c>
      <c r="BP5" s="2" t="s">
        <v>79</v>
      </c>
      <c r="BQ5" s="2" t="s">
        <v>79</v>
      </c>
      <c r="BR5" s="2" t="s">
        <v>79</v>
      </c>
      <c r="BS5" s="2" t="s">
        <v>79</v>
      </c>
      <c r="BT5" s="2" t="s">
        <v>79</v>
      </c>
      <c r="BU5" s="2" t="s">
        <v>79</v>
      </c>
      <c r="BV5" s="2" t="s">
        <v>79</v>
      </c>
      <c r="BW5" s="2" t="s">
        <v>79</v>
      </c>
      <c r="BX5" s="2" t="s">
        <v>79</v>
      </c>
    </row>
    <row r="6" spans="1:76" ht="12.75" x14ac:dyDescent="0.2">
      <c r="A6" s="3" t="s">
        <v>80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</row>
    <row r="7" spans="1:76" x14ac:dyDescent="0.2">
      <c r="A7" s="5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</row>
    <row r="8" spans="1:76" ht="12" x14ac:dyDescent="0.2">
      <c r="A8" s="7" t="s">
        <v>81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</row>
    <row r="9" spans="1:76" x14ac:dyDescent="0.2">
      <c r="A9" s="9" t="s">
        <v>82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</row>
    <row r="10" spans="1:76" x14ac:dyDescent="0.2">
      <c r="A10" s="10" t="s">
        <v>83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</row>
    <row r="11" spans="1:76" x14ac:dyDescent="0.2">
      <c r="A11" s="11" t="s">
        <v>84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  <c r="J11" s="12">
        <v>0</v>
      </c>
      <c r="K11" s="12">
        <v>0</v>
      </c>
      <c r="L11" s="12">
        <v>0</v>
      </c>
      <c r="M11" s="12">
        <v>0</v>
      </c>
      <c r="N11" s="12">
        <v>0</v>
      </c>
      <c r="O11" s="12">
        <v>0</v>
      </c>
      <c r="P11" s="12">
        <v>0</v>
      </c>
      <c r="Q11" s="12">
        <v>0</v>
      </c>
      <c r="R11" s="12">
        <v>0</v>
      </c>
      <c r="S11" s="12">
        <v>0</v>
      </c>
      <c r="T11" s="12">
        <v>0</v>
      </c>
      <c r="U11" s="12">
        <v>0</v>
      </c>
      <c r="V11" s="12">
        <v>0</v>
      </c>
      <c r="W11" s="12">
        <v>0</v>
      </c>
      <c r="X11" s="12">
        <v>0</v>
      </c>
      <c r="Y11" s="12">
        <v>0</v>
      </c>
      <c r="Z11" s="12">
        <v>46920</v>
      </c>
      <c r="AA11" s="12">
        <v>65094.86</v>
      </c>
      <c r="AB11" s="12">
        <v>56899.35</v>
      </c>
      <c r="AC11" s="12">
        <v>216064.81</v>
      </c>
      <c r="AD11" s="12">
        <v>221024.83</v>
      </c>
      <c r="AE11" s="12">
        <v>153823.46999999997</v>
      </c>
      <c r="AF11" s="12">
        <v>137701.71999999997</v>
      </c>
      <c r="AG11" s="12">
        <v>16381.249999999971</v>
      </c>
      <c r="AH11" s="12">
        <v>71612.499999999971</v>
      </c>
      <c r="AI11" s="12">
        <v>41744.38999999997</v>
      </c>
      <c r="AJ11" s="12">
        <v>43846.859999999971</v>
      </c>
      <c r="AK11" s="12">
        <v>53332.049999999974</v>
      </c>
      <c r="AL11" s="12">
        <v>54559.359999999971</v>
      </c>
      <c r="AM11" s="12">
        <v>13018.749999999971</v>
      </c>
      <c r="AN11" s="12">
        <v>23262.499999999971</v>
      </c>
      <c r="AO11" s="12">
        <v>11624.999999999971</v>
      </c>
      <c r="AP11" s="12">
        <v>5018.9999999999709</v>
      </c>
      <c r="AQ11" s="12">
        <v>4775.9999999999709</v>
      </c>
      <c r="AR11" s="12">
        <v>6290.9999999999709</v>
      </c>
      <c r="AS11" s="12">
        <v>15046.249999999971</v>
      </c>
      <c r="AT11" s="12">
        <v>114480.62999999998</v>
      </c>
      <c r="AU11" s="12">
        <v>157756.88999999998</v>
      </c>
      <c r="AV11" s="12">
        <v>176249.37999999998</v>
      </c>
      <c r="AW11" s="12">
        <v>165329.37999999998</v>
      </c>
      <c r="AX11" s="12">
        <v>237801.25999999998</v>
      </c>
      <c r="AY11" s="12">
        <v>267415.01999999996</v>
      </c>
      <c r="AZ11" s="12">
        <v>328754.38999999996</v>
      </c>
      <c r="BA11" s="12">
        <v>403907.52999999997</v>
      </c>
      <c r="BB11" s="12">
        <v>346818.75999999995</v>
      </c>
      <c r="BC11" s="12">
        <v>313495.76999999996</v>
      </c>
      <c r="BD11" s="12">
        <v>370441.29999999993</v>
      </c>
      <c r="BE11" s="12">
        <v>452792.93999999994</v>
      </c>
      <c r="BF11" s="12">
        <v>352924.90999999992</v>
      </c>
      <c r="BG11" s="12">
        <v>373919.7099999999</v>
      </c>
      <c r="BH11" s="12">
        <v>525416.81999999983</v>
      </c>
      <c r="BI11" s="12">
        <v>417261.6599999998</v>
      </c>
      <c r="BJ11" s="12">
        <v>491709.9699999998</v>
      </c>
      <c r="BK11" s="12">
        <v>579152.36999999976</v>
      </c>
      <c r="BL11" s="12">
        <v>339923.21999999974</v>
      </c>
      <c r="BM11" s="12">
        <v>418919.63999999972</v>
      </c>
      <c r="BN11" s="12">
        <v>424223.51999999973</v>
      </c>
      <c r="BO11" s="12">
        <v>336139.32999999973</v>
      </c>
      <c r="BP11" s="12">
        <v>399725.50999999972</v>
      </c>
      <c r="BQ11" s="12">
        <v>322508.89999999973</v>
      </c>
      <c r="BR11" s="12">
        <v>383782.96999999974</v>
      </c>
      <c r="BS11" s="12">
        <v>347756.08999999973</v>
      </c>
      <c r="BT11" s="12">
        <v>357752.00999999972</v>
      </c>
      <c r="BU11" s="12">
        <v>375581.37999999971</v>
      </c>
      <c r="BV11" s="12">
        <v>234658.68999999971</v>
      </c>
      <c r="BW11" s="12">
        <v>276231.83999999973</v>
      </c>
      <c r="BX11" s="12">
        <v>276231.83999999973</v>
      </c>
    </row>
    <row r="12" spans="1:76" x14ac:dyDescent="0.2">
      <c r="A12" s="11" t="s">
        <v>85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12">
        <v>0</v>
      </c>
      <c r="U12" s="12">
        <v>0</v>
      </c>
      <c r="V12" s="12">
        <v>0</v>
      </c>
      <c r="W12" s="12">
        <v>0</v>
      </c>
      <c r="X12" s="12">
        <v>0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2">
        <v>0</v>
      </c>
      <c r="AK12" s="12">
        <v>0</v>
      </c>
      <c r="AL12" s="12">
        <v>0</v>
      </c>
      <c r="AM12" s="12">
        <v>0</v>
      </c>
      <c r="AN12" s="12">
        <v>0</v>
      </c>
      <c r="AO12" s="12">
        <v>0</v>
      </c>
      <c r="AP12" s="12">
        <v>0</v>
      </c>
      <c r="AQ12" s="12">
        <v>0</v>
      </c>
      <c r="AR12" s="12">
        <v>0</v>
      </c>
      <c r="AS12" s="12">
        <v>0</v>
      </c>
      <c r="AT12" s="12">
        <v>0</v>
      </c>
      <c r="AU12" s="12">
        <v>0</v>
      </c>
      <c r="AV12" s="12">
        <v>0</v>
      </c>
      <c r="AW12" s="12">
        <v>0</v>
      </c>
      <c r="AX12" s="12">
        <v>0</v>
      </c>
      <c r="AY12" s="12">
        <v>0</v>
      </c>
      <c r="AZ12" s="12">
        <v>0</v>
      </c>
      <c r="BA12" s="12">
        <v>0</v>
      </c>
      <c r="BB12" s="12">
        <v>0</v>
      </c>
      <c r="BC12" s="12">
        <v>0</v>
      </c>
      <c r="BD12" s="12">
        <v>0</v>
      </c>
      <c r="BE12" s="12">
        <v>7000</v>
      </c>
      <c r="BF12" s="12">
        <v>7000</v>
      </c>
      <c r="BG12" s="12">
        <v>7000</v>
      </c>
      <c r="BH12" s="12">
        <v>7000</v>
      </c>
      <c r="BI12" s="12">
        <v>7000</v>
      </c>
      <c r="BJ12" s="12">
        <v>7000</v>
      </c>
      <c r="BK12" s="12">
        <v>7000</v>
      </c>
      <c r="BL12" s="12">
        <v>7000</v>
      </c>
      <c r="BM12" s="12">
        <v>7000</v>
      </c>
      <c r="BN12" s="12">
        <v>7000</v>
      </c>
      <c r="BO12" s="12">
        <v>7000</v>
      </c>
      <c r="BP12" s="12">
        <v>7000</v>
      </c>
      <c r="BQ12" s="12">
        <v>0</v>
      </c>
      <c r="BR12" s="12">
        <v>0</v>
      </c>
      <c r="BS12" s="12">
        <v>0</v>
      </c>
      <c r="BT12" s="12">
        <v>0</v>
      </c>
      <c r="BU12" s="12">
        <v>0</v>
      </c>
      <c r="BV12" s="12">
        <v>0</v>
      </c>
      <c r="BW12" s="12">
        <v>0</v>
      </c>
      <c r="BX12" s="12">
        <v>0</v>
      </c>
    </row>
    <row r="13" spans="1:76" x14ac:dyDescent="0.2">
      <c r="A13" s="13" t="s">
        <v>86</v>
      </c>
      <c r="B13" s="14">
        <f t="shared" ref="B13:AG13" si="0">SUM(B11:B12)</f>
        <v>0</v>
      </c>
      <c r="C13" s="14">
        <f t="shared" si="0"/>
        <v>0</v>
      </c>
      <c r="D13" s="14">
        <f t="shared" si="0"/>
        <v>0</v>
      </c>
      <c r="E13" s="14">
        <f t="shared" si="0"/>
        <v>0</v>
      </c>
      <c r="F13" s="14">
        <f t="shared" si="0"/>
        <v>0</v>
      </c>
      <c r="G13" s="14">
        <f t="shared" si="0"/>
        <v>0</v>
      </c>
      <c r="H13" s="14">
        <f t="shared" si="0"/>
        <v>0</v>
      </c>
      <c r="I13" s="14">
        <f t="shared" si="0"/>
        <v>0</v>
      </c>
      <c r="J13" s="14">
        <f t="shared" si="0"/>
        <v>0</v>
      </c>
      <c r="K13" s="14">
        <f t="shared" si="0"/>
        <v>0</v>
      </c>
      <c r="L13" s="14">
        <f t="shared" si="0"/>
        <v>0</v>
      </c>
      <c r="M13" s="14">
        <f t="shared" si="0"/>
        <v>0</v>
      </c>
      <c r="N13" s="14">
        <f t="shared" si="0"/>
        <v>0</v>
      </c>
      <c r="O13" s="14">
        <f t="shared" si="0"/>
        <v>0</v>
      </c>
      <c r="P13" s="14">
        <f t="shared" si="0"/>
        <v>0</v>
      </c>
      <c r="Q13" s="14">
        <f t="shared" si="0"/>
        <v>0</v>
      </c>
      <c r="R13" s="14">
        <f t="shared" si="0"/>
        <v>0</v>
      </c>
      <c r="S13" s="14">
        <f t="shared" si="0"/>
        <v>0</v>
      </c>
      <c r="T13" s="14">
        <f t="shared" si="0"/>
        <v>0</v>
      </c>
      <c r="U13" s="14">
        <f t="shared" si="0"/>
        <v>0</v>
      </c>
      <c r="V13" s="14">
        <f t="shared" si="0"/>
        <v>0</v>
      </c>
      <c r="W13" s="14">
        <f t="shared" si="0"/>
        <v>0</v>
      </c>
      <c r="X13" s="14">
        <f t="shared" si="0"/>
        <v>0</v>
      </c>
      <c r="Y13" s="14">
        <f t="shared" si="0"/>
        <v>0</v>
      </c>
      <c r="Z13" s="14">
        <f t="shared" si="0"/>
        <v>46920</v>
      </c>
      <c r="AA13" s="14">
        <f t="shared" si="0"/>
        <v>65094.86</v>
      </c>
      <c r="AB13" s="14">
        <f t="shared" si="0"/>
        <v>56899.35</v>
      </c>
      <c r="AC13" s="14">
        <f t="shared" si="0"/>
        <v>216064.81</v>
      </c>
      <c r="AD13" s="14">
        <f t="shared" si="0"/>
        <v>221024.83</v>
      </c>
      <c r="AE13" s="14">
        <f t="shared" si="0"/>
        <v>153823.46999999997</v>
      </c>
      <c r="AF13" s="14">
        <f t="shared" si="0"/>
        <v>137701.71999999997</v>
      </c>
      <c r="AG13" s="14">
        <f t="shared" si="0"/>
        <v>16381.249999999971</v>
      </c>
      <c r="AH13" s="14">
        <f t="shared" ref="AH13:BM13" si="1">SUM(AH11:AH12)</f>
        <v>71612.499999999971</v>
      </c>
      <c r="AI13" s="14">
        <f t="shared" si="1"/>
        <v>41744.38999999997</v>
      </c>
      <c r="AJ13" s="14">
        <f t="shared" si="1"/>
        <v>43846.859999999971</v>
      </c>
      <c r="AK13" s="14">
        <f t="shared" si="1"/>
        <v>53332.049999999974</v>
      </c>
      <c r="AL13" s="14">
        <f t="shared" si="1"/>
        <v>54559.359999999971</v>
      </c>
      <c r="AM13" s="14">
        <f t="shared" si="1"/>
        <v>13018.749999999971</v>
      </c>
      <c r="AN13" s="14">
        <f t="shared" si="1"/>
        <v>23262.499999999971</v>
      </c>
      <c r="AO13" s="14">
        <f t="shared" si="1"/>
        <v>11624.999999999971</v>
      </c>
      <c r="AP13" s="14">
        <f t="shared" si="1"/>
        <v>5018.9999999999709</v>
      </c>
      <c r="AQ13" s="14">
        <f t="shared" si="1"/>
        <v>4775.9999999999709</v>
      </c>
      <c r="AR13" s="14">
        <f t="shared" si="1"/>
        <v>6290.9999999999709</v>
      </c>
      <c r="AS13" s="14">
        <f t="shared" si="1"/>
        <v>15046.249999999971</v>
      </c>
      <c r="AT13" s="14">
        <f t="shared" si="1"/>
        <v>114480.62999999998</v>
      </c>
      <c r="AU13" s="14">
        <f t="shared" si="1"/>
        <v>157756.88999999998</v>
      </c>
      <c r="AV13" s="14">
        <f t="shared" si="1"/>
        <v>176249.37999999998</v>
      </c>
      <c r="AW13" s="14">
        <f t="shared" si="1"/>
        <v>165329.37999999998</v>
      </c>
      <c r="AX13" s="14">
        <f t="shared" si="1"/>
        <v>237801.25999999998</v>
      </c>
      <c r="AY13" s="14">
        <f t="shared" si="1"/>
        <v>267415.01999999996</v>
      </c>
      <c r="AZ13" s="14">
        <f t="shared" si="1"/>
        <v>328754.38999999996</v>
      </c>
      <c r="BA13" s="14">
        <f t="shared" si="1"/>
        <v>403907.52999999997</v>
      </c>
      <c r="BB13" s="14">
        <f t="shared" si="1"/>
        <v>346818.75999999995</v>
      </c>
      <c r="BC13" s="14">
        <f t="shared" si="1"/>
        <v>313495.76999999996</v>
      </c>
      <c r="BD13" s="14">
        <f t="shared" si="1"/>
        <v>370441.29999999993</v>
      </c>
      <c r="BE13" s="14">
        <f t="shared" si="1"/>
        <v>459792.93999999994</v>
      </c>
      <c r="BF13" s="14">
        <f t="shared" si="1"/>
        <v>359924.90999999992</v>
      </c>
      <c r="BG13" s="14">
        <f t="shared" si="1"/>
        <v>380919.7099999999</v>
      </c>
      <c r="BH13" s="14">
        <f t="shared" si="1"/>
        <v>532416.81999999983</v>
      </c>
      <c r="BI13" s="14">
        <f t="shared" si="1"/>
        <v>424261.6599999998</v>
      </c>
      <c r="BJ13" s="14">
        <f t="shared" si="1"/>
        <v>498709.9699999998</v>
      </c>
      <c r="BK13" s="14">
        <f t="shared" si="1"/>
        <v>586152.36999999976</v>
      </c>
      <c r="BL13" s="14">
        <f t="shared" si="1"/>
        <v>346923.21999999974</v>
      </c>
      <c r="BM13" s="14">
        <f t="shared" si="1"/>
        <v>425919.63999999972</v>
      </c>
      <c r="BN13" s="14">
        <f t="shared" ref="BN13:CS13" si="2">SUM(BN11:BN12)</f>
        <v>431223.51999999973</v>
      </c>
      <c r="BO13" s="14">
        <f t="shared" si="2"/>
        <v>343139.32999999973</v>
      </c>
      <c r="BP13" s="14">
        <f t="shared" si="2"/>
        <v>406725.50999999972</v>
      </c>
      <c r="BQ13" s="14">
        <f t="shared" si="2"/>
        <v>322508.89999999973</v>
      </c>
      <c r="BR13" s="14">
        <f t="shared" si="2"/>
        <v>383782.96999999974</v>
      </c>
      <c r="BS13" s="14">
        <f t="shared" si="2"/>
        <v>347756.08999999973</v>
      </c>
      <c r="BT13" s="14">
        <f t="shared" si="2"/>
        <v>357752.00999999972</v>
      </c>
      <c r="BU13" s="14">
        <f t="shared" si="2"/>
        <v>375581.37999999971</v>
      </c>
      <c r="BV13" s="14">
        <f t="shared" si="2"/>
        <v>234658.68999999971</v>
      </c>
      <c r="BW13" s="14">
        <f t="shared" si="2"/>
        <v>276231.83999999973</v>
      </c>
      <c r="BX13" s="14">
        <f t="shared" si="2"/>
        <v>276231.83999999973</v>
      </c>
    </row>
    <row r="14" spans="1:76" x14ac:dyDescent="0.2">
      <c r="A14" s="15" t="s">
        <v>87</v>
      </c>
      <c r="B14" s="16">
        <f t="shared" ref="B14:AG14" si="3">B13+0+0+0+0+0</f>
        <v>0</v>
      </c>
      <c r="C14" s="16">
        <f t="shared" si="3"/>
        <v>0</v>
      </c>
      <c r="D14" s="16">
        <f t="shared" si="3"/>
        <v>0</v>
      </c>
      <c r="E14" s="16">
        <f t="shared" si="3"/>
        <v>0</v>
      </c>
      <c r="F14" s="16">
        <f t="shared" si="3"/>
        <v>0</v>
      </c>
      <c r="G14" s="16">
        <f t="shared" si="3"/>
        <v>0</v>
      </c>
      <c r="H14" s="16">
        <f t="shared" si="3"/>
        <v>0</v>
      </c>
      <c r="I14" s="16">
        <f t="shared" si="3"/>
        <v>0</v>
      </c>
      <c r="J14" s="16">
        <f t="shared" si="3"/>
        <v>0</v>
      </c>
      <c r="K14" s="16">
        <f t="shared" si="3"/>
        <v>0</v>
      </c>
      <c r="L14" s="16">
        <f t="shared" si="3"/>
        <v>0</v>
      </c>
      <c r="M14" s="16">
        <f t="shared" si="3"/>
        <v>0</v>
      </c>
      <c r="N14" s="16">
        <f t="shared" si="3"/>
        <v>0</v>
      </c>
      <c r="O14" s="16">
        <f t="shared" si="3"/>
        <v>0</v>
      </c>
      <c r="P14" s="16">
        <f t="shared" si="3"/>
        <v>0</v>
      </c>
      <c r="Q14" s="16">
        <f t="shared" si="3"/>
        <v>0</v>
      </c>
      <c r="R14" s="16">
        <f t="shared" si="3"/>
        <v>0</v>
      </c>
      <c r="S14" s="16">
        <f t="shared" si="3"/>
        <v>0</v>
      </c>
      <c r="T14" s="16">
        <f t="shared" si="3"/>
        <v>0</v>
      </c>
      <c r="U14" s="16">
        <f t="shared" si="3"/>
        <v>0</v>
      </c>
      <c r="V14" s="16">
        <f t="shared" si="3"/>
        <v>0</v>
      </c>
      <c r="W14" s="16">
        <f t="shared" si="3"/>
        <v>0</v>
      </c>
      <c r="X14" s="16">
        <f t="shared" si="3"/>
        <v>0</v>
      </c>
      <c r="Y14" s="16">
        <f t="shared" si="3"/>
        <v>0</v>
      </c>
      <c r="Z14" s="16">
        <f t="shared" si="3"/>
        <v>46920</v>
      </c>
      <c r="AA14" s="16">
        <f t="shared" si="3"/>
        <v>65094.86</v>
      </c>
      <c r="AB14" s="16">
        <f t="shared" si="3"/>
        <v>56899.35</v>
      </c>
      <c r="AC14" s="16">
        <f t="shared" si="3"/>
        <v>216064.81</v>
      </c>
      <c r="AD14" s="16">
        <f t="shared" si="3"/>
        <v>221024.83</v>
      </c>
      <c r="AE14" s="16">
        <f t="shared" si="3"/>
        <v>153823.46999999997</v>
      </c>
      <c r="AF14" s="16">
        <f t="shared" si="3"/>
        <v>137701.71999999997</v>
      </c>
      <c r="AG14" s="16">
        <f t="shared" si="3"/>
        <v>16381.249999999971</v>
      </c>
      <c r="AH14" s="16">
        <f t="shared" ref="AH14:BM14" si="4">AH13+0+0+0+0+0</f>
        <v>71612.499999999971</v>
      </c>
      <c r="AI14" s="16">
        <f t="shared" si="4"/>
        <v>41744.38999999997</v>
      </c>
      <c r="AJ14" s="16">
        <f t="shared" si="4"/>
        <v>43846.859999999971</v>
      </c>
      <c r="AK14" s="16">
        <f t="shared" si="4"/>
        <v>53332.049999999974</v>
      </c>
      <c r="AL14" s="16">
        <f t="shared" si="4"/>
        <v>54559.359999999971</v>
      </c>
      <c r="AM14" s="16">
        <f t="shared" si="4"/>
        <v>13018.749999999971</v>
      </c>
      <c r="AN14" s="16">
        <f t="shared" si="4"/>
        <v>23262.499999999971</v>
      </c>
      <c r="AO14" s="16">
        <f t="shared" si="4"/>
        <v>11624.999999999971</v>
      </c>
      <c r="AP14" s="16">
        <f t="shared" si="4"/>
        <v>5018.9999999999709</v>
      </c>
      <c r="AQ14" s="16">
        <f t="shared" si="4"/>
        <v>4775.9999999999709</v>
      </c>
      <c r="AR14" s="16">
        <f t="shared" si="4"/>
        <v>6290.9999999999709</v>
      </c>
      <c r="AS14" s="16">
        <f t="shared" si="4"/>
        <v>15046.249999999971</v>
      </c>
      <c r="AT14" s="16">
        <f t="shared" si="4"/>
        <v>114480.62999999998</v>
      </c>
      <c r="AU14" s="16">
        <f t="shared" si="4"/>
        <v>157756.88999999998</v>
      </c>
      <c r="AV14" s="16">
        <f t="shared" si="4"/>
        <v>176249.37999999998</v>
      </c>
      <c r="AW14" s="16">
        <f t="shared" si="4"/>
        <v>165329.37999999998</v>
      </c>
      <c r="AX14" s="16">
        <f t="shared" si="4"/>
        <v>237801.25999999998</v>
      </c>
      <c r="AY14" s="16">
        <f t="shared" si="4"/>
        <v>267415.01999999996</v>
      </c>
      <c r="AZ14" s="16">
        <f t="shared" si="4"/>
        <v>328754.38999999996</v>
      </c>
      <c r="BA14" s="16">
        <f t="shared" si="4"/>
        <v>403907.52999999997</v>
      </c>
      <c r="BB14" s="16">
        <f t="shared" si="4"/>
        <v>346818.75999999995</v>
      </c>
      <c r="BC14" s="16">
        <f t="shared" si="4"/>
        <v>313495.76999999996</v>
      </c>
      <c r="BD14" s="16">
        <f t="shared" si="4"/>
        <v>370441.29999999993</v>
      </c>
      <c r="BE14" s="16">
        <f t="shared" si="4"/>
        <v>459792.93999999994</v>
      </c>
      <c r="BF14" s="16">
        <f t="shared" si="4"/>
        <v>359924.90999999992</v>
      </c>
      <c r="BG14" s="16">
        <f t="shared" si="4"/>
        <v>380919.7099999999</v>
      </c>
      <c r="BH14" s="16">
        <f t="shared" si="4"/>
        <v>532416.81999999983</v>
      </c>
      <c r="BI14" s="16">
        <f t="shared" si="4"/>
        <v>424261.6599999998</v>
      </c>
      <c r="BJ14" s="16">
        <f t="shared" si="4"/>
        <v>498709.9699999998</v>
      </c>
      <c r="BK14" s="16">
        <f t="shared" si="4"/>
        <v>586152.36999999976</v>
      </c>
      <c r="BL14" s="16">
        <f t="shared" si="4"/>
        <v>346923.21999999974</v>
      </c>
      <c r="BM14" s="16">
        <f t="shared" si="4"/>
        <v>425919.63999999972</v>
      </c>
      <c r="BN14" s="16">
        <f t="shared" ref="BN14:CS14" si="5">BN13+0+0+0+0+0</f>
        <v>431223.51999999973</v>
      </c>
      <c r="BO14" s="16">
        <f t="shared" si="5"/>
        <v>343139.32999999973</v>
      </c>
      <c r="BP14" s="16">
        <f t="shared" si="5"/>
        <v>406725.50999999972</v>
      </c>
      <c r="BQ14" s="16">
        <f t="shared" si="5"/>
        <v>322508.89999999973</v>
      </c>
      <c r="BR14" s="16">
        <f t="shared" si="5"/>
        <v>383782.96999999974</v>
      </c>
      <c r="BS14" s="16">
        <f t="shared" si="5"/>
        <v>347756.08999999973</v>
      </c>
      <c r="BT14" s="16">
        <f t="shared" si="5"/>
        <v>357752.00999999972</v>
      </c>
      <c r="BU14" s="16">
        <f t="shared" si="5"/>
        <v>375581.37999999971</v>
      </c>
      <c r="BV14" s="16">
        <f t="shared" si="5"/>
        <v>234658.68999999971</v>
      </c>
      <c r="BW14" s="16">
        <f t="shared" si="5"/>
        <v>276231.83999999973</v>
      </c>
      <c r="BX14" s="16">
        <f t="shared" si="5"/>
        <v>276231.83999999973</v>
      </c>
    </row>
    <row r="15" spans="1:76" x14ac:dyDescent="0.2">
      <c r="A15" s="9" t="s">
        <v>88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</row>
    <row r="16" spans="1:76" x14ac:dyDescent="0.2">
      <c r="A16" s="10" t="s">
        <v>89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</row>
    <row r="17" spans="1:76" x14ac:dyDescent="0.2">
      <c r="A17" s="11" t="s">
        <v>90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2">
        <v>0</v>
      </c>
      <c r="O17" s="12">
        <v>0</v>
      </c>
      <c r="P17" s="12">
        <v>0</v>
      </c>
      <c r="Q17" s="12">
        <v>0</v>
      </c>
      <c r="R17" s="12">
        <v>0</v>
      </c>
      <c r="S17" s="12">
        <v>0</v>
      </c>
      <c r="T17" s="12">
        <v>0</v>
      </c>
      <c r="U17" s="12">
        <v>0</v>
      </c>
      <c r="V17" s="12">
        <v>0</v>
      </c>
      <c r="W17" s="12">
        <v>0</v>
      </c>
      <c r="X17" s="12">
        <v>0</v>
      </c>
      <c r="Y17" s="12">
        <v>0</v>
      </c>
      <c r="Z17" s="12">
        <v>0</v>
      </c>
      <c r="AA17" s="12">
        <v>0</v>
      </c>
      <c r="AB17" s="12">
        <v>0</v>
      </c>
      <c r="AC17" s="12">
        <v>-7189.06</v>
      </c>
      <c r="AD17" s="12">
        <v>-1.4000000000005457</v>
      </c>
      <c r="AE17" s="12">
        <v>-315.42000000000053</v>
      </c>
      <c r="AF17" s="12">
        <v>-4680.67</v>
      </c>
      <c r="AG17" s="12">
        <v>-1.3999999999996362</v>
      </c>
      <c r="AH17" s="12">
        <v>3.6370906286720128E-13</v>
      </c>
      <c r="AI17" s="12">
        <v>3.6370906286720128E-13</v>
      </c>
      <c r="AJ17" s="12">
        <v>3.6370906286720128E-13</v>
      </c>
      <c r="AK17" s="12">
        <v>75622.89</v>
      </c>
      <c r="AL17" s="12">
        <v>65165.06</v>
      </c>
      <c r="AM17" s="12">
        <v>56061.97</v>
      </c>
      <c r="AN17" s="12">
        <v>43663.520000000004</v>
      </c>
      <c r="AO17" s="12">
        <v>23169.130000000005</v>
      </c>
      <c r="AP17" s="12">
        <v>110416.29000000001</v>
      </c>
      <c r="AQ17" s="12">
        <v>104268.39000000001</v>
      </c>
      <c r="AR17" s="12">
        <v>94908.780000000013</v>
      </c>
      <c r="AS17" s="12">
        <v>59477.530000000013</v>
      </c>
      <c r="AT17" s="12">
        <v>54745.360000000015</v>
      </c>
      <c r="AU17" s="12">
        <v>142589.48000000001</v>
      </c>
      <c r="AV17" s="12">
        <v>282758.43000000005</v>
      </c>
      <c r="AW17" s="12">
        <v>217410.55000000005</v>
      </c>
      <c r="AX17" s="12">
        <v>236863.09000000005</v>
      </c>
      <c r="AY17" s="12">
        <v>389779.43000000005</v>
      </c>
      <c r="AZ17" s="12">
        <v>494553.41000000003</v>
      </c>
      <c r="BA17" s="12">
        <v>482042.33</v>
      </c>
      <c r="BB17" s="12">
        <v>663711.65</v>
      </c>
      <c r="BC17" s="12">
        <v>734036.03</v>
      </c>
      <c r="BD17" s="12">
        <v>53971.670000000042</v>
      </c>
      <c r="BE17" s="12">
        <v>48464.600000000042</v>
      </c>
      <c r="BF17" s="12">
        <v>205990.86000000004</v>
      </c>
      <c r="BG17" s="12">
        <v>186168.75000000006</v>
      </c>
      <c r="BH17" s="12">
        <v>206981.03000000006</v>
      </c>
      <c r="BI17" s="12">
        <v>262652.71000000008</v>
      </c>
      <c r="BJ17" s="12">
        <v>273227.9800000001</v>
      </c>
      <c r="BK17" s="12">
        <v>289794.62000000011</v>
      </c>
      <c r="BL17" s="12">
        <v>1009532.3700000001</v>
      </c>
      <c r="BM17" s="12">
        <v>303657.55000000016</v>
      </c>
      <c r="BN17" s="12">
        <v>386945.59000000014</v>
      </c>
      <c r="BO17" s="12">
        <v>495116.55000000016</v>
      </c>
      <c r="BP17" s="12">
        <v>667459.3400000002</v>
      </c>
      <c r="BQ17" s="12">
        <v>103721.32000000018</v>
      </c>
      <c r="BR17" s="12">
        <v>156056.89000000019</v>
      </c>
      <c r="BS17" s="12">
        <v>214478.75000000017</v>
      </c>
      <c r="BT17" s="12">
        <v>252405.94000000018</v>
      </c>
      <c r="BU17" s="12">
        <v>200700.67000000019</v>
      </c>
      <c r="BV17" s="12">
        <v>432499.35000000021</v>
      </c>
      <c r="BW17" s="12">
        <v>525295.2100000002</v>
      </c>
      <c r="BX17" s="12">
        <v>525295.2100000002</v>
      </c>
    </row>
    <row r="18" spans="1:76" x14ac:dyDescent="0.2">
      <c r="A18" s="11" t="s">
        <v>91</v>
      </c>
      <c r="B18" s="12">
        <v>300000</v>
      </c>
      <c r="C18" s="12">
        <v>299100</v>
      </c>
      <c r="D18" s="12">
        <v>297462.44</v>
      </c>
      <c r="E18" s="12">
        <v>278196.16000000003</v>
      </c>
      <c r="F18" s="12">
        <v>256464.09000000003</v>
      </c>
      <c r="G18" s="12">
        <v>238390.74000000002</v>
      </c>
      <c r="H18" s="12">
        <v>186849.43000000002</v>
      </c>
      <c r="I18" s="12">
        <v>245732.30000000002</v>
      </c>
      <c r="J18" s="12">
        <v>214866.04</v>
      </c>
      <c r="K18" s="12">
        <v>182726.28</v>
      </c>
      <c r="L18" s="12">
        <v>158118.01</v>
      </c>
      <c r="M18" s="12">
        <v>122373.45000000001</v>
      </c>
      <c r="N18" s="12">
        <v>186936.27000000002</v>
      </c>
      <c r="O18" s="12">
        <v>144998.47000000003</v>
      </c>
      <c r="P18" s="12">
        <v>109675.01000000004</v>
      </c>
      <c r="Q18" s="12">
        <v>76727.060000000041</v>
      </c>
      <c r="R18" s="12">
        <v>162386.85000000003</v>
      </c>
      <c r="S18" s="12">
        <v>103270.60000000003</v>
      </c>
      <c r="T18" s="12">
        <v>210111.00000000003</v>
      </c>
      <c r="U18" s="12">
        <v>166988.88000000003</v>
      </c>
      <c r="V18" s="12">
        <v>105606.07000000004</v>
      </c>
      <c r="W18" s="12">
        <v>101101.92000000004</v>
      </c>
      <c r="X18" s="12">
        <v>35539.040000000037</v>
      </c>
      <c r="Y18" s="12">
        <v>27524.240000000038</v>
      </c>
      <c r="Z18" s="12">
        <v>20346.630000000037</v>
      </c>
      <c r="AA18" s="12">
        <v>17418.140000000036</v>
      </c>
      <c r="AB18" s="12">
        <v>7726.6900000000351</v>
      </c>
      <c r="AC18" s="12">
        <v>101575.75000000003</v>
      </c>
      <c r="AD18" s="12">
        <v>142266.71000000002</v>
      </c>
      <c r="AE18" s="12">
        <v>164101.31000000003</v>
      </c>
      <c r="AF18" s="12">
        <v>211845.14</v>
      </c>
      <c r="AG18" s="12">
        <v>241794.35</v>
      </c>
      <c r="AH18" s="12">
        <v>198844.94</v>
      </c>
      <c r="AI18" s="12">
        <v>198316.66</v>
      </c>
      <c r="AJ18" s="12">
        <v>182808.47</v>
      </c>
      <c r="AK18" s="12">
        <v>171965.43</v>
      </c>
      <c r="AL18" s="12">
        <v>161774.97</v>
      </c>
      <c r="AM18" s="12">
        <v>188869.46</v>
      </c>
      <c r="AN18" s="12">
        <v>180097.44</v>
      </c>
      <c r="AO18" s="12">
        <v>168450.54</v>
      </c>
      <c r="AP18" s="12">
        <v>78784.700000000012</v>
      </c>
      <c r="AQ18" s="12">
        <v>74832.040000000008</v>
      </c>
      <c r="AR18" s="12">
        <v>73770.010000000009</v>
      </c>
      <c r="AS18" s="12">
        <v>69921.510000000009</v>
      </c>
      <c r="AT18" s="12">
        <v>68923.600000000006</v>
      </c>
      <c r="AU18" s="12">
        <v>67924.08</v>
      </c>
      <c r="AV18" s="12">
        <v>27338.560000000005</v>
      </c>
      <c r="AW18" s="12">
        <v>26750.210000000006</v>
      </c>
      <c r="AX18" s="12">
        <v>38519.610000000008</v>
      </c>
      <c r="AY18" s="12">
        <v>18997.150000000009</v>
      </c>
      <c r="AZ18" s="12">
        <v>18066.920000000009</v>
      </c>
      <c r="BA18" s="12">
        <v>70075.44</v>
      </c>
      <c r="BB18" s="12">
        <v>104414.70999999999</v>
      </c>
      <c r="BC18" s="12">
        <v>162507.15999999997</v>
      </c>
      <c r="BD18" s="12">
        <v>72882.129999999976</v>
      </c>
      <c r="BE18" s="12">
        <v>71917.709999999977</v>
      </c>
      <c r="BF18" s="12">
        <v>50058.239999999976</v>
      </c>
      <c r="BG18" s="12">
        <v>129369.39999999998</v>
      </c>
      <c r="BH18" s="12">
        <v>128805.19999999998</v>
      </c>
      <c r="BI18" s="12">
        <v>274507.14</v>
      </c>
      <c r="BJ18" s="12">
        <v>343336.85000000003</v>
      </c>
      <c r="BK18" s="12">
        <v>339894.82</v>
      </c>
      <c r="BL18" s="12">
        <v>14091.130000000005</v>
      </c>
      <c r="BM18" s="12">
        <v>12711.420000000006</v>
      </c>
      <c r="BN18" s="12">
        <v>73839.75</v>
      </c>
      <c r="BO18" s="12">
        <v>124284.06</v>
      </c>
      <c r="BP18" s="12">
        <v>13300.569999999992</v>
      </c>
      <c r="BQ18" s="12">
        <v>137839.31</v>
      </c>
      <c r="BR18" s="12">
        <v>196782.47999999998</v>
      </c>
      <c r="BS18" s="12">
        <v>273479.93</v>
      </c>
      <c r="BT18" s="12">
        <v>341984.57</v>
      </c>
      <c r="BU18" s="12">
        <v>453004.67000000004</v>
      </c>
      <c r="BV18" s="12">
        <v>525791.08000000007</v>
      </c>
      <c r="BW18" s="12">
        <v>521181.96000000008</v>
      </c>
      <c r="BX18" s="12">
        <v>521181.96000000008</v>
      </c>
    </row>
    <row r="19" spans="1:76" x14ac:dyDescent="0.2">
      <c r="A19" s="11" t="s">
        <v>92</v>
      </c>
      <c r="B19" s="12">
        <v>0</v>
      </c>
      <c r="C19" s="12">
        <v>0</v>
      </c>
      <c r="D19" s="12">
        <v>0</v>
      </c>
      <c r="E19" s="12">
        <v>1795</v>
      </c>
      <c r="F19" s="12">
        <v>1795</v>
      </c>
      <c r="G19" s="12">
        <v>1795</v>
      </c>
      <c r="H19" s="12">
        <v>1795</v>
      </c>
      <c r="I19" s="12">
        <v>1795</v>
      </c>
      <c r="J19" s="12">
        <v>1795</v>
      </c>
      <c r="K19" s="12">
        <v>1795</v>
      </c>
      <c r="L19" s="12">
        <v>1795</v>
      </c>
      <c r="M19" s="12">
        <v>1795</v>
      </c>
      <c r="N19" s="12">
        <v>1795</v>
      </c>
      <c r="O19" s="12">
        <v>1795</v>
      </c>
      <c r="P19" s="12">
        <v>1795</v>
      </c>
      <c r="Q19" s="12">
        <v>1795</v>
      </c>
      <c r="R19" s="12">
        <v>1795</v>
      </c>
      <c r="S19" s="12">
        <v>1795</v>
      </c>
      <c r="T19" s="12">
        <v>1795</v>
      </c>
      <c r="U19" s="12">
        <v>1795</v>
      </c>
      <c r="V19" s="12">
        <v>1795</v>
      </c>
      <c r="W19" s="12">
        <v>1795</v>
      </c>
      <c r="X19" s="12">
        <v>1795</v>
      </c>
      <c r="Y19" s="12">
        <v>1795</v>
      </c>
      <c r="Z19" s="12">
        <v>1795</v>
      </c>
      <c r="AA19" s="12">
        <v>1795</v>
      </c>
      <c r="AB19" s="12">
        <v>1795</v>
      </c>
      <c r="AC19" s="12">
        <v>1795</v>
      </c>
      <c r="AD19" s="12">
        <v>1795</v>
      </c>
      <c r="AE19" s="12">
        <v>1795</v>
      </c>
      <c r="AF19" s="12">
        <v>1795</v>
      </c>
      <c r="AG19" s="12">
        <v>1795</v>
      </c>
      <c r="AH19" s="12">
        <v>1795</v>
      </c>
      <c r="AI19" s="12">
        <v>1795</v>
      </c>
      <c r="AJ19" s="12">
        <v>1795</v>
      </c>
      <c r="AK19" s="12">
        <v>1795</v>
      </c>
      <c r="AL19" s="12">
        <v>1795</v>
      </c>
      <c r="AM19" s="12">
        <v>1795</v>
      </c>
      <c r="AN19" s="12">
        <v>1795</v>
      </c>
      <c r="AO19" s="12">
        <v>1795</v>
      </c>
      <c r="AP19" s="12">
        <v>1795</v>
      </c>
      <c r="AQ19" s="12">
        <v>1795</v>
      </c>
      <c r="AR19" s="12">
        <v>1795</v>
      </c>
      <c r="AS19" s="12">
        <v>1795</v>
      </c>
      <c r="AT19" s="12">
        <v>1795</v>
      </c>
      <c r="AU19" s="12">
        <v>1795</v>
      </c>
      <c r="AV19" s="12">
        <v>1795</v>
      </c>
      <c r="AW19" s="12">
        <v>1795</v>
      </c>
      <c r="AX19" s="12">
        <v>1795</v>
      </c>
      <c r="AY19" s="12">
        <v>1795</v>
      </c>
      <c r="AZ19" s="12">
        <v>1795</v>
      </c>
      <c r="BA19" s="12">
        <v>1795</v>
      </c>
      <c r="BB19" s="12">
        <v>1795</v>
      </c>
      <c r="BC19" s="12">
        <v>1795</v>
      </c>
      <c r="BD19" s="12">
        <v>1795</v>
      </c>
      <c r="BE19" s="12">
        <v>3582</v>
      </c>
      <c r="BF19" s="12">
        <v>3582</v>
      </c>
      <c r="BG19" s="12">
        <v>3582</v>
      </c>
      <c r="BH19" s="12">
        <v>3582</v>
      </c>
      <c r="BI19" s="12">
        <v>3582</v>
      </c>
      <c r="BJ19" s="12">
        <v>3582</v>
      </c>
      <c r="BK19" s="12">
        <v>3582</v>
      </c>
      <c r="BL19" s="12">
        <v>3582</v>
      </c>
      <c r="BM19" s="12">
        <v>3582</v>
      </c>
      <c r="BN19" s="12">
        <v>3582</v>
      </c>
      <c r="BO19" s="12">
        <v>3582</v>
      </c>
      <c r="BP19" s="12">
        <v>3582</v>
      </c>
      <c r="BQ19" s="12">
        <v>3582</v>
      </c>
      <c r="BR19" s="12">
        <v>3582</v>
      </c>
      <c r="BS19" s="12">
        <v>3582</v>
      </c>
      <c r="BT19" s="12">
        <v>3582</v>
      </c>
      <c r="BU19" s="12">
        <v>3582</v>
      </c>
      <c r="BV19" s="12">
        <v>3582</v>
      </c>
      <c r="BW19" s="12">
        <v>3582</v>
      </c>
      <c r="BX19" s="12">
        <v>3582</v>
      </c>
    </row>
    <row r="20" spans="1:76" x14ac:dyDescent="0.2">
      <c r="A20" s="13" t="s">
        <v>93</v>
      </c>
      <c r="B20" s="16">
        <f t="shared" ref="B20:AG20" si="6">SUM(B17:B19)</f>
        <v>300000</v>
      </c>
      <c r="C20" s="16">
        <f t="shared" si="6"/>
        <v>299100</v>
      </c>
      <c r="D20" s="16">
        <f t="shared" si="6"/>
        <v>297462.44</v>
      </c>
      <c r="E20" s="16">
        <f t="shared" si="6"/>
        <v>279991.16000000003</v>
      </c>
      <c r="F20" s="16">
        <f t="shared" si="6"/>
        <v>258259.09000000003</v>
      </c>
      <c r="G20" s="16">
        <f t="shared" si="6"/>
        <v>240185.74000000002</v>
      </c>
      <c r="H20" s="16">
        <f t="shared" si="6"/>
        <v>188644.43000000002</v>
      </c>
      <c r="I20" s="16">
        <f t="shared" si="6"/>
        <v>247527.30000000002</v>
      </c>
      <c r="J20" s="16">
        <f t="shared" si="6"/>
        <v>216661.04</v>
      </c>
      <c r="K20" s="16">
        <f t="shared" si="6"/>
        <v>184521.28</v>
      </c>
      <c r="L20" s="16">
        <f t="shared" si="6"/>
        <v>159913.01</v>
      </c>
      <c r="M20" s="16">
        <f t="shared" si="6"/>
        <v>124168.45000000001</v>
      </c>
      <c r="N20" s="16">
        <f t="shared" si="6"/>
        <v>188731.27000000002</v>
      </c>
      <c r="O20" s="16">
        <f t="shared" si="6"/>
        <v>146793.47000000003</v>
      </c>
      <c r="P20" s="16">
        <f t="shared" si="6"/>
        <v>111470.01000000004</v>
      </c>
      <c r="Q20" s="16">
        <f t="shared" si="6"/>
        <v>78522.060000000041</v>
      </c>
      <c r="R20" s="16">
        <f t="shared" si="6"/>
        <v>164181.85000000003</v>
      </c>
      <c r="S20" s="16">
        <f t="shared" si="6"/>
        <v>105065.60000000003</v>
      </c>
      <c r="T20" s="16">
        <f t="shared" si="6"/>
        <v>211906.00000000003</v>
      </c>
      <c r="U20" s="16">
        <f t="shared" si="6"/>
        <v>168783.88000000003</v>
      </c>
      <c r="V20" s="16">
        <f t="shared" si="6"/>
        <v>107401.07000000004</v>
      </c>
      <c r="W20" s="16">
        <f t="shared" si="6"/>
        <v>102896.92000000004</v>
      </c>
      <c r="X20" s="16">
        <f t="shared" si="6"/>
        <v>37334.040000000037</v>
      </c>
      <c r="Y20" s="16">
        <f t="shared" si="6"/>
        <v>29319.240000000038</v>
      </c>
      <c r="Z20" s="16">
        <f t="shared" si="6"/>
        <v>22141.630000000037</v>
      </c>
      <c r="AA20" s="16">
        <f t="shared" si="6"/>
        <v>19213.140000000036</v>
      </c>
      <c r="AB20" s="16">
        <f t="shared" si="6"/>
        <v>9521.6900000000351</v>
      </c>
      <c r="AC20" s="16">
        <f t="shared" si="6"/>
        <v>96181.690000000031</v>
      </c>
      <c r="AD20" s="16">
        <f t="shared" si="6"/>
        <v>144060.31000000003</v>
      </c>
      <c r="AE20" s="16">
        <f t="shared" si="6"/>
        <v>165580.89000000001</v>
      </c>
      <c r="AF20" s="16">
        <f t="shared" si="6"/>
        <v>208959.47</v>
      </c>
      <c r="AG20" s="16">
        <f t="shared" si="6"/>
        <v>243587.95</v>
      </c>
      <c r="AH20" s="16">
        <f t="shared" ref="AH20:BM20" si="7">SUM(AH17:AH19)</f>
        <v>200639.94</v>
      </c>
      <c r="AI20" s="16">
        <f t="shared" si="7"/>
        <v>200111.66</v>
      </c>
      <c r="AJ20" s="16">
        <f t="shared" si="7"/>
        <v>184603.47</v>
      </c>
      <c r="AK20" s="16">
        <f t="shared" si="7"/>
        <v>249383.32</v>
      </c>
      <c r="AL20" s="16">
        <f t="shared" si="7"/>
        <v>228735.03</v>
      </c>
      <c r="AM20" s="16">
        <f t="shared" si="7"/>
        <v>246726.43</v>
      </c>
      <c r="AN20" s="16">
        <f t="shared" si="7"/>
        <v>225555.96000000002</v>
      </c>
      <c r="AO20" s="16">
        <f t="shared" si="7"/>
        <v>193414.67</v>
      </c>
      <c r="AP20" s="16">
        <f t="shared" si="7"/>
        <v>190995.99000000002</v>
      </c>
      <c r="AQ20" s="16">
        <f t="shared" si="7"/>
        <v>180895.43000000002</v>
      </c>
      <c r="AR20" s="16">
        <f t="shared" si="7"/>
        <v>170473.79000000004</v>
      </c>
      <c r="AS20" s="16">
        <f t="shared" si="7"/>
        <v>131194.04000000004</v>
      </c>
      <c r="AT20" s="16">
        <f t="shared" si="7"/>
        <v>125463.96000000002</v>
      </c>
      <c r="AU20" s="16">
        <f t="shared" si="7"/>
        <v>212308.56</v>
      </c>
      <c r="AV20" s="16">
        <f t="shared" si="7"/>
        <v>311891.99000000005</v>
      </c>
      <c r="AW20" s="16">
        <f t="shared" si="7"/>
        <v>245955.76000000007</v>
      </c>
      <c r="AX20" s="16">
        <f t="shared" si="7"/>
        <v>277177.70000000007</v>
      </c>
      <c r="AY20" s="16">
        <f t="shared" si="7"/>
        <v>410571.58000000007</v>
      </c>
      <c r="AZ20" s="16">
        <f t="shared" si="7"/>
        <v>514415.33</v>
      </c>
      <c r="BA20" s="16">
        <f t="shared" si="7"/>
        <v>553912.77</v>
      </c>
      <c r="BB20" s="16">
        <f t="shared" si="7"/>
        <v>769921.36</v>
      </c>
      <c r="BC20" s="16">
        <f t="shared" si="7"/>
        <v>898338.19</v>
      </c>
      <c r="BD20" s="16">
        <f t="shared" si="7"/>
        <v>128648.80000000002</v>
      </c>
      <c r="BE20" s="16">
        <f t="shared" si="7"/>
        <v>123964.31000000003</v>
      </c>
      <c r="BF20" s="16">
        <f t="shared" si="7"/>
        <v>259631.10000000003</v>
      </c>
      <c r="BG20" s="16">
        <f t="shared" si="7"/>
        <v>319120.15000000002</v>
      </c>
      <c r="BH20" s="16">
        <f t="shared" si="7"/>
        <v>339368.23000000004</v>
      </c>
      <c r="BI20" s="16">
        <f t="shared" si="7"/>
        <v>540741.85000000009</v>
      </c>
      <c r="BJ20" s="16">
        <f t="shared" si="7"/>
        <v>620146.83000000007</v>
      </c>
      <c r="BK20" s="16">
        <f t="shared" si="7"/>
        <v>633271.44000000018</v>
      </c>
      <c r="BL20" s="16">
        <f t="shared" si="7"/>
        <v>1027205.5000000001</v>
      </c>
      <c r="BM20" s="16">
        <f t="shared" si="7"/>
        <v>319950.97000000015</v>
      </c>
      <c r="BN20" s="16">
        <f t="shared" ref="BN20:CS20" si="8">SUM(BN17:BN19)</f>
        <v>464367.34000000014</v>
      </c>
      <c r="BO20" s="16">
        <f t="shared" si="8"/>
        <v>622982.6100000001</v>
      </c>
      <c r="BP20" s="16">
        <f t="shared" si="8"/>
        <v>684341.91000000015</v>
      </c>
      <c r="BQ20" s="16">
        <f t="shared" si="8"/>
        <v>245142.63000000018</v>
      </c>
      <c r="BR20" s="16">
        <f t="shared" si="8"/>
        <v>356421.37000000017</v>
      </c>
      <c r="BS20" s="16">
        <f t="shared" si="8"/>
        <v>491540.68000000017</v>
      </c>
      <c r="BT20" s="16">
        <f t="shared" si="8"/>
        <v>597972.51000000024</v>
      </c>
      <c r="BU20" s="16">
        <f t="shared" si="8"/>
        <v>657287.3400000002</v>
      </c>
      <c r="BV20" s="16">
        <f t="shared" si="8"/>
        <v>961872.43000000028</v>
      </c>
      <c r="BW20" s="16">
        <f t="shared" si="8"/>
        <v>1050059.1700000004</v>
      </c>
      <c r="BX20" s="16">
        <f t="shared" si="8"/>
        <v>1050059.1700000004</v>
      </c>
    </row>
    <row r="21" spans="1:76" x14ac:dyDescent="0.2">
      <c r="A21" s="15" t="s">
        <v>94</v>
      </c>
      <c r="B21" s="16">
        <f t="shared" ref="B21:AG21" si="9">0+0+B20</f>
        <v>300000</v>
      </c>
      <c r="C21" s="16">
        <f t="shared" si="9"/>
        <v>299100</v>
      </c>
      <c r="D21" s="16">
        <f t="shared" si="9"/>
        <v>297462.44</v>
      </c>
      <c r="E21" s="16">
        <f t="shared" si="9"/>
        <v>279991.16000000003</v>
      </c>
      <c r="F21" s="16">
        <f t="shared" si="9"/>
        <v>258259.09000000003</v>
      </c>
      <c r="G21" s="16">
        <f t="shared" si="9"/>
        <v>240185.74000000002</v>
      </c>
      <c r="H21" s="16">
        <f t="shared" si="9"/>
        <v>188644.43000000002</v>
      </c>
      <c r="I21" s="16">
        <f t="shared" si="9"/>
        <v>247527.30000000002</v>
      </c>
      <c r="J21" s="16">
        <f t="shared" si="9"/>
        <v>216661.04</v>
      </c>
      <c r="K21" s="16">
        <f t="shared" si="9"/>
        <v>184521.28</v>
      </c>
      <c r="L21" s="16">
        <f t="shared" si="9"/>
        <v>159913.01</v>
      </c>
      <c r="M21" s="16">
        <f t="shared" si="9"/>
        <v>124168.45000000001</v>
      </c>
      <c r="N21" s="16">
        <f t="shared" si="9"/>
        <v>188731.27000000002</v>
      </c>
      <c r="O21" s="16">
        <f t="shared" si="9"/>
        <v>146793.47000000003</v>
      </c>
      <c r="P21" s="16">
        <f t="shared" si="9"/>
        <v>111470.01000000004</v>
      </c>
      <c r="Q21" s="16">
        <f t="shared" si="9"/>
        <v>78522.060000000041</v>
      </c>
      <c r="R21" s="16">
        <f t="shared" si="9"/>
        <v>164181.85000000003</v>
      </c>
      <c r="S21" s="16">
        <f t="shared" si="9"/>
        <v>105065.60000000003</v>
      </c>
      <c r="T21" s="16">
        <f t="shared" si="9"/>
        <v>211906.00000000003</v>
      </c>
      <c r="U21" s="16">
        <f t="shared" si="9"/>
        <v>168783.88000000003</v>
      </c>
      <c r="V21" s="16">
        <f t="shared" si="9"/>
        <v>107401.07000000004</v>
      </c>
      <c r="W21" s="16">
        <f t="shared" si="9"/>
        <v>102896.92000000004</v>
      </c>
      <c r="X21" s="16">
        <f t="shared" si="9"/>
        <v>37334.040000000037</v>
      </c>
      <c r="Y21" s="16">
        <f t="shared" si="9"/>
        <v>29319.240000000038</v>
      </c>
      <c r="Z21" s="16">
        <f t="shared" si="9"/>
        <v>22141.630000000037</v>
      </c>
      <c r="AA21" s="16">
        <f t="shared" si="9"/>
        <v>19213.140000000036</v>
      </c>
      <c r="AB21" s="16">
        <f t="shared" si="9"/>
        <v>9521.6900000000351</v>
      </c>
      <c r="AC21" s="16">
        <f t="shared" si="9"/>
        <v>96181.690000000031</v>
      </c>
      <c r="AD21" s="16">
        <f t="shared" si="9"/>
        <v>144060.31000000003</v>
      </c>
      <c r="AE21" s="16">
        <f t="shared" si="9"/>
        <v>165580.89000000001</v>
      </c>
      <c r="AF21" s="16">
        <f t="shared" si="9"/>
        <v>208959.47</v>
      </c>
      <c r="AG21" s="16">
        <f t="shared" si="9"/>
        <v>243587.95</v>
      </c>
      <c r="AH21" s="16">
        <f t="shared" ref="AH21:BM21" si="10">0+0+AH20</f>
        <v>200639.94</v>
      </c>
      <c r="AI21" s="16">
        <f t="shared" si="10"/>
        <v>200111.66</v>
      </c>
      <c r="AJ21" s="16">
        <f t="shared" si="10"/>
        <v>184603.47</v>
      </c>
      <c r="AK21" s="16">
        <f t="shared" si="10"/>
        <v>249383.32</v>
      </c>
      <c r="AL21" s="16">
        <f t="shared" si="10"/>
        <v>228735.03</v>
      </c>
      <c r="AM21" s="16">
        <f t="shared" si="10"/>
        <v>246726.43</v>
      </c>
      <c r="AN21" s="16">
        <f t="shared" si="10"/>
        <v>225555.96000000002</v>
      </c>
      <c r="AO21" s="16">
        <f t="shared" si="10"/>
        <v>193414.67</v>
      </c>
      <c r="AP21" s="16">
        <f t="shared" si="10"/>
        <v>190995.99000000002</v>
      </c>
      <c r="AQ21" s="16">
        <f t="shared" si="10"/>
        <v>180895.43000000002</v>
      </c>
      <c r="AR21" s="16">
        <f t="shared" si="10"/>
        <v>170473.79000000004</v>
      </c>
      <c r="AS21" s="16">
        <f t="shared" si="10"/>
        <v>131194.04000000004</v>
      </c>
      <c r="AT21" s="16">
        <f t="shared" si="10"/>
        <v>125463.96000000002</v>
      </c>
      <c r="AU21" s="16">
        <f t="shared" si="10"/>
        <v>212308.56</v>
      </c>
      <c r="AV21" s="16">
        <f t="shared" si="10"/>
        <v>311891.99000000005</v>
      </c>
      <c r="AW21" s="16">
        <f t="shared" si="10"/>
        <v>245955.76000000007</v>
      </c>
      <c r="AX21" s="16">
        <f t="shared" si="10"/>
        <v>277177.70000000007</v>
      </c>
      <c r="AY21" s="16">
        <f t="shared" si="10"/>
        <v>410571.58000000007</v>
      </c>
      <c r="AZ21" s="16">
        <f t="shared" si="10"/>
        <v>514415.33</v>
      </c>
      <c r="BA21" s="16">
        <f t="shared" si="10"/>
        <v>553912.77</v>
      </c>
      <c r="BB21" s="16">
        <f t="shared" si="10"/>
        <v>769921.36</v>
      </c>
      <c r="BC21" s="16">
        <f t="shared" si="10"/>
        <v>898338.19</v>
      </c>
      <c r="BD21" s="16">
        <f t="shared" si="10"/>
        <v>128648.80000000002</v>
      </c>
      <c r="BE21" s="16">
        <f t="shared" si="10"/>
        <v>123964.31000000003</v>
      </c>
      <c r="BF21" s="16">
        <f t="shared" si="10"/>
        <v>259631.10000000003</v>
      </c>
      <c r="BG21" s="16">
        <f t="shared" si="10"/>
        <v>319120.15000000002</v>
      </c>
      <c r="BH21" s="16">
        <f t="shared" si="10"/>
        <v>339368.23000000004</v>
      </c>
      <c r="BI21" s="16">
        <f t="shared" si="10"/>
        <v>540741.85000000009</v>
      </c>
      <c r="BJ21" s="16">
        <f t="shared" si="10"/>
        <v>620146.83000000007</v>
      </c>
      <c r="BK21" s="16">
        <f t="shared" si="10"/>
        <v>633271.44000000018</v>
      </c>
      <c r="BL21" s="16">
        <f t="shared" si="10"/>
        <v>1027205.5000000001</v>
      </c>
      <c r="BM21" s="16">
        <f t="shared" si="10"/>
        <v>319950.97000000015</v>
      </c>
      <c r="BN21" s="16">
        <f t="shared" ref="BN21:CS21" si="11">0+0+BN20</f>
        <v>464367.34000000014</v>
      </c>
      <c r="BO21" s="16">
        <f t="shared" si="11"/>
        <v>622982.6100000001</v>
      </c>
      <c r="BP21" s="16">
        <f t="shared" si="11"/>
        <v>684341.91000000015</v>
      </c>
      <c r="BQ21" s="16">
        <f t="shared" si="11"/>
        <v>245142.63000000018</v>
      </c>
      <c r="BR21" s="16">
        <f t="shared" si="11"/>
        <v>356421.37000000017</v>
      </c>
      <c r="BS21" s="16">
        <f t="shared" si="11"/>
        <v>491540.68000000017</v>
      </c>
      <c r="BT21" s="16">
        <f t="shared" si="11"/>
        <v>597972.51000000024</v>
      </c>
      <c r="BU21" s="16">
        <f t="shared" si="11"/>
        <v>657287.3400000002</v>
      </c>
      <c r="BV21" s="16">
        <f t="shared" si="11"/>
        <v>961872.43000000028</v>
      </c>
      <c r="BW21" s="16">
        <f t="shared" si="11"/>
        <v>1050059.1700000004</v>
      </c>
      <c r="BX21" s="16">
        <f t="shared" si="11"/>
        <v>1050059.1700000004</v>
      </c>
    </row>
    <row r="22" spans="1:76" x14ac:dyDescent="0.2">
      <c r="A22" s="17" t="s">
        <v>95</v>
      </c>
      <c r="B22" s="18">
        <f t="shared" ref="B22:AG22" si="12">0+B14+0+B21</f>
        <v>300000</v>
      </c>
      <c r="C22" s="18">
        <f t="shared" si="12"/>
        <v>299100</v>
      </c>
      <c r="D22" s="18">
        <f t="shared" si="12"/>
        <v>297462.44</v>
      </c>
      <c r="E22" s="18">
        <f t="shared" si="12"/>
        <v>279991.16000000003</v>
      </c>
      <c r="F22" s="18">
        <f t="shared" si="12"/>
        <v>258259.09000000003</v>
      </c>
      <c r="G22" s="18">
        <f t="shared" si="12"/>
        <v>240185.74000000002</v>
      </c>
      <c r="H22" s="18">
        <f t="shared" si="12"/>
        <v>188644.43000000002</v>
      </c>
      <c r="I22" s="18">
        <f t="shared" si="12"/>
        <v>247527.30000000002</v>
      </c>
      <c r="J22" s="18">
        <f t="shared" si="12"/>
        <v>216661.04</v>
      </c>
      <c r="K22" s="18">
        <f t="shared" si="12"/>
        <v>184521.28</v>
      </c>
      <c r="L22" s="18">
        <f t="shared" si="12"/>
        <v>159913.01</v>
      </c>
      <c r="M22" s="18">
        <f t="shared" si="12"/>
        <v>124168.45000000001</v>
      </c>
      <c r="N22" s="18">
        <f t="shared" si="12"/>
        <v>188731.27000000002</v>
      </c>
      <c r="O22" s="18">
        <f t="shared" si="12"/>
        <v>146793.47000000003</v>
      </c>
      <c r="P22" s="18">
        <f t="shared" si="12"/>
        <v>111470.01000000004</v>
      </c>
      <c r="Q22" s="18">
        <f t="shared" si="12"/>
        <v>78522.060000000041</v>
      </c>
      <c r="R22" s="18">
        <f t="shared" si="12"/>
        <v>164181.85000000003</v>
      </c>
      <c r="S22" s="18">
        <f t="shared" si="12"/>
        <v>105065.60000000003</v>
      </c>
      <c r="T22" s="18">
        <f t="shared" si="12"/>
        <v>211906.00000000003</v>
      </c>
      <c r="U22" s="18">
        <f t="shared" si="12"/>
        <v>168783.88000000003</v>
      </c>
      <c r="V22" s="18">
        <f t="shared" si="12"/>
        <v>107401.07000000004</v>
      </c>
      <c r="W22" s="18">
        <f t="shared" si="12"/>
        <v>102896.92000000004</v>
      </c>
      <c r="X22" s="18">
        <f t="shared" si="12"/>
        <v>37334.040000000037</v>
      </c>
      <c r="Y22" s="18">
        <f t="shared" si="12"/>
        <v>29319.240000000038</v>
      </c>
      <c r="Z22" s="18">
        <f t="shared" si="12"/>
        <v>69061.630000000034</v>
      </c>
      <c r="AA22" s="18">
        <f t="shared" si="12"/>
        <v>84308.000000000029</v>
      </c>
      <c r="AB22" s="18">
        <f t="shared" si="12"/>
        <v>66421.040000000037</v>
      </c>
      <c r="AC22" s="18">
        <f t="shared" si="12"/>
        <v>312246.5</v>
      </c>
      <c r="AD22" s="18">
        <f t="shared" si="12"/>
        <v>365085.14</v>
      </c>
      <c r="AE22" s="18">
        <f t="shared" si="12"/>
        <v>319404.36</v>
      </c>
      <c r="AF22" s="18">
        <f t="shared" si="12"/>
        <v>346661.18999999994</v>
      </c>
      <c r="AG22" s="18">
        <f t="shared" si="12"/>
        <v>259969.19999999998</v>
      </c>
      <c r="AH22" s="18">
        <f t="shared" ref="AH22:BM22" si="13">0+AH14+0+AH21</f>
        <v>272252.43999999994</v>
      </c>
      <c r="AI22" s="18">
        <f t="shared" si="13"/>
        <v>241856.05</v>
      </c>
      <c r="AJ22" s="18">
        <f t="shared" si="13"/>
        <v>228450.32999999996</v>
      </c>
      <c r="AK22" s="18">
        <f t="shared" si="13"/>
        <v>302715.37</v>
      </c>
      <c r="AL22" s="18">
        <f t="shared" si="13"/>
        <v>283294.38999999996</v>
      </c>
      <c r="AM22" s="18">
        <f t="shared" si="13"/>
        <v>259745.17999999996</v>
      </c>
      <c r="AN22" s="18">
        <f t="shared" si="13"/>
        <v>248818.46</v>
      </c>
      <c r="AO22" s="18">
        <f t="shared" si="13"/>
        <v>205039.66999999998</v>
      </c>
      <c r="AP22" s="18">
        <f t="shared" si="13"/>
        <v>196014.99</v>
      </c>
      <c r="AQ22" s="18">
        <f t="shared" si="13"/>
        <v>185671.43</v>
      </c>
      <c r="AR22" s="18">
        <f t="shared" si="13"/>
        <v>176764.79</v>
      </c>
      <c r="AS22" s="18">
        <f t="shared" si="13"/>
        <v>146240.29</v>
      </c>
      <c r="AT22" s="18">
        <f t="shared" si="13"/>
        <v>239944.59</v>
      </c>
      <c r="AU22" s="18">
        <f t="shared" si="13"/>
        <v>370065.44999999995</v>
      </c>
      <c r="AV22" s="18">
        <f t="shared" si="13"/>
        <v>488141.37</v>
      </c>
      <c r="AW22" s="18">
        <f t="shared" si="13"/>
        <v>411285.14</v>
      </c>
      <c r="AX22" s="18">
        <f t="shared" si="13"/>
        <v>514978.96000000008</v>
      </c>
      <c r="AY22" s="18">
        <f t="shared" si="13"/>
        <v>677986.60000000009</v>
      </c>
      <c r="AZ22" s="18">
        <f t="shared" si="13"/>
        <v>843169.72</v>
      </c>
      <c r="BA22" s="18">
        <f t="shared" si="13"/>
        <v>957820.3</v>
      </c>
      <c r="BB22" s="18">
        <f t="shared" si="13"/>
        <v>1116740.1199999999</v>
      </c>
      <c r="BC22" s="18">
        <f t="shared" si="13"/>
        <v>1211833.96</v>
      </c>
      <c r="BD22" s="18">
        <f t="shared" si="13"/>
        <v>499090.1</v>
      </c>
      <c r="BE22" s="18">
        <f t="shared" si="13"/>
        <v>583757.25</v>
      </c>
      <c r="BF22" s="18">
        <f t="shared" si="13"/>
        <v>619556.01</v>
      </c>
      <c r="BG22" s="18">
        <f t="shared" si="13"/>
        <v>700039.85999999987</v>
      </c>
      <c r="BH22" s="18">
        <f t="shared" si="13"/>
        <v>871785.04999999981</v>
      </c>
      <c r="BI22" s="18">
        <f t="shared" si="13"/>
        <v>965003.50999999989</v>
      </c>
      <c r="BJ22" s="18">
        <f t="shared" si="13"/>
        <v>1118856.7999999998</v>
      </c>
      <c r="BK22" s="18">
        <f t="shared" si="13"/>
        <v>1219423.81</v>
      </c>
      <c r="BL22" s="18">
        <f t="shared" si="13"/>
        <v>1374128.7199999997</v>
      </c>
      <c r="BM22" s="18">
        <f t="shared" si="13"/>
        <v>745870.60999999987</v>
      </c>
      <c r="BN22" s="18">
        <f t="shared" ref="BN22:CS22" si="14">0+BN14+0+BN21</f>
        <v>895590.85999999987</v>
      </c>
      <c r="BO22" s="18">
        <f t="shared" si="14"/>
        <v>966121.93999999983</v>
      </c>
      <c r="BP22" s="18">
        <f t="shared" si="14"/>
        <v>1091067.42</v>
      </c>
      <c r="BQ22" s="18">
        <f t="shared" si="14"/>
        <v>567651.52999999991</v>
      </c>
      <c r="BR22" s="18">
        <f t="shared" si="14"/>
        <v>740204.33999999985</v>
      </c>
      <c r="BS22" s="18">
        <f t="shared" si="14"/>
        <v>839296.7699999999</v>
      </c>
      <c r="BT22" s="18">
        <f t="shared" si="14"/>
        <v>955724.52</v>
      </c>
      <c r="BU22" s="18">
        <f t="shared" si="14"/>
        <v>1032868.72</v>
      </c>
      <c r="BV22" s="18">
        <f t="shared" si="14"/>
        <v>1196531.1200000001</v>
      </c>
      <c r="BW22" s="18">
        <f t="shared" si="14"/>
        <v>1326291.0100000002</v>
      </c>
      <c r="BX22" s="18">
        <f t="shared" si="14"/>
        <v>1326291.0100000002</v>
      </c>
    </row>
    <row r="23" spans="1:76" ht="12" thickBot="1" x14ac:dyDescent="0.25">
      <c r="A23" s="5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</row>
    <row r="24" spans="1:76" ht="12.75" thickTop="1" x14ac:dyDescent="0.2">
      <c r="A24" s="19" t="s">
        <v>96</v>
      </c>
      <c r="B24" s="20">
        <f t="shared" ref="B24:AG24" si="15">0+B7+B22+B23+0+0</f>
        <v>300000</v>
      </c>
      <c r="C24" s="20">
        <f t="shared" si="15"/>
        <v>299100</v>
      </c>
      <c r="D24" s="20">
        <f t="shared" si="15"/>
        <v>297462.44</v>
      </c>
      <c r="E24" s="20">
        <f t="shared" si="15"/>
        <v>279991.16000000003</v>
      </c>
      <c r="F24" s="20">
        <f t="shared" si="15"/>
        <v>258259.09000000003</v>
      </c>
      <c r="G24" s="20">
        <f t="shared" si="15"/>
        <v>240185.74000000002</v>
      </c>
      <c r="H24" s="20">
        <f t="shared" si="15"/>
        <v>188644.43000000002</v>
      </c>
      <c r="I24" s="20">
        <f t="shared" si="15"/>
        <v>247527.30000000002</v>
      </c>
      <c r="J24" s="20">
        <f t="shared" si="15"/>
        <v>216661.04</v>
      </c>
      <c r="K24" s="20">
        <f t="shared" si="15"/>
        <v>184521.28</v>
      </c>
      <c r="L24" s="20">
        <f t="shared" si="15"/>
        <v>159913.01</v>
      </c>
      <c r="M24" s="20">
        <f t="shared" si="15"/>
        <v>124168.45000000001</v>
      </c>
      <c r="N24" s="20">
        <f t="shared" si="15"/>
        <v>188731.27000000002</v>
      </c>
      <c r="O24" s="20">
        <f t="shared" si="15"/>
        <v>146793.47000000003</v>
      </c>
      <c r="P24" s="20">
        <f t="shared" si="15"/>
        <v>111470.01000000004</v>
      </c>
      <c r="Q24" s="20">
        <f t="shared" si="15"/>
        <v>78522.060000000041</v>
      </c>
      <c r="R24" s="20">
        <f t="shared" si="15"/>
        <v>164181.85000000003</v>
      </c>
      <c r="S24" s="20">
        <f t="shared" si="15"/>
        <v>105065.60000000003</v>
      </c>
      <c r="T24" s="20">
        <f t="shared" si="15"/>
        <v>211906.00000000003</v>
      </c>
      <c r="U24" s="20">
        <f t="shared" si="15"/>
        <v>168783.88000000003</v>
      </c>
      <c r="V24" s="20">
        <f t="shared" si="15"/>
        <v>107401.07000000004</v>
      </c>
      <c r="W24" s="20">
        <f t="shared" si="15"/>
        <v>102896.92000000004</v>
      </c>
      <c r="X24" s="20">
        <f t="shared" si="15"/>
        <v>37334.040000000037</v>
      </c>
      <c r="Y24" s="20">
        <f t="shared" si="15"/>
        <v>29319.240000000038</v>
      </c>
      <c r="Z24" s="20">
        <f t="shared" si="15"/>
        <v>69061.630000000034</v>
      </c>
      <c r="AA24" s="20">
        <f t="shared" si="15"/>
        <v>84308.000000000029</v>
      </c>
      <c r="AB24" s="20">
        <f t="shared" si="15"/>
        <v>66421.040000000037</v>
      </c>
      <c r="AC24" s="20">
        <f t="shared" si="15"/>
        <v>312246.5</v>
      </c>
      <c r="AD24" s="20">
        <f t="shared" si="15"/>
        <v>365085.14</v>
      </c>
      <c r="AE24" s="20">
        <f t="shared" si="15"/>
        <v>319404.36</v>
      </c>
      <c r="AF24" s="20">
        <f t="shared" si="15"/>
        <v>346661.18999999994</v>
      </c>
      <c r="AG24" s="20">
        <f t="shared" si="15"/>
        <v>259969.19999999998</v>
      </c>
      <c r="AH24" s="20">
        <f t="shared" ref="AH24:BM24" si="16">0+AH7+AH22+AH23+0+0</f>
        <v>272252.43999999994</v>
      </c>
      <c r="AI24" s="20">
        <f t="shared" si="16"/>
        <v>241856.05</v>
      </c>
      <c r="AJ24" s="20">
        <f t="shared" si="16"/>
        <v>228450.32999999996</v>
      </c>
      <c r="AK24" s="20">
        <f t="shared" si="16"/>
        <v>302715.37</v>
      </c>
      <c r="AL24" s="20">
        <f t="shared" si="16"/>
        <v>283294.38999999996</v>
      </c>
      <c r="AM24" s="20">
        <f t="shared" si="16"/>
        <v>259745.17999999996</v>
      </c>
      <c r="AN24" s="20">
        <f t="shared" si="16"/>
        <v>248818.46</v>
      </c>
      <c r="AO24" s="20">
        <f t="shared" si="16"/>
        <v>205039.66999999998</v>
      </c>
      <c r="AP24" s="20">
        <f t="shared" si="16"/>
        <v>196014.99</v>
      </c>
      <c r="AQ24" s="20">
        <f t="shared" si="16"/>
        <v>185671.43</v>
      </c>
      <c r="AR24" s="20">
        <f t="shared" si="16"/>
        <v>176764.79</v>
      </c>
      <c r="AS24" s="20">
        <f t="shared" si="16"/>
        <v>146240.29</v>
      </c>
      <c r="AT24" s="20">
        <f t="shared" si="16"/>
        <v>239944.59</v>
      </c>
      <c r="AU24" s="20">
        <f t="shared" si="16"/>
        <v>370065.44999999995</v>
      </c>
      <c r="AV24" s="20">
        <f t="shared" si="16"/>
        <v>488141.37</v>
      </c>
      <c r="AW24" s="20">
        <f t="shared" si="16"/>
        <v>411285.14</v>
      </c>
      <c r="AX24" s="20">
        <f t="shared" si="16"/>
        <v>514978.96000000008</v>
      </c>
      <c r="AY24" s="20">
        <f t="shared" si="16"/>
        <v>677986.60000000009</v>
      </c>
      <c r="AZ24" s="20">
        <f t="shared" si="16"/>
        <v>843169.72</v>
      </c>
      <c r="BA24" s="20">
        <f t="shared" si="16"/>
        <v>957820.3</v>
      </c>
      <c r="BB24" s="20">
        <f t="shared" si="16"/>
        <v>1116740.1199999999</v>
      </c>
      <c r="BC24" s="20">
        <f t="shared" si="16"/>
        <v>1211833.96</v>
      </c>
      <c r="BD24" s="20">
        <f t="shared" si="16"/>
        <v>499090.1</v>
      </c>
      <c r="BE24" s="20">
        <f t="shared" si="16"/>
        <v>583757.25</v>
      </c>
      <c r="BF24" s="20">
        <f t="shared" si="16"/>
        <v>619556.01</v>
      </c>
      <c r="BG24" s="20">
        <f t="shared" si="16"/>
        <v>700039.85999999987</v>
      </c>
      <c r="BH24" s="20">
        <f t="shared" si="16"/>
        <v>871785.04999999981</v>
      </c>
      <c r="BI24" s="20">
        <f t="shared" si="16"/>
        <v>965003.50999999989</v>
      </c>
      <c r="BJ24" s="20">
        <f t="shared" si="16"/>
        <v>1118856.7999999998</v>
      </c>
      <c r="BK24" s="20">
        <f t="shared" si="16"/>
        <v>1219423.81</v>
      </c>
      <c r="BL24" s="20">
        <f t="shared" si="16"/>
        <v>1374128.7199999997</v>
      </c>
      <c r="BM24" s="20">
        <f t="shared" si="16"/>
        <v>745870.60999999987</v>
      </c>
      <c r="BN24" s="20">
        <f t="shared" ref="BN24:CS24" si="17">0+BN7+BN22+BN23+0+0</f>
        <v>895590.85999999987</v>
      </c>
      <c r="BO24" s="20">
        <f t="shared" si="17"/>
        <v>966121.93999999983</v>
      </c>
      <c r="BP24" s="20">
        <f t="shared" si="17"/>
        <v>1091067.42</v>
      </c>
      <c r="BQ24" s="20">
        <f t="shared" si="17"/>
        <v>567651.52999999991</v>
      </c>
      <c r="BR24" s="20">
        <f t="shared" si="17"/>
        <v>740204.33999999985</v>
      </c>
      <c r="BS24" s="20">
        <f t="shared" si="17"/>
        <v>839296.7699999999</v>
      </c>
      <c r="BT24" s="20">
        <f t="shared" si="17"/>
        <v>955724.52</v>
      </c>
      <c r="BU24" s="20">
        <f t="shared" si="17"/>
        <v>1032868.72</v>
      </c>
      <c r="BV24" s="20">
        <f t="shared" si="17"/>
        <v>1196531.1200000001</v>
      </c>
      <c r="BW24" s="20">
        <f t="shared" si="17"/>
        <v>1326291.0100000002</v>
      </c>
      <c r="BX24" s="20">
        <f t="shared" si="17"/>
        <v>1326291.0100000002</v>
      </c>
    </row>
    <row r="25" spans="1:76" x14ac:dyDescent="0.2">
      <c r="A25" s="21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</row>
    <row r="26" spans="1:76" ht="12.75" x14ac:dyDescent="0.2">
      <c r="A26" s="3" t="s">
        <v>97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</row>
    <row r="27" spans="1:76" ht="12" x14ac:dyDescent="0.2">
      <c r="A27" s="7" t="s">
        <v>98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</row>
    <row r="28" spans="1:76" x14ac:dyDescent="0.2">
      <c r="A28" s="9" t="s">
        <v>99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</row>
    <row r="29" spans="1:76" x14ac:dyDescent="0.2">
      <c r="A29" s="22" t="s">
        <v>100</v>
      </c>
      <c r="B29" s="12">
        <v>300000</v>
      </c>
      <c r="C29" s="12">
        <v>300000</v>
      </c>
      <c r="D29" s="12">
        <v>300000</v>
      </c>
      <c r="E29" s="12">
        <v>300000</v>
      </c>
      <c r="F29" s="12">
        <v>300000</v>
      </c>
      <c r="G29" s="12">
        <v>300000</v>
      </c>
      <c r="H29" s="12">
        <v>300000</v>
      </c>
      <c r="I29" s="12">
        <v>300000</v>
      </c>
      <c r="J29" s="12">
        <v>300000</v>
      </c>
      <c r="K29" s="12">
        <v>300000</v>
      </c>
      <c r="L29" s="12">
        <v>300000</v>
      </c>
      <c r="M29" s="12">
        <v>300000</v>
      </c>
      <c r="N29" s="12">
        <v>300000</v>
      </c>
      <c r="O29" s="12">
        <v>300000</v>
      </c>
      <c r="P29" s="12">
        <v>300000</v>
      </c>
      <c r="Q29" s="12">
        <v>300000</v>
      </c>
      <c r="R29" s="12">
        <v>300000</v>
      </c>
      <c r="S29" s="12">
        <v>300000</v>
      </c>
      <c r="T29" s="12">
        <v>300000</v>
      </c>
      <c r="U29" s="12">
        <v>300000</v>
      </c>
      <c r="V29" s="12">
        <v>300000</v>
      </c>
      <c r="W29" s="12">
        <v>300000</v>
      </c>
      <c r="X29" s="12">
        <v>300000</v>
      </c>
      <c r="Y29" s="12">
        <v>300000</v>
      </c>
      <c r="Z29" s="12">
        <v>300000</v>
      </c>
      <c r="AA29" s="12">
        <v>300000</v>
      </c>
      <c r="AB29" s="12">
        <v>300000</v>
      </c>
      <c r="AC29" s="12">
        <v>300000</v>
      </c>
      <c r="AD29" s="12">
        <v>300000</v>
      </c>
      <c r="AE29" s="12">
        <v>300000</v>
      </c>
      <c r="AF29" s="12">
        <v>300000</v>
      </c>
      <c r="AG29" s="12">
        <v>300000</v>
      </c>
      <c r="AH29" s="12">
        <v>300000</v>
      </c>
      <c r="AI29" s="12">
        <v>300000</v>
      </c>
      <c r="AJ29" s="12">
        <v>300000</v>
      </c>
      <c r="AK29" s="12">
        <v>300000</v>
      </c>
      <c r="AL29" s="12">
        <v>300000</v>
      </c>
      <c r="AM29" s="12">
        <v>300000</v>
      </c>
      <c r="AN29" s="12">
        <v>300000</v>
      </c>
      <c r="AO29" s="12">
        <v>300000</v>
      </c>
      <c r="AP29" s="12">
        <v>300000</v>
      </c>
      <c r="AQ29" s="12">
        <v>300000</v>
      </c>
      <c r="AR29" s="12">
        <v>300000</v>
      </c>
      <c r="AS29" s="12">
        <v>300000</v>
      </c>
      <c r="AT29" s="12">
        <v>300000</v>
      </c>
      <c r="AU29" s="12">
        <v>300000</v>
      </c>
      <c r="AV29" s="12">
        <v>300000</v>
      </c>
      <c r="AW29" s="12">
        <v>300000</v>
      </c>
      <c r="AX29" s="12">
        <v>300000</v>
      </c>
      <c r="AY29" s="12">
        <v>300000</v>
      </c>
      <c r="AZ29" s="12">
        <v>300000</v>
      </c>
      <c r="BA29" s="12">
        <v>300000</v>
      </c>
      <c r="BB29" s="12">
        <v>300000</v>
      </c>
      <c r="BC29" s="12">
        <v>300000</v>
      </c>
      <c r="BD29" s="12">
        <v>300000</v>
      </c>
      <c r="BE29" s="12">
        <v>300000</v>
      </c>
      <c r="BF29" s="12">
        <v>300000</v>
      </c>
      <c r="BG29" s="12">
        <v>300000</v>
      </c>
      <c r="BH29" s="12">
        <v>300000</v>
      </c>
      <c r="BI29" s="12">
        <v>300000</v>
      </c>
      <c r="BJ29" s="12">
        <v>300000</v>
      </c>
      <c r="BK29" s="12">
        <v>300000</v>
      </c>
      <c r="BL29" s="12">
        <v>300000</v>
      </c>
      <c r="BM29" s="12">
        <v>300000</v>
      </c>
      <c r="BN29" s="12">
        <v>300000</v>
      </c>
      <c r="BO29" s="12">
        <v>300000</v>
      </c>
      <c r="BP29" s="12">
        <v>300000</v>
      </c>
      <c r="BQ29" s="12">
        <v>300000</v>
      </c>
      <c r="BR29" s="12">
        <v>300000</v>
      </c>
      <c r="BS29" s="12">
        <v>300000</v>
      </c>
      <c r="BT29" s="12">
        <v>300000</v>
      </c>
      <c r="BU29" s="12">
        <v>300000</v>
      </c>
      <c r="BV29" s="12">
        <v>300000</v>
      </c>
      <c r="BW29" s="12">
        <v>300000</v>
      </c>
      <c r="BX29" s="12">
        <v>300000</v>
      </c>
    </row>
    <row r="30" spans="1:76" x14ac:dyDescent="0.2">
      <c r="A30" s="15" t="s">
        <v>101</v>
      </c>
      <c r="B30" s="16">
        <f t="shared" ref="B30:AG30" si="18">SUM(B29)</f>
        <v>300000</v>
      </c>
      <c r="C30" s="16">
        <f t="shared" si="18"/>
        <v>300000</v>
      </c>
      <c r="D30" s="16">
        <f t="shared" si="18"/>
        <v>300000</v>
      </c>
      <c r="E30" s="16">
        <f t="shared" si="18"/>
        <v>300000</v>
      </c>
      <c r="F30" s="16">
        <f t="shared" si="18"/>
        <v>300000</v>
      </c>
      <c r="G30" s="16">
        <f t="shared" si="18"/>
        <v>300000</v>
      </c>
      <c r="H30" s="16">
        <f t="shared" si="18"/>
        <v>300000</v>
      </c>
      <c r="I30" s="16">
        <f t="shared" si="18"/>
        <v>300000</v>
      </c>
      <c r="J30" s="16">
        <f t="shared" si="18"/>
        <v>300000</v>
      </c>
      <c r="K30" s="16">
        <f t="shared" si="18"/>
        <v>300000</v>
      </c>
      <c r="L30" s="16">
        <f t="shared" si="18"/>
        <v>300000</v>
      </c>
      <c r="M30" s="16">
        <f t="shared" si="18"/>
        <v>300000</v>
      </c>
      <c r="N30" s="16">
        <f t="shared" si="18"/>
        <v>300000</v>
      </c>
      <c r="O30" s="16">
        <f t="shared" si="18"/>
        <v>300000</v>
      </c>
      <c r="P30" s="16">
        <f t="shared" si="18"/>
        <v>300000</v>
      </c>
      <c r="Q30" s="16">
        <f t="shared" si="18"/>
        <v>300000</v>
      </c>
      <c r="R30" s="16">
        <f t="shared" si="18"/>
        <v>300000</v>
      </c>
      <c r="S30" s="16">
        <f t="shared" si="18"/>
        <v>300000</v>
      </c>
      <c r="T30" s="16">
        <f t="shared" si="18"/>
        <v>300000</v>
      </c>
      <c r="U30" s="16">
        <f t="shared" si="18"/>
        <v>300000</v>
      </c>
      <c r="V30" s="16">
        <f t="shared" si="18"/>
        <v>300000</v>
      </c>
      <c r="W30" s="16">
        <f t="shared" si="18"/>
        <v>300000</v>
      </c>
      <c r="X30" s="16">
        <f t="shared" si="18"/>
        <v>300000</v>
      </c>
      <c r="Y30" s="16">
        <f t="shared" si="18"/>
        <v>300000</v>
      </c>
      <c r="Z30" s="16">
        <f t="shared" si="18"/>
        <v>300000</v>
      </c>
      <c r="AA30" s="16">
        <f t="shared" si="18"/>
        <v>300000</v>
      </c>
      <c r="AB30" s="16">
        <f t="shared" si="18"/>
        <v>300000</v>
      </c>
      <c r="AC30" s="16">
        <f t="shared" si="18"/>
        <v>300000</v>
      </c>
      <c r="AD30" s="16">
        <f t="shared" si="18"/>
        <v>300000</v>
      </c>
      <c r="AE30" s="16">
        <f t="shared" si="18"/>
        <v>300000</v>
      </c>
      <c r="AF30" s="16">
        <f t="shared" si="18"/>
        <v>300000</v>
      </c>
      <c r="AG30" s="16">
        <f t="shared" si="18"/>
        <v>300000</v>
      </c>
      <c r="AH30" s="16">
        <f t="shared" ref="AH30:BM30" si="19">SUM(AH29)</f>
        <v>300000</v>
      </c>
      <c r="AI30" s="16">
        <f t="shared" si="19"/>
        <v>300000</v>
      </c>
      <c r="AJ30" s="16">
        <f t="shared" si="19"/>
        <v>300000</v>
      </c>
      <c r="AK30" s="16">
        <f t="shared" si="19"/>
        <v>300000</v>
      </c>
      <c r="AL30" s="16">
        <f t="shared" si="19"/>
        <v>300000</v>
      </c>
      <c r="AM30" s="16">
        <f t="shared" si="19"/>
        <v>300000</v>
      </c>
      <c r="AN30" s="16">
        <f t="shared" si="19"/>
        <v>300000</v>
      </c>
      <c r="AO30" s="16">
        <f t="shared" si="19"/>
        <v>300000</v>
      </c>
      <c r="AP30" s="16">
        <f t="shared" si="19"/>
        <v>300000</v>
      </c>
      <c r="AQ30" s="16">
        <f t="shared" si="19"/>
        <v>300000</v>
      </c>
      <c r="AR30" s="16">
        <f t="shared" si="19"/>
        <v>300000</v>
      </c>
      <c r="AS30" s="16">
        <f t="shared" si="19"/>
        <v>300000</v>
      </c>
      <c r="AT30" s="16">
        <f t="shared" si="19"/>
        <v>300000</v>
      </c>
      <c r="AU30" s="16">
        <f t="shared" si="19"/>
        <v>300000</v>
      </c>
      <c r="AV30" s="16">
        <f t="shared" si="19"/>
        <v>300000</v>
      </c>
      <c r="AW30" s="16">
        <f t="shared" si="19"/>
        <v>300000</v>
      </c>
      <c r="AX30" s="16">
        <f t="shared" si="19"/>
        <v>300000</v>
      </c>
      <c r="AY30" s="16">
        <f t="shared" si="19"/>
        <v>300000</v>
      </c>
      <c r="AZ30" s="16">
        <f t="shared" si="19"/>
        <v>300000</v>
      </c>
      <c r="BA30" s="16">
        <f t="shared" si="19"/>
        <v>300000</v>
      </c>
      <c r="BB30" s="16">
        <f t="shared" si="19"/>
        <v>300000</v>
      </c>
      <c r="BC30" s="16">
        <f t="shared" si="19"/>
        <v>300000</v>
      </c>
      <c r="BD30" s="16">
        <f t="shared" si="19"/>
        <v>300000</v>
      </c>
      <c r="BE30" s="16">
        <f t="shared" si="19"/>
        <v>300000</v>
      </c>
      <c r="BF30" s="16">
        <f t="shared" si="19"/>
        <v>300000</v>
      </c>
      <c r="BG30" s="16">
        <f t="shared" si="19"/>
        <v>300000</v>
      </c>
      <c r="BH30" s="16">
        <f t="shared" si="19"/>
        <v>300000</v>
      </c>
      <c r="BI30" s="16">
        <f t="shared" si="19"/>
        <v>300000</v>
      </c>
      <c r="BJ30" s="16">
        <f t="shared" si="19"/>
        <v>300000</v>
      </c>
      <c r="BK30" s="16">
        <f t="shared" si="19"/>
        <v>300000</v>
      </c>
      <c r="BL30" s="16">
        <f t="shared" si="19"/>
        <v>300000</v>
      </c>
      <c r="BM30" s="16">
        <f t="shared" si="19"/>
        <v>300000</v>
      </c>
      <c r="BN30" s="16">
        <f t="shared" ref="BN30:CS30" si="20">SUM(BN29)</f>
        <v>300000</v>
      </c>
      <c r="BO30" s="16">
        <f t="shared" si="20"/>
        <v>300000</v>
      </c>
      <c r="BP30" s="16">
        <f t="shared" si="20"/>
        <v>300000</v>
      </c>
      <c r="BQ30" s="16">
        <f t="shared" si="20"/>
        <v>300000</v>
      </c>
      <c r="BR30" s="16">
        <f t="shared" si="20"/>
        <v>300000</v>
      </c>
      <c r="BS30" s="16">
        <f t="shared" si="20"/>
        <v>300000</v>
      </c>
      <c r="BT30" s="16">
        <f t="shared" si="20"/>
        <v>300000</v>
      </c>
      <c r="BU30" s="16">
        <f t="shared" si="20"/>
        <v>300000</v>
      </c>
      <c r="BV30" s="16">
        <f t="shared" si="20"/>
        <v>300000</v>
      </c>
      <c r="BW30" s="16">
        <f t="shared" si="20"/>
        <v>300000</v>
      </c>
      <c r="BX30" s="16">
        <f t="shared" si="20"/>
        <v>300000</v>
      </c>
    </row>
    <row r="31" spans="1:76" x14ac:dyDescent="0.2">
      <c r="A31" s="15" t="s">
        <v>102</v>
      </c>
      <c r="B31" s="16">
        <f>0-B32</f>
        <v>0</v>
      </c>
      <c r="C31" s="16">
        <f>+-900-C32</f>
        <v>-900</v>
      </c>
      <c r="D31" s="16">
        <f>+-2537.56-D32</f>
        <v>-2537.56</v>
      </c>
      <c r="E31" s="16">
        <f>+-23859.7-E32</f>
        <v>-23859.7</v>
      </c>
      <c r="F31" s="16">
        <f>+-46198.69-F32</f>
        <v>-46198.69</v>
      </c>
      <c r="G31" s="16">
        <f>+-67134.39-G32</f>
        <v>-67134.39</v>
      </c>
      <c r="H31" s="16">
        <f>+-116149.469999999-H32</f>
        <v>-116149.469999999</v>
      </c>
      <c r="I31" s="16">
        <f>+-61184.3699999999-I32</f>
        <v>-61184.369999999901</v>
      </c>
      <c r="J31" s="16">
        <f>+-91905.5199999999-J32</f>
        <v>-91905.519999999902</v>
      </c>
      <c r="K31" s="16">
        <f>+-123767.419999999-K32</f>
        <v>-123767.41999999899</v>
      </c>
      <c r="L31" s="16">
        <f>+-149383.089999999-L32</f>
        <v>-149383.08999999901</v>
      </c>
      <c r="M31" s="16">
        <f>+-182887.229999999-M32</f>
        <v>-182887.22999999899</v>
      </c>
      <c r="N31" s="16">
        <f>+-118882.449999999-N32</f>
        <v>-118882.44999999899</v>
      </c>
      <c r="O31" s="16">
        <f>+-161620.229999999-O32</f>
        <v>-161620.22999999899</v>
      </c>
      <c r="P31" s="16">
        <f>+-196282.339999999-P32</f>
        <v>-196282.33999999901</v>
      </c>
      <c r="Q31" s="16">
        <f>+-229063.659999999-Q32</f>
        <v>-229063.65999999901</v>
      </c>
      <c r="R31" s="16">
        <f>+-144203.85-R32</f>
        <v>-144203.85</v>
      </c>
      <c r="S31" s="16">
        <f>+-204158.409999999-S32</f>
        <v>-204158.40999999901</v>
      </c>
      <c r="T31" s="16">
        <f>+-97811.1999999999-T32</f>
        <v>-97811.199999999895</v>
      </c>
      <c r="U31" s="16">
        <f>+-142109.299999999-U32</f>
        <v>-142109.299999999</v>
      </c>
      <c r="V31" s="16">
        <f>+-192598.929999999-V32</f>
        <v>-192598.929999999</v>
      </c>
      <c r="W31" s="16">
        <f>+-197103.079999999-W32</f>
        <v>-197103.079999999</v>
      </c>
      <c r="X31" s="16">
        <f>+-262665.959999999-X32</f>
        <v>-262665.95999999897</v>
      </c>
      <c r="Y31" s="16">
        <f>+-271367.899999999-Y32</f>
        <v>-271367.89999999898</v>
      </c>
      <c r="Z31" s="16">
        <f>+-230938.37-Z32</f>
        <v>-230938.37</v>
      </c>
      <c r="AA31" s="16">
        <f>+-215692-AA32</f>
        <v>-215692</v>
      </c>
      <c r="AB31" s="16">
        <f>+-277243.269999999-AB32</f>
        <v>-277243.26999999897</v>
      </c>
      <c r="AC31" s="16">
        <f>+-42834.48-AC32</f>
        <v>-42834.48</v>
      </c>
      <c r="AD31" s="16">
        <f>+-9262.72000000019-AD32</f>
        <v>-9262.7200000001903</v>
      </c>
      <c r="AE31" s="16">
        <f>19404.3599999998-AE32</f>
        <v>19404.3599999998</v>
      </c>
      <c r="AF31" s="16">
        <f>+-74922.7600000002-AF32</f>
        <v>-74922.760000000198</v>
      </c>
      <c r="AG31" s="16">
        <f>+-40030.8000000003-AG32</f>
        <v>-40030.800000000301</v>
      </c>
      <c r="AH31" s="16">
        <f>+-27747.5600000003-AH32</f>
        <v>-27747.5600000003</v>
      </c>
      <c r="AI31" s="16">
        <f>+-58143.9500000002-AI32</f>
        <v>-58143.950000000201</v>
      </c>
      <c r="AJ31" s="16">
        <f>+-71549.6700000004-AJ32</f>
        <v>-71549.670000000406</v>
      </c>
      <c r="AK31" s="16">
        <f>+-85689.3500000004-AK32</f>
        <v>-85689.350000000399</v>
      </c>
      <c r="AL31" s="16">
        <f>+-105110.33-AL32</f>
        <v>-105110.33</v>
      </c>
      <c r="AM31" s="16">
        <f>+-128659.54-AM32</f>
        <v>-128659.54</v>
      </c>
      <c r="AN31" s="16">
        <f>+-139586.26-AN32</f>
        <v>-139586.26</v>
      </c>
      <c r="AO31" s="16">
        <f>+-183623.51-AO32</f>
        <v>-183623.51</v>
      </c>
      <c r="AP31" s="16">
        <f>+-192389.73-AP32</f>
        <v>-192389.73</v>
      </c>
      <c r="AQ31" s="16">
        <f>+-202733.29-AQ32</f>
        <v>-202733.29</v>
      </c>
      <c r="AR31" s="16">
        <f>+-211639.93-AR32</f>
        <v>-211639.93</v>
      </c>
      <c r="AS31" s="16">
        <f>+-242164.43-AS32</f>
        <v>-242164.43</v>
      </c>
      <c r="AT31" s="16">
        <f>+-60055.4100000006-AT32</f>
        <v>-60055.4100000006</v>
      </c>
      <c r="AU31" s="16">
        <f>69120.4499999997-AU32</f>
        <v>69120.449999999706</v>
      </c>
      <c r="AV31" s="16">
        <f>24733.3699999996-AV32</f>
        <v>24733.369999999599</v>
      </c>
      <c r="AW31" s="16">
        <f>+-44687.8600000004-AW32</f>
        <v>-44687.860000000401</v>
      </c>
      <c r="AX31" s="16">
        <f>+-27352.0200000006-AX32</f>
        <v>-27352.020000000601</v>
      </c>
      <c r="AY31" s="16">
        <f>12223.0999999992-AY32</f>
        <v>12223.0999999992</v>
      </c>
      <c r="AZ31" s="16">
        <f>49351.7199999993-AZ32</f>
        <v>49351.719999999303</v>
      </c>
      <c r="BA31" s="16">
        <f>81266.2999999995-BA32</f>
        <v>81266.299999999494</v>
      </c>
      <c r="BB31" s="16">
        <f>103850.119999999-BB32</f>
        <v>103850.11999999901</v>
      </c>
      <c r="BC31" s="16">
        <f>79383.9599999993-BC32</f>
        <v>79383.959999999293</v>
      </c>
      <c r="BD31" s="16">
        <f>85925.0999999993-BD32</f>
        <v>85925.099999999293</v>
      </c>
      <c r="BE31" s="16">
        <f>75575.5199999994-BE32</f>
        <v>75575.519999999393</v>
      </c>
      <c r="BF31" s="16">
        <f>53102.3399999994-BF32</f>
        <v>53102.3399999994</v>
      </c>
      <c r="BG31" s="16">
        <f>37104.8599999996-BG32</f>
        <v>37104.8599999996</v>
      </c>
      <c r="BH31" s="16">
        <f>52683.0499999996-BH32</f>
        <v>52683.049999999603</v>
      </c>
      <c r="BI31" s="16">
        <f>51709.5099999995-BI32</f>
        <v>51709.5099999995</v>
      </c>
      <c r="BJ31" s="16">
        <f>89310.7999999996-BJ32</f>
        <v>89310.799999999595</v>
      </c>
      <c r="BK31" s="16">
        <f>101533.809999999-BK32</f>
        <v>101533.80999999899</v>
      </c>
      <c r="BL31" s="16">
        <f>255513.72-BL32</f>
        <v>255513.72</v>
      </c>
      <c r="BM31" s="16">
        <f>201077.61-BM32</f>
        <v>201077.61</v>
      </c>
      <c r="BN31" s="16">
        <f>218349.86-BN32</f>
        <v>218349.86</v>
      </c>
      <c r="BO31" s="16">
        <f>194335.939999999-BO32</f>
        <v>194335.93999999901</v>
      </c>
      <c r="BP31" s="16">
        <f>185881.42-BP32</f>
        <v>185881.42</v>
      </c>
      <c r="BQ31" s="16">
        <f>183431.53-BQ32</f>
        <v>183431.53</v>
      </c>
      <c r="BR31" s="16">
        <f>202999.339999999-BR32</f>
        <v>183431.52999999901</v>
      </c>
      <c r="BS31" s="16">
        <f>176179.769999999-BS32</f>
        <v>183431.52999999898</v>
      </c>
      <c r="BT31" s="16">
        <f>256832.519999999-BT32</f>
        <v>183431.52999999898</v>
      </c>
      <c r="BU31" s="16">
        <f>281951.719999999-BU32</f>
        <v>178181.52999999898</v>
      </c>
      <c r="BV31" s="16">
        <f>345614.789999999-BV32</f>
        <v>178181.52999999898</v>
      </c>
      <c r="BW31" s="16">
        <f>421310.51-BW32</f>
        <v>183431.53</v>
      </c>
      <c r="BX31" s="16">
        <f>421310.51-BX32</f>
        <v>183431.53</v>
      </c>
    </row>
    <row r="32" spans="1:76" x14ac:dyDescent="0.2">
      <c r="A32" s="9" t="s">
        <v>103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12">
        <v>0</v>
      </c>
      <c r="U32" s="12">
        <v>0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2">
        <v>0</v>
      </c>
      <c r="AK32" s="12">
        <v>0</v>
      </c>
      <c r="AL32" s="12">
        <v>0</v>
      </c>
      <c r="AM32" s="12">
        <v>0</v>
      </c>
      <c r="AN32" s="12">
        <v>0</v>
      </c>
      <c r="AO32" s="12">
        <v>0</v>
      </c>
      <c r="AP32" s="12">
        <v>0</v>
      </c>
      <c r="AQ32" s="12">
        <v>0</v>
      </c>
      <c r="AR32" s="12">
        <v>0</v>
      </c>
      <c r="AS32" s="12">
        <v>0</v>
      </c>
      <c r="AT32" s="12">
        <v>0</v>
      </c>
      <c r="AU32" s="12">
        <v>0</v>
      </c>
      <c r="AV32" s="12">
        <v>0</v>
      </c>
      <c r="AW32" s="12">
        <v>0</v>
      </c>
      <c r="AX32" s="12">
        <v>0</v>
      </c>
      <c r="AY32" s="12">
        <v>0</v>
      </c>
      <c r="AZ32" s="12">
        <v>0</v>
      </c>
      <c r="BA32" s="12">
        <v>0</v>
      </c>
      <c r="BB32" s="12">
        <v>0</v>
      </c>
      <c r="BC32" s="12">
        <v>0</v>
      </c>
      <c r="BD32" s="12">
        <v>0</v>
      </c>
      <c r="BE32" s="12">
        <v>0</v>
      </c>
      <c r="BF32" s="12">
        <v>0</v>
      </c>
      <c r="BG32" s="12">
        <v>0</v>
      </c>
      <c r="BH32" s="12">
        <v>0</v>
      </c>
      <c r="BI32" s="12">
        <v>0</v>
      </c>
      <c r="BJ32" s="12">
        <v>0</v>
      </c>
      <c r="BK32" s="12">
        <v>0</v>
      </c>
      <c r="BL32" s="12">
        <v>0</v>
      </c>
      <c r="BM32" s="12">
        <v>0</v>
      </c>
      <c r="BN32" s="12">
        <v>0</v>
      </c>
      <c r="BO32" s="12">
        <v>0</v>
      </c>
      <c r="BP32" s="12">
        <v>0</v>
      </c>
      <c r="BQ32" s="12">
        <v>0</v>
      </c>
      <c r="BR32" s="12">
        <v>19567.810000000005</v>
      </c>
      <c r="BS32" s="12">
        <v>-7251.7599999999875</v>
      </c>
      <c r="BT32" s="12">
        <v>73400.99000000002</v>
      </c>
      <c r="BU32" s="12">
        <v>103770.19000000002</v>
      </c>
      <c r="BV32" s="12">
        <v>167433.26</v>
      </c>
      <c r="BW32" s="12">
        <v>237878.98</v>
      </c>
      <c r="BX32" s="12">
        <v>237878.98</v>
      </c>
    </row>
    <row r="33" spans="1:76" x14ac:dyDescent="0.2">
      <c r="A33" s="17" t="s">
        <v>104</v>
      </c>
      <c r="B33" s="18">
        <f t="shared" ref="B33:AG33" si="21">B30+0+0+B31+0+B32</f>
        <v>300000</v>
      </c>
      <c r="C33" s="18">
        <f t="shared" si="21"/>
        <v>299100</v>
      </c>
      <c r="D33" s="18">
        <f t="shared" si="21"/>
        <v>297462.44</v>
      </c>
      <c r="E33" s="18">
        <f t="shared" si="21"/>
        <v>276140.3</v>
      </c>
      <c r="F33" s="18">
        <f t="shared" si="21"/>
        <v>253801.31</v>
      </c>
      <c r="G33" s="18">
        <f t="shared" si="21"/>
        <v>232865.61</v>
      </c>
      <c r="H33" s="18">
        <f t="shared" si="21"/>
        <v>183850.53000000102</v>
      </c>
      <c r="I33" s="18">
        <f t="shared" si="21"/>
        <v>238815.63000000009</v>
      </c>
      <c r="J33" s="18">
        <f t="shared" si="21"/>
        <v>208094.4800000001</v>
      </c>
      <c r="K33" s="18">
        <f t="shared" si="21"/>
        <v>176232.58000000101</v>
      </c>
      <c r="L33" s="18">
        <f t="shared" si="21"/>
        <v>150616.91000000099</v>
      </c>
      <c r="M33" s="18">
        <f t="shared" si="21"/>
        <v>117112.77000000101</v>
      </c>
      <c r="N33" s="18">
        <f t="shared" si="21"/>
        <v>181117.55000000101</v>
      </c>
      <c r="O33" s="18">
        <f t="shared" si="21"/>
        <v>138379.77000000101</v>
      </c>
      <c r="P33" s="18">
        <f t="shared" si="21"/>
        <v>103717.66000000099</v>
      </c>
      <c r="Q33" s="18">
        <f t="shared" si="21"/>
        <v>70936.340000000986</v>
      </c>
      <c r="R33" s="18">
        <f t="shared" si="21"/>
        <v>155796.15</v>
      </c>
      <c r="S33" s="18">
        <f t="shared" si="21"/>
        <v>95841.590000000986</v>
      </c>
      <c r="T33" s="18">
        <f t="shared" si="21"/>
        <v>202188.8000000001</v>
      </c>
      <c r="U33" s="18">
        <f t="shared" si="21"/>
        <v>157890.700000001</v>
      </c>
      <c r="V33" s="18">
        <f t="shared" si="21"/>
        <v>107401.070000001</v>
      </c>
      <c r="W33" s="18">
        <f t="shared" si="21"/>
        <v>102896.920000001</v>
      </c>
      <c r="X33" s="18">
        <f t="shared" si="21"/>
        <v>37334.040000001027</v>
      </c>
      <c r="Y33" s="18">
        <f t="shared" si="21"/>
        <v>28632.100000001024</v>
      </c>
      <c r="Z33" s="18">
        <f t="shared" si="21"/>
        <v>69061.63</v>
      </c>
      <c r="AA33" s="18">
        <f t="shared" si="21"/>
        <v>84308</v>
      </c>
      <c r="AB33" s="18">
        <f t="shared" si="21"/>
        <v>22756.730000001029</v>
      </c>
      <c r="AC33" s="18">
        <f t="shared" si="21"/>
        <v>257165.52</v>
      </c>
      <c r="AD33" s="18">
        <f t="shared" si="21"/>
        <v>290737.2799999998</v>
      </c>
      <c r="AE33" s="18">
        <f t="shared" si="21"/>
        <v>319404.35999999981</v>
      </c>
      <c r="AF33" s="18">
        <f t="shared" si="21"/>
        <v>225077.23999999982</v>
      </c>
      <c r="AG33" s="18">
        <f t="shared" si="21"/>
        <v>259969.19999999969</v>
      </c>
      <c r="AH33" s="18">
        <f t="shared" ref="AH33:BM33" si="22">AH30+0+0+AH31+0+AH32</f>
        <v>272252.43999999971</v>
      </c>
      <c r="AI33" s="18">
        <f t="shared" si="22"/>
        <v>241856.04999999981</v>
      </c>
      <c r="AJ33" s="18">
        <f t="shared" si="22"/>
        <v>228450.32999999961</v>
      </c>
      <c r="AK33" s="18">
        <f t="shared" si="22"/>
        <v>214310.64999999962</v>
      </c>
      <c r="AL33" s="18">
        <f t="shared" si="22"/>
        <v>194889.66999999998</v>
      </c>
      <c r="AM33" s="18">
        <f t="shared" si="22"/>
        <v>171340.46000000002</v>
      </c>
      <c r="AN33" s="18">
        <f t="shared" si="22"/>
        <v>160413.74</v>
      </c>
      <c r="AO33" s="18">
        <f t="shared" si="22"/>
        <v>116376.48999999999</v>
      </c>
      <c r="AP33" s="18">
        <f t="shared" si="22"/>
        <v>107610.26999999999</v>
      </c>
      <c r="AQ33" s="18">
        <f t="shared" si="22"/>
        <v>97266.709999999992</v>
      </c>
      <c r="AR33" s="18">
        <f t="shared" si="22"/>
        <v>88360.07</v>
      </c>
      <c r="AS33" s="18">
        <f t="shared" si="22"/>
        <v>57835.570000000007</v>
      </c>
      <c r="AT33" s="18">
        <f t="shared" si="22"/>
        <v>239944.58999999939</v>
      </c>
      <c r="AU33" s="18">
        <f t="shared" si="22"/>
        <v>369120.44999999972</v>
      </c>
      <c r="AV33" s="18">
        <f t="shared" si="22"/>
        <v>324733.36999999959</v>
      </c>
      <c r="AW33" s="18">
        <f t="shared" si="22"/>
        <v>255312.13999999961</v>
      </c>
      <c r="AX33" s="18">
        <f t="shared" si="22"/>
        <v>272647.9799999994</v>
      </c>
      <c r="AY33" s="18">
        <f t="shared" si="22"/>
        <v>312223.09999999922</v>
      </c>
      <c r="AZ33" s="18">
        <f t="shared" si="22"/>
        <v>349351.71999999927</v>
      </c>
      <c r="BA33" s="18">
        <f t="shared" si="22"/>
        <v>381266.29999999946</v>
      </c>
      <c r="BB33" s="18">
        <f t="shared" si="22"/>
        <v>403850.11999999901</v>
      </c>
      <c r="BC33" s="18">
        <f t="shared" si="22"/>
        <v>379383.95999999926</v>
      </c>
      <c r="BD33" s="18">
        <f t="shared" si="22"/>
        <v>385925.09999999928</v>
      </c>
      <c r="BE33" s="18">
        <f t="shared" si="22"/>
        <v>375575.51999999938</v>
      </c>
      <c r="BF33" s="18">
        <f t="shared" si="22"/>
        <v>353102.33999999939</v>
      </c>
      <c r="BG33" s="18">
        <f t="shared" si="22"/>
        <v>337104.85999999958</v>
      </c>
      <c r="BH33" s="18">
        <f t="shared" si="22"/>
        <v>352683.04999999958</v>
      </c>
      <c r="BI33" s="18">
        <f t="shared" si="22"/>
        <v>351709.50999999949</v>
      </c>
      <c r="BJ33" s="18">
        <f t="shared" si="22"/>
        <v>389310.79999999958</v>
      </c>
      <c r="BK33" s="18">
        <f t="shared" si="22"/>
        <v>401533.80999999901</v>
      </c>
      <c r="BL33" s="18">
        <f t="shared" si="22"/>
        <v>555513.72</v>
      </c>
      <c r="BM33" s="18">
        <f t="shared" si="22"/>
        <v>501077.61</v>
      </c>
      <c r="BN33" s="18">
        <f t="shared" ref="BN33:CS33" si="23">BN30+0+0+BN31+0+BN32</f>
        <v>518349.86</v>
      </c>
      <c r="BO33" s="18">
        <f t="shared" si="23"/>
        <v>494335.93999999901</v>
      </c>
      <c r="BP33" s="18">
        <f t="shared" si="23"/>
        <v>485881.42000000004</v>
      </c>
      <c r="BQ33" s="18">
        <f t="shared" si="23"/>
        <v>483431.53</v>
      </c>
      <c r="BR33" s="18">
        <f t="shared" si="23"/>
        <v>502999.33999999898</v>
      </c>
      <c r="BS33" s="18">
        <f t="shared" si="23"/>
        <v>476179.76999999897</v>
      </c>
      <c r="BT33" s="18">
        <f t="shared" si="23"/>
        <v>556832.51999999897</v>
      </c>
      <c r="BU33" s="18">
        <f t="shared" si="23"/>
        <v>581951.71999999904</v>
      </c>
      <c r="BV33" s="18">
        <f t="shared" si="23"/>
        <v>645614.78999999899</v>
      </c>
      <c r="BW33" s="18">
        <f t="shared" si="23"/>
        <v>721310.51</v>
      </c>
      <c r="BX33" s="18">
        <f t="shared" si="23"/>
        <v>721310.51</v>
      </c>
    </row>
    <row r="34" spans="1:76" x14ac:dyDescent="0.2">
      <c r="A34" s="5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</row>
    <row r="35" spans="1:76" x14ac:dyDescent="0.2">
      <c r="A35" s="5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</row>
    <row r="36" spans="1:76" ht="12" x14ac:dyDescent="0.2">
      <c r="A36" s="7" t="s">
        <v>105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</row>
    <row r="37" spans="1:76" x14ac:dyDescent="0.2">
      <c r="A37" s="9" t="s">
        <v>106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</row>
    <row r="38" spans="1:76" x14ac:dyDescent="0.2">
      <c r="A38" s="22" t="s">
        <v>107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2">
        <v>0</v>
      </c>
      <c r="H38" s="12">
        <v>0</v>
      </c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12">
        <v>0</v>
      </c>
      <c r="U38" s="12">
        <v>0</v>
      </c>
      <c r="V38" s="12">
        <v>0</v>
      </c>
      <c r="W38" s="12">
        <v>0</v>
      </c>
      <c r="X38" s="12">
        <v>0</v>
      </c>
      <c r="Y38" s="12">
        <v>0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2">
        <v>0</v>
      </c>
      <c r="AK38" s="12">
        <v>88404.72</v>
      </c>
      <c r="AL38" s="12">
        <v>88404.72</v>
      </c>
      <c r="AM38" s="12">
        <v>88404.72</v>
      </c>
      <c r="AN38" s="12">
        <v>88404.72</v>
      </c>
      <c r="AO38" s="12">
        <v>88404.72</v>
      </c>
      <c r="AP38" s="12">
        <v>88404.72</v>
      </c>
      <c r="AQ38" s="12">
        <v>88404.72</v>
      </c>
      <c r="AR38" s="12">
        <v>88404.72</v>
      </c>
      <c r="AS38" s="12">
        <v>88404.72</v>
      </c>
      <c r="AT38" s="12">
        <v>0</v>
      </c>
      <c r="AU38" s="12">
        <v>0</v>
      </c>
      <c r="AV38" s="12">
        <v>0</v>
      </c>
      <c r="AW38" s="12">
        <v>0</v>
      </c>
      <c r="AX38" s="12">
        <v>0</v>
      </c>
      <c r="AY38" s="12">
        <v>0</v>
      </c>
      <c r="AZ38" s="12">
        <v>0</v>
      </c>
      <c r="BA38" s="12">
        <v>0</v>
      </c>
      <c r="BB38" s="12">
        <v>0</v>
      </c>
      <c r="BC38" s="12">
        <v>0</v>
      </c>
      <c r="BD38" s="12">
        <v>0</v>
      </c>
      <c r="BE38" s="12">
        <v>0</v>
      </c>
      <c r="BF38" s="12">
        <v>0</v>
      </c>
      <c r="BG38" s="12">
        <v>0</v>
      </c>
      <c r="BH38" s="12">
        <v>0</v>
      </c>
      <c r="BI38" s="12">
        <v>0</v>
      </c>
      <c r="BJ38" s="12">
        <v>0</v>
      </c>
      <c r="BK38" s="12">
        <v>0</v>
      </c>
      <c r="BL38" s="12">
        <v>0</v>
      </c>
      <c r="BM38" s="12">
        <v>0</v>
      </c>
      <c r="BN38" s="12">
        <v>0</v>
      </c>
      <c r="BO38" s="12">
        <v>0</v>
      </c>
      <c r="BP38" s="12">
        <v>0</v>
      </c>
      <c r="BQ38" s="12">
        <v>0</v>
      </c>
      <c r="BR38" s="12">
        <v>0</v>
      </c>
      <c r="BS38" s="12">
        <v>0</v>
      </c>
      <c r="BT38" s="12">
        <v>0</v>
      </c>
      <c r="BU38" s="12">
        <v>0</v>
      </c>
      <c r="BV38" s="12">
        <v>0</v>
      </c>
      <c r="BW38" s="12">
        <v>0</v>
      </c>
      <c r="BX38" s="12">
        <v>0</v>
      </c>
    </row>
    <row r="39" spans="1:76" x14ac:dyDescent="0.2">
      <c r="A39" s="15" t="s">
        <v>108</v>
      </c>
      <c r="B39" s="16">
        <f t="shared" ref="B39:AG39" si="24">SUM(B38)</f>
        <v>0</v>
      </c>
      <c r="C39" s="16">
        <f t="shared" si="24"/>
        <v>0</v>
      </c>
      <c r="D39" s="16">
        <f t="shared" si="24"/>
        <v>0</v>
      </c>
      <c r="E39" s="16">
        <f t="shared" si="24"/>
        <v>0</v>
      </c>
      <c r="F39" s="16">
        <f t="shared" si="24"/>
        <v>0</v>
      </c>
      <c r="G39" s="16">
        <f t="shared" si="24"/>
        <v>0</v>
      </c>
      <c r="H39" s="16">
        <f t="shared" si="24"/>
        <v>0</v>
      </c>
      <c r="I39" s="16">
        <f t="shared" si="24"/>
        <v>0</v>
      </c>
      <c r="J39" s="16">
        <f t="shared" si="24"/>
        <v>0</v>
      </c>
      <c r="K39" s="16">
        <f t="shared" si="24"/>
        <v>0</v>
      </c>
      <c r="L39" s="16">
        <f t="shared" si="24"/>
        <v>0</v>
      </c>
      <c r="M39" s="16">
        <f t="shared" si="24"/>
        <v>0</v>
      </c>
      <c r="N39" s="16">
        <f t="shared" si="24"/>
        <v>0</v>
      </c>
      <c r="O39" s="16">
        <f t="shared" si="24"/>
        <v>0</v>
      </c>
      <c r="P39" s="16">
        <f t="shared" si="24"/>
        <v>0</v>
      </c>
      <c r="Q39" s="16">
        <f t="shared" si="24"/>
        <v>0</v>
      </c>
      <c r="R39" s="16">
        <f t="shared" si="24"/>
        <v>0</v>
      </c>
      <c r="S39" s="16">
        <f t="shared" si="24"/>
        <v>0</v>
      </c>
      <c r="T39" s="16">
        <f t="shared" si="24"/>
        <v>0</v>
      </c>
      <c r="U39" s="16">
        <f t="shared" si="24"/>
        <v>0</v>
      </c>
      <c r="V39" s="16">
        <f t="shared" si="24"/>
        <v>0</v>
      </c>
      <c r="W39" s="16">
        <f t="shared" si="24"/>
        <v>0</v>
      </c>
      <c r="X39" s="16">
        <f t="shared" si="24"/>
        <v>0</v>
      </c>
      <c r="Y39" s="16">
        <f t="shared" si="24"/>
        <v>0</v>
      </c>
      <c r="Z39" s="16">
        <f t="shared" si="24"/>
        <v>0</v>
      </c>
      <c r="AA39" s="16">
        <f t="shared" si="24"/>
        <v>0</v>
      </c>
      <c r="AB39" s="16">
        <f t="shared" si="24"/>
        <v>0</v>
      </c>
      <c r="AC39" s="16">
        <f t="shared" si="24"/>
        <v>0</v>
      </c>
      <c r="AD39" s="16">
        <f t="shared" si="24"/>
        <v>0</v>
      </c>
      <c r="AE39" s="16">
        <f t="shared" si="24"/>
        <v>0</v>
      </c>
      <c r="AF39" s="16">
        <f t="shared" si="24"/>
        <v>0</v>
      </c>
      <c r="AG39" s="16">
        <f t="shared" si="24"/>
        <v>0</v>
      </c>
      <c r="AH39" s="16">
        <f t="shared" ref="AH39:BM39" si="25">SUM(AH38)</f>
        <v>0</v>
      </c>
      <c r="AI39" s="16">
        <f t="shared" si="25"/>
        <v>0</v>
      </c>
      <c r="AJ39" s="16">
        <f t="shared" si="25"/>
        <v>0</v>
      </c>
      <c r="AK39" s="16">
        <f t="shared" si="25"/>
        <v>88404.72</v>
      </c>
      <c r="AL39" s="16">
        <f t="shared" si="25"/>
        <v>88404.72</v>
      </c>
      <c r="AM39" s="16">
        <f t="shared" si="25"/>
        <v>88404.72</v>
      </c>
      <c r="AN39" s="16">
        <f t="shared" si="25"/>
        <v>88404.72</v>
      </c>
      <c r="AO39" s="16">
        <f t="shared" si="25"/>
        <v>88404.72</v>
      </c>
      <c r="AP39" s="16">
        <f t="shared" si="25"/>
        <v>88404.72</v>
      </c>
      <c r="AQ39" s="16">
        <f t="shared" si="25"/>
        <v>88404.72</v>
      </c>
      <c r="AR39" s="16">
        <f t="shared" si="25"/>
        <v>88404.72</v>
      </c>
      <c r="AS39" s="16">
        <f t="shared" si="25"/>
        <v>88404.72</v>
      </c>
      <c r="AT39" s="16">
        <f t="shared" si="25"/>
        <v>0</v>
      </c>
      <c r="AU39" s="16">
        <f t="shared" si="25"/>
        <v>0</v>
      </c>
      <c r="AV39" s="16">
        <f t="shared" si="25"/>
        <v>0</v>
      </c>
      <c r="AW39" s="16">
        <f t="shared" si="25"/>
        <v>0</v>
      </c>
      <c r="AX39" s="16">
        <f t="shared" si="25"/>
        <v>0</v>
      </c>
      <c r="AY39" s="16">
        <f t="shared" si="25"/>
        <v>0</v>
      </c>
      <c r="AZ39" s="16">
        <f t="shared" si="25"/>
        <v>0</v>
      </c>
      <c r="BA39" s="16">
        <f t="shared" si="25"/>
        <v>0</v>
      </c>
      <c r="BB39" s="16">
        <f t="shared" si="25"/>
        <v>0</v>
      </c>
      <c r="BC39" s="16">
        <f t="shared" si="25"/>
        <v>0</v>
      </c>
      <c r="BD39" s="16">
        <f t="shared" si="25"/>
        <v>0</v>
      </c>
      <c r="BE39" s="16">
        <f t="shared" si="25"/>
        <v>0</v>
      </c>
      <c r="BF39" s="16">
        <f t="shared" si="25"/>
        <v>0</v>
      </c>
      <c r="BG39" s="16">
        <f t="shared" si="25"/>
        <v>0</v>
      </c>
      <c r="BH39" s="16">
        <f t="shared" si="25"/>
        <v>0</v>
      </c>
      <c r="BI39" s="16">
        <f t="shared" si="25"/>
        <v>0</v>
      </c>
      <c r="BJ39" s="16">
        <f t="shared" si="25"/>
        <v>0</v>
      </c>
      <c r="BK39" s="16">
        <f t="shared" si="25"/>
        <v>0</v>
      </c>
      <c r="BL39" s="16">
        <f t="shared" si="25"/>
        <v>0</v>
      </c>
      <c r="BM39" s="16">
        <f t="shared" si="25"/>
        <v>0</v>
      </c>
      <c r="BN39" s="16">
        <f t="shared" ref="BN39:CS39" si="26">SUM(BN38)</f>
        <v>0</v>
      </c>
      <c r="BO39" s="16">
        <f t="shared" si="26"/>
        <v>0</v>
      </c>
      <c r="BP39" s="16">
        <f t="shared" si="26"/>
        <v>0</v>
      </c>
      <c r="BQ39" s="16">
        <f t="shared" si="26"/>
        <v>0</v>
      </c>
      <c r="BR39" s="16">
        <f t="shared" si="26"/>
        <v>0</v>
      </c>
      <c r="BS39" s="16">
        <f t="shared" si="26"/>
        <v>0</v>
      </c>
      <c r="BT39" s="16">
        <f t="shared" si="26"/>
        <v>0</v>
      </c>
      <c r="BU39" s="16">
        <f t="shared" si="26"/>
        <v>0</v>
      </c>
      <c r="BV39" s="16">
        <f t="shared" si="26"/>
        <v>0</v>
      </c>
      <c r="BW39" s="16">
        <f t="shared" si="26"/>
        <v>0</v>
      </c>
      <c r="BX39" s="16">
        <f t="shared" si="26"/>
        <v>0</v>
      </c>
    </row>
    <row r="40" spans="1:76" x14ac:dyDescent="0.2">
      <c r="A40" s="9" t="s">
        <v>109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</row>
    <row r="41" spans="1:76" x14ac:dyDescent="0.2">
      <c r="A41" s="22" t="s">
        <v>110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2">
        <v>3000</v>
      </c>
      <c r="H41" s="12">
        <v>0</v>
      </c>
      <c r="I41" s="12">
        <v>0</v>
      </c>
      <c r="J41" s="12">
        <v>0</v>
      </c>
      <c r="K41" s="12">
        <v>0</v>
      </c>
      <c r="L41" s="12">
        <v>0</v>
      </c>
      <c r="M41" s="12">
        <v>0</v>
      </c>
      <c r="N41" s="12">
        <v>0</v>
      </c>
      <c r="O41" s="12">
        <v>0</v>
      </c>
      <c r="P41" s="12">
        <v>0</v>
      </c>
      <c r="Q41" s="12">
        <v>0</v>
      </c>
      <c r="R41" s="12">
        <v>0</v>
      </c>
      <c r="S41" s="12">
        <v>0</v>
      </c>
      <c r="T41" s="12">
        <v>0</v>
      </c>
      <c r="U41" s="12">
        <v>0</v>
      </c>
      <c r="V41" s="12">
        <v>0</v>
      </c>
      <c r="W41" s="12">
        <v>0</v>
      </c>
      <c r="X41" s="12">
        <v>0</v>
      </c>
      <c r="Y41" s="12">
        <v>0</v>
      </c>
      <c r="Z41" s="12">
        <v>0</v>
      </c>
      <c r="AA41" s="12">
        <v>0</v>
      </c>
      <c r="AB41" s="12">
        <v>43664.31</v>
      </c>
      <c r="AC41" s="12">
        <v>53664.31</v>
      </c>
      <c r="AD41" s="12">
        <v>74347.86</v>
      </c>
      <c r="AE41" s="12">
        <v>0</v>
      </c>
      <c r="AF41" s="12">
        <v>121583.95</v>
      </c>
      <c r="AG41" s="12">
        <v>0</v>
      </c>
      <c r="AH41" s="12">
        <v>0</v>
      </c>
      <c r="AI41" s="12">
        <v>0</v>
      </c>
      <c r="AJ41" s="12">
        <v>0</v>
      </c>
      <c r="AK41" s="12">
        <v>0</v>
      </c>
      <c r="AL41" s="12">
        <v>0</v>
      </c>
      <c r="AM41" s="12">
        <v>0</v>
      </c>
      <c r="AN41" s="12">
        <v>0</v>
      </c>
      <c r="AO41" s="12">
        <v>0</v>
      </c>
      <c r="AP41" s="12">
        <v>0</v>
      </c>
      <c r="AQ41" s="12">
        <v>0</v>
      </c>
      <c r="AR41" s="12">
        <v>0</v>
      </c>
      <c r="AS41" s="12">
        <v>0</v>
      </c>
      <c r="AT41" s="12">
        <v>0</v>
      </c>
      <c r="AU41" s="12">
        <v>945</v>
      </c>
      <c r="AV41" s="12">
        <v>0</v>
      </c>
      <c r="AW41" s="12">
        <v>0</v>
      </c>
      <c r="AX41" s="12">
        <v>949.48</v>
      </c>
      <c r="AY41" s="12">
        <v>-9.9999999999909051E-3</v>
      </c>
      <c r="AZ41" s="12">
        <v>-9.9999999999909051E-3</v>
      </c>
      <c r="BA41" s="12">
        <v>9.0951551845463996E-15</v>
      </c>
      <c r="BB41" s="12">
        <v>9.0951551845463996E-15</v>
      </c>
      <c r="BC41" s="12">
        <v>1.0000000000009095E-2</v>
      </c>
      <c r="BD41" s="12">
        <v>9.0951551845463996E-15</v>
      </c>
      <c r="BE41" s="12">
        <v>199.53</v>
      </c>
      <c r="BF41" s="12">
        <v>188.67000000000002</v>
      </c>
      <c r="BG41" s="12">
        <v>2.8421709430404007E-14</v>
      </c>
      <c r="BH41" s="12">
        <v>2.8421709430404007E-14</v>
      </c>
      <c r="BI41" s="12">
        <v>1.0000000000028422E-2</v>
      </c>
      <c r="BJ41" s="12">
        <v>4.0000000000028423E-2</v>
      </c>
      <c r="BK41" s="12">
        <v>3.0000000000028421E-2</v>
      </c>
      <c r="BL41" s="12">
        <v>-9.9999999999715802E-3</v>
      </c>
      <c r="BM41" s="12">
        <v>-9.9999999999715802E-3</v>
      </c>
      <c r="BN41" s="12">
        <v>2.8419974706928031E-14</v>
      </c>
      <c r="BO41" s="12">
        <v>-9.9999999999715802E-3</v>
      </c>
      <c r="BP41" s="12">
        <v>2.0000000000028419E-2</v>
      </c>
      <c r="BQ41" s="12">
        <v>5650.81</v>
      </c>
      <c r="BR41" s="12">
        <v>5250.01</v>
      </c>
      <c r="BS41" s="12">
        <v>5250</v>
      </c>
      <c r="BT41" s="12">
        <v>-2354</v>
      </c>
      <c r="BU41" s="12">
        <v>-2354.0100000000002</v>
      </c>
      <c r="BV41" s="12">
        <v>7921.3099999999995</v>
      </c>
      <c r="BW41" s="12">
        <v>3372.5099999999993</v>
      </c>
      <c r="BX41" s="12">
        <v>3372.5099999999993</v>
      </c>
    </row>
    <row r="42" spans="1:76" x14ac:dyDescent="0.2">
      <c r="A42" s="15" t="s">
        <v>111</v>
      </c>
      <c r="B42" s="16">
        <f t="shared" ref="B42:AG42" si="27">SUM(B41)</f>
        <v>0</v>
      </c>
      <c r="C42" s="16">
        <f t="shared" si="27"/>
        <v>0</v>
      </c>
      <c r="D42" s="16">
        <f t="shared" si="27"/>
        <v>0</v>
      </c>
      <c r="E42" s="16">
        <f t="shared" si="27"/>
        <v>0</v>
      </c>
      <c r="F42" s="16">
        <f t="shared" si="27"/>
        <v>0</v>
      </c>
      <c r="G42" s="16">
        <f t="shared" si="27"/>
        <v>3000</v>
      </c>
      <c r="H42" s="16">
        <f t="shared" si="27"/>
        <v>0</v>
      </c>
      <c r="I42" s="16">
        <f t="shared" si="27"/>
        <v>0</v>
      </c>
      <c r="J42" s="16">
        <f t="shared" si="27"/>
        <v>0</v>
      </c>
      <c r="K42" s="16">
        <f t="shared" si="27"/>
        <v>0</v>
      </c>
      <c r="L42" s="16">
        <f t="shared" si="27"/>
        <v>0</v>
      </c>
      <c r="M42" s="16">
        <f t="shared" si="27"/>
        <v>0</v>
      </c>
      <c r="N42" s="16">
        <f t="shared" si="27"/>
        <v>0</v>
      </c>
      <c r="O42" s="16">
        <f t="shared" si="27"/>
        <v>0</v>
      </c>
      <c r="P42" s="16">
        <f t="shared" si="27"/>
        <v>0</v>
      </c>
      <c r="Q42" s="16">
        <f t="shared" si="27"/>
        <v>0</v>
      </c>
      <c r="R42" s="16">
        <f t="shared" si="27"/>
        <v>0</v>
      </c>
      <c r="S42" s="16">
        <f t="shared" si="27"/>
        <v>0</v>
      </c>
      <c r="T42" s="16">
        <f t="shared" si="27"/>
        <v>0</v>
      </c>
      <c r="U42" s="16">
        <f t="shared" si="27"/>
        <v>0</v>
      </c>
      <c r="V42" s="16">
        <f t="shared" si="27"/>
        <v>0</v>
      </c>
      <c r="W42" s="16">
        <f t="shared" si="27"/>
        <v>0</v>
      </c>
      <c r="X42" s="16">
        <f t="shared" si="27"/>
        <v>0</v>
      </c>
      <c r="Y42" s="16">
        <f t="shared" si="27"/>
        <v>0</v>
      </c>
      <c r="Z42" s="16">
        <f t="shared" si="27"/>
        <v>0</v>
      </c>
      <c r="AA42" s="16">
        <f t="shared" si="27"/>
        <v>0</v>
      </c>
      <c r="AB42" s="16">
        <f t="shared" si="27"/>
        <v>43664.31</v>
      </c>
      <c r="AC42" s="16">
        <f t="shared" si="27"/>
        <v>53664.31</v>
      </c>
      <c r="AD42" s="16">
        <f t="shared" si="27"/>
        <v>74347.86</v>
      </c>
      <c r="AE42" s="16">
        <f t="shared" si="27"/>
        <v>0</v>
      </c>
      <c r="AF42" s="16">
        <f t="shared" si="27"/>
        <v>121583.95</v>
      </c>
      <c r="AG42" s="16">
        <f t="shared" si="27"/>
        <v>0</v>
      </c>
      <c r="AH42" s="16">
        <f t="shared" ref="AH42:BM42" si="28">SUM(AH41)</f>
        <v>0</v>
      </c>
      <c r="AI42" s="16">
        <f t="shared" si="28"/>
        <v>0</v>
      </c>
      <c r="AJ42" s="16">
        <f t="shared" si="28"/>
        <v>0</v>
      </c>
      <c r="AK42" s="16">
        <f t="shared" si="28"/>
        <v>0</v>
      </c>
      <c r="AL42" s="16">
        <f t="shared" si="28"/>
        <v>0</v>
      </c>
      <c r="AM42" s="16">
        <f t="shared" si="28"/>
        <v>0</v>
      </c>
      <c r="AN42" s="16">
        <f t="shared" si="28"/>
        <v>0</v>
      </c>
      <c r="AO42" s="16">
        <f t="shared" si="28"/>
        <v>0</v>
      </c>
      <c r="AP42" s="16">
        <f t="shared" si="28"/>
        <v>0</v>
      </c>
      <c r="AQ42" s="16">
        <f t="shared" si="28"/>
        <v>0</v>
      </c>
      <c r="AR42" s="16">
        <f t="shared" si="28"/>
        <v>0</v>
      </c>
      <c r="AS42" s="16">
        <f t="shared" si="28"/>
        <v>0</v>
      </c>
      <c r="AT42" s="16">
        <f t="shared" si="28"/>
        <v>0</v>
      </c>
      <c r="AU42" s="16">
        <f t="shared" si="28"/>
        <v>945</v>
      </c>
      <c r="AV42" s="16">
        <f t="shared" si="28"/>
        <v>0</v>
      </c>
      <c r="AW42" s="16">
        <f t="shared" si="28"/>
        <v>0</v>
      </c>
      <c r="AX42" s="16">
        <f t="shared" si="28"/>
        <v>949.48</v>
      </c>
      <c r="AY42" s="16">
        <f t="shared" si="28"/>
        <v>-9.9999999999909051E-3</v>
      </c>
      <c r="AZ42" s="16">
        <f t="shared" si="28"/>
        <v>-9.9999999999909051E-3</v>
      </c>
      <c r="BA42" s="16">
        <f t="shared" si="28"/>
        <v>9.0951551845463996E-15</v>
      </c>
      <c r="BB42" s="16">
        <f t="shared" si="28"/>
        <v>9.0951551845463996E-15</v>
      </c>
      <c r="BC42" s="16">
        <f t="shared" si="28"/>
        <v>1.0000000000009095E-2</v>
      </c>
      <c r="BD42" s="16">
        <f t="shared" si="28"/>
        <v>9.0951551845463996E-15</v>
      </c>
      <c r="BE42" s="16">
        <f t="shared" si="28"/>
        <v>199.53</v>
      </c>
      <c r="BF42" s="16">
        <f t="shared" si="28"/>
        <v>188.67000000000002</v>
      </c>
      <c r="BG42" s="16">
        <f t="shared" si="28"/>
        <v>2.8421709430404007E-14</v>
      </c>
      <c r="BH42" s="16">
        <f t="shared" si="28"/>
        <v>2.8421709430404007E-14</v>
      </c>
      <c r="BI42" s="16">
        <f t="shared" si="28"/>
        <v>1.0000000000028422E-2</v>
      </c>
      <c r="BJ42" s="16">
        <f t="shared" si="28"/>
        <v>4.0000000000028423E-2</v>
      </c>
      <c r="BK42" s="16">
        <f t="shared" si="28"/>
        <v>3.0000000000028421E-2</v>
      </c>
      <c r="BL42" s="16">
        <f t="shared" si="28"/>
        <v>-9.9999999999715802E-3</v>
      </c>
      <c r="BM42" s="16">
        <f t="shared" si="28"/>
        <v>-9.9999999999715802E-3</v>
      </c>
      <c r="BN42" s="16">
        <f t="shared" ref="BN42:CS42" si="29">SUM(BN41)</f>
        <v>2.8419974706928031E-14</v>
      </c>
      <c r="BO42" s="16">
        <f t="shared" si="29"/>
        <v>-9.9999999999715802E-3</v>
      </c>
      <c r="BP42" s="16">
        <f t="shared" si="29"/>
        <v>2.0000000000028419E-2</v>
      </c>
      <c r="BQ42" s="16">
        <f t="shared" si="29"/>
        <v>5650.81</v>
      </c>
      <c r="BR42" s="16">
        <f t="shared" si="29"/>
        <v>5250.01</v>
      </c>
      <c r="BS42" s="16">
        <f t="shared" si="29"/>
        <v>5250</v>
      </c>
      <c r="BT42" s="16">
        <f t="shared" si="29"/>
        <v>-2354</v>
      </c>
      <c r="BU42" s="16">
        <f t="shared" si="29"/>
        <v>-2354.0100000000002</v>
      </c>
      <c r="BV42" s="16">
        <f t="shared" si="29"/>
        <v>7921.3099999999995</v>
      </c>
      <c r="BW42" s="16">
        <f t="shared" si="29"/>
        <v>3372.5099999999993</v>
      </c>
      <c r="BX42" s="16">
        <f t="shared" si="29"/>
        <v>3372.5099999999993</v>
      </c>
    </row>
    <row r="43" spans="1:76" x14ac:dyDescent="0.2">
      <c r="A43" s="9" t="s">
        <v>112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</row>
    <row r="44" spans="1:76" x14ac:dyDescent="0.2">
      <c r="A44" s="22" t="s">
        <v>113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2">
        <v>0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12">
        <v>0</v>
      </c>
      <c r="U44" s="12">
        <v>0</v>
      </c>
      <c r="V44" s="12">
        <v>0</v>
      </c>
      <c r="W44" s="12">
        <v>0</v>
      </c>
      <c r="X44" s="12">
        <v>0</v>
      </c>
      <c r="Y44" s="12">
        <v>0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2">
        <v>0</v>
      </c>
      <c r="AK44" s="12">
        <v>0</v>
      </c>
      <c r="AL44" s="12">
        <v>0</v>
      </c>
      <c r="AM44" s="12">
        <v>0</v>
      </c>
      <c r="AN44" s="12">
        <v>0</v>
      </c>
      <c r="AO44" s="12">
        <v>0</v>
      </c>
      <c r="AP44" s="12">
        <v>0</v>
      </c>
      <c r="AQ44" s="12">
        <v>0</v>
      </c>
      <c r="AR44" s="12">
        <v>0</v>
      </c>
      <c r="AS44" s="12">
        <v>0</v>
      </c>
      <c r="AT44" s="12">
        <v>0</v>
      </c>
      <c r="AU44" s="12">
        <v>0</v>
      </c>
      <c r="AV44" s="12">
        <v>162908</v>
      </c>
      <c r="AW44" s="12">
        <v>155973</v>
      </c>
      <c r="AX44" s="12">
        <v>241381.5</v>
      </c>
      <c r="AY44" s="12">
        <v>365763.51</v>
      </c>
      <c r="AZ44" s="12">
        <v>493818.01</v>
      </c>
      <c r="BA44" s="12">
        <v>576554</v>
      </c>
      <c r="BB44" s="12">
        <v>712890</v>
      </c>
      <c r="BC44" s="12">
        <v>832449.99</v>
      </c>
      <c r="BD44" s="12">
        <v>113165</v>
      </c>
      <c r="BE44" s="12">
        <v>207982.2</v>
      </c>
      <c r="BF44" s="12">
        <v>266265</v>
      </c>
      <c r="BG44" s="12">
        <v>362935</v>
      </c>
      <c r="BH44" s="12">
        <v>519102</v>
      </c>
      <c r="BI44" s="12">
        <v>613293.99</v>
      </c>
      <c r="BJ44" s="12">
        <v>729545.96</v>
      </c>
      <c r="BK44" s="12">
        <v>817889.97</v>
      </c>
      <c r="BL44" s="12">
        <v>818615.01</v>
      </c>
      <c r="BM44" s="12">
        <v>244793.01</v>
      </c>
      <c r="BN44" s="12">
        <v>377241</v>
      </c>
      <c r="BO44" s="12">
        <v>471786.01</v>
      </c>
      <c r="BP44" s="12">
        <v>605185.98</v>
      </c>
      <c r="BQ44" s="12">
        <v>78569.189999999944</v>
      </c>
      <c r="BR44" s="12">
        <v>231954.98999999993</v>
      </c>
      <c r="BS44" s="12">
        <v>357866.99999999994</v>
      </c>
      <c r="BT44" s="12">
        <v>401245.99999999994</v>
      </c>
      <c r="BU44" s="12">
        <v>453271.00999999995</v>
      </c>
      <c r="BV44" s="12">
        <v>542995.0199999999</v>
      </c>
      <c r="BW44" s="12">
        <v>601607.98999999987</v>
      </c>
      <c r="BX44" s="12">
        <v>601607.98999999987</v>
      </c>
    </row>
    <row r="45" spans="1:76" x14ac:dyDescent="0.2">
      <c r="A45" s="15" t="s">
        <v>114</v>
      </c>
      <c r="B45" s="16">
        <f t="shared" ref="B45:AG45" si="30">SUM(B44)</f>
        <v>0</v>
      </c>
      <c r="C45" s="16">
        <f t="shared" si="30"/>
        <v>0</v>
      </c>
      <c r="D45" s="16">
        <f t="shared" si="30"/>
        <v>0</v>
      </c>
      <c r="E45" s="16">
        <f t="shared" si="30"/>
        <v>0</v>
      </c>
      <c r="F45" s="16">
        <f t="shared" si="30"/>
        <v>0</v>
      </c>
      <c r="G45" s="16">
        <f t="shared" si="30"/>
        <v>0</v>
      </c>
      <c r="H45" s="16">
        <f t="shared" si="30"/>
        <v>0</v>
      </c>
      <c r="I45" s="16">
        <f t="shared" si="30"/>
        <v>0</v>
      </c>
      <c r="J45" s="16">
        <f t="shared" si="30"/>
        <v>0</v>
      </c>
      <c r="K45" s="16">
        <f t="shared" si="30"/>
        <v>0</v>
      </c>
      <c r="L45" s="16">
        <f t="shared" si="30"/>
        <v>0</v>
      </c>
      <c r="M45" s="16">
        <f t="shared" si="30"/>
        <v>0</v>
      </c>
      <c r="N45" s="16">
        <f t="shared" si="30"/>
        <v>0</v>
      </c>
      <c r="O45" s="16">
        <f t="shared" si="30"/>
        <v>0</v>
      </c>
      <c r="P45" s="16">
        <f t="shared" si="30"/>
        <v>0</v>
      </c>
      <c r="Q45" s="16">
        <f t="shared" si="30"/>
        <v>0</v>
      </c>
      <c r="R45" s="16">
        <f t="shared" si="30"/>
        <v>0</v>
      </c>
      <c r="S45" s="16">
        <f t="shared" si="30"/>
        <v>0</v>
      </c>
      <c r="T45" s="16">
        <f t="shared" si="30"/>
        <v>0</v>
      </c>
      <c r="U45" s="16">
        <f t="shared" si="30"/>
        <v>0</v>
      </c>
      <c r="V45" s="16">
        <f t="shared" si="30"/>
        <v>0</v>
      </c>
      <c r="W45" s="16">
        <f t="shared" si="30"/>
        <v>0</v>
      </c>
      <c r="X45" s="16">
        <f t="shared" si="30"/>
        <v>0</v>
      </c>
      <c r="Y45" s="16">
        <f t="shared" si="30"/>
        <v>0</v>
      </c>
      <c r="Z45" s="16">
        <f t="shared" si="30"/>
        <v>0</v>
      </c>
      <c r="AA45" s="16">
        <f t="shared" si="30"/>
        <v>0</v>
      </c>
      <c r="AB45" s="16">
        <f t="shared" si="30"/>
        <v>0</v>
      </c>
      <c r="AC45" s="16">
        <f t="shared" si="30"/>
        <v>0</v>
      </c>
      <c r="AD45" s="16">
        <f t="shared" si="30"/>
        <v>0</v>
      </c>
      <c r="AE45" s="16">
        <f t="shared" si="30"/>
        <v>0</v>
      </c>
      <c r="AF45" s="16">
        <f t="shared" si="30"/>
        <v>0</v>
      </c>
      <c r="AG45" s="16">
        <f t="shared" si="30"/>
        <v>0</v>
      </c>
      <c r="AH45" s="16">
        <f t="shared" ref="AH45:BM45" si="31">SUM(AH44)</f>
        <v>0</v>
      </c>
      <c r="AI45" s="16">
        <f t="shared" si="31"/>
        <v>0</v>
      </c>
      <c r="AJ45" s="16">
        <f t="shared" si="31"/>
        <v>0</v>
      </c>
      <c r="AK45" s="16">
        <f t="shared" si="31"/>
        <v>0</v>
      </c>
      <c r="AL45" s="16">
        <f t="shared" si="31"/>
        <v>0</v>
      </c>
      <c r="AM45" s="16">
        <f t="shared" si="31"/>
        <v>0</v>
      </c>
      <c r="AN45" s="16">
        <f t="shared" si="31"/>
        <v>0</v>
      </c>
      <c r="AO45" s="16">
        <f t="shared" si="31"/>
        <v>0</v>
      </c>
      <c r="AP45" s="16">
        <f t="shared" si="31"/>
        <v>0</v>
      </c>
      <c r="AQ45" s="16">
        <f t="shared" si="31"/>
        <v>0</v>
      </c>
      <c r="AR45" s="16">
        <f t="shared" si="31"/>
        <v>0</v>
      </c>
      <c r="AS45" s="16">
        <f t="shared" si="31"/>
        <v>0</v>
      </c>
      <c r="AT45" s="16">
        <f t="shared" si="31"/>
        <v>0</v>
      </c>
      <c r="AU45" s="16">
        <f t="shared" si="31"/>
        <v>0</v>
      </c>
      <c r="AV45" s="16">
        <f t="shared" si="31"/>
        <v>162908</v>
      </c>
      <c r="AW45" s="16">
        <f t="shared" si="31"/>
        <v>155973</v>
      </c>
      <c r="AX45" s="16">
        <f t="shared" si="31"/>
        <v>241381.5</v>
      </c>
      <c r="AY45" s="16">
        <f t="shared" si="31"/>
        <v>365763.51</v>
      </c>
      <c r="AZ45" s="16">
        <f t="shared" si="31"/>
        <v>493818.01</v>
      </c>
      <c r="BA45" s="16">
        <f t="shared" si="31"/>
        <v>576554</v>
      </c>
      <c r="BB45" s="16">
        <f t="shared" si="31"/>
        <v>712890</v>
      </c>
      <c r="BC45" s="16">
        <f t="shared" si="31"/>
        <v>832449.99</v>
      </c>
      <c r="BD45" s="16">
        <f t="shared" si="31"/>
        <v>113165</v>
      </c>
      <c r="BE45" s="16">
        <f t="shared" si="31"/>
        <v>207982.2</v>
      </c>
      <c r="BF45" s="16">
        <f t="shared" si="31"/>
        <v>266265</v>
      </c>
      <c r="BG45" s="16">
        <f t="shared" si="31"/>
        <v>362935</v>
      </c>
      <c r="BH45" s="16">
        <f t="shared" si="31"/>
        <v>519102</v>
      </c>
      <c r="BI45" s="16">
        <f t="shared" si="31"/>
        <v>613293.99</v>
      </c>
      <c r="BJ45" s="16">
        <f t="shared" si="31"/>
        <v>729545.96</v>
      </c>
      <c r="BK45" s="16">
        <f t="shared" si="31"/>
        <v>817889.97</v>
      </c>
      <c r="BL45" s="16">
        <f t="shared" si="31"/>
        <v>818615.01</v>
      </c>
      <c r="BM45" s="16">
        <f t="shared" si="31"/>
        <v>244793.01</v>
      </c>
      <c r="BN45" s="16">
        <f t="shared" ref="BN45:CS45" si="32">SUM(BN44)</f>
        <v>377241</v>
      </c>
      <c r="BO45" s="16">
        <f t="shared" si="32"/>
        <v>471786.01</v>
      </c>
      <c r="BP45" s="16">
        <f t="shared" si="32"/>
        <v>605185.98</v>
      </c>
      <c r="BQ45" s="16">
        <f t="shared" si="32"/>
        <v>78569.189999999944</v>
      </c>
      <c r="BR45" s="16">
        <f t="shared" si="32"/>
        <v>231954.98999999993</v>
      </c>
      <c r="BS45" s="16">
        <f t="shared" si="32"/>
        <v>357866.99999999994</v>
      </c>
      <c r="BT45" s="16">
        <f t="shared" si="32"/>
        <v>401245.99999999994</v>
      </c>
      <c r="BU45" s="16">
        <f t="shared" si="32"/>
        <v>453271.00999999995</v>
      </c>
      <c r="BV45" s="16">
        <f t="shared" si="32"/>
        <v>542995.0199999999</v>
      </c>
      <c r="BW45" s="16">
        <f t="shared" si="32"/>
        <v>601607.98999999987</v>
      </c>
      <c r="BX45" s="16">
        <f t="shared" si="32"/>
        <v>601607.98999999987</v>
      </c>
    </row>
    <row r="46" spans="1:76" x14ac:dyDescent="0.2">
      <c r="A46" s="9" t="s">
        <v>115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</row>
    <row r="47" spans="1:76" x14ac:dyDescent="0.2">
      <c r="A47" s="22" t="s">
        <v>116</v>
      </c>
      <c r="B47" s="12">
        <v>0</v>
      </c>
      <c r="C47" s="12">
        <v>0</v>
      </c>
      <c r="D47" s="12">
        <v>0</v>
      </c>
      <c r="E47" s="12">
        <v>-1126.31</v>
      </c>
      <c r="F47" s="12">
        <v>-1045.3899999999999</v>
      </c>
      <c r="G47" s="12">
        <v>-393.28999999999985</v>
      </c>
      <c r="H47" s="12">
        <v>-870.11999999999989</v>
      </c>
      <c r="I47" s="12">
        <v>1.1368683772161603E-13</v>
      </c>
      <c r="J47" s="12">
        <v>-498.18999999999988</v>
      </c>
      <c r="K47" s="12">
        <v>1.1368683772161603E-13</v>
      </c>
      <c r="L47" s="12">
        <v>1.1368683772161603E-13</v>
      </c>
      <c r="M47" s="12">
        <v>1.1368683772161603E-13</v>
      </c>
      <c r="N47" s="12">
        <v>1.1368683772161603E-13</v>
      </c>
      <c r="O47" s="12">
        <v>1.1368683772161603E-13</v>
      </c>
      <c r="P47" s="12">
        <v>1.1368683772161603E-13</v>
      </c>
      <c r="Q47" s="12">
        <v>1.1368683772161603E-13</v>
      </c>
      <c r="R47" s="12">
        <v>1.1368683772161603E-13</v>
      </c>
      <c r="S47" s="12">
        <v>1.1368683772161603E-13</v>
      </c>
      <c r="T47" s="12">
        <v>1.1368683772161603E-13</v>
      </c>
      <c r="U47" s="12">
        <v>1.1368683772161603E-13</v>
      </c>
      <c r="V47" s="12">
        <v>1.1368683772161603E-13</v>
      </c>
      <c r="W47" s="12">
        <v>1.1368683772161603E-13</v>
      </c>
      <c r="X47" s="12">
        <v>1.1368683772161603E-13</v>
      </c>
      <c r="Y47" s="12">
        <v>1.1368683772161603E-13</v>
      </c>
      <c r="Z47" s="12">
        <v>1.1368683772161603E-13</v>
      </c>
      <c r="AA47" s="12">
        <v>1.1368683772161603E-13</v>
      </c>
      <c r="AB47" s="12">
        <v>1.1368683772161603E-13</v>
      </c>
      <c r="AC47" s="12">
        <v>1.1368683772161603E-13</v>
      </c>
      <c r="AD47" s="12">
        <v>1.1368683772161603E-13</v>
      </c>
      <c r="AE47" s="12">
        <v>1.1368683772161603E-13</v>
      </c>
      <c r="AF47" s="12">
        <v>1.1368683772161603E-13</v>
      </c>
      <c r="AG47" s="12">
        <v>1.1368683772161603E-13</v>
      </c>
      <c r="AH47" s="12">
        <v>1.1368683772161603E-13</v>
      </c>
      <c r="AI47" s="12">
        <v>1.1368683772161603E-13</v>
      </c>
      <c r="AJ47" s="12">
        <v>1.1368683772161603E-13</v>
      </c>
      <c r="AK47" s="12">
        <v>1.1368683772161603E-13</v>
      </c>
      <c r="AL47" s="12">
        <v>1.1368683772161603E-13</v>
      </c>
      <c r="AM47" s="12">
        <v>1.1368683772161603E-13</v>
      </c>
      <c r="AN47" s="12">
        <v>1.1368683772161603E-13</v>
      </c>
      <c r="AO47" s="12">
        <v>1.1368683772161603E-13</v>
      </c>
      <c r="AP47" s="12">
        <v>1.1368683772161603E-13</v>
      </c>
      <c r="AQ47" s="12">
        <v>1.1368683772161603E-13</v>
      </c>
      <c r="AR47" s="12">
        <v>1.1368683772161603E-13</v>
      </c>
      <c r="AS47" s="12">
        <v>1.1368683772161603E-13</v>
      </c>
      <c r="AT47" s="12">
        <v>1.1368683772161603E-13</v>
      </c>
      <c r="AU47" s="12">
        <v>1.1368683772161603E-13</v>
      </c>
      <c r="AV47" s="12">
        <v>1.1368683772161603E-13</v>
      </c>
      <c r="AW47" s="12">
        <v>1.1368683772161603E-13</v>
      </c>
      <c r="AX47" s="12">
        <v>1.1368683772161603E-13</v>
      </c>
      <c r="AY47" s="12">
        <v>1.1368683772161603E-13</v>
      </c>
      <c r="AZ47" s="12">
        <v>1.1368683772161603E-13</v>
      </c>
      <c r="BA47" s="12">
        <v>1.1368683772161603E-13</v>
      </c>
      <c r="BB47" s="12">
        <v>1.1368683772161603E-13</v>
      </c>
      <c r="BC47" s="12">
        <v>1.1368683772161603E-13</v>
      </c>
      <c r="BD47" s="12">
        <v>1.1368683772161603E-13</v>
      </c>
      <c r="BE47" s="12">
        <v>1.1368683772161603E-13</v>
      </c>
      <c r="BF47" s="12">
        <v>1.1368683772161603E-13</v>
      </c>
      <c r="BG47" s="12">
        <v>1.1368683772161603E-13</v>
      </c>
      <c r="BH47" s="12">
        <v>1.1368683772161603E-13</v>
      </c>
      <c r="BI47" s="12">
        <v>1.1368683772161603E-13</v>
      </c>
      <c r="BJ47" s="12">
        <v>1.1368683772161603E-13</v>
      </c>
      <c r="BK47" s="12">
        <v>1.1368683772161603E-13</v>
      </c>
      <c r="BL47" s="12">
        <v>1.1368683772161603E-13</v>
      </c>
      <c r="BM47" s="12">
        <v>1.1368683772161603E-13</v>
      </c>
      <c r="BN47" s="12">
        <v>1.1368683772161603E-13</v>
      </c>
      <c r="BO47" s="12">
        <v>1.1368683772161603E-13</v>
      </c>
      <c r="BP47" s="12">
        <v>1.1368683772161603E-13</v>
      </c>
      <c r="BQ47" s="12">
        <v>1.1368683772161603E-13</v>
      </c>
      <c r="BR47" s="12">
        <v>1.1368683772161603E-13</v>
      </c>
      <c r="BS47" s="12">
        <v>1.1368683772161603E-13</v>
      </c>
      <c r="BT47" s="12">
        <v>1.1368683772161603E-13</v>
      </c>
      <c r="BU47" s="12">
        <v>1.1368683772161603E-13</v>
      </c>
      <c r="BV47" s="12">
        <v>1.1368683772161603E-13</v>
      </c>
      <c r="BW47" s="12">
        <v>1.1368683772161603E-13</v>
      </c>
      <c r="BX47" s="12">
        <v>1.1368683772161603E-13</v>
      </c>
    </row>
    <row r="48" spans="1:76" x14ac:dyDescent="0.2">
      <c r="A48" s="22" t="s">
        <v>117</v>
      </c>
      <c r="B48" s="12">
        <v>0</v>
      </c>
      <c r="C48" s="12">
        <v>0</v>
      </c>
      <c r="D48" s="12">
        <v>0</v>
      </c>
      <c r="E48" s="12">
        <v>4977.17</v>
      </c>
      <c r="F48" s="12">
        <v>5503.17</v>
      </c>
      <c r="G48" s="12">
        <v>4713.42</v>
      </c>
      <c r="H48" s="12">
        <v>5664.02</v>
      </c>
      <c r="I48" s="12">
        <v>8711.67</v>
      </c>
      <c r="J48" s="12">
        <v>9064.75</v>
      </c>
      <c r="K48" s="12">
        <v>8288.7000000000007</v>
      </c>
      <c r="L48" s="12">
        <v>9296.1</v>
      </c>
      <c r="M48" s="12">
        <v>7055.68</v>
      </c>
      <c r="N48" s="12">
        <v>7613.72</v>
      </c>
      <c r="O48" s="12">
        <v>8413.7000000000007</v>
      </c>
      <c r="P48" s="12">
        <v>7752.35</v>
      </c>
      <c r="Q48" s="12">
        <v>7585.72</v>
      </c>
      <c r="R48" s="12">
        <v>8385.7000000000007</v>
      </c>
      <c r="S48" s="12">
        <v>9224.01</v>
      </c>
      <c r="T48" s="12">
        <v>9717.2000000000007</v>
      </c>
      <c r="U48" s="12">
        <v>10893.18</v>
      </c>
      <c r="V48" s="12">
        <v>0</v>
      </c>
      <c r="W48" s="12">
        <v>0</v>
      </c>
      <c r="X48" s="12">
        <v>0</v>
      </c>
      <c r="Y48" s="12">
        <v>687.14</v>
      </c>
      <c r="Z48" s="12">
        <v>0</v>
      </c>
      <c r="AA48" s="12">
        <v>0</v>
      </c>
      <c r="AB48" s="12">
        <v>0</v>
      </c>
      <c r="AC48" s="12">
        <v>1416.67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2">
        <v>0</v>
      </c>
      <c r="AK48" s="12">
        <v>0</v>
      </c>
      <c r="AL48" s="12">
        <v>0</v>
      </c>
      <c r="AM48" s="12">
        <v>0</v>
      </c>
      <c r="AN48" s="12">
        <v>0</v>
      </c>
      <c r="AO48" s="12">
        <v>258.45999999999998</v>
      </c>
      <c r="AP48" s="12">
        <v>0</v>
      </c>
      <c r="AQ48" s="12">
        <v>0</v>
      </c>
      <c r="AR48" s="12">
        <v>0</v>
      </c>
      <c r="AS48" s="12">
        <v>0</v>
      </c>
      <c r="AT48" s="12">
        <v>0</v>
      </c>
      <c r="AU48" s="12">
        <v>0</v>
      </c>
      <c r="AV48" s="12">
        <v>500</v>
      </c>
      <c r="AW48" s="12">
        <v>0</v>
      </c>
      <c r="AX48" s="12">
        <v>0</v>
      </c>
      <c r="AY48" s="12">
        <v>0</v>
      </c>
      <c r="AZ48" s="12">
        <v>0</v>
      </c>
      <c r="BA48" s="12">
        <v>0</v>
      </c>
      <c r="BB48" s="12">
        <v>0</v>
      </c>
      <c r="BC48" s="12">
        <v>0</v>
      </c>
      <c r="BD48" s="12">
        <v>0</v>
      </c>
      <c r="BE48" s="12">
        <v>0</v>
      </c>
      <c r="BF48" s="12">
        <v>0</v>
      </c>
      <c r="BG48" s="12">
        <v>0</v>
      </c>
      <c r="BH48" s="12">
        <v>0</v>
      </c>
      <c r="BI48" s="12">
        <v>0</v>
      </c>
      <c r="BJ48" s="12">
        <v>0</v>
      </c>
      <c r="BK48" s="12">
        <v>0</v>
      </c>
      <c r="BL48" s="12">
        <v>0</v>
      </c>
      <c r="BM48" s="12">
        <v>0</v>
      </c>
      <c r="BN48" s="12">
        <v>0</v>
      </c>
      <c r="BO48" s="12">
        <v>0</v>
      </c>
      <c r="BP48" s="12">
        <v>0</v>
      </c>
      <c r="BQ48" s="12">
        <v>0</v>
      </c>
      <c r="BR48" s="12">
        <v>0</v>
      </c>
      <c r="BS48" s="12">
        <v>0</v>
      </c>
      <c r="BT48" s="12">
        <v>0</v>
      </c>
      <c r="BU48" s="12">
        <v>0</v>
      </c>
      <c r="BV48" s="12">
        <v>0</v>
      </c>
      <c r="BW48" s="12">
        <v>0</v>
      </c>
      <c r="BX48" s="12">
        <v>0</v>
      </c>
    </row>
    <row r="49" spans="1:76" x14ac:dyDescent="0.2">
      <c r="A49" s="15" t="s">
        <v>118</v>
      </c>
      <c r="B49" s="16">
        <f t="shared" ref="B49:AG49" si="33">SUM(B47:B48)</f>
        <v>0</v>
      </c>
      <c r="C49" s="16">
        <f t="shared" si="33"/>
        <v>0</v>
      </c>
      <c r="D49" s="16">
        <f t="shared" si="33"/>
        <v>0</v>
      </c>
      <c r="E49" s="16">
        <f t="shared" si="33"/>
        <v>3850.86</v>
      </c>
      <c r="F49" s="16">
        <f t="shared" si="33"/>
        <v>4457.7800000000007</v>
      </c>
      <c r="G49" s="16">
        <f t="shared" si="33"/>
        <v>4320.13</v>
      </c>
      <c r="H49" s="16">
        <f t="shared" si="33"/>
        <v>4793.9000000000005</v>
      </c>
      <c r="I49" s="16">
        <f t="shared" si="33"/>
        <v>8711.67</v>
      </c>
      <c r="J49" s="16">
        <f t="shared" si="33"/>
        <v>8566.56</v>
      </c>
      <c r="K49" s="16">
        <f t="shared" si="33"/>
        <v>8288.7000000000007</v>
      </c>
      <c r="L49" s="16">
        <f t="shared" si="33"/>
        <v>9296.1</v>
      </c>
      <c r="M49" s="16">
        <f t="shared" si="33"/>
        <v>7055.68</v>
      </c>
      <c r="N49" s="16">
        <f t="shared" si="33"/>
        <v>7613.72</v>
      </c>
      <c r="O49" s="16">
        <f t="shared" si="33"/>
        <v>8413.7000000000007</v>
      </c>
      <c r="P49" s="16">
        <f t="shared" si="33"/>
        <v>7752.35</v>
      </c>
      <c r="Q49" s="16">
        <f t="shared" si="33"/>
        <v>7585.72</v>
      </c>
      <c r="R49" s="16">
        <f t="shared" si="33"/>
        <v>8385.7000000000007</v>
      </c>
      <c r="S49" s="16">
        <f t="shared" si="33"/>
        <v>9224.01</v>
      </c>
      <c r="T49" s="16">
        <f t="shared" si="33"/>
        <v>9717.2000000000007</v>
      </c>
      <c r="U49" s="16">
        <f t="shared" si="33"/>
        <v>10893.18</v>
      </c>
      <c r="V49" s="16">
        <f t="shared" si="33"/>
        <v>1.1368683772161603E-13</v>
      </c>
      <c r="W49" s="16">
        <f t="shared" si="33"/>
        <v>1.1368683772161603E-13</v>
      </c>
      <c r="X49" s="16">
        <f t="shared" si="33"/>
        <v>1.1368683772161603E-13</v>
      </c>
      <c r="Y49" s="16">
        <f t="shared" si="33"/>
        <v>687.1400000000001</v>
      </c>
      <c r="Z49" s="16">
        <f t="shared" si="33"/>
        <v>1.1368683772161603E-13</v>
      </c>
      <c r="AA49" s="16">
        <f t="shared" si="33"/>
        <v>1.1368683772161603E-13</v>
      </c>
      <c r="AB49" s="16">
        <f t="shared" si="33"/>
        <v>1.1368683772161603E-13</v>
      </c>
      <c r="AC49" s="16">
        <f t="shared" si="33"/>
        <v>1416.67</v>
      </c>
      <c r="AD49" s="16">
        <f t="shared" si="33"/>
        <v>1.1368683772161603E-13</v>
      </c>
      <c r="AE49" s="16">
        <f t="shared" si="33"/>
        <v>1.1368683772161603E-13</v>
      </c>
      <c r="AF49" s="16">
        <f t="shared" si="33"/>
        <v>1.1368683772161603E-13</v>
      </c>
      <c r="AG49" s="16">
        <f t="shared" si="33"/>
        <v>1.1368683772161603E-13</v>
      </c>
      <c r="AH49" s="16">
        <f t="shared" ref="AH49:BM49" si="34">SUM(AH47:AH48)</f>
        <v>1.1368683772161603E-13</v>
      </c>
      <c r="AI49" s="16">
        <f t="shared" si="34"/>
        <v>1.1368683772161603E-13</v>
      </c>
      <c r="AJ49" s="16">
        <f t="shared" si="34"/>
        <v>1.1368683772161603E-13</v>
      </c>
      <c r="AK49" s="16">
        <f t="shared" si="34"/>
        <v>1.1368683772161603E-13</v>
      </c>
      <c r="AL49" s="16">
        <f t="shared" si="34"/>
        <v>1.1368683772161603E-13</v>
      </c>
      <c r="AM49" s="16">
        <f t="shared" si="34"/>
        <v>1.1368683772161603E-13</v>
      </c>
      <c r="AN49" s="16">
        <f t="shared" si="34"/>
        <v>1.1368683772161603E-13</v>
      </c>
      <c r="AO49" s="16">
        <f t="shared" si="34"/>
        <v>258.46000000000009</v>
      </c>
      <c r="AP49" s="16">
        <f t="shared" si="34"/>
        <v>1.1368683772161603E-13</v>
      </c>
      <c r="AQ49" s="16">
        <f t="shared" si="34"/>
        <v>1.1368683772161603E-13</v>
      </c>
      <c r="AR49" s="16">
        <f t="shared" si="34"/>
        <v>1.1368683772161603E-13</v>
      </c>
      <c r="AS49" s="16">
        <f t="shared" si="34"/>
        <v>1.1368683772161603E-13</v>
      </c>
      <c r="AT49" s="16">
        <f t="shared" si="34"/>
        <v>1.1368683772161603E-13</v>
      </c>
      <c r="AU49" s="16">
        <f t="shared" si="34"/>
        <v>1.1368683772161603E-13</v>
      </c>
      <c r="AV49" s="16">
        <f t="shared" si="34"/>
        <v>500.00000000000011</v>
      </c>
      <c r="AW49" s="16">
        <f t="shared" si="34"/>
        <v>1.1368683772161603E-13</v>
      </c>
      <c r="AX49" s="16">
        <f t="shared" si="34"/>
        <v>1.1368683772161603E-13</v>
      </c>
      <c r="AY49" s="16">
        <f t="shared" si="34"/>
        <v>1.1368683772161603E-13</v>
      </c>
      <c r="AZ49" s="16">
        <f t="shared" si="34"/>
        <v>1.1368683772161603E-13</v>
      </c>
      <c r="BA49" s="16">
        <f t="shared" si="34"/>
        <v>1.1368683772161603E-13</v>
      </c>
      <c r="BB49" s="16">
        <f t="shared" si="34"/>
        <v>1.1368683772161603E-13</v>
      </c>
      <c r="BC49" s="16">
        <f t="shared" si="34"/>
        <v>1.1368683772161603E-13</v>
      </c>
      <c r="BD49" s="16">
        <f t="shared" si="34"/>
        <v>1.1368683772161603E-13</v>
      </c>
      <c r="BE49" s="16">
        <f t="shared" si="34"/>
        <v>1.1368683772161603E-13</v>
      </c>
      <c r="BF49" s="16">
        <f t="shared" si="34"/>
        <v>1.1368683772161603E-13</v>
      </c>
      <c r="BG49" s="16">
        <f t="shared" si="34"/>
        <v>1.1368683772161603E-13</v>
      </c>
      <c r="BH49" s="16">
        <f t="shared" si="34"/>
        <v>1.1368683772161603E-13</v>
      </c>
      <c r="BI49" s="16">
        <f t="shared" si="34"/>
        <v>1.1368683772161603E-13</v>
      </c>
      <c r="BJ49" s="16">
        <f t="shared" si="34"/>
        <v>1.1368683772161603E-13</v>
      </c>
      <c r="BK49" s="16">
        <f t="shared" si="34"/>
        <v>1.1368683772161603E-13</v>
      </c>
      <c r="BL49" s="16">
        <f t="shared" si="34"/>
        <v>1.1368683772161603E-13</v>
      </c>
      <c r="BM49" s="16">
        <f t="shared" si="34"/>
        <v>1.1368683772161603E-13</v>
      </c>
      <c r="BN49" s="16">
        <f t="shared" ref="BN49:CS49" si="35">SUM(BN47:BN48)</f>
        <v>1.1368683772161603E-13</v>
      </c>
      <c r="BO49" s="16">
        <f t="shared" si="35"/>
        <v>1.1368683772161603E-13</v>
      </c>
      <c r="BP49" s="16">
        <f t="shared" si="35"/>
        <v>1.1368683772161603E-13</v>
      </c>
      <c r="BQ49" s="16">
        <f t="shared" si="35"/>
        <v>1.1368683772161603E-13</v>
      </c>
      <c r="BR49" s="16">
        <f t="shared" si="35"/>
        <v>1.1368683772161603E-13</v>
      </c>
      <c r="BS49" s="16">
        <f t="shared" si="35"/>
        <v>1.1368683772161603E-13</v>
      </c>
      <c r="BT49" s="16">
        <f t="shared" si="35"/>
        <v>1.1368683772161603E-13</v>
      </c>
      <c r="BU49" s="16">
        <f t="shared" si="35"/>
        <v>1.1368683772161603E-13</v>
      </c>
      <c r="BV49" s="16">
        <f t="shared" si="35"/>
        <v>1.1368683772161603E-13</v>
      </c>
      <c r="BW49" s="16">
        <f t="shared" si="35"/>
        <v>1.1368683772161603E-13</v>
      </c>
      <c r="BX49" s="16">
        <f t="shared" si="35"/>
        <v>1.1368683772161603E-13</v>
      </c>
    </row>
    <row r="50" spans="1:76" x14ac:dyDescent="0.2">
      <c r="A50" s="17" t="s">
        <v>119</v>
      </c>
      <c r="B50" s="18">
        <f t="shared" ref="B50:AG50" si="36">0+B39+0+B42+0+B45+0+B49</f>
        <v>0</v>
      </c>
      <c r="C50" s="18">
        <f t="shared" si="36"/>
        <v>0</v>
      </c>
      <c r="D50" s="18">
        <f t="shared" si="36"/>
        <v>0</v>
      </c>
      <c r="E50" s="18">
        <f t="shared" si="36"/>
        <v>3850.86</v>
      </c>
      <c r="F50" s="18">
        <f t="shared" si="36"/>
        <v>4457.7800000000007</v>
      </c>
      <c r="G50" s="18">
        <f t="shared" si="36"/>
        <v>7320.13</v>
      </c>
      <c r="H50" s="18">
        <f t="shared" si="36"/>
        <v>4793.9000000000005</v>
      </c>
      <c r="I50" s="18">
        <f t="shared" si="36"/>
        <v>8711.67</v>
      </c>
      <c r="J50" s="18">
        <f t="shared" si="36"/>
        <v>8566.56</v>
      </c>
      <c r="K50" s="18">
        <f t="shared" si="36"/>
        <v>8288.7000000000007</v>
      </c>
      <c r="L50" s="18">
        <f t="shared" si="36"/>
        <v>9296.1</v>
      </c>
      <c r="M50" s="18">
        <f t="shared" si="36"/>
        <v>7055.68</v>
      </c>
      <c r="N50" s="18">
        <f t="shared" si="36"/>
        <v>7613.72</v>
      </c>
      <c r="O50" s="18">
        <f t="shared" si="36"/>
        <v>8413.7000000000007</v>
      </c>
      <c r="P50" s="18">
        <f t="shared" si="36"/>
        <v>7752.35</v>
      </c>
      <c r="Q50" s="18">
        <f t="shared" si="36"/>
        <v>7585.72</v>
      </c>
      <c r="R50" s="18">
        <f t="shared" si="36"/>
        <v>8385.7000000000007</v>
      </c>
      <c r="S50" s="18">
        <f t="shared" si="36"/>
        <v>9224.01</v>
      </c>
      <c r="T50" s="18">
        <f t="shared" si="36"/>
        <v>9717.2000000000007</v>
      </c>
      <c r="U50" s="18">
        <f t="shared" si="36"/>
        <v>10893.18</v>
      </c>
      <c r="V50" s="18">
        <f t="shared" si="36"/>
        <v>1.1368683772161603E-13</v>
      </c>
      <c r="W50" s="18">
        <f t="shared" si="36"/>
        <v>1.1368683772161603E-13</v>
      </c>
      <c r="X50" s="18">
        <f t="shared" si="36"/>
        <v>1.1368683772161603E-13</v>
      </c>
      <c r="Y50" s="18">
        <f t="shared" si="36"/>
        <v>687.1400000000001</v>
      </c>
      <c r="Z50" s="18">
        <f t="shared" si="36"/>
        <v>1.1368683772161603E-13</v>
      </c>
      <c r="AA50" s="18">
        <f t="shared" si="36"/>
        <v>1.1368683772161603E-13</v>
      </c>
      <c r="AB50" s="18">
        <f t="shared" si="36"/>
        <v>43664.31</v>
      </c>
      <c r="AC50" s="18">
        <f t="shared" si="36"/>
        <v>55080.979999999996</v>
      </c>
      <c r="AD50" s="18">
        <f t="shared" si="36"/>
        <v>74347.86</v>
      </c>
      <c r="AE50" s="18">
        <f t="shared" si="36"/>
        <v>1.1368683772161603E-13</v>
      </c>
      <c r="AF50" s="18">
        <f t="shared" si="36"/>
        <v>121583.95</v>
      </c>
      <c r="AG50" s="18">
        <f t="shared" si="36"/>
        <v>1.1368683772161603E-13</v>
      </c>
      <c r="AH50" s="18">
        <f t="shared" ref="AH50:BM50" si="37">0+AH39+0+AH42+0+AH45+0+AH49</f>
        <v>1.1368683772161603E-13</v>
      </c>
      <c r="AI50" s="18">
        <f t="shared" si="37"/>
        <v>1.1368683772161603E-13</v>
      </c>
      <c r="AJ50" s="18">
        <f t="shared" si="37"/>
        <v>1.1368683772161603E-13</v>
      </c>
      <c r="AK50" s="18">
        <f t="shared" si="37"/>
        <v>88404.72</v>
      </c>
      <c r="AL50" s="18">
        <f t="shared" si="37"/>
        <v>88404.72</v>
      </c>
      <c r="AM50" s="18">
        <f t="shared" si="37"/>
        <v>88404.72</v>
      </c>
      <c r="AN50" s="18">
        <f t="shared" si="37"/>
        <v>88404.72</v>
      </c>
      <c r="AO50" s="18">
        <f t="shared" si="37"/>
        <v>88663.180000000008</v>
      </c>
      <c r="AP50" s="18">
        <f t="shared" si="37"/>
        <v>88404.72</v>
      </c>
      <c r="AQ50" s="18">
        <f t="shared" si="37"/>
        <v>88404.72</v>
      </c>
      <c r="AR50" s="18">
        <f t="shared" si="37"/>
        <v>88404.72</v>
      </c>
      <c r="AS50" s="18">
        <f t="shared" si="37"/>
        <v>88404.72</v>
      </c>
      <c r="AT50" s="18">
        <f t="shared" si="37"/>
        <v>1.1368683772161603E-13</v>
      </c>
      <c r="AU50" s="18">
        <f t="shared" si="37"/>
        <v>945.00000000000011</v>
      </c>
      <c r="AV50" s="18">
        <f t="shared" si="37"/>
        <v>163408</v>
      </c>
      <c r="AW50" s="18">
        <f t="shared" si="37"/>
        <v>155973</v>
      </c>
      <c r="AX50" s="18">
        <f t="shared" si="37"/>
        <v>242330.98</v>
      </c>
      <c r="AY50" s="18">
        <f t="shared" si="37"/>
        <v>365763.5</v>
      </c>
      <c r="AZ50" s="18">
        <f t="shared" si="37"/>
        <v>493818</v>
      </c>
      <c r="BA50" s="18">
        <f t="shared" si="37"/>
        <v>576554</v>
      </c>
      <c r="BB50" s="18">
        <f t="shared" si="37"/>
        <v>712890</v>
      </c>
      <c r="BC50" s="18">
        <f t="shared" si="37"/>
        <v>832450</v>
      </c>
      <c r="BD50" s="18">
        <f t="shared" si="37"/>
        <v>113165</v>
      </c>
      <c r="BE50" s="18">
        <f t="shared" si="37"/>
        <v>208181.73</v>
      </c>
      <c r="BF50" s="18">
        <f t="shared" si="37"/>
        <v>266453.67</v>
      </c>
      <c r="BG50" s="18">
        <f t="shared" si="37"/>
        <v>362935</v>
      </c>
      <c r="BH50" s="18">
        <f t="shared" si="37"/>
        <v>519102</v>
      </c>
      <c r="BI50" s="18">
        <f t="shared" si="37"/>
        <v>613294</v>
      </c>
      <c r="BJ50" s="18">
        <f t="shared" si="37"/>
        <v>729546</v>
      </c>
      <c r="BK50" s="18">
        <f t="shared" si="37"/>
        <v>817890</v>
      </c>
      <c r="BL50" s="18">
        <f t="shared" si="37"/>
        <v>818615</v>
      </c>
      <c r="BM50" s="18">
        <f t="shared" si="37"/>
        <v>244793</v>
      </c>
      <c r="BN50" s="18">
        <f t="shared" ref="BN50:CS50" si="38">0+BN39+0+BN42+0+BN45+0+BN49</f>
        <v>377241</v>
      </c>
      <c r="BO50" s="18">
        <f t="shared" si="38"/>
        <v>471786</v>
      </c>
      <c r="BP50" s="18">
        <f t="shared" si="38"/>
        <v>605186</v>
      </c>
      <c r="BQ50" s="18">
        <f t="shared" si="38"/>
        <v>84219.999999999942</v>
      </c>
      <c r="BR50" s="18">
        <f t="shared" si="38"/>
        <v>237204.99999999994</v>
      </c>
      <c r="BS50" s="18">
        <f t="shared" si="38"/>
        <v>363116.99999999994</v>
      </c>
      <c r="BT50" s="18">
        <f t="shared" si="38"/>
        <v>398891.99999999994</v>
      </c>
      <c r="BU50" s="18">
        <f t="shared" si="38"/>
        <v>450916.99999999994</v>
      </c>
      <c r="BV50" s="18">
        <f t="shared" si="38"/>
        <v>550916.32999999996</v>
      </c>
      <c r="BW50" s="18">
        <f t="shared" si="38"/>
        <v>604980.49999999988</v>
      </c>
      <c r="BX50" s="18">
        <f t="shared" si="38"/>
        <v>604980.49999999988</v>
      </c>
    </row>
    <row r="51" spans="1:76" x14ac:dyDescent="0.2">
      <c r="A51" s="5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</row>
    <row r="52" spans="1:76" ht="12" thickBot="1" x14ac:dyDescent="0.25">
      <c r="A52" s="5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</row>
    <row r="53" spans="1:76" ht="12.75" thickTop="1" x14ac:dyDescent="0.2">
      <c r="A53" s="19" t="s">
        <v>120</v>
      </c>
      <c r="B53" s="20">
        <f t="shared" ref="B53:AG53" si="39">B33+B34+0+B35+B50+B51+0+B52+0</f>
        <v>300000</v>
      </c>
      <c r="C53" s="20">
        <f t="shared" si="39"/>
        <v>299100</v>
      </c>
      <c r="D53" s="20">
        <f t="shared" si="39"/>
        <v>297462.44</v>
      </c>
      <c r="E53" s="20">
        <f t="shared" si="39"/>
        <v>279991.15999999997</v>
      </c>
      <c r="F53" s="20">
        <f t="shared" si="39"/>
        <v>258259.09</v>
      </c>
      <c r="G53" s="20">
        <f t="shared" si="39"/>
        <v>240185.74</v>
      </c>
      <c r="H53" s="20">
        <f t="shared" si="39"/>
        <v>188644.43000000101</v>
      </c>
      <c r="I53" s="20">
        <f t="shared" si="39"/>
        <v>247527.3000000001</v>
      </c>
      <c r="J53" s="20">
        <f t="shared" si="39"/>
        <v>216661.0400000001</v>
      </c>
      <c r="K53" s="20">
        <f t="shared" si="39"/>
        <v>184521.28000000102</v>
      </c>
      <c r="L53" s="20">
        <f t="shared" si="39"/>
        <v>159913.010000001</v>
      </c>
      <c r="M53" s="20">
        <f t="shared" si="39"/>
        <v>124168.450000001</v>
      </c>
      <c r="N53" s="20">
        <f t="shared" si="39"/>
        <v>188731.27000000101</v>
      </c>
      <c r="O53" s="20">
        <f t="shared" si="39"/>
        <v>146793.47000000102</v>
      </c>
      <c r="P53" s="20">
        <f t="shared" si="39"/>
        <v>111470.010000001</v>
      </c>
      <c r="Q53" s="20">
        <f t="shared" si="39"/>
        <v>78522.060000000987</v>
      </c>
      <c r="R53" s="20">
        <f t="shared" si="39"/>
        <v>164181.85</v>
      </c>
      <c r="S53" s="20">
        <f t="shared" si="39"/>
        <v>105065.60000000098</v>
      </c>
      <c r="T53" s="20">
        <f t="shared" si="39"/>
        <v>211906.00000000012</v>
      </c>
      <c r="U53" s="20">
        <f t="shared" si="39"/>
        <v>168783.88000000099</v>
      </c>
      <c r="V53" s="20">
        <f t="shared" si="39"/>
        <v>107401.070000001</v>
      </c>
      <c r="W53" s="20">
        <f t="shared" si="39"/>
        <v>102896.920000001</v>
      </c>
      <c r="X53" s="20">
        <f t="shared" si="39"/>
        <v>37334.040000001027</v>
      </c>
      <c r="Y53" s="20">
        <f t="shared" si="39"/>
        <v>29319.240000001024</v>
      </c>
      <c r="Z53" s="20">
        <f t="shared" si="39"/>
        <v>69061.63</v>
      </c>
      <c r="AA53" s="20">
        <f t="shared" si="39"/>
        <v>84308</v>
      </c>
      <c r="AB53" s="20">
        <f t="shared" si="39"/>
        <v>66421.040000001027</v>
      </c>
      <c r="AC53" s="20">
        <f t="shared" si="39"/>
        <v>312246.5</v>
      </c>
      <c r="AD53" s="20">
        <f t="shared" si="39"/>
        <v>365085.13999999978</v>
      </c>
      <c r="AE53" s="20">
        <f t="shared" si="39"/>
        <v>319404.35999999981</v>
      </c>
      <c r="AF53" s="20">
        <f t="shared" si="39"/>
        <v>346661.18999999983</v>
      </c>
      <c r="AG53" s="20">
        <f t="shared" si="39"/>
        <v>259969.19999999969</v>
      </c>
      <c r="AH53" s="20">
        <f t="shared" ref="AH53:BM53" si="40">AH33+AH34+0+AH35+AH50+AH51+0+AH52+0</f>
        <v>272252.43999999971</v>
      </c>
      <c r="AI53" s="20">
        <f t="shared" si="40"/>
        <v>241856.04999999981</v>
      </c>
      <c r="AJ53" s="20">
        <f t="shared" si="40"/>
        <v>228450.32999999961</v>
      </c>
      <c r="AK53" s="20">
        <f t="shared" si="40"/>
        <v>302715.36999999965</v>
      </c>
      <c r="AL53" s="20">
        <f t="shared" si="40"/>
        <v>283294.39</v>
      </c>
      <c r="AM53" s="20">
        <f t="shared" si="40"/>
        <v>259745.18000000002</v>
      </c>
      <c r="AN53" s="20">
        <f t="shared" si="40"/>
        <v>248818.46</v>
      </c>
      <c r="AO53" s="20">
        <f t="shared" si="40"/>
        <v>205039.66999999998</v>
      </c>
      <c r="AP53" s="20">
        <f t="shared" si="40"/>
        <v>196014.99</v>
      </c>
      <c r="AQ53" s="20">
        <f t="shared" si="40"/>
        <v>185671.43</v>
      </c>
      <c r="AR53" s="20">
        <f t="shared" si="40"/>
        <v>176764.79</v>
      </c>
      <c r="AS53" s="20">
        <f t="shared" si="40"/>
        <v>146240.29</v>
      </c>
      <c r="AT53" s="20">
        <f t="shared" si="40"/>
        <v>239944.58999999939</v>
      </c>
      <c r="AU53" s="20">
        <f t="shared" si="40"/>
        <v>370065.44999999972</v>
      </c>
      <c r="AV53" s="20">
        <f t="shared" si="40"/>
        <v>488141.36999999959</v>
      </c>
      <c r="AW53" s="20">
        <f t="shared" si="40"/>
        <v>411285.13999999961</v>
      </c>
      <c r="AX53" s="20">
        <f t="shared" si="40"/>
        <v>514978.95999999938</v>
      </c>
      <c r="AY53" s="20">
        <f t="shared" si="40"/>
        <v>677986.59999999916</v>
      </c>
      <c r="AZ53" s="20">
        <f t="shared" si="40"/>
        <v>843169.71999999927</v>
      </c>
      <c r="BA53" s="20">
        <f t="shared" si="40"/>
        <v>957820.29999999946</v>
      </c>
      <c r="BB53" s="20">
        <f t="shared" si="40"/>
        <v>1116740.1199999989</v>
      </c>
      <c r="BC53" s="20">
        <f t="shared" si="40"/>
        <v>1211833.9599999993</v>
      </c>
      <c r="BD53" s="20">
        <f t="shared" si="40"/>
        <v>499090.09999999928</v>
      </c>
      <c r="BE53" s="20">
        <f t="shared" si="40"/>
        <v>583757.24999999942</v>
      </c>
      <c r="BF53" s="20">
        <f t="shared" si="40"/>
        <v>619556.00999999931</v>
      </c>
      <c r="BG53" s="20">
        <f t="shared" si="40"/>
        <v>700039.85999999964</v>
      </c>
      <c r="BH53" s="20">
        <f t="shared" si="40"/>
        <v>871785.04999999958</v>
      </c>
      <c r="BI53" s="20">
        <f t="shared" si="40"/>
        <v>965003.50999999954</v>
      </c>
      <c r="BJ53" s="20">
        <f t="shared" si="40"/>
        <v>1118856.7999999996</v>
      </c>
      <c r="BK53" s="20">
        <f t="shared" si="40"/>
        <v>1219423.8099999991</v>
      </c>
      <c r="BL53" s="20">
        <f t="shared" si="40"/>
        <v>1374128.72</v>
      </c>
      <c r="BM53" s="20">
        <f t="shared" si="40"/>
        <v>745870.61</v>
      </c>
      <c r="BN53" s="20">
        <f t="shared" ref="BN53:CS53" si="41">BN33+BN34+0+BN35+BN50+BN51+0+BN52+0</f>
        <v>895590.86</v>
      </c>
      <c r="BO53" s="20">
        <f t="shared" si="41"/>
        <v>966121.93999999901</v>
      </c>
      <c r="BP53" s="20">
        <f t="shared" si="41"/>
        <v>1091067.42</v>
      </c>
      <c r="BQ53" s="20">
        <f t="shared" si="41"/>
        <v>567651.53</v>
      </c>
      <c r="BR53" s="20">
        <f t="shared" si="41"/>
        <v>740204.33999999892</v>
      </c>
      <c r="BS53" s="20">
        <f t="shared" si="41"/>
        <v>839296.76999999885</v>
      </c>
      <c r="BT53" s="20">
        <f t="shared" si="41"/>
        <v>955724.51999999885</v>
      </c>
      <c r="BU53" s="20">
        <f t="shared" si="41"/>
        <v>1032868.719999999</v>
      </c>
      <c r="BV53" s="20">
        <f t="shared" si="41"/>
        <v>1196531.1199999989</v>
      </c>
      <c r="BW53" s="20">
        <f t="shared" si="41"/>
        <v>1326291.0099999998</v>
      </c>
      <c r="BX53" s="20">
        <f t="shared" si="41"/>
        <v>1326291.0099999998</v>
      </c>
    </row>
  </sheetData>
  <mergeCells count="3">
    <mergeCell ref="A1:BX1"/>
    <mergeCell ref="A2:BX2"/>
    <mergeCell ref="A3:BX3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PGBalanceSheetbyEntityand</vt:lpstr>
    </vt:vector>
  </TitlesOfParts>
  <Company>NetSuite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NetSuite Reports</dc:creator>
  <cp:lastModifiedBy>Michael Mohl</cp:lastModifiedBy>
  <dcterms:created xsi:type="dcterms:W3CDTF">2023-08-08T17:16:00Z</dcterms:created>
  <dcterms:modified xsi:type="dcterms:W3CDTF">2023-08-08T17:16:53Z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