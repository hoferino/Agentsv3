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esellschaft\PROMATIS software\Beteiligungskapital\Datenraum_PwC_IceLake\FDD\B.Financial general\B.3 - Legal Entity Reporting\PROMATIS-US\"/>
    </mc:Choice>
  </mc:AlternateContent>
  <xr:revisionPtr revIDLastSave="0" documentId="8_{192E5327-4711-47C1-9ECE-B10D4E0234EF}" xr6:coauthVersionLast="47" xr6:coauthVersionMax="47" xr10:uidLastSave="{00000000-0000-0000-0000-000000000000}"/>
  <bookViews>
    <workbookView xWindow="-28920" yWindow="-120" windowWidth="29040" windowHeight="15840"/>
  </bookViews>
  <sheets>
    <sheet name="PGBalanceSheetbyEntitya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1" l="1"/>
  <c r="G48" i="1"/>
  <c r="F48" i="1"/>
  <c r="E48" i="1"/>
  <c r="D48" i="1"/>
  <c r="C48" i="1"/>
  <c r="B48" i="1"/>
  <c r="H45" i="1"/>
  <c r="G45" i="1"/>
  <c r="F45" i="1"/>
  <c r="E45" i="1"/>
  <c r="D45" i="1"/>
  <c r="C45" i="1"/>
  <c r="B45" i="1"/>
  <c r="H42" i="1"/>
  <c r="G42" i="1"/>
  <c r="F42" i="1"/>
  <c r="E42" i="1"/>
  <c r="D42" i="1"/>
  <c r="C42" i="1"/>
  <c r="B42" i="1"/>
  <c r="H39" i="1"/>
  <c r="G39" i="1"/>
  <c r="F39" i="1"/>
  <c r="E39" i="1"/>
  <c r="D39" i="1"/>
  <c r="C39" i="1"/>
  <c r="C49" i="1" s="1"/>
  <c r="B39" i="1"/>
  <c r="H31" i="1"/>
  <c r="G31" i="1"/>
  <c r="F31" i="1"/>
  <c r="E31" i="1"/>
  <c r="D31" i="1"/>
  <c r="C31" i="1"/>
  <c r="B31" i="1"/>
  <c r="H30" i="1"/>
  <c r="G30" i="1"/>
  <c r="G33" i="1" s="1"/>
  <c r="F30" i="1"/>
  <c r="E30" i="1"/>
  <c r="D30" i="1"/>
  <c r="C30" i="1"/>
  <c r="B30" i="1"/>
  <c r="H20" i="1"/>
  <c r="H21" i="1" s="1"/>
  <c r="G20" i="1"/>
  <c r="G21" i="1" s="1"/>
  <c r="F20" i="1"/>
  <c r="F21" i="1" s="1"/>
  <c r="E20" i="1"/>
  <c r="E21" i="1" s="1"/>
  <c r="D20" i="1"/>
  <c r="D21" i="1" s="1"/>
  <c r="C20" i="1"/>
  <c r="C21" i="1" s="1"/>
  <c r="B20" i="1"/>
  <c r="B21" i="1" s="1"/>
  <c r="H13" i="1"/>
  <c r="H14" i="1" s="1"/>
  <c r="G13" i="1"/>
  <c r="G14" i="1" s="1"/>
  <c r="F13" i="1"/>
  <c r="F14" i="1" s="1"/>
  <c r="E13" i="1"/>
  <c r="E14" i="1" s="1"/>
  <c r="E22" i="1" s="1"/>
  <c r="E24" i="1" s="1"/>
  <c r="D13" i="1"/>
  <c r="D14" i="1" s="1"/>
  <c r="C13" i="1"/>
  <c r="C14" i="1" s="1"/>
  <c r="B13" i="1"/>
  <c r="B14" i="1" s="1"/>
  <c r="D33" i="1" l="1"/>
  <c r="E33" i="1"/>
  <c r="G49" i="1"/>
  <c r="H49" i="1"/>
  <c r="F33" i="1"/>
  <c r="B49" i="1"/>
  <c r="C22" i="1"/>
  <c r="C24" i="1" s="1"/>
  <c r="B33" i="1"/>
  <c r="B52" i="1" s="1"/>
  <c r="E49" i="1"/>
  <c r="E52" i="1" s="1"/>
  <c r="G52" i="1"/>
  <c r="F22" i="1"/>
  <c r="F24" i="1" s="1"/>
  <c r="H33" i="1"/>
  <c r="H52" i="1" s="1"/>
  <c r="C33" i="1"/>
  <c r="C52" i="1" s="1"/>
  <c r="H22" i="1"/>
  <c r="H24" i="1" s="1"/>
  <c r="D49" i="1"/>
  <c r="D52" i="1" s="1"/>
  <c r="G22" i="1"/>
  <c r="G24" i="1" s="1"/>
  <c r="F49" i="1"/>
  <c r="D22" i="1"/>
  <c r="D24" i="1" s="1"/>
  <c r="B22" i="1"/>
  <c r="B24" i="1" s="1"/>
  <c r="F52" i="1" l="1"/>
</calcChain>
</file>

<file path=xl/sharedStrings.xml><?xml version="1.0" encoding="utf-8"?>
<sst xmlns="http://schemas.openxmlformats.org/spreadsheetml/2006/main" count="59" uniqueCount="52">
  <si>
    <t>Firma : PROMATIS Corp.</t>
  </si>
  <si>
    <t>PG Balance Sheet by Entity and Month/Quarter/Year</t>
  </si>
  <si>
    <t>End of Dez 2023</t>
  </si>
  <si>
    <t> </t>
  </si>
  <si>
    <t>FY 2017</t>
  </si>
  <si>
    <t>FY 2018</t>
  </si>
  <si>
    <t>FY 2019</t>
  </si>
  <si>
    <t>FY 2020</t>
  </si>
  <si>
    <t>FY 2021</t>
  </si>
  <si>
    <t>FY 2022</t>
  </si>
  <si>
    <t>FY 2023</t>
  </si>
  <si>
    <t>As of Dez 2023</t>
  </si>
  <si>
    <t>ASSETS</t>
  </si>
  <si>
    <t>B. Current assets</t>
  </si>
  <si>
    <t>II. Trade receivables and other receivables</t>
  </si>
  <si>
    <t>1. Trade receivables</t>
  </si>
  <si>
    <t>120100 - Trade receivables</t>
  </si>
  <si>
    <t>123000 - Bills receivable</t>
  </si>
  <si>
    <t>Total Trade receivables</t>
  </si>
  <si>
    <t>Total Trade receivables and other receivables</t>
  </si>
  <si>
    <t>IV. Cash-in-hand, central / bank balances and cheques</t>
  </si>
  <si>
    <t>Bank</t>
  </si>
  <si>
    <t>180081 - AMG Bank - PROMATIS US</t>
  </si>
  <si>
    <t>1860 - WF Checking - PROMATIS US</t>
  </si>
  <si>
    <t>1890 - Cash invest, short-term CM PROMATIS (US)</t>
  </si>
  <si>
    <t>Gesamt Bank</t>
  </si>
  <si>
    <t>Total Cash-in-hand, central / bank balances and cheques</t>
  </si>
  <si>
    <t>Total Current assets</t>
  </si>
  <si>
    <t>TOTAL ASSETS</t>
  </si>
  <si>
    <t>EQUITY &amp; LIABILITIES</t>
  </si>
  <si>
    <t>A. Equity</t>
  </si>
  <si>
    <t>I. Issued capital</t>
  </si>
  <si>
    <t>2900 - Subscribed capital</t>
  </si>
  <si>
    <t>Total Issued capital</t>
  </si>
  <si>
    <t>IV. Profit Brought Forward</t>
  </si>
  <si>
    <t>VI. Net profit/loss for the year</t>
  </si>
  <si>
    <t>Total Equity</t>
  </si>
  <si>
    <t>C. Liabilities</t>
  </si>
  <si>
    <t>2. Liabilities to banks</t>
  </si>
  <si>
    <t>315100 - Liabilities to banks - due within 1 year</t>
  </si>
  <si>
    <t>Total Liabilities to banks</t>
  </si>
  <si>
    <t>4. Trade payables</t>
  </si>
  <si>
    <t>3301 - Trade payables</t>
  </si>
  <si>
    <t>Total Trade payables</t>
  </si>
  <si>
    <t>6. Liabilities to affiliated companies</t>
  </si>
  <si>
    <t>340101 - Liabilities ag. PROMATIS software GmbH</t>
  </si>
  <si>
    <t>Total Liabilities to affiliated companies</t>
  </si>
  <si>
    <t>8. Other liabilities</t>
  </si>
  <si>
    <t>370000 - Liabilities from taxes and levies</t>
  </si>
  <si>
    <t>Total Other liabilities</t>
  </si>
  <si>
    <t>Total Liabilities</t>
  </si>
  <si>
    <t>TOTAL EQUITY &amp;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</si>
</sst>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$&quot;#,##0.00"/>
  </numFmts>
  <fonts count="26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10"/>
      <color indexed="16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9"/>
      <color indexed="56"/>
      <name val="Arial"/>
    </font>
    <font>
      <b/>
      <sz val="9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800000"/>
      </bottom>
      <diagonal/>
    </border>
    <border>
      <left/>
      <right/>
      <top style="dotted">
        <color rgb="FF969696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double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10" xfId="0" applyFont="1" applyBorder="1" applyAlignment="1">
      <alignment horizontal="left" vertical="center"/>
    </xf>
    <xf numFmtId="168" fontId="21" fillId="0" borderId="10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indent="1"/>
    </xf>
    <xf numFmtId="168" fontId="22" fillId="0" borderId="0" xfId="0" applyNumberFormat="1" applyFont="1" applyBorder="1" applyAlignment="1">
      <alignment horizontal="right" vertical="center"/>
    </xf>
    <xf numFmtId="0" fontId="24" fillId="0" borderId="0" xfId="0" applyFont="1" applyBorder="1" applyAlignment="1">
      <alignment horizontal="left" indent="1"/>
    </xf>
    <xf numFmtId="168" fontId="24" fillId="0" borderId="0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indent="2"/>
    </xf>
    <xf numFmtId="0" fontId="22" fillId="0" borderId="0" xfId="0" applyFont="1" applyBorder="1" applyAlignment="1">
      <alignment horizontal="left" indent="3"/>
    </xf>
    <xf numFmtId="0" fontId="23" fillId="0" borderId="0" xfId="0" applyFont="1" applyBorder="1" applyAlignment="1">
      <alignment horizontal="left" indent="4"/>
    </xf>
    <xf numFmtId="168" fontId="23" fillId="0" borderId="0" xfId="0" applyNumberFormat="1" applyFont="1" applyBorder="1" applyAlignment="1">
      <alignment horizontal="right" vertical="center"/>
    </xf>
    <xf numFmtId="0" fontId="22" fillId="0" borderId="11" xfId="0" applyFont="1" applyBorder="1" applyAlignment="1">
      <alignment horizontal="left" indent="3"/>
    </xf>
    <xf numFmtId="4" fontId="22" fillId="0" borderId="11" xfId="0" applyNumberFormat="1" applyFont="1" applyBorder="1" applyAlignment="1">
      <alignment horizontal="right" vertical="center"/>
    </xf>
    <xf numFmtId="0" fontId="22" fillId="0" borderId="11" xfId="0" applyFont="1" applyBorder="1" applyAlignment="1">
      <alignment horizontal="left" indent="2"/>
    </xf>
    <xf numFmtId="168" fontId="22" fillId="0" borderId="11" xfId="0" applyNumberFormat="1" applyFont="1" applyBorder="1" applyAlignment="1">
      <alignment horizontal="right" vertical="center"/>
    </xf>
    <xf numFmtId="0" fontId="22" fillId="0" borderId="12" xfId="0" applyFont="1" applyBorder="1" applyAlignment="1">
      <alignment horizontal="left" indent="1"/>
    </xf>
    <xf numFmtId="168" fontId="22" fillId="0" borderId="12" xfId="0" applyNumberFormat="1" applyFont="1" applyBorder="1" applyAlignment="1">
      <alignment horizontal="right" vertical="center"/>
    </xf>
    <xf numFmtId="0" fontId="25" fillId="0" borderId="13" xfId="0" applyFont="1" applyBorder="1" applyAlignment="1">
      <alignment horizontal="left" vertical="center"/>
    </xf>
    <xf numFmtId="168" fontId="25" fillId="0" borderId="13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left" indent="3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zoomScale="130" zoomScaleNormal="130" workbookViewId="0">
      <selection activeCell="A4" sqref="A4:XFD4"/>
    </sheetView>
  </sheetViews>
  <sheetFormatPr baseColWidth="10" defaultRowHeight="11.25" x14ac:dyDescent="0.2"/>
  <cols>
    <col min="1" max="1" width="57" bestFit="1" customWidth="1"/>
    <col min="2" max="8" width="14.33203125" bestFit="1" customWidth="1"/>
  </cols>
  <sheetData>
    <row r="1" spans="1:8" ht="15.75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ht="1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ht="18" x14ac:dyDescent="0.25">
      <c r="A3" s="2" t="s">
        <v>2</v>
      </c>
      <c r="B3" s="2"/>
      <c r="C3" s="2"/>
      <c r="D3" s="2"/>
      <c r="E3" s="2"/>
      <c r="F3" s="2"/>
      <c r="G3" s="2"/>
      <c r="H3" s="2"/>
    </row>
    <row r="4" spans="1:8" x14ac:dyDescent="0.2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1:8" x14ac:dyDescent="0.2">
      <c r="A5" s="3" t="s">
        <v>3</v>
      </c>
      <c r="B5" s="4" t="s">
        <v>11</v>
      </c>
      <c r="C5" s="4" t="s">
        <v>11</v>
      </c>
      <c r="D5" s="4" t="s">
        <v>11</v>
      </c>
      <c r="E5" s="4" t="s">
        <v>11</v>
      </c>
      <c r="F5" s="4" t="s">
        <v>11</v>
      </c>
      <c r="G5" s="4" t="s">
        <v>11</v>
      </c>
      <c r="H5" s="4" t="s">
        <v>11</v>
      </c>
    </row>
    <row r="6" spans="1:8" ht="12.75" x14ac:dyDescent="0.2">
      <c r="A6" s="5" t="s">
        <v>12</v>
      </c>
      <c r="B6" s="6"/>
      <c r="C6" s="6"/>
      <c r="D6" s="6"/>
      <c r="E6" s="6"/>
      <c r="F6" s="6"/>
      <c r="G6" s="6"/>
      <c r="H6" s="6"/>
    </row>
    <row r="7" spans="1:8" x14ac:dyDescent="0.2">
      <c r="A7" s="7"/>
      <c r="B7" s="8"/>
      <c r="C7" s="8"/>
      <c r="D7" s="8"/>
      <c r="E7" s="8"/>
      <c r="F7" s="8"/>
      <c r="G7" s="8"/>
      <c r="H7" s="8"/>
    </row>
    <row r="8" spans="1:8" ht="12" x14ac:dyDescent="0.2">
      <c r="A8" s="9" t="s">
        <v>13</v>
      </c>
      <c r="B8" s="10"/>
      <c r="C8" s="10"/>
      <c r="D8" s="10"/>
      <c r="E8" s="10"/>
      <c r="F8" s="10"/>
      <c r="G8" s="10"/>
      <c r="H8" s="10"/>
    </row>
    <row r="9" spans="1:8" x14ac:dyDescent="0.2">
      <c r="A9" s="11" t="s">
        <v>14</v>
      </c>
      <c r="B9" s="8">
        <v>0</v>
      </c>
      <c r="C9" s="8">
        <v>0</v>
      </c>
      <c r="D9" s="8">
        <v>16381.25</v>
      </c>
      <c r="E9" s="8">
        <v>15046.25</v>
      </c>
      <c r="F9" s="8">
        <v>459792.94</v>
      </c>
      <c r="G9" s="8">
        <v>322508.90000000002</v>
      </c>
      <c r="H9" s="8">
        <v>276231.84000000003</v>
      </c>
    </row>
    <row r="10" spans="1:8" hidden="1" x14ac:dyDescent="0.2">
      <c r="A10" s="12" t="s">
        <v>15</v>
      </c>
      <c r="B10" s="8"/>
      <c r="C10" s="8"/>
      <c r="D10" s="8"/>
      <c r="E10" s="8"/>
      <c r="F10" s="8"/>
      <c r="G10" s="8"/>
      <c r="H10" s="8"/>
    </row>
    <row r="11" spans="1:8" hidden="1" x14ac:dyDescent="0.2">
      <c r="A11" s="13" t="s">
        <v>16</v>
      </c>
      <c r="B11" s="14">
        <v>0</v>
      </c>
      <c r="C11" s="14">
        <v>0</v>
      </c>
      <c r="D11" s="14">
        <v>16381.25</v>
      </c>
      <c r="E11" s="14">
        <v>15046.25</v>
      </c>
      <c r="F11" s="14">
        <v>452792.94</v>
      </c>
      <c r="G11" s="14">
        <v>322508.90000000002</v>
      </c>
      <c r="H11" s="14">
        <v>276231.84000000003</v>
      </c>
    </row>
    <row r="12" spans="1:8" hidden="1" x14ac:dyDescent="0.2">
      <c r="A12" s="13" t="s">
        <v>17</v>
      </c>
      <c r="B12" s="14">
        <v>0</v>
      </c>
      <c r="C12" s="14">
        <v>0</v>
      </c>
      <c r="D12" s="14">
        <v>0</v>
      </c>
      <c r="E12" s="14">
        <v>0</v>
      </c>
      <c r="F12" s="14">
        <v>7000</v>
      </c>
      <c r="G12" s="14">
        <v>0</v>
      </c>
      <c r="H12" s="14">
        <v>0</v>
      </c>
    </row>
    <row r="13" spans="1:8" hidden="1" x14ac:dyDescent="0.2">
      <c r="A13" s="15" t="s">
        <v>18</v>
      </c>
      <c r="B13" s="16">
        <f t="shared" ref="B13:H13" si="0">SUM(B11:B12)</f>
        <v>0</v>
      </c>
      <c r="C13" s="16">
        <f t="shared" si="0"/>
        <v>0</v>
      </c>
      <c r="D13" s="16">
        <f t="shared" si="0"/>
        <v>16381.25</v>
      </c>
      <c r="E13" s="16">
        <f t="shared" si="0"/>
        <v>15046.25</v>
      </c>
      <c r="F13" s="16">
        <f t="shared" si="0"/>
        <v>459792.94</v>
      </c>
      <c r="G13" s="16">
        <f t="shared" si="0"/>
        <v>322508.90000000002</v>
      </c>
      <c r="H13" s="16">
        <f t="shared" si="0"/>
        <v>276231.84000000003</v>
      </c>
    </row>
    <row r="14" spans="1:8" hidden="1" x14ac:dyDescent="0.2">
      <c r="A14" s="17" t="s">
        <v>19</v>
      </c>
      <c r="B14" s="18">
        <f t="shared" ref="B14:H14" si="1">B13+0+0+0+0+0</f>
        <v>0</v>
      </c>
      <c r="C14" s="18">
        <f t="shared" si="1"/>
        <v>0</v>
      </c>
      <c r="D14" s="18">
        <f t="shared" si="1"/>
        <v>16381.25</v>
      </c>
      <c r="E14" s="18">
        <f t="shared" si="1"/>
        <v>15046.25</v>
      </c>
      <c r="F14" s="18">
        <f t="shared" si="1"/>
        <v>459792.94</v>
      </c>
      <c r="G14" s="18">
        <f t="shared" si="1"/>
        <v>322508.90000000002</v>
      </c>
      <c r="H14" s="18">
        <f t="shared" si="1"/>
        <v>276231.84000000003</v>
      </c>
    </row>
    <row r="15" spans="1:8" x14ac:dyDescent="0.2">
      <c r="A15" s="11" t="s">
        <v>20</v>
      </c>
      <c r="B15" s="8">
        <v>247527.3</v>
      </c>
      <c r="C15" s="8">
        <v>168783.88</v>
      </c>
      <c r="D15" s="8">
        <v>243587.95</v>
      </c>
      <c r="E15" s="8">
        <v>131194.04</v>
      </c>
      <c r="F15" s="8">
        <v>123964.31</v>
      </c>
      <c r="G15" s="8">
        <v>245142.63</v>
      </c>
      <c r="H15" s="8">
        <v>1050059.17</v>
      </c>
    </row>
    <row r="16" spans="1:8" hidden="1" x14ac:dyDescent="0.2">
      <c r="A16" s="12" t="s">
        <v>21</v>
      </c>
      <c r="B16" s="8"/>
      <c r="C16" s="8"/>
      <c r="D16" s="8"/>
      <c r="E16" s="8"/>
      <c r="F16" s="8"/>
      <c r="G16" s="8"/>
      <c r="H16" s="8"/>
    </row>
    <row r="17" spans="1:8" hidden="1" x14ac:dyDescent="0.2">
      <c r="A17" s="13" t="s">
        <v>22</v>
      </c>
      <c r="B17" s="14">
        <v>0</v>
      </c>
      <c r="C17" s="14">
        <v>0</v>
      </c>
      <c r="D17" s="14">
        <v>-1.4</v>
      </c>
      <c r="E17" s="14">
        <v>59477.53</v>
      </c>
      <c r="F17" s="14">
        <v>48464.6</v>
      </c>
      <c r="G17" s="14">
        <v>103721.32</v>
      </c>
      <c r="H17" s="14">
        <v>525295.21</v>
      </c>
    </row>
    <row r="18" spans="1:8" hidden="1" x14ac:dyDescent="0.2">
      <c r="A18" s="13" t="s">
        <v>23</v>
      </c>
      <c r="B18" s="14">
        <v>245732.3</v>
      </c>
      <c r="C18" s="14">
        <v>166988.88</v>
      </c>
      <c r="D18" s="14">
        <v>241794.35</v>
      </c>
      <c r="E18" s="14">
        <v>69921.510000000009</v>
      </c>
      <c r="F18" s="14">
        <v>71917.710000000006</v>
      </c>
      <c r="G18" s="14">
        <v>137839.31</v>
      </c>
      <c r="H18" s="14">
        <v>521181.96</v>
      </c>
    </row>
    <row r="19" spans="1:8" hidden="1" x14ac:dyDescent="0.2">
      <c r="A19" s="13" t="s">
        <v>24</v>
      </c>
      <c r="B19" s="14">
        <v>1795</v>
      </c>
      <c r="C19" s="14">
        <v>1795</v>
      </c>
      <c r="D19" s="14">
        <v>1795</v>
      </c>
      <c r="E19" s="14">
        <v>1795</v>
      </c>
      <c r="F19" s="14">
        <v>3582</v>
      </c>
      <c r="G19" s="14">
        <v>3582</v>
      </c>
      <c r="H19" s="14">
        <v>3582</v>
      </c>
    </row>
    <row r="20" spans="1:8" hidden="1" x14ac:dyDescent="0.2">
      <c r="A20" s="15" t="s">
        <v>25</v>
      </c>
      <c r="B20" s="18">
        <f t="shared" ref="B20:H20" si="2">SUM(B17:B19)</f>
        <v>247527.3</v>
      </c>
      <c r="C20" s="18">
        <f t="shared" si="2"/>
        <v>168783.88</v>
      </c>
      <c r="D20" s="18">
        <f t="shared" si="2"/>
        <v>243587.95</v>
      </c>
      <c r="E20" s="18">
        <f t="shared" si="2"/>
        <v>131194.04</v>
      </c>
      <c r="F20" s="18">
        <f t="shared" si="2"/>
        <v>123964.31</v>
      </c>
      <c r="G20" s="18">
        <f t="shared" si="2"/>
        <v>245142.63</v>
      </c>
      <c r="H20" s="18">
        <f t="shared" si="2"/>
        <v>1050059.17</v>
      </c>
    </row>
    <row r="21" spans="1:8" hidden="1" x14ac:dyDescent="0.2">
      <c r="A21" s="17" t="s">
        <v>26</v>
      </c>
      <c r="B21" s="18">
        <f t="shared" ref="B21:H21" si="3">0+0+B20</f>
        <v>247527.3</v>
      </c>
      <c r="C21" s="18">
        <f t="shared" si="3"/>
        <v>168783.88</v>
      </c>
      <c r="D21" s="18">
        <f t="shared" si="3"/>
        <v>243587.95</v>
      </c>
      <c r="E21" s="18">
        <f t="shared" si="3"/>
        <v>131194.04</v>
      </c>
      <c r="F21" s="18">
        <f t="shared" si="3"/>
        <v>123964.31</v>
      </c>
      <c r="G21" s="18">
        <f t="shared" si="3"/>
        <v>245142.63</v>
      </c>
      <c r="H21" s="18">
        <f t="shared" si="3"/>
        <v>1050059.17</v>
      </c>
    </row>
    <row r="22" spans="1:8" x14ac:dyDescent="0.2">
      <c r="A22" s="19" t="s">
        <v>27</v>
      </c>
      <c r="B22" s="20">
        <f t="shared" ref="B22:H22" si="4">0+B14+0+B21</f>
        <v>247527.3</v>
      </c>
      <c r="C22" s="20">
        <f t="shared" si="4"/>
        <v>168783.88</v>
      </c>
      <c r="D22" s="20">
        <f t="shared" si="4"/>
        <v>259969.2</v>
      </c>
      <c r="E22" s="20">
        <f t="shared" si="4"/>
        <v>146240.29</v>
      </c>
      <c r="F22" s="20">
        <f t="shared" si="4"/>
        <v>583757.25</v>
      </c>
      <c r="G22" s="20">
        <f t="shared" si="4"/>
        <v>567651.53</v>
      </c>
      <c r="H22" s="20">
        <f t="shared" si="4"/>
        <v>1326291.01</v>
      </c>
    </row>
    <row r="23" spans="1:8" ht="12" thickBot="1" x14ac:dyDescent="0.25">
      <c r="A23" s="7"/>
      <c r="B23" s="8"/>
      <c r="C23" s="8"/>
      <c r="D23" s="8"/>
      <c r="E23" s="8"/>
      <c r="F23" s="8"/>
      <c r="G23" s="8"/>
      <c r="H23" s="8"/>
    </row>
    <row r="24" spans="1:8" ht="12.75" thickTop="1" x14ac:dyDescent="0.2">
      <c r="A24" s="21" t="s">
        <v>28</v>
      </c>
      <c r="B24" s="22">
        <f t="shared" ref="B24:H24" si="5">0+B7+B22+B23+0+0</f>
        <v>247527.3</v>
      </c>
      <c r="C24" s="22">
        <f t="shared" si="5"/>
        <v>168783.88</v>
      </c>
      <c r="D24" s="22">
        <f t="shared" si="5"/>
        <v>259969.2</v>
      </c>
      <c r="E24" s="22">
        <f t="shared" si="5"/>
        <v>146240.29</v>
      </c>
      <c r="F24" s="22">
        <f t="shared" si="5"/>
        <v>583757.25</v>
      </c>
      <c r="G24" s="22">
        <f t="shared" si="5"/>
        <v>567651.53</v>
      </c>
      <c r="H24" s="22">
        <f t="shared" si="5"/>
        <v>1326291.01</v>
      </c>
    </row>
    <row r="25" spans="1:8" x14ac:dyDescent="0.2">
      <c r="A25" s="23"/>
      <c r="B25" s="8"/>
      <c r="C25" s="8"/>
      <c r="D25" s="8"/>
      <c r="E25" s="8"/>
      <c r="F25" s="8"/>
      <c r="G25" s="8"/>
      <c r="H25" s="8"/>
    </row>
    <row r="26" spans="1:8" ht="12.75" x14ac:dyDescent="0.2">
      <c r="A26" s="5" t="s">
        <v>29</v>
      </c>
      <c r="B26" s="6"/>
      <c r="C26" s="6"/>
      <c r="D26" s="6"/>
      <c r="E26" s="6"/>
      <c r="F26" s="6"/>
      <c r="G26" s="6"/>
      <c r="H26" s="6"/>
    </row>
    <row r="27" spans="1:8" ht="12" x14ac:dyDescent="0.2">
      <c r="A27" s="9" t="s">
        <v>30</v>
      </c>
      <c r="B27" s="10"/>
      <c r="C27" s="10"/>
      <c r="D27" s="10"/>
      <c r="E27" s="10"/>
      <c r="F27" s="10"/>
      <c r="G27" s="10"/>
      <c r="H27" s="10"/>
    </row>
    <row r="28" spans="1:8" x14ac:dyDescent="0.2">
      <c r="A28" s="11" t="s">
        <v>31</v>
      </c>
      <c r="B28" s="8">
        <v>300000</v>
      </c>
      <c r="C28" s="8">
        <v>300000</v>
      </c>
      <c r="D28" s="8">
        <v>300000</v>
      </c>
      <c r="E28" s="8">
        <v>300000</v>
      </c>
      <c r="F28" s="8">
        <v>300000</v>
      </c>
      <c r="G28" s="8">
        <v>300000</v>
      </c>
      <c r="H28" s="8">
        <v>300000</v>
      </c>
    </row>
    <row r="29" spans="1:8" hidden="1" x14ac:dyDescent="0.2">
      <c r="A29" s="24" t="s">
        <v>32</v>
      </c>
      <c r="B29" s="14">
        <v>300000</v>
      </c>
      <c r="C29" s="14">
        <v>300000</v>
      </c>
      <c r="D29" s="14">
        <v>300000</v>
      </c>
      <c r="E29" s="14">
        <v>300000</v>
      </c>
      <c r="F29" s="14">
        <v>300000</v>
      </c>
      <c r="G29" s="14">
        <v>300000</v>
      </c>
      <c r="H29" s="14">
        <v>300000</v>
      </c>
    </row>
    <row r="30" spans="1:8" hidden="1" x14ac:dyDescent="0.2">
      <c r="A30" s="17" t="s">
        <v>33</v>
      </c>
      <c r="B30" s="18">
        <f t="shared" ref="B30:H30" si="6">SUM(B29)</f>
        <v>300000</v>
      </c>
      <c r="C30" s="18">
        <f t="shared" si="6"/>
        <v>300000</v>
      </c>
      <c r="D30" s="18">
        <f t="shared" si="6"/>
        <v>300000</v>
      </c>
      <c r="E30" s="18">
        <f t="shared" si="6"/>
        <v>300000</v>
      </c>
      <c r="F30" s="18">
        <f t="shared" si="6"/>
        <v>300000</v>
      </c>
      <c r="G30" s="18">
        <f t="shared" si="6"/>
        <v>300000</v>
      </c>
      <c r="H30" s="18">
        <f t="shared" si="6"/>
        <v>300000</v>
      </c>
    </row>
    <row r="31" spans="1:8" x14ac:dyDescent="0.2">
      <c r="A31" s="17" t="s">
        <v>34</v>
      </c>
      <c r="B31" s="18">
        <f>+-61184.37-B32</f>
        <v>-61184.37</v>
      </c>
      <c r="C31" s="18">
        <f>+-142109.3-C32</f>
        <v>-142109.29999999999</v>
      </c>
      <c r="D31" s="18">
        <f>+-40030.8-D32</f>
        <v>-40030.800000000003</v>
      </c>
      <c r="E31" s="18">
        <f>+-242164.43-E32</f>
        <v>-242164.43</v>
      </c>
      <c r="F31" s="18">
        <f>75575.5200000001-F32</f>
        <v>75575.520000000106</v>
      </c>
      <c r="G31" s="18">
        <f>183431.53-G32</f>
        <v>183431.53</v>
      </c>
      <c r="H31" s="18">
        <f>421310.510000001-H32</f>
        <v>183431.53000000108</v>
      </c>
    </row>
    <row r="32" spans="1:8" x14ac:dyDescent="0.2">
      <c r="A32" s="11" t="s">
        <v>35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237878.97999999992</v>
      </c>
    </row>
    <row r="33" spans="1:8" x14ac:dyDescent="0.2">
      <c r="A33" s="19" t="s">
        <v>36</v>
      </c>
      <c r="B33" s="20">
        <f t="shared" ref="B33:H33" si="7">B30+0+0+B31+0+B32</f>
        <v>238815.63</v>
      </c>
      <c r="C33" s="20">
        <f t="shared" si="7"/>
        <v>157890.70000000001</v>
      </c>
      <c r="D33" s="20">
        <f t="shared" si="7"/>
        <v>259969.2</v>
      </c>
      <c r="E33" s="20">
        <f t="shared" si="7"/>
        <v>57835.570000000007</v>
      </c>
      <c r="F33" s="20">
        <f t="shared" si="7"/>
        <v>375575.52000000014</v>
      </c>
      <c r="G33" s="20">
        <f t="shared" si="7"/>
        <v>483431.53</v>
      </c>
      <c r="H33" s="20">
        <f t="shared" si="7"/>
        <v>721310.51000000094</v>
      </c>
    </row>
    <row r="34" spans="1:8" x14ac:dyDescent="0.2">
      <c r="A34" s="7"/>
      <c r="B34" s="8"/>
      <c r="C34" s="8"/>
      <c r="D34" s="8"/>
      <c r="E34" s="8"/>
      <c r="F34" s="8"/>
      <c r="G34" s="8"/>
      <c r="H34" s="8"/>
    </row>
    <row r="35" spans="1:8" x14ac:dyDescent="0.2">
      <c r="A35" s="7"/>
      <c r="B35" s="8"/>
      <c r="C35" s="8"/>
      <c r="D35" s="8"/>
      <c r="E35" s="8"/>
      <c r="F35" s="8"/>
      <c r="G35" s="8"/>
      <c r="H35" s="8"/>
    </row>
    <row r="36" spans="1:8" ht="12" x14ac:dyDescent="0.2">
      <c r="A36" s="9" t="s">
        <v>37</v>
      </c>
      <c r="B36" s="10"/>
      <c r="C36" s="10"/>
      <c r="D36" s="10"/>
      <c r="E36" s="10"/>
      <c r="F36" s="10"/>
      <c r="G36" s="10"/>
      <c r="H36" s="10"/>
    </row>
    <row r="37" spans="1:8" x14ac:dyDescent="0.2">
      <c r="A37" s="11" t="s">
        <v>38</v>
      </c>
      <c r="B37" s="8">
        <v>0</v>
      </c>
      <c r="C37" s="8">
        <v>0</v>
      </c>
      <c r="D37" s="8">
        <v>0</v>
      </c>
      <c r="E37" s="8">
        <v>88404.72</v>
      </c>
      <c r="F37" s="8">
        <v>0</v>
      </c>
      <c r="G37" s="8">
        <v>0</v>
      </c>
      <c r="H37" s="8">
        <v>0</v>
      </c>
    </row>
    <row r="38" spans="1:8" hidden="1" x14ac:dyDescent="0.2">
      <c r="A38" s="24" t="s">
        <v>39</v>
      </c>
      <c r="B38" s="14">
        <v>0</v>
      </c>
      <c r="C38" s="14">
        <v>0</v>
      </c>
      <c r="D38" s="14">
        <v>0</v>
      </c>
      <c r="E38" s="14">
        <v>88404.72</v>
      </c>
      <c r="F38" s="14">
        <v>0</v>
      </c>
      <c r="G38" s="14">
        <v>0</v>
      </c>
      <c r="H38" s="14">
        <v>0</v>
      </c>
    </row>
    <row r="39" spans="1:8" hidden="1" x14ac:dyDescent="0.2">
      <c r="A39" s="17" t="s">
        <v>40</v>
      </c>
      <c r="B39" s="18">
        <f t="shared" ref="B39:H39" si="8">SUM(B38)</f>
        <v>0</v>
      </c>
      <c r="C39" s="18">
        <f t="shared" si="8"/>
        <v>0</v>
      </c>
      <c r="D39" s="18">
        <f t="shared" si="8"/>
        <v>0</v>
      </c>
      <c r="E39" s="18">
        <f t="shared" si="8"/>
        <v>88404.72</v>
      </c>
      <c r="F39" s="18">
        <f t="shared" si="8"/>
        <v>0</v>
      </c>
      <c r="G39" s="18">
        <f t="shared" si="8"/>
        <v>0</v>
      </c>
      <c r="H39" s="18">
        <f t="shared" si="8"/>
        <v>0</v>
      </c>
    </row>
    <row r="40" spans="1:8" x14ac:dyDescent="0.2">
      <c r="A40" s="11" t="s">
        <v>41</v>
      </c>
      <c r="B40" s="8">
        <v>0</v>
      </c>
      <c r="C40" s="8">
        <v>0</v>
      </c>
      <c r="D40" s="8">
        <v>0</v>
      </c>
      <c r="E40" s="8">
        <v>0</v>
      </c>
      <c r="F40" s="8">
        <v>199.53</v>
      </c>
      <c r="G40" s="8">
        <v>5650.8099999999995</v>
      </c>
      <c r="H40" s="8">
        <v>3372.5099999999993</v>
      </c>
    </row>
    <row r="41" spans="1:8" hidden="1" x14ac:dyDescent="0.2">
      <c r="A41" s="24" t="s">
        <v>42</v>
      </c>
      <c r="B41" s="14">
        <v>0</v>
      </c>
      <c r="C41" s="14">
        <v>0</v>
      </c>
      <c r="D41" s="14">
        <v>0</v>
      </c>
      <c r="E41" s="14">
        <v>0</v>
      </c>
      <c r="F41" s="14">
        <v>199.53</v>
      </c>
      <c r="G41" s="14">
        <v>5650.8099999999995</v>
      </c>
      <c r="H41" s="14">
        <v>3372.5099999999993</v>
      </c>
    </row>
    <row r="42" spans="1:8" hidden="1" x14ac:dyDescent="0.2">
      <c r="A42" s="17" t="s">
        <v>43</v>
      </c>
      <c r="B42" s="18">
        <f t="shared" ref="B42:H42" si="9">SUM(B41)</f>
        <v>0</v>
      </c>
      <c r="C42" s="18">
        <f t="shared" si="9"/>
        <v>0</v>
      </c>
      <c r="D42" s="18">
        <f t="shared" si="9"/>
        <v>0</v>
      </c>
      <c r="E42" s="18">
        <f t="shared" si="9"/>
        <v>0</v>
      </c>
      <c r="F42" s="18">
        <f t="shared" si="9"/>
        <v>199.53</v>
      </c>
      <c r="G42" s="18">
        <f t="shared" si="9"/>
        <v>5650.8099999999995</v>
      </c>
      <c r="H42" s="18">
        <f t="shared" si="9"/>
        <v>3372.5099999999993</v>
      </c>
    </row>
    <row r="43" spans="1:8" x14ac:dyDescent="0.2">
      <c r="A43" s="11" t="s">
        <v>44</v>
      </c>
      <c r="B43" s="8">
        <v>0</v>
      </c>
      <c r="C43" s="8">
        <v>0</v>
      </c>
      <c r="D43" s="8">
        <v>0</v>
      </c>
      <c r="E43" s="8">
        <v>0</v>
      </c>
      <c r="F43" s="8">
        <v>207982.2</v>
      </c>
      <c r="G43" s="8">
        <v>78569.190000000017</v>
      </c>
      <c r="H43" s="8">
        <v>601607.99</v>
      </c>
    </row>
    <row r="44" spans="1:8" hidden="1" x14ac:dyDescent="0.2">
      <c r="A44" s="24" t="s">
        <v>45</v>
      </c>
      <c r="B44" s="14">
        <v>0</v>
      </c>
      <c r="C44" s="14">
        <v>0</v>
      </c>
      <c r="D44" s="14">
        <v>0</v>
      </c>
      <c r="E44" s="14">
        <v>0</v>
      </c>
      <c r="F44" s="14">
        <v>207982.2</v>
      </c>
      <c r="G44" s="14">
        <v>78569.190000000017</v>
      </c>
      <c r="H44" s="14">
        <v>601607.99</v>
      </c>
    </row>
    <row r="45" spans="1:8" hidden="1" x14ac:dyDescent="0.2">
      <c r="A45" s="17" t="s">
        <v>46</v>
      </c>
      <c r="B45" s="18">
        <f t="shared" ref="B45:H45" si="10">SUM(B44)</f>
        <v>0</v>
      </c>
      <c r="C45" s="18">
        <f t="shared" si="10"/>
        <v>0</v>
      </c>
      <c r="D45" s="18">
        <f t="shared" si="10"/>
        <v>0</v>
      </c>
      <c r="E45" s="18">
        <f t="shared" si="10"/>
        <v>0</v>
      </c>
      <c r="F45" s="18">
        <f t="shared" si="10"/>
        <v>207982.2</v>
      </c>
      <c r="G45" s="18">
        <f t="shared" si="10"/>
        <v>78569.190000000017</v>
      </c>
      <c r="H45" s="18">
        <f t="shared" si="10"/>
        <v>601607.99</v>
      </c>
    </row>
    <row r="46" spans="1:8" x14ac:dyDescent="0.2">
      <c r="A46" s="11" t="s">
        <v>47</v>
      </c>
      <c r="B46" s="8">
        <v>8711.67</v>
      </c>
      <c r="C46" s="8">
        <v>10893.18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</row>
    <row r="47" spans="1:8" hidden="1" x14ac:dyDescent="0.2">
      <c r="A47" s="24" t="s">
        <v>48</v>
      </c>
      <c r="B47" s="14">
        <v>8711.67</v>
      </c>
      <c r="C47" s="14">
        <v>10893.18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</row>
    <row r="48" spans="1:8" hidden="1" x14ac:dyDescent="0.2">
      <c r="A48" s="17" t="s">
        <v>49</v>
      </c>
      <c r="B48" s="18">
        <f t="shared" ref="B48:H48" si="11">SUM(B47)</f>
        <v>8711.67</v>
      </c>
      <c r="C48" s="18">
        <f t="shared" si="11"/>
        <v>10893.18</v>
      </c>
      <c r="D48" s="18">
        <f t="shared" si="11"/>
        <v>0</v>
      </c>
      <c r="E48" s="18">
        <f t="shared" si="11"/>
        <v>0</v>
      </c>
      <c r="F48" s="18">
        <f t="shared" si="11"/>
        <v>0</v>
      </c>
      <c r="G48" s="18">
        <f t="shared" si="11"/>
        <v>0</v>
      </c>
      <c r="H48" s="18">
        <f t="shared" si="11"/>
        <v>0</v>
      </c>
    </row>
    <row r="49" spans="1:8" x14ac:dyDescent="0.2">
      <c r="A49" s="19" t="s">
        <v>50</v>
      </c>
      <c r="B49" s="20">
        <f t="shared" ref="B49:H49" si="12">0+B39+0+B42+0+B45+0+B48</f>
        <v>8711.67</v>
      </c>
      <c r="C49" s="20">
        <f t="shared" si="12"/>
        <v>10893.18</v>
      </c>
      <c r="D49" s="20">
        <f t="shared" si="12"/>
        <v>0</v>
      </c>
      <c r="E49" s="20">
        <f t="shared" si="12"/>
        <v>88404.72</v>
      </c>
      <c r="F49" s="20">
        <f t="shared" si="12"/>
        <v>208181.73</v>
      </c>
      <c r="G49" s="20">
        <f t="shared" si="12"/>
        <v>84220.000000000015</v>
      </c>
      <c r="H49" s="20">
        <f t="shared" si="12"/>
        <v>604980.5</v>
      </c>
    </row>
    <row r="50" spans="1:8" x14ac:dyDescent="0.2">
      <c r="A50" s="7"/>
      <c r="B50" s="8"/>
      <c r="C50" s="8"/>
      <c r="D50" s="8"/>
      <c r="E50" s="8"/>
      <c r="F50" s="8"/>
      <c r="G50" s="8"/>
      <c r="H50" s="8"/>
    </row>
    <row r="51" spans="1:8" ht="12" thickBot="1" x14ac:dyDescent="0.25">
      <c r="A51" s="7"/>
      <c r="B51" s="8"/>
      <c r="C51" s="8"/>
      <c r="D51" s="8"/>
      <c r="E51" s="8"/>
      <c r="F51" s="8"/>
      <c r="G51" s="8"/>
      <c r="H51" s="8"/>
    </row>
    <row r="52" spans="1:8" ht="12.75" thickTop="1" x14ac:dyDescent="0.2">
      <c r="A52" s="21" t="s">
        <v>51</v>
      </c>
      <c r="B52" s="22">
        <f t="shared" ref="B52:H52" si="13">B33+B34+0+B35+B49+B50+0+B51+0</f>
        <v>247527.30000000002</v>
      </c>
      <c r="C52" s="22">
        <f t="shared" si="13"/>
        <v>168783.88</v>
      </c>
      <c r="D52" s="22">
        <f t="shared" si="13"/>
        <v>259969.2</v>
      </c>
      <c r="E52" s="22">
        <f t="shared" si="13"/>
        <v>146240.29</v>
      </c>
      <c r="F52" s="22">
        <f t="shared" si="13"/>
        <v>583757.25000000012</v>
      </c>
      <c r="G52" s="22">
        <f t="shared" si="13"/>
        <v>567651.53</v>
      </c>
      <c r="H52" s="22">
        <f t="shared" si="13"/>
        <v>1326291.0100000009</v>
      </c>
    </row>
  </sheetData>
  <mergeCells count="3">
    <mergeCell ref="A1:H1"/>
    <mergeCell ref="A2:H2"/>
    <mergeCell ref="A3:H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PGBalanceSheetbyEntityand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Michael Mohl</cp:lastModifiedBy>
  <dcterms:created xsi:type="dcterms:W3CDTF">2023-08-08T17:00:46Z</dcterms:created>
  <dcterms:modified xsi:type="dcterms:W3CDTF">2023-08-08T17:00:46Z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