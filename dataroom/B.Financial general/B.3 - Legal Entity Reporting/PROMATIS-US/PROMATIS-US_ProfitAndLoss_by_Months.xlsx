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esellschaft\PROMATIS software\Beteiligungskapital\Datenraum_PwC_IceLake\FDD\B.Financial general\B.3 - Legal Entity Reporting\PROMATIS-US\"/>
    </mc:Choice>
  </mc:AlternateContent>
  <xr:revisionPtr revIDLastSave="0" documentId="13_ncr:40009_{D12C6EDE-C1BA-49EF-9413-877D42152508}" xr6:coauthVersionLast="47" xr6:coauthVersionMax="47" xr10:uidLastSave="{00000000-0000-0000-0000-000000000000}"/>
  <bookViews>
    <workbookView xWindow="-120" yWindow="-120" windowWidth="29040" windowHeight="15840"/>
  </bookViews>
  <sheets>
    <sheet name="PGPLbyEntityandMonthQu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57" i="1" l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R56" i="1"/>
  <c r="AR55" i="1"/>
  <c r="AR54" i="1"/>
  <c r="AR53" i="1"/>
  <c r="AR52" i="1"/>
  <c r="AR51" i="1"/>
  <c r="AR50" i="1"/>
  <c r="AR49" i="1"/>
  <c r="AR48" i="1"/>
  <c r="AR47" i="1"/>
  <c r="AR46" i="1"/>
  <c r="AR45" i="1"/>
  <c r="AR44" i="1"/>
  <c r="AR43" i="1"/>
  <c r="AR42" i="1"/>
  <c r="AR41" i="1"/>
  <c r="AR40" i="1"/>
  <c r="AR39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R35" i="1"/>
  <c r="AR36" i="1" s="1"/>
  <c r="AQ33" i="1"/>
  <c r="AQ37" i="1" s="1"/>
  <c r="AQ58" i="1" s="1"/>
  <c r="AP33" i="1"/>
  <c r="AP37" i="1" s="1"/>
  <c r="AP58" i="1" s="1"/>
  <c r="AO33" i="1"/>
  <c r="AN33" i="1"/>
  <c r="AM33" i="1"/>
  <c r="AM37" i="1" s="1"/>
  <c r="AM58" i="1" s="1"/>
  <c r="AL33" i="1"/>
  <c r="AL37" i="1" s="1"/>
  <c r="AL58" i="1" s="1"/>
  <c r="AK33" i="1"/>
  <c r="AJ33" i="1"/>
  <c r="AJ37" i="1" s="1"/>
  <c r="AI33" i="1"/>
  <c r="AI37" i="1" s="1"/>
  <c r="AI58" i="1" s="1"/>
  <c r="AH33" i="1"/>
  <c r="AH37" i="1" s="1"/>
  <c r="AH58" i="1" s="1"/>
  <c r="AG33" i="1"/>
  <c r="AF33" i="1"/>
  <c r="AE33" i="1"/>
  <c r="AE37" i="1" s="1"/>
  <c r="AE58" i="1" s="1"/>
  <c r="AD33" i="1"/>
  <c r="AD37" i="1" s="1"/>
  <c r="AD58" i="1" s="1"/>
  <c r="AC33" i="1"/>
  <c r="AB33" i="1"/>
  <c r="AB37" i="1" s="1"/>
  <c r="AA33" i="1"/>
  <c r="AA37" i="1" s="1"/>
  <c r="AA58" i="1" s="1"/>
  <c r="Z33" i="1"/>
  <c r="Y33" i="1"/>
  <c r="X33" i="1"/>
  <c r="W33" i="1"/>
  <c r="W37" i="1" s="1"/>
  <c r="W58" i="1" s="1"/>
  <c r="V33" i="1"/>
  <c r="V37" i="1" s="1"/>
  <c r="V58" i="1" s="1"/>
  <c r="U33" i="1"/>
  <c r="T33" i="1"/>
  <c r="T37" i="1" s="1"/>
  <c r="S33" i="1"/>
  <c r="S37" i="1" s="1"/>
  <c r="S58" i="1" s="1"/>
  <c r="R33" i="1"/>
  <c r="R37" i="1" s="1"/>
  <c r="R58" i="1" s="1"/>
  <c r="Q33" i="1"/>
  <c r="P33" i="1"/>
  <c r="O33" i="1"/>
  <c r="O37" i="1" s="1"/>
  <c r="O58" i="1" s="1"/>
  <c r="N33" i="1"/>
  <c r="N37" i="1" s="1"/>
  <c r="N58" i="1" s="1"/>
  <c r="M33" i="1"/>
  <c r="L33" i="1"/>
  <c r="L37" i="1" s="1"/>
  <c r="K33" i="1"/>
  <c r="K37" i="1" s="1"/>
  <c r="K58" i="1" s="1"/>
  <c r="J33" i="1"/>
  <c r="J37" i="1" s="1"/>
  <c r="J58" i="1" s="1"/>
  <c r="I33" i="1"/>
  <c r="H33" i="1"/>
  <c r="G33" i="1"/>
  <c r="G37" i="1" s="1"/>
  <c r="G58" i="1" s="1"/>
  <c r="F33" i="1"/>
  <c r="F37" i="1" s="1"/>
  <c r="F58" i="1" s="1"/>
  <c r="E33" i="1"/>
  <c r="D33" i="1"/>
  <c r="D37" i="1" s="1"/>
  <c r="C33" i="1"/>
  <c r="C37" i="1" s="1"/>
  <c r="C58" i="1" s="1"/>
  <c r="B33" i="1"/>
  <c r="B37" i="1" s="1"/>
  <c r="B58" i="1" s="1"/>
  <c r="AR32" i="1"/>
  <c r="AR31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R24" i="1"/>
  <c r="AR25" i="1" s="1"/>
  <c r="AQ22" i="1"/>
  <c r="AP22" i="1"/>
  <c r="AO22" i="1"/>
  <c r="AO26" i="1" s="1"/>
  <c r="AN22" i="1"/>
  <c r="AM22" i="1"/>
  <c r="AL22" i="1"/>
  <c r="AL26" i="1" s="1"/>
  <c r="AK22" i="1"/>
  <c r="AK26" i="1" s="1"/>
  <c r="AJ22" i="1"/>
  <c r="AI22" i="1"/>
  <c r="AH22" i="1"/>
  <c r="AG22" i="1"/>
  <c r="AG26" i="1" s="1"/>
  <c r="AF22" i="1"/>
  <c r="AE22" i="1"/>
  <c r="AD22" i="1"/>
  <c r="AD26" i="1" s="1"/>
  <c r="AC22" i="1"/>
  <c r="AC26" i="1" s="1"/>
  <c r="AB22" i="1"/>
  <c r="AA22" i="1"/>
  <c r="Z22" i="1"/>
  <c r="Y22" i="1"/>
  <c r="Y26" i="1" s="1"/>
  <c r="X22" i="1"/>
  <c r="W22" i="1"/>
  <c r="V22" i="1"/>
  <c r="V26" i="1" s="1"/>
  <c r="U22" i="1"/>
  <c r="U26" i="1" s="1"/>
  <c r="T22" i="1"/>
  <c r="S22" i="1"/>
  <c r="R22" i="1"/>
  <c r="Q22" i="1"/>
  <c r="Q26" i="1" s="1"/>
  <c r="P22" i="1"/>
  <c r="O22" i="1"/>
  <c r="N22" i="1"/>
  <c r="N26" i="1" s="1"/>
  <c r="M22" i="1"/>
  <c r="M26" i="1" s="1"/>
  <c r="L22" i="1"/>
  <c r="K22" i="1"/>
  <c r="J22" i="1"/>
  <c r="I22" i="1"/>
  <c r="I26" i="1" s="1"/>
  <c r="H22" i="1"/>
  <c r="G22" i="1"/>
  <c r="F22" i="1"/>
  <c r="F26" i="1" s="1"/>
  <c r="E22" i="1"/>
  <c r="E26" i="1" s="1"/>
  <c r="D22" i="1"/>
  <c r="C22" i="1"/>
  <c r="B22" i="1"/>
  <c r="AR21" i="1"/>
  <c r="AR22" i="1" s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R16" i="1"/>
  <c r="AR17" i="1" s="1"/>
  <c r="AQ14" i="1"/>
  <c r="AP14" i="1"/>
  <c r="AP18" i="1" s="1"/>
  <c r="AO14" i="1"/>
  <c r="AO18" i="1" s="1"/>
  <c r="AO27" i="1" s="1"/>
  <c r="AN14" i="1"/>
  <c r="AM14" i="1"/>
  <c r="AL14" i="1"/>
  <c r="AK14" i="1"/>
  <c r="AJ14" i="1"/>
  <c r="AI14" i="1"/>
  <c r="AH14" i="1"/>
  <c r="AH18" i="1" s="1"/>
  <c r="AG14" i="1"/>
  <c r="AG18" i="1" s="1"/>
  <c r="AG27" i="1" s="1"/>
  <c r="AF14" i="1"/>
  <c r="AE14" i="1"/>
  <c r="AD14" i="1"/>
  <c r="AC14" i="1"/>
  <c r="AB14" i="1"/>
  <c r="AB18" i="1" s="1"/>
  <c r="AA14" i="1"/>
  <c r="Z14" i="1"/>
  <c r="Z18" i="1" s="1"/>
  <c r="Y14" i="1"/>
  <c r="Y18" i="1" s="1"/>
  <c r="X14" i="1"/>
  <c r="W14" i="1"/>
  <c r="V14" i="1"/>
  <c r="U14" i="1"/>
  <c r="T14" i="1"/>
  <c r="T18" i="1" s="1"/>
  <c r="S14" i="1"/>
  <c r="R14" i="1"/>
  <c r="R18" i="1" s="1"/>
  <c r="Q14" i="1"/>
  <c r="Q18" i="1" s="1"/>
  <c r="Q27" i="1" s="1"/>
  <c r="P14" i="1"/>
  <c r="O14" i="1"/>
  <c r="N14" i="1"/>
  <c r="M14" i="1"/>
  <c r="L14" i="1"/>
  <c r="L18" i="1" s="1"/>
  <c r="K14" i="1"/>
  <c r="J14" i="1"/>
  <c r="J18" i="1" s="1"/>
  <c r="I14" i="1"/>
  <c r="I18" i="1" s="1"/>
  <c r="I27" i="1" s="1"/>
  <c r="H14" i="1"/>
  <c r="G14" i="1"/>
  <c r="F14" i="1"/>
  <c r="E14" i="1"/>
  <c r="D14" i="1"/>
  <c r="C14" i="1"/>
  <c r="B14" i="1"/>
  <c r="B18" i="1" s="1"/>
  <c r="AR13" i="1"/>
  <c r="AR12" i="1"/>
  <c r="AR11" i="1"/>
  <c r="M37" i="1" l="1"/>
  <c r="M58" i="1" s="1"/>
  <c r="N18" i="1"/>
  <c r="N27" i="1" s="1"/>
  <c r="N59" i="1" s="1"/>
  <c r="N60" i="1" s="1"/>
  <c r="V18" i="1"/>
  <c r="AD18" i="1"/>
  <c r="AL18" i="1"/>
  <c r="H26" i="1"/>
  <c r="P26" i="1"/>
  <c r="X26" i="1"/>
  <c r="AF26" i="1"/>
  <c r="AN26" i="1"/>
  <c r="F18" i="1"/>
  <c r="D18" i="1"/>
  <c r="AJ18" i="1"/>
  <c r="D58" i="1"/>
  <c r="L58" i="1"/>
  <c r="T58" i="1"/>
  <c r="AB58" i="1"/>
  <c r="AJ58" i="1"/>
  <c r="H18" i="1"/>
  <c r="P18" i="1"/>
  <c r="X18" i="1"/>
  <c r="AF18" i="1"/>
  <c r="AN18" i="1"/>
  <c r="G26" i="1"/>
  <c r="O26" i="1"/>
  <c r="W26" i="1"/>
  <c r="AE26" i="1"/>
  <c r="AM26" i="1"/>
  <c r="D26" i="1"/>
  <c r="L26" i="1"/>
  <c r="L27" i="1" s="1"/>
  <c r="L59" i="1" s="1"/>
  <c r="L60" i="1" s="1"/>
  <c r="T26" i="1"/>
  <c r="AB26" i="1"/>
  <c r="AJ26" i="1"/>
  <c r="Z37" i="1"/>
  <c r="Z58" i="1" s="1"/>
  <c r="Y27" i="1"/>
  <c r="AL27" i="1"/>
  <c r="G18" i="1"/>
  <c r="O18" i="1"/>
  <c r="W18" i="1"/>
  <c r="AE18" i="1"/>
  <c r="AE27" i="1" s="1"/>
  <c r="AE59" i="1" s="1"/>
  <c r="AE60" i="1" s="1"/>
  <c r="AM18" i="1"/>
  <c r="AM27" i="1" s="1"/>
  <c r="AM59" i="1" s="1"/>
  <c r="AM60" i="1" s="1"/>
  <c r="AR26" i="1"/>
  <c r="C18" i="1"/>
  <c r="AA18" i="1"/>
  <c r="R26" i="1"/>
  <c r="R27" i="1" s="1"/>
  <c r="R59" i="1" s="1"/>
  <c r="R60" i="1" s="1"/>
  <c r="AP26" i="1"/>
  <c r="P37" i="1"/>
  <c r="P58" i="1" s="1"/>
  <c r="AF37" i="1"/>
  <c r="AF58" i="1" s="1"/>
  <c r="E37" i="1"/>
  <c r="E58" i="1" s="1"/>
  <c r="U37" i="1"/>
  <c r="U58" i="1" s="1"/>
  <c r="AK37" i="1"/>
  <c r="AK58" i="1" s="1"/>
  <c r="AD27" i="1"/>
  <c r="S18" i="1"/>
  <c r="AQ18" i="1"/>
  <c r="AQ27" i="1" s="1"/>
  <c r="AQ59" i="1" s="1"/>
  <c r="AQ60" i="1" s="1"/>
  <c r="J26" i="1"/>
  <c r="J27" i="1" s="1"/>
  <c r="J59" i="1" s="1"/>
  <c r="J60" i="1" s="1"/>
  <c r="Z26" i="1"/>
  <c r="Z27" i="1" s="1"/>
  <c r="Z59" i="1" s="1"/>
  <c r="Z60" i="1" s="1"/>
  <c r="H37" i="1"/>
  <c r="H58" i="1" s="1"/>
  <c r="X37" i="1"/>
  <c r="X58" i="1" s="1"/>
  <c r="AN37" i="1"/>
  <c r="AN58" i="1" s="1"/>
  <c r="AC37" i="1"/>
  <c r="AC58" i="1" s="1"/>
  <c r="C26" i="1"/>
  <c r="K26" i="1"/>
  <c r="S26" i="1"/>
  <c r="AA26" i="1"/>
  <c r="AI26" i="1"/>
  <c r="AQ26" i="1"/>
  <c r="AR33" i="1"/>
  <c r="AR37" i="1" s="1"/>
  <c r="I37" i="1"/>
  <c r="I58" i="1" s="1"/>
  <c r="I59" i="1" s="1"/>
  <c r="I60" i="1" s="1"/>
  <c r="Q37" i="1"/>
  <c r="Q58" i="1" s="1"/>
  <c r="Q59" i="1" s="1"/>
  <c r="Q60" i="1" s="1"/>
  <c r="Y37" i="1"/>
  <c r="Y58" i="1" s="1"/>
  <c r="Y59" i="1" s="1"/>
  <c r="Y60" i="1" s="1"/>
  <c r="AG37" i="1"/>
  <c r="AG58" i="1" s="1"/>
  <c r="AG59" i="1" s="1"/>
  <c r="AG60" i="1" s="1"/>
  <c r="AO37" i="1"/>
  <c r="AO58" i="1" s="1"/>
  <c r="AO59" i="1" s="1"/>
  <c r="AO60" i="1" s="1"/>
  <c r="V27" i="1"/>
  <c r="V59" i="1" s="1"/>
  <c r="V60" i="1" s="1"/>
  <c r="K18" i="1"/>
  <c r="AI18" i="1"/>
  <c r="AI27" i="1" s="1"/>
  <c r="AI59" i="1" s="1"/>
  <c r="AI60" i="1" s="1"/>
  <c r="B26" i="1"/>
  <c r="B27" i="1" s="1"/>
  <c r="B59" i="1" s="1"/>
  <c r="B60" i="1" s="1"/>
  <c r="AH26" i="1"/>
  <c r="AH27" i="1" s="1"/>
  <c r="AH59" i="1" s="1"/>
  <c r="AH60" i="1" s="1"/>
  <c r="E18" i="1"/>
  <c r="E27" i="1" s="1"/>
  <c r="E59" i="1" s="1"/>
  <c r="E60" i="1" s="1"/>
  <c r="M18" i="1"/>
  <c r="M27" i="1" s="1"/>
  <c r="M59" i="1" s="1"/>
  <c r="M60" i="1" s="1"/>
  <c r="U18" i="1"/>
  <c r="U27" i="1" s="1"/>
  <c r="AC18" i="1"/>
  <c r="AK18" i="1"/>
  <c r="AR57" i="1"/>
  <c r="F27" i="1"/>
  <c r="AR14" i="1"/>
  <c r="AR18" i="1" s="1"/>
  <c r="AP27" i="1"/>
  <c r="AP59" i="1" s="1"/>
  <c r="AP60" i="1" s="1"/>
  <c r="G27" i="1"/>
  <c r="G59" i="1" s="1"/>
  <c r="G60" i="1" s="1"/>
  <c r="T27" i="1"/>
  <c r="AC27" i="1"/>
  <c r="AK27" i="1"/>
  <c r="AK59" i="1" s="1"/>
  <c r="AK60" i="1" s="1"/>
  <c r="AD59" i="1"/>
  <c r="AD60" i="1" s="1"/>
  <c r="AB27" i="1"/>
  <c r="AB59" i="1" s="1"/>
  <c r="AB60" i="1" s="1"/>
  <c r="F59" i="1"/>
  <c r="F60" i="1" s="1"/>
  <c r="AL59" i="1"/>
  <c r="AL60" i="1" s="1"/>
  <c r="O27" i="1" l="1"/>
  <c r="O59" i="1" s="1"/>
  <c r="O60" i="1" s="1"/>
  <c r="AN27" i="1"/>
  <c r="AN59" i="1" s="1"/>
  <c r="AN60" i="1" s="1"/>
  <c r="W27" i="1"/>
  <c r="W59" i="1" s="1"/>
  <c r="W60" i="1" s="1"/>
  <c r="X27" i="1"/>
  <c r="X59" i="1" s="1"/>
  <c r="X60" i="1" s="1"/>
  <c r="AJ27" i="1"/>
  <c r="AJ59" i="1" s="1"/>
  <c r="AJ60" i="1" s="1"/>
  <c r="AF27" i="1"/>
  <c r="AF59" i="1" s="1"/>
  <c r="AF60" i="1" s="1"/>
  <c r="T59" i="1"/>
  <c r="T60" i="1" s="1"/>
  <c r="P27" i="1"/>
  <c r="H27" i="1"/>
  <c r="S27" i="1"/>
  <c r="S59" i="1" s="1"/>
  <c r="S60" i="1" s="1"/>
  <c r="AA27" i="1"/>
  <c r="AA59" i="1" s="1"/>
  <c r="AA60" i="1" s="1"/>
  <c r="D27" i="1"/>
  <c r="D59" i="1" s="1"/>
  <c r="D60" i="1" s="1"/>
  <c r="P59" i="1"/>
  <c r="P60" i="1" s="1"/>
  <c r="H59" i="1"/>
  <c r="H60" i="1" s="1"/>
  <c r="AR58" i="1"/>
  <c r="K27" i="1"/>
  <c r="K59" i="1" s="1"/>
  <c r="K60" i="1" s="1"/>
  <c r="C27" i="1"/>
  <c r="C59" i="1" s="1"/>
  <c r="C60" i="1" s="1"/>
  <c r="AR27" i="1"/>
  <c r="AC59" i="1"/>
  <c r="AC60" i="1" s="1"/>
  <c r="U59" i="1"/>
  <c r="U60" i="1" s="1"/>
  <c r="AR59" i="1" l="1"/>
  <c r="AR60" i="1" s="1"/>
</calcChain>
</file>

<file path=xl/sharedStrings.xml><?xml version="1.0" encoding="utf-8"?>
<sst xmlns="http://schemas.openxmlformats.org/spreadsheetml/2006/main" count="146" uniqueCount="103">
  <si>
    <t>Firma : PROMATIS Corp.</t>
  </si>
  <si>
    <t>PG P+L by Entity and Month/Quarter/Year</t>
  </si>
  <si>
    <t>From Jan 2020 to Dez 2023</t>
  </si>
  <si>
    <t> 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</si>
  <si>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</si>
  <si>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</si>
  <si>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</si>
  <si>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</si>
  <si>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</si>
  <si>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</si>
  <si>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</si>
  <si>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</si>
  <si>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</si>
  <si>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</si>
  <si>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</si>
  <si>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</si>
  <si>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</si>
  <si>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</si>
  <si>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</si>
  <si>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</si>
  <si>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</si>
  <si>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</si>
  <si>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</si>
  <si>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</si>
  <si>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</si>
  <si>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</si>
  <si>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</si>
  <si>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</si>
  <si>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</si>
  <si>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</si>
  <si>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</si>
  <si>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</si>
  <si>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</si>
  <si>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</si>
  <si>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</si>
  <si>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</si>
  <si>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</si>
  <si>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</si>
  <si>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</si>
  <si>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</si>
  <si>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</si>
  <si>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</si>
  <si>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Mrz 2023</t>
  </si>
  <si>
    <t>Apr 2023</t>
  </si>
  <si>
    <t>Mai 2023</t>
  </si>
  <si>
    <t>Jun 2023</t>
  </si>
  <si>
    <t>Total</t>
  </si>
  <si>
    <t>Saldo</t>
  </si>
  <si>
    <t>Net profit/loss for the year</t>
  </si>
  <si>
    <t>EBIT</t>
  </si>
  <si>
    <t>Gross profit</t>
  </si>
  <si>
    <t>Operating income</t>
  </si>
  <si>
    <t>1. Revenue</t>
  </si>
  <si>
    <t>440000 - Revenue Services- standard VAT</t>
  </si>
  <si>
    <t>440010 - Revenue Goods - standard VAT</t>
  </si>
  <si>
    <t>474000 - Volume discounts granted</t>
  </si>
  <si>
    <t>Total Revenue</t>
  </si>
  <si>
    <t>4. Other operating income</t>
  </si>
  <si>
    <t>483000 - Other operating income</t>
  </si>
  <si>
    <t>Total Other operating income</t>
  </si>
  <si>
    <t>Total Operating income</t>
  </si>
  <si>
    <t>5. Cost of materials</t>
  </si>
  <si>
    <t>a) Cost of raw materials, consum, supplies and purchased merch.</t>
  </si>
  <si>
    <t>520000 - Cost of merchandise</t>
  </si>
  <si>
    <t>Total Cost of raw materials, consum, supplies and purchased merch.</t>
  </si>
  <si>
    <t>b) Cost of purchased services</t>
  </si>
  <si>
    <t>590000 - Purchased services standard input tax</t>
  </si>
  <si>
    <t>Total Cost of purchased services</t>
  </si>
  <si>
    <t>Total Cost of materials</t>
  </si>
  <si>
    <t>Total Gross profit</t>
  </si>
  <si>
    <t>Operating expenses (except cost of materials)</t>
  </si>
  <si>
    <t>6. Personnel expenses</t>
  </si>
  <si>
    <t>a) Wages and salaries</t>
  </si>
  <si>
    <t>602000 - Salaries</t>
  </si>
  <si>
    <t>603900 - Flat-rate taxes for employees</t>
  </si>
  <si>
    <t>Total Wages and salaries</t>
  </si>
  <si>
    <t>b) Social security, post-employ, and other employee benft costs</t>
  </si>
  <si>
    <t>611000 - Statutory social security expenses</t>
  </si>
  <si>
    <t>Total Social security, post-employ, and other employee benft costs</t>
  </si>
  <si>
    <t>Total Personnel expenses</t>
  </si>
  <si>
    <t>8. Other operating expenses</t>
  </si>
  <si>
    <t>631000 - Rent (immovable property)</t>
  </si>
  <si>
    <t>640000 - Insurance premiums</t>
  </si>
  <si>
    <t>642000 - Contributions</t>
  </si>
  <si>
    <t>649000 - Other repairs and maintenance</t>
  </si>
  <si>
    <t>656000 - Operating leases (motor vehicles)</t>
  </si>
  <si>
    <t>660000 - Advertising costs</t>
  </si>
  <si>
    <t>664400 - Non-deductible entertainment expenses</t>
  </si>
  <si>
    <t>665200 - Employee travel expenses, standard tax</t>
  </si>
  <si>
    <t>666200 - Employee travel expenses, accommodation costs std input tax</t>
  </si>
  <si>
    <t>666400 - Employee travel expenses, additional subsistence costs</t>
  </si>
  <si>
    <t>678000 - Third-party services (distribution)</t>
  </si>
  <si>
    <t>680500 - Telephone</t>
  </si>
  <si>
    <t>681500 - Office supplies</t>
  </si>
  <si>
    <t>682100 - Training costs</t>
  </si>
  <si>
    <t>682500 - Legal and consulting costs</t>
  </si>
  <si>
    <t>683600 - Leases (movable assets)</t>
  </si>
  <si>
    <t>685000 - Other operating supplies</t>
  </si>
  <si>
    <t>685500 - Incidental monetary transaction costs</t>
  </si>
  <si>
    <t>Total Other operating expenses</t>
  </si>
  <si>
    <t>Total Operating expenses (except cost of materials)</t>
  </si>
  <si>
    <t>Total EBIT</t>
  </si>
  <si>
    <t>TOTAL Net profit/loss for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</si>
</sst>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$&quot;#,##0.00"/>
  </numFmts>
  <fonts count="23" x14ac:knownFonts="1">
    <font>
      <sz val="8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b/>
      <sz val="8"/>
      <color indexed="8"/>
      <name val="Arial"/>
    </font>
    <font>
      <sz val="8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tted">
        <color rgb="FFC0C0C0"/>
      </top>
      <bottom/>
      <diagonal/>
    </border>
    <border>
      <left/>
      <right/>
      <top style="dotted">
        <color rgb="FF969696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1" fillId="0" borderId="0" xfId="0" applyFont="1" applyBorder="1" applyAlignment="1">
      <alignment horizontal="left" vertical="center"/>
    </xf>
    <xf numFmtId="168" fontId="21" fillId="0" borderId="0" xfId="0" applyNumberFormat="1" applyFont="1" applyBorder="1" applyAlignment="1">
      <alignment horizontal="right" vertical="center"/>
    </xf>
    <xf numFmtId="0" fontId="21" fillId="0" borderId="0" xfId="0" applyFont="1" applyBorder="1" applyAlignment="1">
      <alignment horizontal="left" indent="1"/>
    </xf>
    <xf numFmtId="0" fontId="21" fillId="0" borderId="0" xfId="0" applyFont="1" applyBorder="1" applyAlignment="1">
      <alignment horizontal="left" indent="2"/>
    </xf>
    <xf numFmtId="0" fontId="21" fillId="0" borderId="0" xfId="0" applyFont="1" applyBorder="1" applyAlignment="1">
      <alignment horizontal="left" indent="3"/>
    </xf>
    <xf numFmtId="0" fontId="21" fillId="0" borderId="0" xfId="0" applyFont="1" applyBorder="1" applyAlignment="1">
      <alignment horizontal="left" indent="4"/>
    </xf>
    <xf numFmtId="0" fontId="22" fillId="0" borderId="0" xfId="0" applyFont="1" applyBorder="1" applyAlignment="1">
      <alignment horizontal="left" indent="5"/>
    </xf>
    <xf numFmtId="168" fontId="22" fillId="0" borderId="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left" indent="4"/>
    </xf>
    <xf numFmtId="168" fontId="21" fillId="0" borderId="10" xfId="0" applyNumberFormat="1" applyFont="1" applyBorder="1" applyAlignment="1">
      <alignment horizontal="right" vertical="center"/>
    </xf>
    <xf numFmtId="0" fontId="21" fillId="0" borderId="11" xfId="0" applyFont="1" applyBorder="1" applyAlignment="1">
      <alignment horizontal="left" indent="4"/>
    </xf>
    <xf numFmtId="168" fontId="21" fillId="0" borderId="11" xfId="0" applyNumberFormat="1" applyFont="1" applyBorder="1" applyAlignment="1">
      <alignment horizontal="right" vertical="center"/>
    </xf>
    <xf numFmtId="0" fontId="21" fillId="0" borderId="11" xfId="0" applyFont="1" applyBorder="1" applyAlignment="1">
      <alignment horizontal="left" indent="3"/>
    </xf>
    <xf numFmtId="0" fontId="21" fillId="0" borderId="11" xfId="0" applyFont="1" applyBorder="1" applyAlignment="1">
      <alignment horizontal="left" indent="2"/>
    </xf>
    <xf numFmtId="0" fontId="22" fillId="0" borderId="0" xfId="0" applyFont="1" applyBorder="1" applyAlignment="1">
      <alignment horizontal="left" indent="4"/>
    </xf>
    <xf numFmtId="0" fontId="21" fillId="0" borderId="11" xfId="0" applyFont="1" applyBorder="1" applyAlignment="1">
      <alignment horizontal="left" indent="1"/>
    </xf>
    <xf numFmtId="0" fontId="21" fillId="0" borderId="11" xfId="0" applyFont="1" applyBorder="1" applyAlignment="1">
      <alignment horizontal="left" vertical="center"/>
    </xf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  <xf numFmtId="0" fontId="19" fillId="0" borderId="0" xfId="0" applyFont="1" applyAlignment="1">
      <alignment horizontal="lef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60"/>
  <sheetViews>
    <sheetView tabSelected="1" workbookViewId="0">
      <pane ySplit="5" topLeftCell="A9" activePane="bottomLeft" state="frozen"/>
      <selection pane="bottomLeft" activeCell="Z60" sqref="Z60:AK60"/>
    </sheetView>
  </sheetViews>
  <sheetFormatPr baseColWidth="10" defaultRowHeight="11.25" x14ac:dyDescent="0.2"/>
  <cols>
    <col min="2" max="43" width="12.1640625" bestFit="1" customWidth="1"/>
    <col min="44" max="44" width="13.33203125" bestFit="1" customWidth="1"/>
  </cols>
  <sheetData>
    <row r="1" spans="1:44" s="21" customFormat="1" ht="15.75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</row>
    <row r="2" spans="1:44" s="21" customFormat="1" ht="18" x14ac:dyDescent="0.25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</row>
    <row r="3" spans="1:44" s="21" customFormat="1" ht="18" x14ac:dyDescent="0.25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</row>
    <row r="4" spans="1:44" x14ac:dyDescent="0.2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  <c r="U4" s="2" t="s">
        <v>23</v>
      </c>
      <c r="V4" s="2" t="s">
        <v>24</v>
      </c>
      <c r="W4" s="2" t="s">
        <v>25</v>
      </c>
      <c r="X4" s="2" t="s">
        <v>26</v>
      </c>
      <c r="Y4" s="2" t="s">
        <v>27</v>
      </c>
      <c r="Z4" s="2" t="s">
        <v>28</v>
      </c>
      <c r="AA4" s="2" t="s">
        <v>29</v>
      </c>
      <c r="AB4" s="2" t="s">
        <v>30</v>
      </c>
      <c r="AC4" s="2" t="s">
        <v>31</v>
      </c>
      <c r="AD4" s="2" t="s">
        <v>32</v>
      </c>
      <c r="AE4" s="2" t="s">
        <v>33</v>
      </c>
      <c r="AF4" s="2" t="s">
        <v>34</v>
      </c>
      <c r="AG4" s="2" t="s">
        <v>35</v>
      </c>
      <c r="AH4" s="2" t="s">
        <v>36</v>
      </c>
      <c r="AI4" s="2" t="s">
        <v>37</v>
      </c>
      <c r="AJ4" s="2" t="s">
        <v>38</v>
      </c>
      <c r="AK4" s="2" t="s">
        <v>39</v>
      </c>
      <c r="AL4" s="2" t="s">
        <v>40</v>
      </c>
      <c r="AM4" s="2" t="s">
        <v>41</v>
      </c>
      <c r="AN4" s="2" t="s">
        <v>42</v>
      </c>
      <c r="AO4" s="2" t="s">
        <v>43</v>
      </c>
      <c r="AP4" s="2" t="s">
        <v>44</v>
      </c>
      <c r="AQ4" s="2" t="s">
        <v>45</v>
      </c>
      <c r="AR4" s="2" t="s">
        <v>46</v>
      </c>
    </row>
    <row r="5" spans="1:44" x14ac:dyDescent="0.2">
      <c r="A5" s="1" t="s">
        <v>3</v>
      </c>
      <c r="B5" s="2" t="s">
        <v>47</v>
      </c>
      <c r="C5" s="2" t="s">
        <v>47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47</v>
      </c>
      <c r="K5" s="2" t="s">
        <v>47</v>
      </c>
      <c r="L5" s="2" t="s">
        <v>47</v>
      </c>
      <c r="M5" s="2" t="s">
        <v>47</v>
      </c>
      <c r="N5" s="2" t="s">
        <v>47</v>
      </c>
      <c r="O5" s="2" t="s">
        <v>47</v>
      </c>
      <c r="P5" s="2" t="s">
        <v>47</v>
      </c>
      <c r="Q5" s="2" t="s">
        <v>47</v>
      </c>
      <c r="R5" s="2" t="s">
        <v>47</v>
      </c>
      <c r="S5" s="2" t="s">
        <v>47</v>
      </c>
      <c r="T5" s="2" t="s">
        <v>47</v>
      </c>
      <c r="U5" s="2" t="s">
        <v>47</v>
      </c>
      <c r="V5" s="2" t="s">
        <v>47</v>
      </c>
      <c r="W5" s="2" t="s">
        <v>47</v>
      </c>
      <c r="X5" s="2" t="s">
        <v>47</v>
      </c>
      <c r="Y5" s="2" t="s">
        <v>47</v>
      </c>
      <c r="Z5" s="2" t="s">
        <v>47</v>
      </c>
      <c r="AA5" s="2" t="s">
        <v>47</v>
      </c>
      <c r="AB5" s="2" t="s">
        <v>47</v>
      </c>
      <c r="AC5" s="2" t="s">
        <v>47</v>
      </c>
      <c r="AD5" s="2" t="s">
        <v>47</v>
      </c>
      <c r="AE5" s="2" t="s">
        <v>47</v>
      </c>
      <c r="AF5" s="2" t="s">
        <v>47</v>
      </c>
      <c r="AG5" s="2" t="s">
        <v>47</v>
      </c>
      <c r="AH5" s="2" t="s">
        <v>47</v>
      </c>
      <c r="AI5" s="2" t="s">
        <v>47</v>
      </c>
      <c r="AJ5" s="2" t="s">
        <v>47</v>
      </c>
      <c r="AK5" s="2" t="s">
        <v>47</v>
      </c>
      <c r="AL5" s="2" t="s">
        <v>47</v>
      </c>
      <c r="AM5" s="2" t="s">
        <v>47</v>
      </c>
      <c r="AN5" s="2" t="s">
        <v>47</v>
      </c>
      <c r="AO5" s="2" t="s">
        <v>47</v>
      </c>
      <c r="AP5" s="2" t="s">
        <v>47</v>
      </c>
      <c r="AQ5" s="2" t="s">
        <v>47</v>
      </c>
      <c r="AR5" s="2" t="s">
        <v>47</v>
      </c>
    </row>
    <row r="6" spans="1:44" x14ac:dyDescent="0.2">
      <c r="A6" s="3" t="s">
        <v>48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</row>
    <row r="7" spans="1:44" x14ac:dyDescent="0.2">
      <c r="A7" s="5" t="s">
        <v>49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</row>
    <row r="8" spans="1:44" x14ac:dyDescent="0.2">
      <c r="A8" s="6" t="s">
        <v>50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</row>
    <row r="9" spans="1:44" x14ac:dyDescent="0.2">
      <c r="A9" s="7" t="s">
        <v>51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</row>
    <row r="10" spans="1:44" x14ac:dyDescent="0.2">
      <c r="A10" s="8" t="s">
        <v>52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</row>
    <row r="11" spans="1:44" x14ac:dyDescent="0.2">
      <c r="A11" s="9" t="s">
        <v>53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5000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29000</v>
      </c>
      <c r="S11" s="10">
        <v>0</v>
      </c>
      <c r="T11" s="10">
        <v>0</v>
      </c>
      <c r="U11" s="10">
        <v>5000</v>
      </c>
      <c r="V11" s="10">
        <v>0</v>
      </c>
      <c r="W11" s="10">
        <v>0</v>
      </c>
      <c r="X11" s="10">
        <v>0</v>
      </c>
      <c r="Y11" s="10">
        <v>12480</v>
      </c>
      <c r="Z11" s="10">
        <v>0</v>
      </c>
      <c r="AA11" s="10">
        <v>0</v>
      </c>
      <c r="AB11" s="10">
        <v>0</v>
      </c>
      <c r="AC11" s="10">
        <v>0</v>
      </c>
      <c r="AD11" s="10">
        <v>29000</v>
      </c>
      <c r="AE11" s="10">
        <v>0</v>
      </c>
      <c r="AF11" s="10">
        <v>0</v>
      </c>
      <c r="AG11" s="10">
        <v>0</v>
      </c>
      <c r="AH11" s="10">
        <v>5000</v>
      </c>
      <c r="AI11" s="10">
        <v>0</v>
      </c>
      <c r="AJ11" s="10">
        <v>0</v>
      </c>
      <c r="AK11" s="10">
        <v>2142.4</v>
      </c>
      <c r="AL11" s="10">
        <v>0</v>
      </c>
      <c r="AM11" s="10">
        <v>0</v>
      </c>
      <c r="AN11" s="10">
        <v>17550</v>
      </c>
      <c r="AO11" s="10">
        <v>0</v>
      </c>
      <c r="AP11" s="10">
        <v>54000</v>
      </c>
      <c r="AQ11" s="10">
        <v>0</v>
      </c>
      <c r="AR11" s="10">
        <f>SUM(B11:AQ11)</f>
        <v>159172.4</v>
      </c>
    </row>
    <row r="12" spans="1:44" x14ac:dyDescent="0.2">
      <c r="A12" s="9" t="s">
        <v>54</v>
      </c>
      <c r="B12" s="10">
        <v>55231.25</v>
      </c>
      <c r="C12" s="10">
        <v>41744.39</v>
      </c>
      <c r="D12" s="10">
        <v>30552.47</v>
      </c>
      <c r="E12" s="10">
        <v>14931.25</v>
      </c>
      <c r="F12" s="10">
        <v>16218.75</v>
      </c>
      <c r="G12" s="10">
        <v>13018.75</v>
      </c>
      <c r="H12" s="10">
        <v>23262.5</v>
      </c>
      <c r="I12" s="10">
        <v>11625</v>
      </c>
      <c r="J12" s="10">
        <v>5070</v>
      </c>
      <c r="K12" s="10">
        <v>3885</v>
      </c>
      <c r="L12" s="10">
        <v>3900</v>
      </c>
      <c r="M12" s="10">
        <v>11476.25</v>
      </c>
      <c r="N12" s="10">
        <v>105146.88</v>
      </c>
      <c r="O12" s="10">
        <v>145656.89000000001</v>
      </c>
      <c r="P12" s="10">
        <v>137039.38</v>
      </c>
      <c r="Q12" s="10">
        <v>100714.38</v>
      </c>
      <c r="R12" s="10">
        <v>90050.01</v>
      </c>
      <c r="S12" s="10">
        <v>178352.52</v>
      </c>
      <c r="T12" s="10">
        <v>179956.89</v>
      </c>
      <c r="U12" s="10">
        <v>124470.64</v>
      </c>
      <c r="V12" s="10">
        <v>174377.51</v>
      </c>
      <c r="W12" s="10">
        <v>139052.65</v>
      </c>
      <c r="X12" s="10">
        <v>152010.54</v>
      </c>
      <c r="Y12" s="10">
        <v>114474.77</v>
      </c>
      <c r="Z12" s="10">
        <v>93734.38</v>
      </c>
      <c r="AA12" s="10">
        <v>133549.95000000001</v>
      </c>
      <c r="AB12" s="10">
        <v>219803.75</v>
      </c>
      <c r="AC12" s="10">
        <v>139085.76999999999</v>
      </c>
      <c r="AD12" s="10">
        <v>163567.07999999999</v>
      </c>
      <c r="AE12" s="10">
        <v>145685.79999999999</v>
      </c>
      <c r="AF12" s="10">
        <v>195459.91</v>
      </c>
      <c r="AG12" s="10">
        <v>238341.36</v>
      </c>
      <c r="AH12" s="10">
        <v>196188.39</v>
      </c>
      <c r="AI12" s="10">
        <v>143524.39000000001</v>
      </c>
      <c r="AJ12" s="10">
        <v>194941.79</v>
      </c>
      <c r="AK12" s="10">
        <v>140254.1</v>
      </c>
      <c r="AL12" s="10">
        <v>225853.35</v>
      </c>
      <c r="AM12" s="10">
        <v>160926.79</v>
      </c>
      <c r="AN12" s="10">
        <v>177815.64</v>
      </c>
      <c r="AO12" s="10">
        <v>150998.34</v>
      </c>
      <c r="AP12" s="10">
        <v>180658.69</v>
      </c>
      <c r="AQ12" s="10">
        <v>222231.84</v>
      </c>
      <c r="AR12" s="10">
        <f>SUM(B12:AQ12)</f>
        <v>4994839.99</v>
      </c>
    </row>
    <row r="13" spans="1:44" x14ac:dyDescent="0.2">
      <c r="A13" s="9" t="s">
        <v>55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-51</v>
      </c>
      <c r="K13" s="10">
        <v>-78</v>
      </c>
      <c r="L13" s="10">
        <v>-60</v>
      </c>
      <c r="M13" s="10">
        <v>-21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f>SUM(B13:AQ13)</f>
        <v>-210</v>
      </c>
    </row>
    <row r="14" spans="1:44" x14ac:dyDescent="0.2">
      <c r="A14" s="11" t="s">
        <v>56</v>
      </c>
      <c r="B14" s="12">
        <f t="shared" ref="B14:AR14" si="0">SUM(B11:B13)</f>
        <v>55231.25</v>
      </c>
      <c r="C14" s="12">
        <f t="shared" si="0"/>
        <v>41744.39</v>
      </c>
      <c r="D14" s="12">
        <f t="shared" si="0"/>
        <v>30552.47</v>
      </c>
      <c r="E14" s="12">
        <f t="shared" si="0"/>
        <v>14931.25</v>
      </c>
      <c r="F14" s="12">
        <f t="shared" si="0"/>
        <v>16218.75</v>
      </c>
      <c r="G14" s="12">
        <f t="shared" si="0"/>
        <v>13018.75</v>
      </c>
      <c r="H14" s="12">
        <f t="shared" si="0"/>
        <v>23262.5</v>
      </c>
      <c r="I14" s="12">
        <f t="shared" si="0"/>
        <v>11625</v>
      </c>
      <c r="J14" s="12">
        <f t="shared" si="0"/>
        <v>10019</v>
      </c>
      <c r="K14" s="12">
        <f t="shared" si="0"/>
        <v>3807</v>
      </c>
      <c r="L14" s="12">
        <f t="shared" si="0"/>
        <v>3840</v>
      </c>
      <c r="M14" s="12">
        <f t="shared" si="0"/>
        <v>11455.25</v>
      </c>
      <c r="N14" s="12">
        <f t="shared" si="0"/>
        <v>105146.88</v>
      </c>
      <c r="O14" s="12">
        <f t="shared" si="0"/>
        <v>145656.89000000001</v>
      </c>
      <c r="P14" s="12">
        <f t="shared" si="0"/>
        <v>137039.38</v>
      </c>
      <c r="Q14" s="12">
        <f t="shared" si="0"/>
        <v>100714.38</v>
      </c>
      <c r="R14" s="12">
        <f t="shared" si="0"/>
        <v>119050.01</v>
      </c>
      <c r="S14" s="12">
        <f t="shared" si="0"/>
        <v>178352.52</v>
      </c>
      <c r="T14" s="12">
        <f t="shared" si="0"/>
        <v>179956.89</v>
      </c>
      <c r="U14" s="12">
        <f t="shared" si="0"/>
        <v>129470.64</v>
      </c>
      <c r="V14" s="12">
        <f t="shared" si="0"/>
        <v>174377.51</v>
      </c>
      <c r="W14" s="12">
        <f t="shared" si="0"/>
        <v>139052.65</v>
      </c>
      <c r="X14" s="12">
        <f t="shared" si="0"/>
        <v>152010.54</v>
      </c>
      <c r="Y14" s="12">
        <f t="shared" si="0"/>
        <v>126954.77</v>
      </c>
      <c r="Z14" s="12">
        <f t="shared" si="0"/>
        <v>93734.38</v>
      </c>
      <c r="AA14" s="12">
        <f t="shared" si="0"/>
        <v>133549.95000000001</v>
      </c>
      <c r="AB14" s="12">
        <f t="shared" si="0"/>
        <v>219803.75</v>
      </c>
      <c r="AC14" s="12">
        <f t="shared" si="0"/>
        <v>139085.76999999999</v>
      </c>
      <c r="AD14" s="12">
        <f t="shared" si="0"/>
        <v>192567.08</v>
      </c>
      <c r="AE14" s="12">
        <f t="shared" si="0"/>
        <v>145685.79999999999</v>
      </c>
      <c r="AF14" s="12">
        <f t="shared" si="0"/>
        <v>195459.91</v>
      </c>
      <c r="AG14" s="12">
        <f t="shared" si="0"/>
        <v>238341.36</v>
      </c>
      <c r="AH14" s="12">
        <f t="shared" si="0"/>
        <v>201188.39</v>
      </c>
      <c r="AI14" s="12">
        <f t="shared" si="0"/>
        <v>143524.39000000001</v>
      </c>
      <c r="AJ14" s="12">
        <f t="shared" si="0"/>
        <v>194941.79</v>
      </c>
      <c r="AK14" s="12">
        <f t="shared" si="0"/>
        <v>142396.5</v>
      </c>
      <c r="AL14" s="12">
        <f t="shared" si="0"/>
        <v>225853.35</v>
      </c>
      <c r="AM14" s="12">
        <f t="shared" si="0"/>
        <v>160926.79</v>
      </c>
      <c r="AN14" s="12">
        <f t="shared" si="0"/>
        <v>195365.64</v>
      </c>
      <c r="AO14" s="12">
        <f t="shared" si="0"/>
        <v>150998.34</v>
      </c>
      <c r="AP14" s="12">
        <f t="shared" si="0"/>
        <v>234658.69</v>
      </c>
      <c r="AQ14" s="12">
        <f t="shared" si="0"/>
        <v>222231.84</v>
      </c>
      <c r="AR14" s="12">
        <f t="shared" si="0"/>
        <v>5153802.3900000006</v>
      </c>
    </row>
    <row r="15" spans="1:44" x14ac:dyDescent="0.2">
      <c r="A15" s="8" t="s">
        <v>57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</row>
    <row r="16" spans="1:44" x14ac:dyDescent="0.2">
      <c r="A16" s="9" t="s">
        <v>58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88404.72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f>SUM(B16:AQ16)</f>
        <v>88404.72</v>
      </c>
    </row>
    <row r="17" spans="1:44" x14ac:dyDescent="0.2">
      <c r="A17" s="13" t="s">
        <v>59</v>
      </c>
      <c r="B17" s="14">
        <f t="shared" ref="B17:AR17" si="1">SUM(B16)</f>
        <v>0</v>
      </c>
      <c r="C17" s="14">
        <f t="shared" si="1"/>
        <v>0</v>
      </c>
      <c r="D17" s="14">
        <f t="shared" si="1"/>
        <v>0</v>
      </c>
      <c r="E17" s="14">
        <f t="shared" si="1"/>
        <v>0</v>
      </c>
      <c r="F17" s="14">
        <f t="shared" si="1"/>
        <v>0</v>
      </c>
      <c r="G17" s="14">
        <f t="shared" si="1"/>
        <v>0</v>
      </c>
      <c r="H17" s="14">
        <f t="shared" si="1"/>
        <v>0</v>
      </c>
      <c r="I17" s="14">
        <f t="shared" si="1"/>
        <v>0</v>
      </c>
      <c r="J17" s="14">
        <f t="shared" si="1"/>
        <v>0</v>
      </c>
      <c r="K17" s="14">
        <f t="shared" si="1"/>
        <v>0</v>
      </c>
      <c r="L17" s="14">
        <f t="shared" si="1"/>
        <v>0</v>
      </c>
      <c r="M17" s="14">
        <f t="shared" si="1"/>
        <v>0</v>
      </c>
      <c r="N17" s="14">
        <f t="shared" si="1"/>
        <v>0</v>
      </c>
      <c r="O17" s="14">
        <f t="shared" si="1"/>
        <v>0</v>
      </c>
      <c r="P17" s="14">
        <f t="shared" si="1"/>
        <v>0</v>
      </c>
      <c r="Q17" s="14">
        <f t="shared" si="1"/>
        <v>0</v>
      </c>
      <c r="R17" s="14">
        <f t="shared" si="1"/>
        <v>0</v>
      </c>
      <c r="S17" s="14">
        <f t="shared" si="1"/>
        <v>0</v>
      </c>
      <c r="T17" s="14">
        <f t="shared" si="1"/>
        <v>0</v>
      </c>
      <c r="U17" s="14">
        <f t="shared" si="1"/>
        <v>0</v>
      </c>
      <c r="V17" s="14">
        <f t="shared" si="1"/>
        <v>0</v>
      </c>
      <c r="W17" s="14">
        <f t="shared" si="1"/>
        <v>0</v>
      </c>
      <c r="X17" s="14">
        <f t="shared" si="1"/>
        <v>0</v>
      </c>
      <c r="Y17" s="14">
        <f t="shared" si="1"/>
        <v>88404.72</v>
      </c>
      <c r="Z17" s="14">
        <f t="shared" si="1"/>
        <v>0</v>
      </c>
      <c r="AA17" s="14">
        <f t="shared" si="1"/>
        <v>0</v>
      </c>
      <c r="AB17" s="14">
        <f t="shared" si="1"/>
        <v>0</v>
      </c>
      <c r="AC17" s="14">
        <f t="shared" si="1"/>
        <v>0</v>
      </c>
      <c r="AD17" s="14">
        <f t="shared" si="1"/>
        <v>0</v>
      </c>
      <c r="AE17" s="14">
        <f t="shared" si="1"/>
        <v>0</v>
      </c>
      <c r="AF17" s="14">
        <f t="shared" si="1"/>
        <v>0</v>
      </c>
      <c r="AG17" s="14">
        <f t="shared" si="1"/>
        <v>0</v>
      </c>
      <c r="AH17" s="14">
        <f t="shared" si="1"/>
        <v>0</v>
      </c>
      <c r="AI17" s="14">
        <f t="shared" si="1"/>
        <v>0</v>
      </c>
      <c r="AJ17" s="14">
        <f t="shared" si="1"/>
        <v>0</v>
      </c>
      <c r="AK17" s="14">
        <f t="shared" si="1"/>
        <v>0</v>
      </c>
      <c r="AL17" s="14">
        <f t="shared" si="1"/>
        <v>0</v>
      </c>
      <c r="AM17" s="14">
        <f t="shared" si="1"/>
        <v>0</v>
      </c>
      <c r="AN17" s="14">
        <f t="shared" si="1"/>
        <v>0</v>
      </c>
      <c r="AO17" s="14">
        <f t="shared" si="1"/>
        <v>0</v>
      </c>
      <c r="AP17" s="14">
        <f t="shared" si="1"/>
        <v>0</v>
      </c>
      <c r="AQ17" s="14">
        <f t="shared" si="1"/>
        <v>0</v>
      </c>
      <c r="AR17" s="14">
        <f t="shared" si="1"/>
        <v>88404.72</v>
      </c>
    </row>
    <row r="18" spans="1:44" x14ac:dyDescent="0.2">
      <c r="A18" s="15" t="s">
        <v>60</v>
      </c>
      <c r="B18" s="14">
        <f t="shared" ref="B18:AR18" si="2">B14+0+0+B17</f>
        <v>55231.25</v>
      </c>
      <c r="C18" s="14">
        <f t="shared" si="2"/>
        <v>41744.39</v>
      </c>
      <c r="D18" s="14">
        <f t="shared" si="2"/>
        <v>30552.47</v>
      </c>
      <c r="E18" s="14">
        <f t="shared" si="2"/>
        <v>14931.25</v>
      </c>
      <c r="F18" s="14">
        <f t="shared" si="2"/>
        <v>16218.75</v>
      </c>
      <c r="G18" s="14">
        <f t="shared" si="2"/>
        <v>13018.75</v>
      </c>
      <c r="H18" s="14">
        <f t="shared" si="2"/>
        <v>23262.5</v>
      </c>
      <c r="I18" s="14">
        <f t="shared" si="2"/>
        <v>11625</v>
      </c>
      <c r="J18" s="14">
        <f t="shared" si="2"/>
        <v>10019</v>
      </c>
      <c r="K18" s="14">
        <f t="shared" si="2"/>
        <v>3807</v>
      </c>
      <c r="L18" s="14">
        <f t="shared" si="2"/>
        <v>3840</v>
      </c>
      <c r="M18" s="14">
        <f t="shared" si="2"/>
        <v>11455.25</v>
      </c>
      <c r="N18" s="14">
        <f t="shared" si="2"/>
        <v>105146.88</v>
      </c>
      <c r="O18" s="14">
        <f t="shared" si="2"/>
        <v>145656.89000000001</v>
      </c>
      <c r="P18" s="14">
        <f t="shared" si="2"/>
        <v>137039.38</v>
      </c>
      <c r="Q18" s="14">
        <f t="shared" si="2"/>
        <v>100714.38</v>
      </c>
      <c r="R18" s="14">
        <f t="shared" si="2"/>
        <v>119050.01</v>
      </c>
      <c r="S18" s="14">
        <f t="shared" si="2"/>
        <v>178352.52</v>
      </c>
      <c r="T18" s="14">
        <f t="shared" si="2"/>
        <v>179956.89</v>
      </c>
      <c r="U18" s="14">
        <f t="shared" si="2"/>
        <v>129470.64</v>
      </c>
      <c r="V18" s="14">
        <f t="shared" si="2"/>
        <v>174377.51</v>
      </c>
      <c r="W18" s="14">
        <f t="shared" si="2"/>
        <v>139052.65</v>
      </c>
      <c r="X18" s="14">
        <f t="shared" si="2"/>
        <v>152010.54</v>
      </c>
      <c r="Y18" s="14">
        <f t="shared" si="2"/>
        <v>215359.49</v>
      </c>
      <c r="Z18" s="14">
        <f t="shared" si="2"/>
        <v>93734.38</v>
      </c>
      <c r="AA18" s="14">
        <f t="shared" si="2"/>
        <v>133549.95000000001</v>
      </c>
      <c r="AB18" s="14">
        <f t="shared" si="2"/>
        <v>219803.75</v>
      </c>
      <c r="AC18" s="14">
        <f t="shared" si="2"/>
        <v>139085.76999999999</v>
      </c>
      <c r="AD18" s="14">
        <f t="shared" si="2"/>
        <v>192567.08</v>
      </c>
      <c r="AE18" s="14">
        <f t="shared" si="2"/>
        <v>145685.79999999999</v>
      </c>
      <c r="AF18" s="14">
        <f t="shared" si="2"/>
        <v>195459.91</v>
      </c>
      <c r="AG18" s="14">
        <f t="shared" si="2"/>
        <v>238341.36</v>
      </c>
      <c r="AH18" s="14">
        <f t="shared" si="2"/>
        <v>201188.39</v>
      </c>
      <c r="AI18" s="14">
        <f t="shared" si="2"/>
        <v>143524.39000000001</v>
      </c>
      <c r="AJ18" s="14">
        <f t="shared" si="2"/>
        <v>194941.79</v>
      </c>
      <c r="AK18" s="14">
        <f t="shared" si="2"/>
        <v>142396.5</v>
      </c>
      <c r="AL18" s="14">
        <f t="shared" si="2"/>
        <v>225853.35</v>
      </c>
      <c r="AM18" s="14">
        <f t="shared" si="2"/>
        <v>160926.79</v>
      </c>
      <c r="AN18" s="14">
        <f t="shared" si="2"/>
        <v>195365.64</v>
      </c>
      <c r="AO18" s="14">
        <f t="shared" si="2"/>
        <v>150998.34</v>
      </c>
      <c r="AP18" s="14">
        <f t="shared" si="2"/>
        <v>234658.69</v>
      </c>
      <c r="AQ18" s="14">
        <f t="shared" si="2"/>
        <v>222231.84</v>
      </c>
      <c r="AR18" s="14">
        <f t="shared" si="2"/>
        <v>5242207.1100000003</v>
      </c>
    </row>
    <row r="19" spans="1:44" x14ac:dyDescent="0.2">
      <c r="A19" s="7" t="s">
        <v>61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</row>
    <row r="20" spans="1:44" x14ac:dyDescent="0.2">
      <c r="A20" s="8" t="s">
        <v>62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</row>
    <row r="21" spans="1:44" x14ac:dyDescent="0.2">
      <c r="A21" s="9" t="s">
        <v>63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-17400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-17400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-32606</v>
      </c>
      <c r="AQ21" s="10">
        <v>0</v>
      </c>
      <c r="AR21" s="10">
        <f>SUM(B21:AQ21)</f>
        <v>-67406</v>
      </c>
    </row>
    <row r="22" spans="1:44" x14ac:dyDescent="0.2">
      <c r="A22" s="11" t="s">
        <v>64</v>
      </c>
      <c r="B22" s="12">
        <f t="shared" ref="B22:AR22" si="3">SUM(B21)</f>
        <v>0</v>
      </c>
      <c r="C22" s="12">
        <f t="shared" si="3"/>
        <v>0</v>
      </c>
      <c r="D22" s="12">
        <f t="shared" si="3"/>
        <v>0</v>
      </c>
      <c r="E22" s="12">
        <f t="shared" si="3"/>
        <v>0</v>
      </c>
      <c r="F22" s="12">
        <f t="shared" si="3"/>
        <v>0</v>
      </c>
      <c r="G22" s="12">
        <f t="shared" si="3"/>
        <v>0</v>
      </c>
      <c r="H22" s="12">
        <f t="shared" si="3"/>
        <v>0</v>
      </c>
      <c r="I22" s="12">
        <f t="shared" si="3"/>
        <v>0</v>
      </c>
      <c r="J22" s="12">
        <f t="shared" si="3"/>
        <v>0</v>
      </c>
      <c r="K22" s="12">
        <f t="shared" si="3"/>
        <v>0</v>
      </c>
      <c r="L22" s="12">
        <f t="shared" si="3"/>
        <v>0</v>
      </c>
      <c r="M22" s="12">
        <f t="shared" si="3"/>
        <v>0</v>
      </c>
      <c r="N22" s="12">
        <f t="shared" si="3"/>
        <v>0</v>
      </c>
      <c r="O22" s="12">
        <f t="shared" si="3"/>
        <v>0</v>
      </c>
      <c r="P22" s="12">
        <f t="shared" si="3"/>
        <v>0</v>
      </c>
      <c r="Q22" s="12">
        <f t="shared" si="3"/>
        <v>0</v>
      </c>
      <c r="R22" s="12">
        <f t="shared" si="3"/>
        <v>-17400</v>
      </c>
      <c r="S22" s="12">
        <f t="shared" si="3"/>
        <v>0</v>
      </c>
      <c r="T22" s="12">
        <f t="shared" si="3"/>
        <v>0</v>
      </c>
      <c r="U22" s="12">
        <f t="shared" si="3"/>
        <v>0</v>
      </c>
      <c r="V22" s="12">
        <f t="shared" si="3"/>
        <v>0</v>
      </c>
      <c r="W22" s="12">
        <f t="shared" si="3"/>
        <v>0</v>
      </c>
      <c r="X22" s="12">
        <f t="shared" si="3"/>
        <v>0</v>
      </c>
      <c r="Y22" s="12">
        <f t="shared" si="3"/>
        <v>0</v>
      </c>
      <c r="Z22" s="12">
        <f t="shared" si="3"/>
        <v>0</v>
      </c>
      <c r="AA22" s="12">
        <f t="shared" si="3"/>
        <v>0</v>
      </c>
      <c r="AB22" s="12">
        <f t="shared" si="3"/>
        <v>0</v>
      </c>
      <c r="AC22" s="12">
        <f t="shared" si="3"/>
        <v>0</v>
      </c>
      <c r="AD22" s="12">
        <f t="shared" si="3"/>
        <v>-17400</v>
      </c>
      <c r="AE22" s="12">
        <f t="shared" si="3"/>
        <v>0</v>
      </c>
      <c r="AF22" s="12">
        <f t="shared" si="3"/>
        <v>0</v>
      </c>
      <c r="AG22" s="12">
        <f t="shared" si="3"/>
        <v>0</v>
      </c>
      <c r="AH22" s="12">
        <f t="shared" si="3"/>
        <v>0</v>
      </c>
      <c r="AI22" s="12">
        <f t="shared" si="3"/>
        <v>0</v>
      </c>
      <c r="AJ22" s="12">
        <f t="shared" si="3"/>
        <v>0</v>
      </c>
      <c r="AK22" s="12">
        <f t="shared" si="3"/>
        <v>0</v>
      </c>
      <c r="AL22" s="12">
        <f t="shared" si="3"/>
        <v>0</v>
      </c>
      <c r="AM22" s="12">
        <f t="shared" si="3"/>
        <v>0</v>
      </c>
      <c r="AN22" s="12">
        <f t="shared" si="3"/>
        <v>0</v>
      </c>
      <c r="AO22" s="12">
        <f t="shared" si="3"/>
        <v>0</v>
      </c>
      <c r="AP22" s="12">
        <f t="shared" si="3"/>
        <v>-32606</v>
      </c>
      <c r="AQ22" s="12">
        <f t="shared" si="3"/>
        <v>0</v>
      </c>
      <c r="AR22" s="12">
        <f t="shared" si="3"/>
        <v>-67406</v>
      </c>
    </row>
    <row r="23" spans="1:44" x14ac:dyDescent="0.2">
      <c r="A23" s="8" t="s">
        <v>65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</row>
    <row r="24" spans="1:44" x14ac:dyDescent="0.2">
      <c r="A24" s="9" t="s">
        <v>66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-4167.4799999999996</v>
      </c>
      <c r="P24" s="10">
        <v>-167930.5</v>
      </c>
      <c r="Q24" s="10">
        <v>-158233</v>
      </c>
      <c r="R24" s="10">
        <v>-70568.5</v>
      </c>
      <c r="S24" s="10">
        <v>-124382</v>
      </c>
      <c r="T24" s="10">
        <v>-128054.5</v>
      </c>
      <c r="U24" s="10">
        <v>-82736</v>
      </c>
      <c r="V24" s="10">
        <v>-136336</v>
      </c>
      <c r="W24" s="10">
        <v>-119560</v>
      </c>
      <c r="X24" s="10">
        <v>-113165</v>
      </c>
      <c r="Y24" s="10">
        <v>-94797</v>
      </c>
      <c r="Z24" s="10">
        <v>-58303</v>
      </c>
      <c r="AA24" s="10">
        <v>-96670</v>
      </c>
      <c r="AB24" s="10">
        <v>-156167</v>
      </c>
      <c r="AC24" s="10">
        <v>-94192</v>
      </c>
      <c r="AD24" s="10">
        <v>-98852</v>
      </c>
      <c r="AE24" s="10">
        <v>-88344</v>
      </c>
      <c r="AF24" s="10">
        <v>0</v>
      </c>
      <c r="AG24" s="10">
        <v>-241168</v>
      </c>
      <c r="AH24" s="10">
        <v>-132448</v>
      </c>
      <c r="AI24" s="10">
        <v>-91395</v>
      </c>
      <c r="AJ24" s="10">
        <v>-130000</v>
      </c>
      <c r="AK24" s="10">
        <v>-78970</v>
      </c>
      <c r="AL24" s="10">
        <v>-152985</v>
      </c>
      <c r="AM24" s="10">
        <v>-125912</v>
      </c>
      <c r="AN24" s="10">
        <v>-35775</v>
      </c>
      <c r="AO24" s="10">
        <v>-52025</v>
      </c>
      <c r="AP24" s="10">
        <v>-66478</v>
      </c>
      <c r="AQ24" s="10">
        <v>-77333</v>
      </c>
      <c r="AR24" s="10">
        <f>SUM(B24:AQ24)</f>
        <v>-2976946.98</v>
      </c>
    </row>
    <row r="25" spans="1:44" x14ac:dyDescent="0.2">
      <c r="A25" s="13" t="s">
        <v>67</v>
      </c>
      <c r="B25" s="14">
        <f t="shared" ref="B25:AR25" si="4">SUM(B24)</f>
        <v>0</v>
      </c>
      <c r="C25" s="14">
        <f t="shared" si="4"/>
        <v>0</v>
      </c>
      <c r="D25" s="14">
        <f t="shared" si="4"/>
        <v>0</v>
      </c>
      <c r="E25" s="14">
        <f t="shared" si="4"/>
        <v>0</v>
      </c>
      <c r="F25" s="14">
        <f t="shared" si="4"/>
        <v>0</v>
      </c>
      <c r="G25" s="14">
        <f t="shared" si="4"/>
        <v>0</v>
      </c>
      <c r="H25" s="14">
        <f t="shared" si="4"/>
        <v>0</v>
      </c>
      <c r="I25" s="14">
        <f t="shared" si="4"/>
        <v>0</v>
      </c>
      <c r="J25" s="14">
        <f t="shared" si="4"/>
        <v>0</v>
      </c>
      <c r="K25" s="14">
        <f t="shared" si="4"/>
        <v>0</v>
      </c>
      <c r="L25" s="14">
        <f t="shared" si="4"/>
        <v>0</v>
      </c>
      <c r="M25" s="14">
        <f t="shared" si="4"/>
        <v>0</v>
      </c>
      <c r="N25" s="14">
        <f t="shared" si="4"/>
        <v>0</v>
      </c>
      <c r="O25" s="14">
        <f t="shared" si="4"/>
        <v>-4167.4799999999996</v>
      </c>
      <c r="P25" s="14">
        <f t="shared" si="4"/>
        <v>-167930.5</v>
      </c>
      <c r="Q25" s="14">
        <f t="shared" si="4"/>
        <v>-158233</v>
      </c>
      <c r="R25" s="14">
        <f t="shared" si="4"/>
        <v>-70568.5</v>
      </c>
      <c r="S25" s="14">
        <f t="shared" si="4"/>
        <v>-124382</v>
      </c>
      <c r="T25" s="14">
        <f t="shared" si="4"/>
        <v>-128054.5</v>
      </c>
      <c r="U25" s="14">
        <f t="shared" si="4"/>
        <v>-82736</v>
      </c>
      <c r="V25" s="14">
        <f t="shared" si="4"/>
        <v>-136336</v>
      </c>
      <c r="W25" s="14">
        <f t="shared" si="4"/>
        <v>-119560</v>
      </c>
      <c r="X25" s="14">
        <f t="shared" si="4"/>
        <v>-113165</v>
      </c>
      <c r="Y25" s="14">
        <f t="shared" si="4"/>
        <v>-94797</v>
      </c>
      <c r="Z25" s="14">
        <f t="shared" si="4"/>
        <v>-58303</v>
      </c>
      <c r="AA25" s="14">
        <f t="shared" si="4"/>
        <v>-96670</v>
      </c>
      <c r="AB25" s="14">
        <f t="shared" si="4"/>
        <v>-156167</v>
      </c>
      <c r="AC25" s="14">
        <f t="shared" si="4"/>
        <v>-94192</v>
      </c>
      <c r="AD25" s="14">
        <f t="shared" si="4"/>
        <v>-98852</v>
      </c>
      <c r="AE25" s="14">
        <f t="shared" si="4"/>
        <v>-88344</v>
      </c>
      <c r="AF25" s="14">
        <f t="shared" si="4"/>
        <v>0</v>
      </c>
      <c r="AG25" s="14">
        <f t="shared" si="4"/>
        <v>-241168</v>
      </c>
      <c r="AH25" s="14">
        <f t="shared" si="4"/>
        <v>-132448</v>
      </c>
      <c r="AI25" s="14">
        <f t="shared" si="4"/>
        <v>-91395</v>
      </c>
      <c r="AJ25" s="14">
        <f t="shared" si="4"/>
        <v>-130000</v>
      </c>
      <c r="AK25" s="14">
        <f t="shared" si="4"/>
        <v>-78970</v>
      </c>
      <c r="AL25" s="14">
        <f t="shared" si="4"/>
        <v>-152985</v>
      </c>
      <c r="AM25" s="14">
        <f t="shared" si="4"/>
        <v>-125912</v>
      </c>
      <c r="AN25" s="14">
        <f t="shared" si="4"/>
        <v>-35775</v>
      </c>
      <c r="AO25" s="14">
        <f t="shared" si="4"/>
        <v>-52025</v>
      </c>
      <c r="AP25" s="14">
        <f t="shared" si="4"/>
        <v>-66478</v>
      </c>
      <c r="AQ25" s="14">
        <f t="shared" si="4"/>
        <v>-77333</v>
      </c>
      <c r="AR25" s="14">
        <f t="shared" si="4"/>
        <v>-2976946.98</v>
      </c>
    </row>
    <row r="26" spans="1:44" x14ac:dyDescent="0.2">
      <c r="A26" s="15" t="s">
        <v>68</v>
      </c>
      <c r="B26" s="14">
        <f t="shared" ref="B26:AR26" si="5">B22+B25</f>
        <v>0</v>
      </c>
      <c r="C26" s="14">
        <f t="shared" si="5"/>
        <v>0</v>
      </c>
      <c r="D26" s="14">
        <f t="shared" si="5"/>
        <v>0</v>
      </c>
      <c r="E26" s="14">
        <f t="shared" si="5"/>
        <v>0</v>
      </c>
      <c r="F26" s="14">
        <f t="shared" si="5"/>
        <v>0</v>
      </c>
      <c r="G26" s="14">
        <f t="shared" si="5"/>
        <v>0</v>
      </c>
      <c r="H26" s="14">
        <f t="shared" si="5"/>
        <v>0</v>
      </c>
      <c r="I26" s="14">
        <f t="shared" si="5"/>
        <v>0</v>
      </c>
      <c r="J26" s="14">
        <f t="shared" si="5"/>
        <v>0</v>
      </c>
      <c r="K26" s="14">
        <f t="shared" si="5"/>
        <v>0</v>
      </c>
      <c r="L26" s="14">
        <f t="shared" si="5"/>
        <v>0</v>
      </c>
      <c r="M26" s="14">
        <f t="shared" si="5"/>
        <v>0</v>
      </c>
      <c r="N26" s="14">
        <f t="shared" si="5"/>
        <v>0</v>
      </c>
      <c r="O26" s="14">
        <f t="shared" si="5"/>
        <v>-4167.4799999999996</v>
      </c>
      <c r="P26" s="14">
        <f t="shared" si="5"/>
        <v>-167930.5</v>
      </c>
      <c r="Q26" s="14">
        <f t="shared" si="5"/>
        <v>-158233</v>
      </c>
      <c r="R26" s="14">
        <f t="shared" si="5"/>
        <v>-87968.5</v>
      </c>
      <c r="S26" s="14">
        <f t="shared" si="5"/>
        <v>-124382</v>
      </c>
      <c r="T26" s="14">
        <f t="shared" si="5"/>
        <v>-128054.5</v>
      </c>
      <c r="U26" s="14">
        <f t="shared" si="5"/>
        <v>-82736</v>
      </c>
      <c r="V26" s="14">
        <f t="shared" si="5"/>
        <v>-136336</v>
      </c>
      <c r="W26" s="14">
        <f t="shared" si="5"/>
        <v>-119560</v>
      </c>
      <c r="X26" s="14">
        <f t="shared" si="5"/>
        <v>-113165</v>
      </c>
      <c r="Y26" s="14">
        <f t="shared" si="5"/>
        <v>-94797</v>
      </c>
      <c r="Z26" s="14">
        <f t="shared" si="5"/>
        <v>-58303</v>
      </c>
      <c r="AA26" s="14">
        <f t="shared" si="5"/>
        <v>-96670</v>
      </c>
      <c r="AB26" s="14">
        <f t="shared" si="5"/>
        <v>-156167</v>
      </c>
      <c r="AC26" s="14">
        <f t="shared" si="5"/>
        <v>-94192</v>
      </c>
      <c r="AD26" s="14">
        <f t="shared" si="5"/>
        <v>-116252</v>
      </c>
      <c r="AE26" s="14">
        <f t="shared" si="5"/>
        <v>-88344</v>
      </c>
      <c r="AF26" s="14">
        <f t="shared" si="5"/>
        <v>0</v>
      </c>
      <c r="AG26" s="14">
        <f t="shared" si="5"/>
        <v>-241168</v>
      </c>
      <c r="AH26" s="14">
        <f t="shared" si="5"/>
        <v>-132448</v>
      </c>
      <c r="AI26" s="14">
        <f t="shared" si="5"/>
        <v>-91395</v>
      </c>
      <c r="AJ26" s="14">
        <f t="shared" si="5"/>
        <v>-130000</v>
      </c>
      <c r="AK26" s="14">
        <f t="shared" si="5"/>
        <v>-78970</v>
      </c>
      <c r="AL26" s="14">
        <f t="shared" si="5"/>
        <v>-152985</v>
      </c>
      <c r="AM26" s="14">
        <f t="shared" si="5"/>
        <v>-125912</v>
      </c>
      <c r="AN26" s="14">
        <f t="shared" si="5"/>
        <v>-35775</v>
      </c>
      <c r="AO26" s="14">
        <f t="shared" si="5"/>
        <v>-52025</v>
      </c>
      <c r="AP26" s="14">
        <f t="shared" si="5"/>
        <v>-99084</v>
      </c>
      <c r="AQ26" s="14">
        <f t="shared" si="5"/>
        <v>-77333</v>
      </c>
      <c r="AR26" s="14">
        <f t="shared" si="5"/>
        <v>-3044352.98</v>
      </c>
    </row>
    <row r="27" spans="1:44" x14ac:dyDescent="0.2">
      <c r="A27" s="16" t="s">
        <v>69</v>
      </c>
      <c r="B27" s="14">
        <f t="shared" ref="B27:AR27" si="6">B18+B26</f>
        <v>55231.25</v>
      </c>
      <c r="C27" s="14">
        <f t="shared" si="6"/>
        <v>41744.39</v>
      </c>
      <c r="D27" s="14">
        <f t="shared" si="6"/>
        <v>30552.47</v>
      </c>
      <c r="E27" s="14">
        <f t="shared" si="6"/>
        <v>14931.25</v>
      </c>
      <c r="F27" s="14">
        <f t="shared" si="6"/>
        <v>16218.75</v>
      </c>
      <c r="G27" s="14">
        <f t="shared" si="6"/>
        <v>13018.75</v>
      </c>
      <c r="H27" s="14">
        <f t="shared" si="6"/>
        <v>23262.5</v>
      </c>
      <c r="I27" s="14">
        <f t="shared" si="6"/>
        <v>11625</v>
      </c>
      <c r="J27" s="14">
        <f t="shared" si="6"/>
        <v>10019</v>
      </c>
      <c r="K27" s="14">
        <f t="shared" si="6"/>
        <v>3807</v>
      </c>
      <c r="L27" s="14">
        <f t="shared" si="6"/>
        <v>3840</v>
      </c>
      <c r="M27" s="14">
        <f t="shared" si="6"/>
        <v>11455.25</v>
      </c>
      <c r="N27" s="14">
        <f t="shared" si="6"/>
        <v>105146.88</v>
      </c>
      <c r="O27" s="14">
        <f t="shared" si="6"/>
        <v>141489.41</v>
      </c>
      <c r="P27" s="14">
        <f t="shared" si="6"/>
        <v>-30891.119999999995</v>
      </c>
      <c r="Q27" s="14">
        <f t="shared" si="6"/>
        <v>-57518.619999999995</v>
      </c>
      <c r="R27" s="14">
        <f t="shared" si="6"/>
        <v>31081.509999999995</v>
      </c>
      <c r="S27" s="14">
        <f t="shared" si="6"/>
        <v>53970.51999999999</v>
      </c>
      <c r="T27" s="14">
        <f t="shared" si="6"/>
        <v>51902.390000000014</v>
      </c>
      <c r="U27" s="14">
        <f t="shared" si="6"/>
        <v>46734.64</v>
      </c>
      <c r="V27" s="14">
        <f t="shared" si="6"/>
        <v>38041.510000000009</v>
      </c>
      <c r="W27" s="14">
        <f t="shared" si="6"/>
        <v>19492.649999999994</v>
      </c>
      <c r="X27" s="14">
        <f t="shared" si="6"/>
        <v>38845.540000000008</v>
      </c>
      <c r="Y27" s="14">
        <f t="shared" si="6"/>
        <v>120562.48999999999</v>
      </c>
      <c r="Z27" s="14">
        <f t="shared" si="6"/>
        <v>35431.380000000005</v>
      </c>
      <c r="AA27" s="14">
        <f t="shared" si="6"/>
        <v>36879.950000000012</v>
      </c>
      <c r="AB27" s="14">
        <f t="shared" si="6"/>
        <v>63636.75</v>
      </c>
      <c r="AC27" s="14">
        <f t="shared" si="6"/>
        <v>44893.76999999999</v>
      </c>
      <c r="AD27" s="14">
        <f t="shared" si="6"/>
        <v>76315.079999999987</v>
      </c>
      <c r="AE27" s="14">
        <f t="shared" si="6"/>
        <v>57341.799999999988</v>
      </c>
      <c r="AF27" s="14">
        <f t="shared" si="6"/>
        <v>195459.91</v>
      </c>
      <c r="AG27" s="14">
        <f t="shared" si="6"/>
        <v>-2826.640000000014</v>
      </c>
      <c r="AH27" s="14">
        <f t="shared" si="6"/>
        <v>68740.390000000014</v>
      </c>
      <c r="AI27" s="14">
        <f t="shared" si="6"/>
        <v>52129.390000000014</v>
      </c>
      <c r="AJ27" s="14">
        <f t="shared" si="6"/>
        <v>64941.790000000008</v>
      </c>
      <c r="AK27" s="14">
        <f t="shared" si="6"/>
        <v>63426.5</v>
      </c>
      <c r="AL27" s="14">
        <f t="shared" si="6"/>
        <v>72868.350000000006</v>
      </c>
      <c r="AM27" s="14">
        <f t="shared" si="6"/>
        <v>35014.790000000008</v>
      </c>
      <c r="AN27" s="14">
        <f t="shared" si="6"/>
        <v>159590.64000000001</v>
      </c>
      <c r="AO27" s="14">
        <f t="shared" si="6"/>
        <v>98973.34</v>
      </c>
      <c r="AP27" s="14">
        <f t="shared" si="6"/>
        <v>135574.69</v>
      </c>
      <c r="AQ27" s="14">
        <f t="shared" si="6"/>
        <v>144898.84</v>
      </c>
      <c r="AR27" s="14">
        <f t="shared" si="6"/>
        <v>2197854.1300000004</v>
      </c>
    </row>
    <row r="28" spans="1:44" x14ac:dyDescent="0.2">
      <c r="A28" s="6" t="s">
        <v>70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</row>
    <row r="29" spans="1:44" x14ac:dyDescent="0.2">
      <c r="A29" s="7" t="s">
        <v>71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</row>
    <row r="30" spans="1:44" x14ac:dyDescent="0.2">
      <c r="A30" s="8" t="s">
        <v>72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</row>
    <row r="31" spans="1:44" x14ac:dyDescent="0.2">
      <c r="A31" s="9" t="s">
        <v>73</v>
      </c>
      <c r="B31" s="10">
        <v>-33468.53</v>
      </c>
      <c r="C31" s="10">
        <v>-63004.21</v>
      </c>
      <c r="D31" s="10">
        <v>-35939.65</v>
      </c>
      <c r="E31" s="10">
        <v>-24024.14</v>
      </c>
      <c r="F31" s="10">
        <v>-27441.84</v>
      </c>
      <c r="G31" s="10">
        <v>-27441.86</v>
      </c>
      <c r="H31" s="10">
        <v>-27441.86</v>
      </c>
      <c r="I31" s="10">
        <v>-47010.77</v>
      </c>
      <c r="J31" s="10">
        <v>-10306.780000000001</v>
      </c>
      <c r="K31" s="10">
        <v>-10300.799999999999</v>
      </c>
      <c r="L31" s="10">
        <v>-10294.780000000001</v>
      </c>
      <c r="M31" s="10">
        <v>-10294.799999999999</v>
      </c>
      <c r="N31" s="10">
        <v>-10484.56</v>
      </c>
      <c r="O31" s="10">
        <v>-10365.98</v>
      </c>
      <c r="P31" s="10">
        <v>-11225.22</v>
      </c>
      <c r="Q31" s="10">
        <v>-11241.54</v>
      </c>
      <c r="R31" s="10">
        <v>-11270.74</v>
      </c>
      <c r="S31" s="10">
        <v>-11270.75</v>
      </c>
      <c r="T31" s="10">
        <v>-11270.76</v>
      </c>
      <c r="U31" s="10">
        <v>-11225.22</v>
      </c>
      <c r="V31" s="10">
        <v>-11225.22</v>
      </c>
      <c r="W31" s="10">
        <v>-11225.21</v>
      </c>
      <c r="X31" s="10">
        <v>-20989.95</v>
      </c>
      <c r="Y31" s="10">
        <v>-22572.19</v>
      </c>
      <c r="Z31" s="10">
        <v>-44421.91</v>
      </c>
      <c r="AA31" s="10">
        <v>-44664.75</v>
      </c>
      <c r="AB31" s="10">
        <v>-45347.97</v>
      </c>
      <c r="AC31" s="10">
        <v>-43383.360000000001</v>
      </c>
      <c r="AD31" s="10">
        <v>-21337.99</v>
      </c>
      <c r="AE31" s="10">
        <v>-36920.379999999997</v>
      </c>
      <c r="AF31" s="10">
        <v>-36920.379999999997</v>
      </c>
      <c r="AG31" s="10">
        <v>-36920.379999999997</v>
      </c>
      <c r="AH31" s="10">
        <v>-36920.379999999997</v>
      </c>
      <c r="AI31" s="10">
        <v>-36920.39</v>
      </c>
      <c r="AJ31" s="10">
        <v>-46012.79</v>
      </c>
      <c r="AK31" s="10">
        <v>-51029.38</v>
      </c>
      <c r="AL31" s="10">
        <v>-47470.21</v>
      </c>
      <c r="AM31" s="10">
        <v>-47008</v>
      </c>
      <c r="AN31" s="10">
        <v>-59113.96</v>
      </c>
      <c r="AO31" s="10">
        <v>-51415</v>
      </c>
      <c r="AP31" s="10">
        <v>-58179.75</v>
      </c>
      <c r="AQ31" s="10">
        <v>-59158.12</v>
      </c>
      <c r="AR31" s="10">
        <f>SUM(B31:AQ31)</f>
        <v>-1284482.46</v>
      </c>
    </row>
    <row r="32" spans="1:44" x14ac:dyDescent="0.2">
      <c r="A32" s="9" t="s">
        <v>74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-1798.79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1607.4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f>SUM(B32:AQ32)</f>
        <v>-191.38999999999987</v>
      </c>
    </row>
    <row r="33" spans="1:44" x14ac:dyDescent="0.2">
      <c r="A33" s="13" t="s">
        <v>75</v>
      </c>
      <c r="B33" s="14">
        <f t="shared" ref="B33:AR33" si="7">SUM(B31:B32)</f>
        <v>-33468.53</v>
      </c>
      <c r="C33" s="14">
        <f t="shared" si="7"/>
        <v>-63004.21</v>
      </c>
      <c r="D33" s="14">
        <f t="shared" si="7"/>
        <v>-35939.65</v>
      </c>
      <c r="E33" s="14">
        <f t="shared" si="7"/>
        <v>-24024.14</v>
      </c>
      <c r="F33" s="14">
        <f t="shared" si="7"/>
        <v>-27441.84</v>
      </c>
      <c r="G33" s="14">
        <f t="shared" si="7"/>
        <v>-27441.86</v>
      </c>
      <c r="H33" s="14">
        <f t="shared" si="7"/>
        <v>-27441.86</v>
      </c>
      <c r="I33" s="14">
        <f t="shared" si="7"/>
        <v>-47010.77</v>
      </c>
      <c r="J33" s="14">
        <f t="shared" si="7"/>
        <v>-10306.780000000001</v>
      </c>
      <c r="K33" s="14">
        <f t="shared" si="7"/>
        <v>-10300.799999999999</v>
      </c>
      <c r="L33" s="14">
        <f t="shared" si="7"/>
        <v>-10294.780000000001</v>
      </c>
      <c r="M33" s="14">
        <f t="shared" si="7"/>
        <v>-10294.799999999999</v>
      </c>
      <c r="N33" s="14">
        <f t="shared" si="7"/>
        <v>-10484.56</v>
      </c>
      <c r="O33" s="14">
        <f t="shared" si="7"/>
        <v>-10365.98</v>
      </c>
      <c r="P33" s="14">
        <f t="shared" si="7"/>
        <v>-11225.22</v>
      </c>
      <c r="Q33" s="14">
        <f t="shared" si="7"/>
        <v>-11241.54</v>
      </c>
      <c r="R33" s="14">
        <f t="shared" si="7"/>
        <v>-11270.74</v>
      </c>
      <c r="S33" s="14">
        <f t="shared" si="7"/>
        <v>-11270.75</v>
      </c>
      <c r="T33" s="14">
        <f t="shared" si="7"/>
        <v>-13069.55</v>
      </c>
      <c r="U33" s="14">
        <f t="shared" si="7"/>
        <v>-11225.22</v>
      </c>
      <c r="V33" s="14">
        <f t="shared" si="7"/>
        <v>-11225.22</v>
      </c>
      <c r="W33" s="14">
        <f t="shared" si="7"/>
        <v>-11225.21</v>
      </c>
      <c r="X33" s="14">
        <f t="shared" si="7"/>
        <v>-20989.95</v>
      </c>
      <c r="Y33" s="14">
        <f t="shared" si="7"/>
        <v>-22572.19</v>
      </c>
      <c r="Z33" s="14">
        <f t="shared" si="7"/>
        <v>-44421.91</v>
      </c>
      <c r="AA33" s="14">
        <f t="shared" si="7"/>
        <v>-44664.75</v>
      </c>
      <c r="AB33" s="14">
        <f t="shared" si="7"/>
        <v>-43740.57</v>
      </c>
      <c r="AC33" s="14">
        <f t="shared" si="7"/>
        <v>-43383.360000000001</v>
      </c>
      <c r="AD33" s="14">
        <f t="shared" si="7"/>
        <v>-21337.99</v>
      </c>
      <c r="AE33" s="14">
        <f t="shared" si="7"/>
        <v>-36920.379999999997</v>
      </c>
      <c r="AF33" s="14">
        <f t="shared" si="7"/>
        <v>-36920.379999999997</v>
      </c>
      <c r="AG33" s="14">
        <f t="shared" si="7"/>
        <v>-36920.379999999997</v>
      </c>
      <c r="AH33" s="14">
        <f t="shared" si="7"/>
        <v>-36920.379999999997</v>
      </c>
      <c r="AI33" s="14">
        <f t="shared" si="7"/>
        <v>-36920.39</v>
      </c>
      <c r="AJ33" s="14">
        <f t="shared" si="7"/>
        <v>-46012.79</v>
      </c>
      <c r="AK33" s="14">
        <f t="shared" si="7"/>
        <v>-51029.38</v>
      </c>
      <c r="AL33" s="14">
        <f t="shared" si="7"/>
        <v>-47470.21</v>
      </c>
      <c r="AM33" s="14">
        <f t="shared" si="7"/>
        <v>-47008</v>
      </c>
      <c r="AN33" s="14">
        <f t="shared" si="7"/>
        <v>-59113.96</v>
      </c>
      <c r="AO33" s="14">
        <f t="shared" si="7"/>
        <v>-51415</v>
      </c>
      <c r="AP33" s="14">
        <f t="shared" si="7"/>
        <v>-58179.75</v>
      </c>
      <c r="AQ33" s="14">
        <f t="shared" si="7"/>
        <v>-59158.12</v>
      </c>
      <c r="AR33" s="14">
        <f t="shared" si="7"/>
        <v>-1284673.8499999999</v>
      </c>
    </row>
    <row r="34" spans="1:44" x14ac:dyDescent="0.2">
      <c r="A34" s="8" t="s">
        <v>76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</row>
    <row r="35" spans="1:44" x14ac:dyDescent="0.2">
      <c r="A35" s="9" t="s">
        <v>77</v>
      </c>
      <c r="B35" s="10">
        <v>-4808.75</v>
      </c>
      <c r="C35" s="10">
        <v>-4808.75</v>
      </c>
      <c r="D35" s="10">
        <v>-5390.69</v>
      </c>
      <c r="E35" s="10">
        <v>-5394.36</v>
      </c>
      <c r="F35" s="10">
        <v>-5394.36</v>
      </c>
      <c r="G35" s="10">
        <v>-5394.36</v>
      </c>
      <c r="H35" s="10">
        <v>-4767.66</v>
      </c>
      <c r="I35" s="10">
        <v>-5267.17</v>
      </c>
      <c r="J35" s="10">
        <v>-5261.57</v>
      </c>
      <c r="K35" s="10">
        <v>128.38999999999999</v>
      </c>
      <c r="L35" s="10">
        <v>-102.5</v>
      </c>
      <c r="M35" s="10">
        <v>-1365.93</v>
      </c>
      <c r="N35" s="10">
        <v>-38.380000000000003</v>
      </c>
      <c r="O35" s="10">
        <v>-39.99</v>
      </c>
      <c r="P35" s="10">
        <v>-39.99</v>
      </c>
      <c r="Q35" s="10">
        <v>-42.82</v>
      </c>
      <c r="R35" s="10">
        <v>-247.17</v>
      </c>
      <c r="S35" s="10">
        <v>-531.13</v>
      </c>
      <c r="T35" s="10">
        <v>-546.83000000000004</v>
      </c>
      <c r="U35" s="10">
        <v>-563.45000000000005</v>
      </c>
      <c r="V35" s="10">
        <v>-563.45000000000005</v>
      </c>
      <c r="W35" s="10">
        <v>-563.45000000000005</v>
      </c>
      <c r="X35" s="10">
        <v>-563.45000000000005</v>
      </c>
      <c r="Y35" s="10">
        <v>-563.45000000000005</v>
      </c>
      <c r="Z35" s="10">
        <v>-4171.6099999999997</v>
      </c>
      <c r="AA35" s="10">
        <v>-3673.33</v>
      </c>
      <c r="AB35" s="10">
        <v>-304.89</v>
      </c>
      <c r="AC35" s="10">
        <v>-5896.25</v>
      </c>
      <c r="AD35" s="10">
        <v>-3100.57</v>
      </c>
      <c r="AE35" s="10">
        <v>-3293.89</v>
      </c>
      <c r="AF35" s="10">
        <v>-3016.81</v>
      </c>
      <c r="AG35" s="10">
        <v>-3137.09</v>
      </c>
      <c r="AH35" s="10">
        <v>-3137.09</v>
      </c>
      <c r="AI35" s="10">
        <v>-3137.09</v>
      </c>
      <c r="AJ35" s="10">
        <v>-3137.09</v>
      </c>
      <c r="AK35" s="10">
        <v>-4528.6099999999997</v>
      </c>
      <c r="AL35" s="10">
        <v>-3832.85</v>
      </c>
      <c r="AM35" s="10">
        <v>-3832.85</v>
      </c>
      <c r="AN35" s="10">
        <v>-4226.84</v>
      </c>
      <c r="AO35" s="10">
        <v>-4257.5200000000004</v>
      </c>
      <c r="AP35" s="10">
        <v>-4257.5200000000004</v>
      </c>
      <c r="AQ35" s="10">
        <v>-4257.5200000000004</v>
      </c>
      <c r="AR35" s="10">
        <f>SUM(B35:AQ35)</f>
        <v>-117330.68999999999</v>
      </c>
    </row>
    <row r="36" spans="1:44" x14ac:dyDescent="0.2">
      <c r="A36" s="13" t="s">
        <v>78</v>
      </c>
      <c r="B36" s="14">
        <f t="shared" ref="B36:AR36" si="8">SUM(B35)</f>
        <v>-4808.75</v>
      </c>
      <c r="C36" s="14">
        <f t="shared" si="8"/>
        <v>-4808.75</v>
      </c>
      <c r="D36" s="14">
        <f t="shared" si="8"/>
        <v>-5390.69</v>
      </c>
      <c r="E36" s="14">
        <f t="shared" si="8"/>
        <v>-5394.36</v>
      </c>
      <c r="F36" s="14">
        <f t="shared" si="8"/>
        <v>-5394.36</v>
      </c>
      <c r="G36" s="14">
        <f t="shared" si="8"/>
        <v>-5394.36</v>
      </c>
      <c r="H36" s="14">
        <f t="shared" si="8"/>
        <v>-4767.66</v>
      </c>
      <c r="I36" s="14">
        <f t="shared" si="8"/>
        <v>-5267.17</v>
      </c>
      <c r="J36" s="14">
        <f t="shared" si="8"/>
        <v>-5261.57</v>
      </c>
      <c r="K36" s="14">
        <f t="shared" si="8"/>
        <v>128.38999999999999</v>
      </c>
      <c r="L36" s="14">
        <f t="shared" si="8"/>
        <v>-102.5</v>
      </c>
      <c r="M36" s="14">
        <f t="shared" si="8"/>
        <v>-1365.93</v>
      </c>
      <c r="N36" s="14">
        <f t="shared" si="8"/>
        <v>-38.380000000000003</v>
      </c>
      <c r="O36" s="14">
        <f t="shared" si="8"/>
        <v>-39.99</v>
      </c>
      <c r="P36" s="14">
        <f t="shared" si="8"/>
        <v>-39.99</v>
      </c>
      <c r="Q36" s="14">
        <f t="shared" si="8"/>
        <v>-42.82</v>
      </c>
      <c r="R36" s="14">
        <f t="shared" si="8"/>
        <v>-247.17</v>
      </c>
      <c r="S36" s="14">
        <f t="shared" si="8"/>
        <v>-531.13</v>
      </c>
      <c r="T36" s="14">
        <f t="shared" si="8"/>
        <v>-546.83000000000004</v>
      </c>
      <c r="U36" s="14">
        <f t="shared" si="8"/>
        <v>-563.45000000000005</v>
      </c>
      <c r="V36" s="14">
        <f t="shared" si="8"/>
        <v>-563.45000000000005</v>
      </c>
      <c r="W36" s="14">
        <f t="shared" si="8"/>
        <v>-563.45000000000005</v>
      </c>
      <c r="X36" s="14">
        <f t="shared" si="8"/>
        <v>-563.45000000000005</v>
      </c>
      <c r="Y36" s="14">
        <f t="shared" si="8"/>
        <v>-563.45000000000005</v>
      </c>
      <c r="Z36" s="14">
        <f t="shared" si="8"/>
        <v>-4171.6099999999997</v>
      </c>
      <c r="AA36" s="14">
        <f t="shared" si="8"/>
        <v>-3673.33</v>
      </c>
      <c r="AB36" s="14">
        <f t="shared" si="8"/>
        <v>-304.89</v>
      </c>
      <c r="AC36" s="14">
        <f t="shared" si="8"/>
        <v>-5896.25</v>
      </c>
      <c r="AD36" s="14">
        <f t="shared" si="8"/>
        <v>-3100.57</v>
      </c>
      <c r="AE36" s="14">
        <f t="shared" si="8"/>
        <v>-3293.89</v>
      </c>
      <c r="AF36" s="14">
        <f t="shared" si="8"/>
        <v>-3016.81</v>
      </c>
      <c r="AG36" s="14">
        <f t="shared" si="8"/>
        <v>-3137.09</v>
      </c>
      <c r="AH36" s="14">
        <f t="shared" si="8"/>
        <v>-3137.09</v>
      </c>
      <c r="AI36" s="14">
        <f t="shared" si="8"/>
        <v>-3137.09</v>
      </c>
      <c r="AJ36" s="14">
        <f t="shared" si="8"/>
        <v>-3137.09</v>
      </c>
      <c r="AK36" s="14">
        <f t="shared" si="8"/>
        <v>-4528.6099999999997</v>
      </c>
      <c r="AL36" s="14">
        <f t="shared" si="8"/>
        <v>-3832.85</v>
      </c>
      <c r="AM36" s="14">
        <f t="shared" si="8"/>
        <v>-3832.85</v>
      </c>
      <c r="AN36" s="14">
        <f t="shared" si="8"/>
        <v>-4226.84</v>
      </c>
      <c r="AO36" s="14">
        <f t="shared" si="8"/>
        <v>-4257.5200000000004</v>
      </c>
      <c r="AP36" s="14">
        <f t="shared" si="8"/>
        <v>-4257.5200000000004</v>
      </c>
      <c r="AQ36" s="14">
        <f t="shared" si="8"/>
        <v>-4257.5200000000004</v>
      </c>
      <c r="AR36" s="14">
        <f t="shared" si="8"/>
        <v>-117330.68999999999</v>
      </c>
    </row>
    <row r="37" spans="1:44" x14ac:dyDescent="0.2">
      <c r="A37" s="15" t="s">
        <v>79</v>
      </c>
      <c r="B37" s="14">
        <f t="shared" ref="B37:AR37" si="9">B33+B36</f>
        <v>-38277.279999999999</v>
      </c>
      <c r="C37" s="14">
        <f t="shared" si="9"/>
        <v>-67812.959999999992</v>
      </c>
      <c r="D37" s="14">
        <f t="shared" si="9"/>
        <v>-41330.340000000004</v>
      </c>
      <c r="E37" s="14">
        <f t="shared" si="9"/>
        <v>-29418.5</v>
      </c>
      <c r="F37" s="14">
        <f t="shared" si="9"/>
        <v>-32836.199999999997</v>
      </c>
      <c r="G37" s="14">
        <f t="shared" si="9"/>
        <v>-32836.22</v>
      </c>
      <c r="H37" s="14">
        <f t="shared" si="9"/>
        <v>-32209.52</v>
      </c>
      <c r="I37" s="14">
        <f t="shared" si="9"/>
        <v>-52277.939999999995</v>
      </c>
      <c r="J37" s="14">
        <f t="shared" si="9"/>
        <v>-15568.35</v>
      </c>
      <c r="K37" s="14">
        <f t="shared" si="9"/>
        <v>-10172.41</v>
      </c>
      <c r="L37" s="14">
        <f t="shared" si="9"/>
        <v>-10397.280000000001</v>
      </c>
      <c r="M37" s="14">
        <f t="shared" si="9"/>
        <v>-11660.73</v>
      </c>
      <c r="N37" s="14">
        <f t="shared" si="9"/>
        <v>-10522.939999999999</v>
      </c>
      <c r="O37" s="14">
        <f t="shared" si="9"/>
        <v>-10405.969999999999</v>
      </c>
      <c r="P37" s="14">
        <f t="shared" si="9"/>
        <v>-11265.21</v>
      </c>
      <c r="Q37" s="14">
        <f t="shared" si="9"/>
        <v>-11284.36</v>
      </c>
      <c r="R37" s="14">
        <f t="shared" si="9"/>
        <v>-11517.91</v>
      </c>
      <c r="S37" s="14">
        <f t="shared" si="9"/>
        <v>-11801.88</v>
      </c>
      <c r="T37" s="14">
        <f t="shared" si="9"/>
        <v>-13616.38</v>
      </c>
      <c r="U37" s="14">
        <f t="shared" si="9"/>
        <v>-11788.67</v>
      </c>
      <c r="V37" s="14">
        <f t="shared" si="9"/>
        <v>-11788.67</v>
      </c>
      <c r="W37" s="14">
        <f t="shared" si="9"/>
        <v>-11788.66</v>
      </c>
      <c r="X37" s="14">
        <f t="shared" si="9"/>
        <v>-21553.4</v>
      </c>
      <c r="Y37" s="14">
        <f t="shared" si="9"/>
        <v>-23135.64</v>
      </c>
      <c r="Z37" s="14">
        <f t="shared" si="9"/>
        <v>-48593.520000000004</v>
      </c>
      <c r="AA37" s="14">
        <f t="shared" si="9"/>
        <v>-48338.080000000002</v>
      </c>
      <c r="AB37" s="14">
        <f t="shared" si="9"/>
        <v>-44045.46</v>
      </c>
      <c r="AC37" s="14">
        <f t="shared" si="9"/>
        <v>-49279.61</v>
      </c>
      <c r="AD37" s="14">
        <f t="shared" si="9"/>
        <v>-24438.560000000001</v>
      </c>
      <c r="AE37" s="14">
        <f t="shared" si="9"/>
        <v>-40214.269999999997</v>
      </c>
      <c r="AF37" s="14">
        <f t="shared" si="9"/>
        <v>-39937.189999999995</v>
      </c>
      <c r="AG37" s="14">
        <f t="shared" si="9"/>
        <v>-40057.47</v>
      </c>
      <c r="AH37" s="14">
        <f t="shared" si="9"/>
        <v>-40057.47</v>
      </c>
      <c r="AI37" s="14">
        <f t="shared" si="9"/>
        <v>-40057.479999999996</v>
      </c>
      <c r="AJ37" s="14">
        <f t="shared" si="9"/>
        <v>-49149.880000000005</v>
      </c>
      <c r="AK37" s="14">
        <f t="shared" si="9"/>
        <v>-55557.99</v>
      </c>
      <c r="AL37" s="14">
        <f t="shared" si="9"/>
        <v>-51303.06</v>
      </c>
      <c r="AM37" s="14">
        <f t="shared" si="9"/>
        <v>-50840.85</v>
      </c>
      <c r="AN37" s="14">
        <f t="shared" si="9"/>
        <v>-63340.800000000003</v>
      </c>
      <c r="AO37" s="14">
        <f t="shared" si="9"/>
        <v>-55672.520000000004</v>
      </c>
      <c r="AP37" s="14">
        <f t="shared" si="9"/>
        <v>-62437.270000000004</v>
      </c>
      <c r="AQ37" s="14">
        <f t="shared" si="9"/>
        <v>-63415.64</v>
      </c>
      <c r="AR37" s="14">
        <f t="shared" si="9"/>
        <v>-1402004.5399999998</v>
      </c>
    </row>
    <row r="38" spans="1:44" x14ac:dyDescent="0.2">
      <c r="A38" s="7" t="s">
        <v>80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</row>
    <row r="39" spans="1:44" x14ac:dyDescent="0.2">
      <c r="A39" s="17" t="s">
        <v>81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-28224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-28224</v>
      </c>
      <c r="X39" s="10">
        <v>0</v>
      </c>
      <c r="Y39" s="10">
        <v>-15730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-28224</v>
      </c>
      <c r="AJ39" s="10">
        <v>-11026</v>
      </c>
      <c r="AK39" s="10">
        <v>0</v>
      </c>
      <c r="AL39" s="10">
        <v>0</v>
      </c>
      <c r="AM39" s="10">
        <v>0</v>
      </c>
      <c r="AN39" s="10">
        <v>-13848</v>
      </c>
      <c r="AO39" s="10">
        <v>0</v>
      </c>
      <c r="AP39" s="10">
        <v>0</v>
      </c>
      <c r="AQ39" s="10">
        <v>0</v>
      </c>
      <c r="AR39" s="10">
        <f t="shared" ref="AR39:AR56" si="10">SUM(B39:AQ39)</f>
        <v>-125276</v>
      </c>
    </row>
    <row r="40" spans="1:44" x14ac:dyDescent="0.2">
      <c r="A40" s="17" t="s">
        <v>82</v>
      </c>
      <c r="B40" s="10">
        <v>-2493</v>
      </c>
      <c r="C40" s="10">
        <v>0</v>
      </c>
      <c r="D40" s="10">
        <v>0</v>
      </c>
      <c r="E40" s="10">
        <v>0</v>
      </c>
      <c r="F40" s="10">
        <v>0</v>
      </c>
      <c r="G40" s="10">
        <v>-2740.5</v>
      </c>
      <c r="H40" s="10">
        <v>-710.6</v>
      </c>
      <c r="I40" s="10">
        <v>-708.05</v>
      </c>
      <c r="J40" s="10">
        <v>-708.05</v>
      </c>
      <c r="K40" s="10">
        <v>-1779.05</v>
      </c>
      <c r="L40" s="10">
        <v>-1470.65</v>
      </c>
      <c r="M40" s="10">
        <v>0</v>
      </c>
      <c r="N40" s="10">
        <v>-64.05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-182</v>
      </c>
      <c r="X40" s="10">
        <v>-53</v>
      </c>
      <c r="Y40" s="10">
        <v>-782.42</v>
      </c>
      <c r="Z40" s="10">
        <v>-6274</v>
      </c>
      <c r="AA40" s="10">
        <v>-270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-321</v>
      </c>
      <c r="AJ40" s="10">
        <v>0</v>
      </c>
      <c r="AK40" s="10">
        <v>-613</v>
      </c>
      <c r="AL40" s="10">
        <v>-605</v>
      </c>
      <c r="AM40" s="10">
        <v>-6507</v>
      </c>
      <c r="AN40" s="10">
        <v>0</v>
      </c>
      <c r="AO40" s="10">
        <v>0</v>
      </c>
      <c r="AP40" s="10">
        <v>-176</v>
      </c>
      <c r="AQ40" s="10">
        <v>-18</v>
      </c>
      <c r="AR40" s="10">
        <f t="shared" si="10"/>
        <v>-26475.37</v>
      </c>
    </row>
    <row r="41" spans="1:44" x14ac:dyDescent="0.2">
      <c r="A41" s="17" t="s">
        <v>83</v>
      </c>
      <c r="B41" s="10">
        <v>0</v>
      </c>
      <c r="C41" s="10">
        <v>-206.1</v>
      </c>
      <c r="D41" s="10">
        <v>0</v>
      </c>
      <c r="E41" s="10">
        <v>0</v>
      </c>
      <c r="F41" s="10">
        <v>-515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-515</v>
      </c>
      <c r="T41" s="10">
        <v>0</v>
      </c>
      <c r="U41" s="10">
        <v>-100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-515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-200</v>
      </c>
      <c r="AL41" s="10">
        <v>0</v>
      </c>
      <c r="AM41" s="10">
        <v>0</v>
      </c>
      <c r="AN41" s="10">
        <v>0</v>
      </c>
      <c r="AO41" s="10">
        <v>0</v>
      </c>
      <c r="AP41" s="10">
        <v>-515</v>
      </c>
      <c r="AQ41" s="10">
        <v>0</v>
      </c>
      <c r="AR41" s="10">
        <f t="shared" si="10"/>
        <v>-2566.1</v>
      </c>
    </row>
    <row r="42" spans="1:44" x14ac:dyDescent="0.2">
      <c r="A42" s="17" t="s">
        <v>84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-446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-4082.12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f t="shared" si="10"/>
        <v>-4528.12</v>
      </c>
    </row>
    <row r="43" spans="1:44" x14ac:dyDescent="0.2">
      <c r="A43" s="17" t="s">
        <v>85</v>
      </c>
      <c r="B43" s="10">
        <v>-292.10000000000002</v>
      </c>
      <c r="C43" s="10">
        <v>-385.01</v>
      </c>
      <c r="D43" s="10">
        <v>-60.9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-51.18</v>
      </c>
      <c r="AD43" s="10">
        <v>0</v>
      </c>
      <c r="AE43" s="10">
        <v>-64.680000000000007</v>
      </c>
      <c r="AF43" s="10">
        <v>0</v>
      </c>
      <c r="AG43" s="10">
        <v>0</v>
      </c>
      <c r="AH43" s="10">
        <v>-16.82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-69.099999999999994</v>
      </c>
      <c r="AQ43" s="10">
        <v>0</v>
      </c>
      <c r="AR43" s="10">
        <f t="shared" si="10"/>
        <v>-939.79</v>
      </c>
    </row>
    <row r="44" spans="1:44" x14ac:dyDescent="0.2">
      <c r="A44" s="17" t="s">
        <v>86</v>
      </c>
      <c r="B44" s="10">
        <v>-205.06</v>
      </c>
      <c r="C44" s="10">
        <v>-2735.39</v>
      </c>
      <c r="D44" s="10">
        <v>-321.23</v>
      </c>
      <c r="E44" s="10">
        <v>1615.01</v>
      </c>
      <c r="F44" s="10">
        <v>-79.989999999999995</v>
      </c>
      <c r="G44" s="10">
        <v>15.01</v>
      </c>
      <c r="H44" s="10">
        <v>-79.989999999999995</v>
      </c>
      <c r="I44" s="10">
        <v>-79.989999999999995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-1195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-3250</v>
      </c>
      <c r="AB44" s="10">
        <v>0</v>
      </c>
      <c r="AC44" s="10">
        <v>-350</v>
      </c>
      <c r="AD44" s="10">
        <v>-1300</v>
      </c>
      <c r="AE44" s="10">
        <v>-245</v>
      </c>
      <c r="AF44" s="10">
        <v>-725</v>
      </c>
      <c r="AG44" s="10">
        <v>-4699</v>
      </c>
      <c r="AH44" s="10">
        <v>0</v>
      </c>
      <c r="AI44" s="10">
        <v>-5175.63</v>
      </c>
      <c r="AJ44" s="10">
        <v>-3400</v>
      </c>
      <c r="AK44" s="10">
        <v>0</v>
      </c>
      <c r="AL44" s="10">
        <v>0</v>
      </c>
      <c r="AM44" s="10">
        <v>0</v>
      </c>
      <c r="AN44" s="10">
        <v>-40</v>
      </c>
      <c r="AO44" s="10">
        <v>-875</v>
      </c>
      <c r="AP44" s="10">
        <v>-278.22000000000003</v>
      </c>
      <c r="AQ44" s="10">
        <v>-5347</v>
      </c>
      <c r="AR44" s="10">
        <f t="shared" si="10"/>
        <v>-28751.480000000003</v>
      </c>
    </row>
    <row r="45" spans="1:44" x14ac:dyDescent="0.2">
      <c r="A45" s="17" t="s">
        <v>87</v>
      </c>
      <c r="B45" s="10">
        <v>-25.34</v>
      </c>
      <c r="C45" s="10">
        <v>-73.13</v>
      </c>
      <c r="D45" s="10">
        <v>-43.33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-37.869999999999997</v>
      </c>
      <c r="Z45" s="10">
        <v>0</v>
      </c>
      <c r="AA45" s="10">
        <v>0</v>
      </c>
      <c r="AB45" s="10">
        <v>-799.28</v>
      </c>
      <c r="AC45" s="10">
        <v>0</v>
      </c>
      <c r="AD45" s="10">
        <v>-50</v>
      </c>
      <c r="AE45" s="10">
        <v>-2265.7399999999998</v>
      </c>
      <c r="AF45" s="10">
        <v>0</v>
      </c>
      <c r="AG45" s="10">
        <v>-438.16</v>
      </c>
      <c r="AH45" s="10">
        <v>-366.67</v>
      </c>
      <c r="AI45" s="10">
        <v>-94</v>
      </c>
      <c r="AJ45" s="10">
        <v>-1365.8</v>
      </c>
      <c r="AK45" s="10">
        <v>-117.5</v>
      </c>
      <c r="AL45" s="10">
        <v>0</v>
      </c>
      <c r="AM45" s="10">
        <v>0</v>
      </c>
      <c r="AN45" s="10">
        <v>-110.35</v>
      </c>
      <c r="AO45" s="10">
        <v>-1973.68</v>
      </c>
      <c r="AP45" s="10">
        <v>-403.89</v>
      </c>
      <c r="AQ45" s="10">
        <v>-532.83000000000004</v>
      </c>
      <c r="AR45" s="10">
        <f t="shared" si="10"/>
        <v>-8697.5700000000015</v>
      </c>
    </row>
    <row r="46" spans="1:44" x14ac:dyDescent="0.2">
      <c r="A46" s="17" t="s">
        <v>88</v>
      </c>
      <c r="B46" s="10">
        <v>-441.8</v>
      </c>
      <c r="C46" s="10">
        <v>-1217.52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-265.8</v>
      </c>
      <c r="T46" s="10">
        <v>0</v>
      </c>
      <c r="U46" s="10">
        <v>0</v>
      </c>
      <c r="V46" s="10">
        <v>-2119.69</v>
      </c>
      <c r="W46" s="10">
        <v>-1998.67</v>
      </c>
      <c r="X46" s="10">
        <v>0</v>
      </c>
      <c r="Y46" s="10">
        <v>-352.97</v>
      </c>
      <c r="Z46" s="10">
        <v>0</v>
      </c>
      <c r="AA46" s="10">
        <v>0</v>
      </c>
      <c r="AB46" s="10">
        <v>0</v>
      </c>
      <c r="AC46" s="10">
        <v>-371.49</v>
      </c>
      <c r="AD46" s="10">
        <v>-5555.99</v>
      </c>
      <c r="AE46" s="10">
        <v>-280.22000000000003</v>
      </c>
      <c r="AF46" s="10">
        <v>0</v>
      </c>
      <c r="AG46" s="10">
        <v>-4386.24</v>
      </c>
      <c r="AH46" s="10">
        <v>-4720.2700000000004</v>
      </c>
      <c r="AI46" s="10">
        <v>-920.84</v>
      </c>
      <c r="AJ46" s="10">
        <v>-5350.15</v>
      </c>
      <c r="AK46" s="10">
        <v>-364.91</v>
      </c>
      <c r="AL46" s="10">
        <v>-143.12</v>
      </c>
      <c r="AM46" s="10">
        <v>-2860.54</v>
      </c>
      <c r="AN46" s="10">
        <v>-381.95</v>
      </c>
      <c r="AO46" s="10">
        <v>-3845.68</v>
      </c>
      <c r="AP46" s="10">
        <v>-440.54</v>
      </c>
      <c r="AQ46" s="10">
        <v>-248.64</v>
      </c>
      <c r="AR46" s="10">
        <f t="shared" si="10"/>
        <v>-36267.03</v>
      </c>
    </row>
    <row r="47" spans="1:44" x14ac:dyDescent="0.2">
      <c r="A47" s="17" t="s">
        <v>89</v>
      </c>
      <c r="B47" s="10">
        <v>0</v>
      </c>
      <c r="C47" s="10">
        <v>-499.63</v>
      </c>
      <c r="D47" s="10">
        <v>195.01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-337.87</v>
      </c>
      <c r="U47" s="10">
        <v>0</v>
      </c>
      <c r="V47" s="10">
        <v>-745.74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-1027.6300000000001</v>
      </c>
      <c r="AD47" s="10">
        <v>-698.64</v>
      </c>
      <c r="AE47" s="10">
        <v>-1015.86</v>
      </c>
      <c r="AF47" s="10">
        <v>0</v>
      </c>
      <c r="AG47" s="10">
        <v>0</v>
      </c>
      <c r="AH47" s="10">
        <v>-4275.6400000000003</v>
      </c>
      <c r="AI47" s="10">
        <v>0</v>
      </c>
      <c r="AJ47" s="10">
        <v>-792.26</v>
      </c>
      <c r="AK47" s="10">
        <v>0</v>
      </c>
      <c r="AL47" s="10">
        <v>0</v>
      </c>
      <c r="AM47" s="10">
        <v>0</v>
      </c>
      <c r="AN47" s="10">
        <v>0</v>
      </c>
      <c r="AO47" s="10">
        <v>-3506.48</v>
      </c>
      <c r="AP47" s="10">
        <v>-915.33</v>
      </c>
      <c r="AQ47" s="10">
        <v>-2744.88</v>
      </c>
      <c r="AR47" s="10">
        <f t="shared" si="10"/>
        <v>-16364.95</v>
      </c>
    </row>
    <row r="48" spans="1:44" x14ac:dyDescent="0.2">
      <c r="A48" s="17" t="s">
        <v>90</v>
      </c>
      <c r="B48" s="10">
        <v>0</v>
      </c>
      <c r="C48" s="10">
        <v>-411.89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-70</v>
      </c>
      <c r="W48" s="10">
        <v>-188.67</v>
      </c>
      <c r="X48" s="10">
        <v>0</v>
      </c>
      <c r="Y48" s="10">
        <v>-625</v>
      </c>
      <c r="Z48" s="10">
        <v>0</v>
      </c>
      <c r="AA48" s="10">
        <v>0</v>
      </c>
      <c r="AB48" s="10">
        <v>0</v>
      </c>
      <c r="AC48" s="10">
        <v>0</v>
      </c>
      <c r="AD48" s="10">
        <v>-280</v>
      </c>
      <c r="AE48" s="10">
        <v>-40</v>
      </c>
      <c r="AF48" s="10">
        <v>0</v>
      </c>
      <c r="AG48" s="10">
        <v>-200</v>
      </c>
      <c r="AH48" s="10">
        <v>-190</v>
      </c>
      <c r="AI48" s="10">
        <v>-530</v>
      </c>
      <c r="AJ48" s="10">
        <v>-1080</v>
      </c>
      <c r="AK48" s="10">
        <v>-700</v>
      </c>
      <c r="AL48" s="10">
        <v>-250</v>
      </c>
      <c r="AM48" s="10">
        <v>0</v>
      </c>
      <c r="AN48" s="10">
        <v>0</v>
      </c>
      <c r="AO48" s="10">
        <v>-280</v>
      </c>
      <c r="AP48" s="10">
        <v>-700</v>
      </c>
      <c r="AQ48" s="10">
        <v>-150</v>
      </c>
      <c r="AR48" s="10">
        <f t="shared" si="10"/>
        <v>-5695.5599999999995</v>
      </c>
    </row>
    <row r="49" spans="1:44" x14ac:dyDescent="0.2">
      <c r="A49" s="17" t="s">
        <v>91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-137.5</v>
      </c>
      <c r="I49" s="10">
        <v>0</v>
      </c>
      <c r="J49" s="10">
        <v>-1662.5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f t="shared" si="10"/>
        <v>-1800</v>
      </c>
    </row>
    <row r="50" spans="1:44" x14ac:dyDescent="0.2">
      <c r="A50" s="17" t="s">
        <v>92</v>
      </c>
      <c r="B50" s="10">
        <v>-215.96</v>
      </c>
      <c r="C50" s="10">
        <v>-215.34</v>
      </c>
      <c r="D50" s="10">
        <v>-215.47</v>
      </c>
      <c r="E50" s="10">
        <v>-215.27</v>
      </c>
      <c r="F50" s="10">
        <v>-215.38</v>
      </c>
      <c r="G50" s="10">
        <v>-215.68</v>
      </c>
      <c r="H50" s="10">
        <v>-216.04</v>
      </c>
      <c r="I50" s="10">
        <v>-124.17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-666.53</v>
      </c>
      <c r="S50" s="10">
        <v>0</v>
      </c>
      <c r="T50" s="10">
        <v>-156.80000000000001</v>
      </c>
      <c r="U50" s="10">
        <v>-150.34</v>
      </c>
      <c r="V50" s="10">
        <v>-150.34</v>
      </c>
      <c r="W50" s="10">
        <v>-160.01</v>
      </c>
      <c r="X50" s="10">
        <v>-468.75</v>
      </c>
      <c r="Y50" s="10">
        <v>-152.26</v>
      </c>
      <c r="Z50" s="10">
        <v>-178.72</v>
      </c>
      <c r="AA50" s="10">
        <v>-182.49</v>
      </c>
      <c r="AB50" s="10">
        <v>-319.51</v>
      </c>
      <c r="AC50" s="10">
        <v>-169.51</v>
      </c>
      <c r="AD50" s="10">
        <v>-169.72</v>
      </c>
      <c r="AE50" s="10">
        <v>-169.51</v>
      </c>
      <c r="AF50" s="10">
        <v>-169.51</v>
      </c>
      <c r="AG50" s="10">
        <v>-169.51</v>
      </c>
      <c r="AH50" s="10">
        <v>-169.51</v>
      </c>
      <c r="AI50" s="10">
        <v>-169.51</v>
      </c>
      <c r="AJ50" s="10">
        <v>-204.51</v>
      </c>
      <c r="AK50" s="10">
        <v>-179.68</v>
      </c>
      <c r="AL50" s="10">
        <v>-200.68</v>
      </c>
      <c r="AM50" s="10">
        <v>-199.94</v>
      </c>
      <c r="AN50" s="10">
        <v>-212.44</v>
      </c>
      <c r="AO50" s="10">
        <v>-912.91</v>
      </c>
      <c r="AP50" s="10">
        <v>-199.56</v>
      </c>
      <c r="AQ50" s="10">
        <v>-199.52</v>
      </c>
      <c r="AR50" s="10">
        <f t="shared" si="10"/>
        <v>-7715.0800000000036</v>
      </c>
    </row>
    <row r="51" spans="1:44" x14ac:dyDescent="0.2">
      <c r="A51" s="17" t="s">
        <v>93</v>
      </c>
      <c r="B51" s="10">
        <v>-52.47</v>
      </c>
      <c r="C51" s="10">
        <v>-298.81</v>
      </c>
      <c r="D51" s="10">
        <v>-604.08000000000004</v>
      </c>
      <c r="E51" s="10">
        <v>-107.17</v>
      </c>
      <c r="F51" s="10">
        <v>-103.32</v>
      </c>
      <c r="G51" s="10">
        <v>-70.569999999999993</v>
      </c>
      <c r="H51" s="10">
        <v>-70.569999999999993</v>
      </c>
      <c r="I51" s="10">
        <v>-998.43</v>
      </c>
      <c r="J51" s="10">
        <v>-126.32</v>
      </c>
      <c r="K51" s="10">
        <v>-309.10000000000002</v>
      </c>
      <c r="L51" s="10">
        <v>-70.099999999999994</v>
      </c>
      <c r="M51" s="10">
        <v>-378.63</v>
      </c>
      <c r="N51" s="10">
        <v>-30.59</v>
      </c>
      <c r="O51" s="10">
        <v>-30.59</v>
      </c>
      <c r="P51" s="10">
        <v>-33.25</v>
      </c>
      <c r="Q51" s="10">
        <v>-33.25</v>
      </c>
      <c r="R51" s="10">
        <v>-25.62</v>
      </c>
      <c r="S51" s="10">
        <v>12.28</v>
      </c>
      <c r="T51" s="10">
        <v>12.28</v>
      </c>
      <c r="U51" s="10">
        <v>-925.5</v>
      </c>
      <c r="V51" s="10">
        <v>-33.25</v>
      </c>
      <c r="W51" s="10">
        <v>-876.8</v>
      </c>
      <c r="X51" s="10">
        <v>-33.25</v>
      </c>
      <c r="Y51" s="10">
        <v>-791.19</v>
      </c>
      <c r="Z51" s="10">
        <v>50.84</v>
      </c>
      <c r="AA51" s="10">
        <v>-154</v>
      </c>
      <c r="AB51" s="10">
        <v>-144.31</v>
      </c>
      <c r="AC51" s="10">
        <v>-116.89</v>
      </c>
      <c r="AD51" s="10">
        <v>-156.4</v>
      </c>
      <c r="AE51" s="10">
        <v>-53.82</v>
      </c>
      <c r="AF51" s="10">
        <v>-98.3</v>
      </c>
      <c r="AG51" s="10">
        <v>-1009.09</v>
      </c>
      <c r="AH51" s="10">
        <v>-98.3</v>
      </c>
      <c r="AI51" s="10">
        <v>-150.85</v>
      </c>
      <c r="AJ51" s="10">
        <v>-227.71</v>
      </c>
      <c r="AK51" s="10">
        <v>-443.31</v>
      </c>
      <c r="AL51" s="10">
        <v>301.32</v>
      </c>
      <c r="AM51" s="10">
        <v>88.98</v>
      </c>
      <c r="AN51" s="10">
        <v>-404.35</v>
      </c>
      <c r="AO51" s="10">
        <v>-487.87</v>
      </c>
      <c r="AP51" s="10">
        <v>-1435.56</v>
      </c>
      <c r="AQ51" s="10">
        <v>-163.28</v>
      </c>
      <c r="AR51" s="10">
        <f t="shared" si="10"/>
        <v>-10681.200000000003</v>
      </c>
    </row>
    <row r="52" spans="1:44" x14ac:dyDescent="0.2">
      <c r="A52" s="17" t="s">
        <v>94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-400</v>
      </c>
      <c r="AP52" s="10">
        <v>0</v>
      </c>
      <c r="AQ52" s="10">
        <v>0</v>
      </c>
      <c r="AR52" s="10">
        <f t="shared" si="10"/>
        <v>-400</v>
      </c>
    </row>
    <row r="53" spans="1:44" x14ac:dyDescent="0.2">
      <c r="A53" s="17" t="s">
        <v>95</v>
      </c>
      <c r="B53" s="10">
        <v>-945</v>
      </c>
      <c r="C53" s="10">
        <v>1715</v>
      </c>
      <c r="D53" s="10">
        <v>-1577.85</v>
      </c>
      <c r="E53" s="10">
        <v>-945</v>
      </c>
      <c r="F53" s="10">
        <v>-1889.84</v>
      </c>
      <c r="G53" s="10">
        <v>-720</v>
      </c>
      <c r="H53" s="10">
        <v>-765</v>
      </c>
      <c r="I53" s="10">
        <v>-1473.67</v>
      </c>
      <c r="J53" s="10">
        <v>-720</v>
      </c>
      <c r="K53" s="10">
        <v>-1890</v>
      </c>
      <c r="L53" s="10">
        <v>-810</v>
      </c>
      <c r="M53" s="10">
        <v>-1715</v>
      </c>
      <c r="N53" s="10">
        <v>-765</v>
      </c>
      <c r="O53" s="10">
        <v>-1876.99</v>
      </c>
      <c r="P53" s="10">
        <v>-2197.5</v>
      </c>
      <c r="Q53" s="10">
        <v>-540</v>
      </c>
      <c r="R53" s="10">
        <v>-1534.48</v>
      </c>
      <c r="S53" s="10">
        <v>-630</v>
      </c>
      <c r="T53" s="10">
        <v>-675</v>
      </c>
      <c r="U53" s="10">
        <v>-1855.55</v>
      </c>
      <c r="V53" s="10">
        <v>-540</v>
      </c>
      <c r="W53" s="10">
        <v>-540</v>
      </c>
      <c r="X53" s="10">
        <v>-9675</v>
      </c>
      <c r="Y53" s="10">
        <v>-900</v>
      </c>
      <c r="Z53" s="10">
        <v>-2879.16</v>
      </c>
      <c r="AA53" s="10">
        <v>-650</v>
      </c>
      <c r="AB53" s="10">
        <v>-2750</v>
      </c>
      <c r="AC53" s="10">
        <v>-1501</v>
      </c>
      <c r="AD53" s="10">
        <v>-1467.36</v>
      </c>
      <c r="AE53" s="10">
        <v>-750</v>
      </c>
      <c r="AF53" s="10">
        <v>-550</v>
      </c>
      <c r="AG53" s="10">
        <v>-600</v>
      </c>
      <c r="AH53" s="10">
        <v>-1573.46</v>
      </c>
      <c r="AI53" s="10">
        <v>-500</v>
      </c>
      <c r="AJ53" s="10">
        <v>-800</v>
      </c>
      <c r="AK53" s="10">
        <v>-650</v>
      </c>
      <c r="AL53" s="10">
        <v>-1100</v>
      </c>
      <c r="AM53" s="10">
        <v>-1515</v>
      </c>
      <c r="AN53" s="10">
        <v>-600</v>
      </c>
      <c r="AO53" s="10">
        <v>-650</v>
      </c>
      <c r="AP53" s="10">
        <v>-4341.1499999999996</v>
      </c>
      <c r="AQ53" s="10">
        <v>-1633.33</v>
      </c>
      <c r="AR53" s="10">
        <f t="shared" si="10"/>
        <v>-57976.34</v>
      </c>
    </row>
    <row r="54" spans="1:44" x14ac:dyDescent="0.2">
      <c r="A54" s="17" t="s">
        <v>96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-60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-10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f t="shared" si="10"/>
        <v>-70</v>
      </c>
    </row>
    <row r="55" spans="1:44" x14ac:dyDescent="0.2">
      <c r="A55" s="17" t="s">
        <v>97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-0.01</v>
      </c>
      <c r="AN55" s="10">
        <v>0</v>
      </c>
      <c r="AO55" s="10">
        <v>0</v>
      </c>
      <c r="AP55" s="10">
        <v>0</v>
      </c>
      <c r="AQ55" s="10">
        <v>0</v>
      </c>
      <c r="AR55" s="10">
        <f t="shared" si="10"/>
        <v>-0.01</v>
      </c>
    </row>
    <row r="56" spans="1:44" x14ac:dyDescent="0.2">
      <c r="A56" s="17" t="s">
        <v>98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1.39</v>
      </c>
      <c r="M56" s="10">
        <v>-1.39</v>
      </c>
      <c r="N56" s="10">
        <v>0</v>
      </c>
      <c r="O56" s="10">
        <v>0</v>
      </c>
      <c r="P56" s="10">
        <v>0</v>
      </c>
      <c r="Q56" s="10">
        <v>-45</v>
      </c>
      <c r="R56" s="10">
        <v>-1.1299999999999999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-75</v>
      </c>
      <c r="Y56" s="10">
        <v>0</v>
      </c>
      <c r="Z56" s="10">
        <v>-30</v>
      </c>
      <c r="AA56" s="10">
        <v>-32.86</v>
      </c>
      <c r="AB56" s="10">
        <v>0</v>
      </c>
      <c r="AC56" s="10">
        <v>0</v>
      </c>
      <c r="AD56" s="10">
        <v>0</v>
      </c>
      <c r="AE56" s="10">
        <v>-19.690000000000001</v>
      </c>
      <c r="AF56" s="10">
        <v>0</v>
      </c>
      <c r="AG56" s="10">
        <v>-50</v>
      </c>
      <c r="AH56" s="10">
        <v>0</v>
      </c>
      <c r="AI56" s="10">
        <v>0</v>
      </c>
      <c r="AJ56" s="10">
        <v>0</v>
      </c>
      <c r="AK56" s="10">
        <v>-50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f t="shared" si="10"/>
        <v>-303.68</v>
      </c>
    </row>
    <row r="57" spans="1:44" x14ac:dyDescent="0.2">
      <c r="A57" s="15" t="s">
        <v>99</v>
      </c>
      <c r="B57" s="14">
        <f t="shared" ref="B57:AR57" si="11">SUM(B39:B56)</f>
        <v>-4670.7299999999996</v>
      </c>
      <c r="C57" s="14">
        <f t="shared" si="11"/>
        <v>-4327.8200000000006</v>
      </c>
      <c r="D57" s="14">
        <f t="shared" si="11"/>
        <v>-2627.85</v>
      </c>
      <c r="E57" s="14">
        <f t="shared" si="11"/>
        <v>347.56999999999994</v>
      </c>
      <c r="F57" s="14">
        <f t="shared" si="11"/>
        <v>-2803.5299999999997</v>
      </c>
      <c r="G57" s="14">
        <f t="shared" si="11"/>
        <v>-3731.74</v>
      </c>
      <c r="H57" s="14">
        <f t="shared" si="11"/>
        <v>-1979.7</v>
      </c>
      <c r="I57" s="14">
        <f t="shared" si="11"/>
        <v>-3384.31</v>
      </c>
      <c r="J57" s="14">
        <f t="shared" si="11"/>
        <v>-3216.8700000000003</v>
      </c>
      <c r="K57" s="14">
        <f t="shared" si="11"/>
        <v>-3978.15</v>
      </c>
      <c r="L57" s="14">
        <f t="shared" si="11"/>
        <v>-2349.36</v>
      </c>
      <c r="M57" s="14">
        <f t="shared" si="11"/>
        <v>-30319.02</v>
      </c>
      <c r="N57" s="14">
        <f t="shared" si="11"/>
        <v>-919.64</v>
      </c>
      <c r="O57" s="14">
        <f t="shared" si="11"/>
        <v>-1907.58</v>
      </c>
      <c r="P57" s="14">
        <f t="shared" si="11"/>
        <v>-2230.75</v>
      </c>
      <c r="Q57" s="14">
        <f t="shared" si="11"/>
        <v>-618.25</v>
      </c>
      <c r="R57" s="14">
        <f t="shared" si="11"/>
        <v>-2227.7600000000002</v>
      </c>
      <c r="S57" s="14">
        <f t="shared" si="11"/>
        <v>-2593.52</v>
      </c>
      <c r="T57" s="14">
        <f t="shared" si="11"/>
        <v>-1157.3900000000001</v>
      </c>
      <c r="U57" s="14">
        <f t="shared" si="11"/>
        <v>-3031.39</v>
      </c>
      <c r="V57" s="14">
        <f t="shared" si="11"/>
        <v>-3669.0200000000004</v>
      </c>
      <c r="W57" s="14">
        <f t="shared" si="11"/>
        <v>-32170.149999999994</v>
      </c>
      <c r="X57" s="14">
        <f t="shared" si="11"/>
        <v>-10751</v>
      </c>
      <c r="Y57" s="14">
        <f t="shared" si="11"/>
        <v>-19371.709999999995</v>
      </c>
      <c r="Z57" s="14">
        <f t="shared" si="11"/>
        <v>-9311.0400000000009</v>
      </c>
      <c r="AA57" s="14">
        <f t="shared" si="11"/>
        <v>-4539.3499999999995</v>
      </c>
      <c r="AB57" s="14">
        <f t="shared" si="11"/>
        <v>-4013.1</v>
      </c>
      <c r="AC57" s="14">
        <f t="shared" si="11"/>
        <v>-3587.7000000000003</v>
      </c>
      <c r="AD57" s="14">
        <f t="shared" si="11"/>
        <v>-14275.23</v>
      </c>
      <c r="AE57" s="14">
        <f t="shared" si="11"/>
        <v>-4904.5199999999986</v>
      </c>
      <c r="AF57" s="14">
        <f t="shared" si="11"/>
        <v>-1542.81</v>
      </c>
      <c r="AG57" s="14">
        <f t="shared" si="11"/>
        <v>-11552</v>
      </c>
      <c r="AH57" s="14">
        <f t="shared" si="11"/>
        <v>-11410.670000000002</v>
      </c>
      <c r="AI57" s="14">
        <f t="shared" si="11"/>
        <v>-36085.829999999994</v>
      </c>
      <c r="AJ57" s="14">
        <f t="shared" si="11"/>
        <v>-24246.429999999993</v>
      </c>
      <c r="AK57" s="14">
        <f t="shared" si="11"/>
        <v>-3318.4</v>
      </c>
      <c r="AL57" s="14">
        <f t="shared" si="11"/>
        <v>-1997.48</v>
      </c>
      <c r="AM57" s="14">
        <f t="shared" si="11"/>
        <v>-10993.510000000002</v>
      </c>
      <c r="AN57" s="14">
        <f t="shared" si="11"/>
        <v>-15597.090000000002</v>
      </c>
      <c r="AO57" s="14">
        <f t="shared" si="11"/>
        <v>-12931.62</v>
      </c>
      <c r="AP57" s="14">
        <f t="shared" si="11"/>
        <v>-9474.3499999999985</v>
      </c>
      <c r="AQ57" s="14">
        <f t="shared" si="11"/>
        <v>-11037.480000000001</v>
      </c>
      <c r="AR57" s="14">
        <f t="shared" si="11"/>
        <v>-334508.28000000009</v>
      </c>
    </row>
    <row r="58" spans="1:44" x14ac:dyDescent="0.2">
      <c r="A58" s="16" t="s">
        <v>100</v>
      </c>
      <c r="B58" s="14">
        <f t="shared" ref="B58:AR58" si="12">B37+0+B57</f>
        <v>-42948.009999999995</v>
      </c>
      <c r="C58" s="14">
        <f t="shared" si="12"/>
        <v>-72140.78</v>
      </c>
      <c r="D58" s="14">
        <f t="shared" si="12"/>
        <v>-43958.19</v>
      </c>
      <c r="E58" s="14">
        <f t="shared" si="12"/>
        <v>-29070.93</v>
      </c>
      <c r="F58" s="14">
        <f t="shared" si="12"/>
        <v>-35639.729999999996</v>
      </c>
      <c r="G58" s="14">
        <f t="shared" si="12"/>
        <v>-36567.96</v>
      </c>
      <c r="H58" s="14">
        <f t="shared" si="12"/>
        <v>-34189.22</v>
      </c>
      <c r="I58" s="14">
        <f t="shared" si="12"/>
        <v>-55662.249999999993</v>
      </c>
      <c r="J58" s="14">
        <f t="shared" si="12"/>
        <v>-18785.22</v>
      </c>
      <c r="K58" s="14">
        <f t="shared" si="12"/>
        <v>-14150.56</v>
      </c>
      <c r="L58" s="14">
        <f t="shared" si="12"/>
        <v>-12746.640000000001</v>
      </c>
      <c r="M58" s="14">
        <f t="shared" si="12"/>
        <v>-41979.75</v>
      </c>
      <c r="N58" s="14">
        <f t="shared" si="12"/>
        <v>-11442.579999999998</v>
      </c>
      <c r="O58" s="14">
        <f t="shared" si="12"/>
        <v>-12313.55</v>
      </c>
      <c r="P58" s="14">
        <f t="shared" si="12"/>
        <v>-13495.96</v>
      </c>
      <c r="Q58" s="14">
        <f t="shared" si="12"/>
        <v>-11902.61</v>
      </c>
      <c r="R58" s="14">
        <f t="shared" si="12"/>
        <v>-13745.67</v>
      </c>
      <c r="S58" s="14">
        <f t="shared" si="12"/>
        <v>-14395.4</v>
      </c>
      <c r="T58" s="14">
        <f t="shared" si="12"/>
        <v>-14773.769999999999</v>
      </c>
      <c r="U58" s="14">
        <f t="shared" si="12"/>
        <v>-14820.06</v>
      </c>
      <c r="V58" s="14">
        <f t="shared" si="12"/>
        <v>-15457.69</v>
      </c>
      <c r="W58" s="14">
        <f t="shared" si="12"/>
        <v>-43958.81</v>
      </c>
      <c r="X58" s="14">
        <f t="shared" si="12"/>
        <v>-32304.400000000001</v>
      </c>
      <c r="Y58" s="14">
        <f t="shared" si="12"/>
        <v>-42507.349999999991</v>
      </c>
      <c r="Z58" s="14">
        <f t="shared" si="12"/>
        <v>-57904.560000000005</v>
      </c>
      <c r="AA58" s="14">
        <f t="shared" si="12"/>
        <v>-52877.43</v>
      </c>
      <c r="AB58" s="14">
        <f t="shared" si="12"/>
        <v>-48058.559999999998</v>
      </c>
      <c r="AC58" s="14">
        <f t="shared" si="12"/>
        <v>-52867.31</v>
      </c>
      <c r="AD58" s="14">
        <f t="shared" si="12"/>
        <v>-38713.79</v>
      </c>
      <c r="AE58" s="14">
        <f t="shared" si="12"/>
        <v>-45118.789999999994</v>
      </c>
      <c r="AF58" s="14">
        <f t="shared" si="12"/>
        <v>-41479.999999999993</v>
      </c>
      <c r="AG58" s="14">
        <f t="shared" si="12"/>
        <v>-51609.47</v>
      </c>
      <c r="AH58" s="14">
        <f t="shared" si="12"/>
        <v>-51468.14</v>
      </c>
      <c r="AI58" s="14">
        <f t="shared" si="12"/>
        <v>-76143.31</v>
      </c>
      <c r="AJ58" s="14">
        <f t="shared" si="12"/>
        <v>-73396.31</v>
      </c>
      <c r="AK58" s="14">
        <f t="shared" si="12"/>
        <v>-58876.39</v>
      </c>
      <c r="AL58" s="14">
        <f t="shared" si="12"/>
        <v>-53300.54</v>
      </c>
      <c r="AM58" s="14">
        <f t="shared" si="12"/>
        <v>-61834.36</v>
      </c>
      <c r="AN58" s="14">
        <f t="shared" si="12"/>
        <v>-78937.89</v>
      </c>
      <c r="AO58" s="14">
        <f t="shared" si="12"/>
        <v>-68604.14</v>
      </c>
      <c r="AP58" s="14">
        <f t="shared" si="12"/>
        <v>-71911.62</v>
      </c>
      <c r="AQ58" s="14">
        <f t="shared" si="12"/>
        <v>-74453.119999999995</v>
      </c>
      <c r="AR58" s="14">
        <f t="shared" si="12"/>
        <v>-1736512.8199999998</v>
      </c>
    </row>
    <row r="59" spans="1:44" x14ac:dyDescent="0.2">
      <c r="A59" s="18" t="s">
        <v>101</v>
      </c>
      <c r="B59" s="14">
        <f t="shared" ref="B59:AR59" si="13">B27+B58</f>
        <v>12283.240000000005</v>
      </c>
      <c r="C59" s="14">
        <f t="shared" si="13"/>
        <v>-30396.39</v>
      </c>
      <c r="D59" s="14">
        <f t="shared" si="13"/>
        <v>-13405.720000000001</v>
      </c>
      <c r="E59" s="14">
        <f t="shared" si="13"/>
        <v>-14139.68</v>
      </c>
      <c r="F59" s="14">
        <f t="shared" si="13"/>
        <v>-19420.979999999996</v>
      </c>
      <c r="G59" s="14">
        <f t="shared" si="13"/>
        <v>-23549.21</v>
      </c>
      <c r="H59" s="14">
        <f t="shared" si="13"/>
        <v>-10926.720000000001</v>
      </c>
      <c r="I59" s="14">
        <f t="shared" si="13"/>
        <v>-44037.249999999993</v>
      </c>
      <c r="J59" s="14">
        <f t="shared" si="13"/>
        <v>-8766.2200000000012</v>
      </c>
      <c r="K59" s="14">
        <f t="shared" si="13"/>
        <v>-10343.56</v>
      </c>
      <c r="L59" s="14">
        <f t="shared" si="13"/>
        <v>-8906.6400000000012</v>
      </c>
      <c r="M59" s="14">
        <f t="shared" si="13"/>
        <v>-30524.5</v>
      </c>
      <c r="N59" s="14">
        <f t="shared" si="13"/>
        <v>93704.3</v>
      </c>
      <c r="O59" s="14">
        <f t="shared" si="13"/>
        <v>129175.86</v>
      </c>
      <c r="P59" s="14">
        <f t="shared" si="13"/>
        <v>-44387.079999999994</v>
      </c>
      <c r="Q59" s="14">
        <f t="shared" si="13"/>
        <v>-69421.23</v>
      </c>
      <c r="R59" s="14">
        <f t="shared" si="13"/>
        <v>17335.839999999997</v>
      </c>
      <c r="S59" s="14">
        <f t="shared" si="13"/>
        <v>39575.119999999988</v>
      </c>
      <c r="T59" s="14">
        <f t="shared" si="13"/>
        <v>37128.620000000017</v>
      </c>
      <c r="U59" s="14">
        <f t="shared" si="13"/>
        <v>31914.58</v>
      </c>
      <c r="V59" s="14">
        <f t="shared" si="13"/>
        <v>22583.820000000007</v>
      </c>
      <c r="W59" s="14">
        <f t="shared" si="13"/>
        <v>-24466.160000000003</v>
      </c>
      <c r="X59" s="14">
        <f t="shared" si="13"/>
        <v>6541.1400000000067</v>
      </c>
      <c r="Y59" s="14">
        <f t="shared" si="13"/>
        <v>78055.14</v>
      </c>
      <c r="Z59" s="14">
        <f t="shared" si="13"/>
        <v>-22473.18</v>
      </c>
      <c r="AA59" s="14">
        <f t="shared" si="13"/>
        <v>-15997.479999999989</v>
      </c>
      <c r="AB59" s="14">
        <f t="shared" si="13"/>
        <v>15578.190000000002</v>
      </c>
      <c r="AC59" s="14">
        <f t="shared" si="13"/>
        <v>-7973.5400000000081</v>
      </c>
      <c r="AD59" s="14">
        <f t="shared" si="13"/>
        <v>37601.289999999986</v>
      </c>
      <c r="AE59" s="14">
        <f t="shared" si="13"/>
        <v>12223.009999999995</v>
      </c>
      <c r="AF59" s="14">
        <f t="shared" si="13"/>
        <v>153979.91</v>
      </c>
      <c r="AG59" s="14">
        <f t="shared" si="13"/>
        <v>-54436.110000000015</v>
      </c>
      <c r="AH59" s="14">
        <f t="shared" si="13"/>
        <v>17272.250000000015</v>
      </c>
      <c r="AI59" s="14">
        <f t="shared" si="13"/>
        <v>-24013.919999999984</v>
      </c>
      <c r="AJ59" s="14">
        <f t="shared" si="13"/>
        <v>-8454.5199999999895</v>
      </c>
      <c r="AK59" s="14">
        <f t="shared" si="13"/>
        <v>4550.1100000000006</v>
      </c>
      <c r="AL59" s="14">
        <f t="shared" si="13"/>
        <v>19567.810000000005</v>
      </c>
      <c r="AM59" s="14">
        <f t="shared" si="13"/>
        <v>-26819.569999999992</v>
      </c>
      <c r="AN59" s="14">
        <f t="shared" si="13"/>
        <v>80652.750000000015</v>
      </c>
      <c r="AO59" s="14">
        <f t="shared" si="13"/>
        <v>30369.199999999997</v>
      </c>
      <c r="AP59" s="14">
        <f t="shared" si="13"/>
        <v>63663.070000000007</v>
      </c>
      <c r="AQ59" s="14">
        <f t="shared" si="13"/>
        <v>70445.72</v>
      </c>
      <c r="AR59" s="14">
        <f t="shared" si="13"/>
        <v>461341.31000000052</v>
      </c>
    </row>
    <row r="60" spans="1:44" x14ac:dyDescent="0.2">
      <c r="A60" s="19" t="s">
        <v>102</v>
      </c>
      <c r="B60" s="14">
        <f t="shared" ref="B60:AR60" si="14">B59+0+0+0</f>
        <v>12283.240000000005</v>
      </c>
      <c r="C60" s="14">
        <f t="shared" si="14"/>
        <v>-30396.39</v>
      </c>
      <c r="D60" s="14">
        <f t="shared" si="14"/>
        <v>-13405.720000000001</v>
      </c>
      <c r="E60" s="14">
        <f t="shared" si="14"/>
        <v>-14139.68</v>
      </c>
      <c r="F60" s="14">
        <f t="shared" si="14"/>
        <v>-19420.979999999996</v>
      </c>
      <c r="G60" s="14">
        <f t="shared" si="14"/>
        <v>-23549.21</v>
      </c>
      <c r="H60" s="14">
        <f t="shared" si="14"/>
        <v>-10926.720000000001</v>
      </c>
      <c r="I60" s="14">
        <f t="shared" si="14"/>
        <v>-44037.249999999993</v>
      </c>
      <c r="J60" s="14">
        <f t="shared" si="14"/>
        <v>-8766.2200000000012</v>
      </c>
      <c r="K60" s="14">
        <f t="shared" si="14"/>
        <v>-10343.56</v>
      </c>
      <c r="L60" s="14">
        <f t="shared" si="14"/>
        <v>-8906.6400000000012</v>
      </c>
      <c r="M60" s="14">
        <f t="shared" si="14"/>
        <v>-30524.5</v>
      </c>
      <c r="N60" s="14">
        <f t="shared" si="14"/>
        <v>93704.3</v>
      </c>
      <c r="O60" s="14">
        <f t="shared" si="14"/>
        <v>129175.86</v>
      </c>
      <c r="P60" s="14">
        <f t="shared" si="14"/>
        <v>-44387.079999999994</v>
      </c>
      <c r="Q60" s="14">
        <f t="shared" si="14"/>
        <v>-69421.23</v>
      </c>
      <c r="R60" s="14">
        <f t="shared" si="14"/>
        <v>17335.839999999997</v>
      </c>
      <c r="S60" s="14">
        <f t="shared" si="14"/>
        <v>39575.119999999988</v>
      </c>
      <c r="T60" s="14">
        <f t="shared" si="14"/>
        <v>37128.620000000017</v>
      </c>
      <c r="U60" s="14">
        <f t="shared" si="14"/>
        <v>31914.58</v>
      </c>
      <c r="V60" s="14">
        <f t="shared" si="14"/>
        <v>22583.820000000007</v>
      </c>
      <c r="W60" s="14">
        <f t="shared" si="14"/>
        <v>-24466.160000000003</v>
      </c>
      <c r="X60" s="14">
        <f t="shared" si="14"/>
        <v>6541.1400000000067</v>
      </c>
      <c r="Y60" s="14">
        <f t="shared" si="14"/>
        <v>78055.14</v>
      </c>
      <c r="Z60" s="14">
        <f t="shared" si="14"/>
        <v>-22473.18</v>
      </c>
      <c r="AA60" s="14">
        <f t="shared" si="14"/>
        <v>-15997.479999999989</v>
      </c>
      <c r="AB60" s="14">
        <f t="shared" si="14"/>
        <v>15578.190000000002</v>
      </c>
      <c r="AC60" s="14">
        <f t="shared" si="14"/>
        <v>-7973.5400000000081</v>
      </c>
      <c r="AD60" s="14">
        <f t="shared" si="14"/>
        <v>37601.289999999986</v>
      </c>
      <c r="AE60" s="14">
        <f t="shared" si="14"/>
        <v>12223.009999999995</v>
      </c>
      <c r="AF60" s="14">
        <f t="shared" si="14"/>
        <v>153979.91</v>
      </c>
      <c r="AG60" s="14">
        <f t="shared" si="14"/>
        <v>-54436.110000000015</v>
      </c>
      <c r="AH60" s="14">
        <f t="shared" si="14"/>
        <v>17272.250000000015</v>
      </c>
      <c r="AI60" s="14">
        <f t="shared" si="14"/>
        <v>-24013.919999999984</v>
      </c>
      <c r="AJ60" s="14">
        <f t="shared" si="14"/>
        <v>-8454.5199999999895</v>
      </c>
      <c r="AK60" s="14">
        <f t="shared" si="14"/>
        <v>4550.1100000000006</v>
      </c>
      <c r="AL60" s="14">
        <f t="shared" si="14"/>
        <v>19567.810000000005</v>
      </c>
      <c r="AM60" s="14">
        <f t="shared" si="14"/>
        <v>-26819.569999999992</v>
      </c>
      <c r="AN60" s="14">
        <f t="shared" si="14"/>
        <v>80652.750000000015</v>
      </c>
      <c r="AO60" s="14">
        <f t="shared" si="14"/>
        <v>30369.199999999997</v>
      </c>
      <c r="AP60" s="14">
        <f t="shared" si="14"/>
        <v>63663.070000000007</v>
      </c>
      <c r="AQ60" s="14">
        <f t="shared" si="14"/>
        <v>70445.72</v>
      </c>
      <c r="AR60" s="14">
        <f t="shared" si="14"/>
        <v>461341.31000000052</v>
      </c>
    </row>
  </sheetData>
  <mergeCells count="3">
    <mergeCell ref="A1:AR1"/>
    <mergeCell ref="A2:AR2"/>
    <mergeCell ref="A3:AR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PGPLbyEntityandMonthQuart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Michael Mohl</cp:lastModifiedBy>
  <dcterms:created xsi:type="dcterms:W3CDTF">2023-08-08T18:12:29Z</dcterms:created>
  <dcterms:modified xsi:type="dcterms:W3CDTF">2023-08-08T18:14:04Z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