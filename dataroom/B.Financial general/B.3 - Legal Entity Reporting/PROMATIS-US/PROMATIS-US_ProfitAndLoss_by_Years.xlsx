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US\"/>
    </mc:Choice>
  </mc:AlternateContent>
  <xr:revisionPtr revIDLastSave="0" documentId="13_ncr:40009_{A33DB277-2CA2-43BE-8AA7-DC1F0650A9BE}" xr6:coauthVersionLast="47" xr6:coauthVersionMax="47" xr10:uidLastSave="{00000000-0000-0000-0000-000000000000}"/>
  <bookViews>
    <workbookView xWindow="-1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D57" i="1"/>
  <c r="C57" i="1"/>
  <c r="B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B37" i="1"/>
  <c r="B58" i="1" s="1"/>
  <c r="E36" i="1"/>
  <c r="D36" i="1"/>
  <c r="C36" i="1"/>
  <c r="B36" i="1"/>
  <c r="F35" i="1"/>
  <c r="F36" i="1" s="1"/>
  <c r="E33" i="1"/>
  <c r="D33" i="1"/>
  <c r="D37" i="1" s="1"/>
  <c r="D58" i="1" s="1"/>
  <c r="C33" i="1"/>
  <c r="C37" i="1" s="1"/>
  <c r="C58" i="1" s="1"/>
  <c r="B33" i="1"/>
  <c r="F32" i="1"/>
  <c r="F33" i="1" s="1"/>
  <c r="F31" i="1"/>
  <c r="E25" i="1"/>
  <c r="D25" i="1"/>
  <c r="C25" i="1"/>
  <c r="B25" i="1"/>
  <c r="F24" i="1"/>
  <c r="F25" i="1" s="1"/>
  <c r="E22" i="1"/>
  <c r="D22" i="1"/>
  <c r="C22" i="1"/>
  <c r="B22" i="1"/>
  <c r="B26" i="1" s="1"/>
  <c r="F21" i="1"/>
  <c r="F22" i="1" s="1"/>
  <c r="E17" i="1"/>
  <c r="D17" i="1"/>
  <c r="C17" i="1"/>
  <c r="B17" i="1"/>
  <c r="F16" i="1"/>
  <c r="F17" i="1" s="1"/>
  <c r="E14" i="1"/>
  <c r="D14" i="1"/>
  <c r="D18" i="1" s="1"/>
  <c r="C14" i="1"/>
  <c r="C18" i="1" s="1"/>
  <c r="B14" i="1"/>
  <c r="B18" i="1" s="1"/>
  <c r="F13" i="1"/>
  <c r="F12" i="1"/>
  <c r="F11" i="1"/>
  <c r="E37" i="1" l="1"/>
  <c r="E58" i="1" s="1"/>
  <c r="C26" i="1"/>
  <c r="C27" i="1"/>
  <c r="F26" i="1"/>
  <c r="F14" i="1"/>
  <c r="F18" i="1" s="1"/>
  <c r="D26" i="1"/>
  <c r="B27" i="1"/>
  <c r="B59" i="1" s="1"/>
  <c r="B60" i="1" s="1"/>
  <c r="D27" i="1"/>
  <c r="D59" i="1" s="1"/>
  <c r="D60" i="1" s="1"/>
  <c r="E26" i="1"/>
  <c r="E18" i="1"/>
  <c r="F57" i="1"/>
  <c r="F37" i="1"/>
  <c r="F58" i="1" s="1"/>
  <c r="C59" i="1"/>
  <c r="C60" i="1" s="1"/>
  <c r="F27" i="1"/>
  <c r="F59" i="1" s="1"/>
  <c r="F60" i="1" s="1"/>
  <c r="E27" i="1" l="1"/>
  <c r="E59" i="1" s="1"/>
  <c r="E60" i="1" s="1"/>
</calcChain>
</file>

<file path=xl/sharedStrings.xml><?xml version="1.0" encoding="utf-8"?>
<sst xmlns="http://schemas.openxmlformats.org/spreadsheetml/2006/main" count="70" uniqueCount="65">
  <si>
    <t>Firma : PROMATIS Corp.</t>
  </si>
  <si>
    <t>PG P+L by Entity and Month/Quarter/Year</t>
  </si>
  <si>
    <t>From Jan 2020 to Dez 2023</t>
  </si>
  <si>
    <t> </t>
  </si>
  <si>
    <t>FY 2020</t>
  </si>
  <si>
    <t>FY 2021</t>
  </si>
  <si>
    <t>FY 2022</t>
  </si>
  <si>
    <t>FY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</si>
  <si>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</si>
  <si>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</si>
  <si>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</si>
  <si>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</si>
  <si>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</si>
  <si>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</si>
  <si>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</si>
  <si>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440000 - Revenue Services- standard VAT</t>
  </si>
  <si>
    <t>440010 - Revenue Goods - standard VAT</t>
  </si>
  <si>
    <t>474000 - Volume discounts granted</t>
  </si>
  <si>
    <t>Total Revenue</t>
  </si>
  <si>
    <t>4. Other operating income</t>
  </si>
  <si>
    <t>483000 - Other operating income</t>
  </si>
  <si>
    <t>Total Other operating income</t>
  </si>
  <si>
    <t>Total Operating income</t>
  </si>
  <si>
    <t>5. Cost of materials</t>
  </si>
  <si>
    <t>a) Cost of raw materials, consum, supplies and purchased merch.</t>
  </si>
  <si>
    <t>520000 - Cost of merchandise</t>
  </si>
  <si>
    <t>Total Cost of raw materials, consum, supplies and purchased merch.</t>
  </si>
  <si>
    <t>b) Cost of purchased services</t>
  </si>
  <si>
    <t>590000 - Purchased services standard input tax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</si>
  <si>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</si>
  <si>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</si>
  <si>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</si>
  <si>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</si>
  <si>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</si>
  <si>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a) Wages and salaries</t>
  </si>
  <si>
    <t>602000 - Salaries</t>
  </si>
  <si>
    <t>603900 - Flat-rate taxes for employees</t>
  </si>
  <si>
    <t>Total Wages and salaries</t>
  </si>
  <si>
    <t>b) Social security, post-employ, and other employee benft costs</t>
  </si>
  <si>
    <t>611000 - Statutory social security expenses</t>
  </si>
  <si>
    <t>Total Social security, post-employ, and other employee benft costs</t>
  </si>
  <si>
    <t>Total Personnel expenses</t>
  </si>
  <si>
    <t>8. Other operating expenses</t>
  </si>
  <si>
    <t>631000 - Rent (immovable property)</t>
  </si>
  <si>
    <t>640000 - Insurance premiums</t>
  </si>
  <si>
    <t>642000 - Contributions</t>
  </si>
  <si>
    <t>649000 - Other repairs and maintenance</t>
  </si>
  <si>
    <t>656000 - Operating leases (motor vehicles)</t>
  </si>
  <si>
    <t>660000 - Advertising costs</t>
  </si>
  <si>
    <t>664400 - Non-deductible entertainment expenses</t>
  </si>
  <si>
    <t>665200 - Employee travel expenses, standard tax</t>
  </si>
  <si>
    <t>666200 - Employee travel expenses, accommodation costs std input tax</t>
  </si>
  <si>
    <t>666400 - Employee travel expenses, additional subsistence costs</t>
  </si>
  <si>
    <t>678000 - Third-party services (distribution)</t>
  </si>
  <si>
    <t>680500 - Telephone</t>
  </si>
  <si>
    <t>681500 - Office supplies</t>
  </si>
  <si>
    <t>682100 - Training costs</t>
  </si>
  <si>
    <t>682500 - Legal and consulting costs</t>
  </si>
  <si>
    <t>683600 - Leases (movable assets)</t>
  </si>
  <si>
    <t>685000 - Other operating supplies</t>
  </si>
  <si>
    <t>685500 - Incidental monetary transaction costs</t>
  </si>
  <si>
    <t>Total Other operating expenses</t>
  </si>
  <si>
    <t>Total Operating expenses (except cost of materials)</t>
  </si>
  <si>
    <t>Total EBIT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</si>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</sst>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1" fillId="0" borderId="11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zoomScale="145" zoomScaleNormal="145" workbookViewId="0">
      <selection activeCell="A4" sqref="A4:XFD4"/>
    </sheetView>
  </sheetViews>
  <sheetFormatPr baseColWidth="10" defaultRowHeight="11.25" x14ac:dyDescent="0.2"/>
  <cols>
    <col min="1" max="1" width="72.5" bestFit="1" customWidth="1"/>
    <col min="2" max="2" width="11.83203125" bestFit="1" customWidth="1"/>
    <col min="3" max="4" width="13.33203125" bestFit="1" customWidth="1"/>
    <col min="5" max="5" width="12.6640625" bestFit="1" customWidth="1"/>
    <col min="6" max="6" width="13.33203125" bestFit="1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ht="18" x14ac:dyDescent="0.25">
      <c r="A2" s="2" t="s">
        <v>1</v>
      </c>
      <c r="B2" s="2"/>
      <c r="C2" s="2"/>
      <c r="D2" s="2"/>
      <c r="E2" s="2"/>
      <c r="F2" s="2"/>
    </row>
    <row r="3" spans="1:6" ht="18" x14ac:dyDescent="0.25">
      <c r="A3" s="2" t="s">
        <v>2</v>
      </c>
      <c r="B3" s="2"/>
      <c r="C3" s="2"/>
      <c r="D3" s="2"/>
      <c r="E3" s="2"/>
      <c r="F3" s="2"/>
    </row>
    <row r="4" spans="1:6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">
      <c r="A5" s="3" t="s">
        <v>3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</row>
    <row r="6" spans="1:6" x14ac:dyDescent="0.2">
      <c r="A6" s="5" t="s">
        <v>10</v>
      </c>
      <c r="B6" s="6"/>
      <c r="C6" s="6"/>
      <c r="D6" s="6"/>
      <c r="E6" s="6"/>
      <c r="F6" s="6"/>
    </row>
    <row r="7" spans="1:6" x14ac:dyDescent="0.2">
      <c r="A7" s="7" t="s">
        <v>11</v>
      </c>
      <c r="B7" s="6"/>
      <c r="C7" s="6"/>
      <c r="D7" s="6"/>
      <c r="E7" s="6"/>
      <c r="F7" s="6"/>
    </row>
    <row r="8" spans="1:6" x14ac:dyDescent="0.2">
      <c r="A8" s="8" t="s">
        <v>12</v>
      </c>
      <c r="B8" s="6"/>
      <c r="C8" s="6"/>
      <c r="D8" s="6"/>
      <c r="E8" s="6"/>
      <c r="F8" s="6"/>
    </row>
    <row r="9" spans="1:6" x14ac:dyDescent="0.2">
      <c r="A9" s="9" t="s">
        <v>13</v>
      </c>
      <c r="B9" s="6"/>
      <c r="C9" s="6"/>
      <c r="D9" s="6"/>
      <c r="E9" s="6"/>
      <c r="F9" s="6"/>
    </row>
    <row r="10" spans="1:6" x14ac:dyDescent="0.2">
      <c r="A10" s="10" t="s">
        <v>14</v>
      </c>
      <c r="B10" s="6">
        <v>235705.61</v>
      </c>
      <c r="C10" s="6">
        <v>1687783.06</v>
      </c>
      <c r="D10" s="6">
        <v>2040279.0699999998</v>
      </c>
      <c r="E10" s="6">
        <v>1190034.6499999999</v>
      </c>
      <c r="F10" s="6">
        <v>5153802.3899999997</v>
      </c>
    </row>
    <row r="11" spans="1:6" hidden="1" x14ac:dyDescent="0.2">
      <c r="A11" s="11" t="s">
        <v>15</v>
      </c>
      <c r="B11" s="12">
        <v>5000</v>
      </c>
      <c r="C11" s="12">
        <v>46480</v>
      </c>
      <c r="D11" s="12">
        <v>36142.400000000001</v>
      </c>
      <c r="E11" s="12">
        <v>71550</v>
      </c>
      <c r="F11" s="12">
        <f>SUM(B11:E11)</f>
        <v>159172.4</v>
      </c>
    </row>
    <row r="12" spans="1:6" hidden="1" x14ac:dyDescent="0.2">
      <c r="A12" s="11" t="s">
        <v>16</v>
      </c>
      <c r="B12" s="12">
        <v>230915.61</v>
      </c>
      <c r="C12" s="12">
        <v>1641303.06</v>
      </c>
      <c r="D12" s="12">
        <v>2004136.67</v>
      </c>
      <c r="E12" s="12">
        <v>1118484.6499999999</v>
      </c>
      <c r="F12" s="12">
        <f>SUM(B12:E12)</f>
        <v>4994839.99</v>
      </c>
    </row>
    <row r="13" spans="1:6" hidden="1" x14ac:dyDescent="0.2">
      <c r="A13" s="11" t="s">
        <v>17</v>
      </c>
      <c r="B13" s="12">
        <v>-210</v>
      </c>
      <c r="C13" s="12">
        <v>0</v>
      </c>
      <c r="D13" s="12">
        <v>0</v>
      </c>
      <c r="E13" s="12">
        <v>0</v>
      </c>
      <c r="F13" s="12">
        <f>SUM(B13:E13)</f>
        <v>-210</v>
      </c>
    </row>
    <row r="14" spans="1:6" hidden="1" x14ac:dyDescent="0.2">
      <c r="A14" s="13" t="s">
        <v>18</v>
      </c>
      <c r="B14" s="14">
        <f>SUM(B11:B13)</f>
        <v>235705.61</v>
      </c>
      <c r="C14" s="14">
        <f>SUM(C11:C13)</f>
        <v>1687783.06</v>
      </c>
      <c r="D14" s="14">
        <f>SUM(D11:D13)</f>
        <v>2040279.0699999998</v>
      </c>
      <c r="E14" s="14">
        <f>SUM(E11:E13)</f>
        <v>1190034.6499999999</v>
      </c>
      <c r="F14" s="14">
        <f>SUM(F11:F13)</f>
        <v>5153802.3900000006</v>
      </c>
    </row>
    <row r="15" spans="1:6" x14ac:dyDescent="0.2">
      <c r="A15" s="10" t="s">
        <v>19</v>
      </c>
      <c r="B15" s="6">
        <v>0</v>
      </c>
      <c r="C15" s="6">
        <v>88404.72</v>
      </c>
      <c r="D15" s="6">
        <v>0</v>
      </c>
      <c r="E15" s="6">
        <v>0</v>
      </c>
      <c r="F15" s="6">
        <v>88404.72</v>
      </c>
    </row>
    <row r="16" spans="1:6" hidden="1" x14ac:dyDescent="0.2">
      <c r="A16" s="11" t="s">
        <v>20</v>
      </c>
      <c r="B16" s="12">
        <v>0</v>
      </c>
      <c r="C16" s="12">
        <v>88404.72</v>
      </c>
      <c r="D16" s="12">
        <v>0</v>
      </c>
      <c r="E16" s="12">
        <v>0</v>
      </c>
      <c r="F16" s="12">
        <f>SUM(B16:E16)</f>
        <v>88404.72</v>
      </c>
    </row>
    <row r="17" spans="1:6" hidden="1" x14ac:dyDescent="0.2">
      <c r="A17" s="15" t="s">
        <v>21</v>
      </c>
      <c r="B17" s="16">
        <f>SUM(B16)</f>
        <v>0</v>
      </c>
      <c r="C17" s="16">
        <f>SUM(C16)</f>
        <v>88404.72</v>
      </c>
      <c r="D17" s="16">
        <f>SUM(D16)</f>
        <v>0</v>
      </c>
      <c r="E17" s="16">
        <f>SUM(E16)</f>
        <v>0</v>
      </c>
      <c r="F17" s="16">
        <f>SUM(F16)</f>
        <v>88404.72</v>
      </c>
    </row>
    <row r="18" spans="1:6" x14ac:dyDescent="0.2">
      <c r="A18" s="17" t="s">
        <v>22</v>
      </c>
      <c r="B18" s="16">
        <f>B14+0+0+B17</f>
        <v>235705.61</v>
      </c>
      <c r="C18" s="16">
        <f>C14+0+0+C17</f>
        <v>1776187.78</v>
      </c>
      <c r="D18" s="16">
        <f>D14+0+0+D17</f>
        <v>2040279.0699999998</v>
      </c>
      <c r="E18" s="16">
        <f>E14+0+0+E17</f>
        <v>1190034.6499999999</v>
      </c>
      <c r="F18" s="16">
        <f>F14+0+0+F17</f>
        <v>5242207.1100000003</v>
      </c>
    </row>
    <row r="19" spans="1:6" x14ac:dyDescent="0.2">
      <c r="A19" s="9" t="s">
        <v>23</v>
      </c>
      <c r="B19" s="6"/>
      <c r="C19" s="6"/>
      <c r="D19" s="6"/>
      <c r="E19" s="6"/>
      <c r="F19" s="6"/>
    </row>
    <row r="20" spans="1:6" x14ac:dyDescent="0.2">
      <c r="A20" s="10" t="s">
        <v>24</v>
      </c>
      <c r="B20" s="6">
        <v>0</v>
      </c>
      <c r="C20" s="6">
        <v>-17400</v>
      </c>
      <c r="D20" s="6">
        <v>-17400</v>
      </c>
      <c r="E20" s="6">
        <v>-32606</v>
      </c>
      <c r="F20" s="6">
        <v>-67406</v>
      </c>
    </row>
    <row r="21" spans="1:6" hidden="1" x14ac:dyDescent="0.2">
      <c r="A21" s="11" t="s">
        <v>25</v>
      </c>
      <c r="B21" s="12">
        <v>0</v>
      </c>
      <c r="C21" s="12">
        <v>-17400</v>
      </c>
      <c r="D21" s="12">
        <v>-17400</v>
      </c>
      <c r="E21" s="12">
        <v>-32606</v>
      </c>
      <c r="F21" s="12">
        <f>SUM(B21:E21)</f>
        <v>-67406</v>
      </c>
    </row>
    <row r="22" spans="1:6" hidden="1" x14ac:dyDescent="0.2">
      <c r="A22" s="13" t="s">
        <v>26</v>
      </c>
      <c r="B22" s="14">
        <f>SUM(B21)</f>
        <v>0</v>
      </c>
      <c r="C22" s="14">
        <f>SUM(C21)</f>
        <v>-17400</v>
      </c>
      <c r="D22" s="14">
        <f>SUM(D21)</f>
        <v>-17400</v>
      </c>
      <c r="E22" s="14">
        <f>SUM(E21)</f>
        <v>-32606</v>
      </c>
      <c r="F22" s="14">
        <f>SUM(F21)</f>
        <v>-67406</v>
      </c>
    </row>
    <row r="23" spans="1:6" x14ac:dyDescent="0.2">
      <c r="A23" s="10" t="s">
        <v>27</v>
      </c>
      <c r="B23" s="6">
        <v>0</v>
      </c>
      <c r="C23" s="6">
        <v>-1199929.98</v>
      </c>
      <c r="D23" s="6">
        <v>-1266509</v>
      </c>
      <c r="E23" s="6">
        <v>-510508</v>
      </c>
      <c r="F23" s="6">
        <v>-2976946.98</v>
      </c>
    </row>
    <row r="24" spans="1:6" hidden="1" x14ac:dyDescent="0.2">
      <c r="A24" s="11" t="s">
        <v>28</v>
      </c>
      <c r="B24" s="12">
        <v>0</v>
      </c>
      <c r="C24" s="12">
        <v>-1199929.98</v>
      </c>
      <c r="D24" s="12">
        <v>-1266509</v>
      </c>
      <c r="E24" s="12">
        <v>-510508</v>
      </c>
      <c r="F24" s="12">
        <f>SUM(B24:E24)</f>
        <v>-2976946.98</v>
      </c>
    </row>
    <row r="25" spans="1:6" hidden="1" x14ac:dyDescent="0.2">
      <c r="A25" s="15" t="s">
        <v>29</v>
      </c>
      <c r="B25" s="16">
        <f>SUM(B24)</f>
        <v>0</v>
      </c>
      <c r="C25" s="16">
        <f>SUM(C24)</f>
        <v>-1199929.98</v>
      </c>
      <c r="D25" s="16">
        <f>SUM(D24)</f>
        <v>-1266509</v>
      </c>
      <c r="E25" s="16">
        <f>SUM(E24)</f>
        <v>-510508</v>
      </c>
      <c r="F25" s="16">
        <f>SUM(F24)</f>
        <v>-2976946.98</v>
      </c>
    </row>
    <row r="26" spans="1:6" x14ac:dyDescent="0.2">
      <c r="A26" s="17" t="s">
        <v>30</v>
      </c>
      <c r="B26" s="16">
        <f>B22+B25</f>
        <v>0</v>
      </c>
      <c r="C26" s="16">
        <f>C22+C25</f>
        <v>-1217329.98</v>
      </c>
      <c r="D26" s="16">
        <f>D22+D25</f>
        <v>-1283909</v>
      </c>
      <c r="E26" s="16">
        <f>E22+E25</f>
        <v>-543114</v>
      </c>
      <c r="F26" s="16">
        <f>F22+F25</f>
        <v>-3044352.98</v>
      </c>
    </row>
    <row r="27" spans="1:6" x14ac:dyDescent="0.2">
      <c r="A27" s="18" t="s">
        <v>31</v>
      </c>
      <c r="B27" s="16">
        <f>B18+B26</f>
        <v>235705.61</v>
      </c>
      <c r="C27" s="16">
        <f>C18+C26</f>
        <v>558857.80000000005</v>
      </c>
      <c r="D27" s="16">
        <f>D18+D26</f>
        <v>756370.06999999983</v>
      </c>
      <c r="E27" s="16">
        <f>E18+E26</f>
        <v>646920.64999999991</v>
      </c>
      <c r="F27" s="16">
        <f>F18+F26</f>
        <v>2197854.1300000004</v>
      </c>
    </row>
    <row r="28" spans="1:6" x14ac:dyDescent="0.2">
      <c r="A28" s="8" t="s">
        <v>32</v>
      </c>
      <c r="B28" s="6"/>
      <c r="C28" s="6"/>
      <c r="D28" s="6"/>
      <c r="E28" s="6"/>
      <c r="F28" s="6"/>
    </row>
    <row r="29" spans="1:6" x14ac:dyDescent="0.2">
      <c r="A29" s="9" t="s">
        <v>33</v>
      </c>
      <c r="B29" s="6"/>
      <c r="C29" s="6"/>
      <c r="D29" s="6"/>
      <c r="E29" s="6"/>
      <c r="F29" s="6"/>
    </row>
    <row r="30" spans="1:6" x14ac:dyDescent="0.2">
      <c r="A30" s="10" t="s">
        <v>34</v>
      </c>
      <c r="B30" s="6">
        <v>-326970.02</v>
      </c>
      <c r="C30" s="6">
        <v>-156166.13</v>
      </c>
      <c r="D30" s="6">
        <v>-479192.66</v>
      </c>
      <c r="E30" s="6">
        <v>-322345.03999999998</v>
      </c>
      <c r="F30" s="6">
        <v>-1284673.8500000001</v>
      </c>
    </row>
    <row r="31" spans="1:6" hidden="1" x14ac:dyDescent="0.2">
      <c r="A31" s="11" t="s">
        <v>35</v>
      </c>
      <c r="B31" s="12">
        <v>-326970.02</v>
      </c>
      <c r="C31" s="12">
        <v>-154367.34</v>
      </c>
      <c r="D31" s="12">
        <v>-480800.06</v>
      </c>
      <c r="E31" s="12">
        <v>-322345.03999999998</v>
      </c>
      <c r="F31" s="12">
        <f>SUM(B31:E31)</f>
        <v>-1284482.46</v>
      </c>
    </row>
    <row r="32" spans="1:6" hidden="1" x14ac:dyDescent="0.2">
      <c r="A32" s="11" t="s">
        <v>36</v>
      </c>
      <c r="B32" s="12">
        <v>0</v>
      </c>
      <c r="C32" s="12">
        <v>-1798.79</v>
      </c>
      <c r="D32" s="12">
        <v>1607.4</v>
      </c>
      <c r="E32" s="12">
        <v>0</v>
      </c>
      <c r="F32" s="12">
        <f>SUM(B32:E32)</f>
        <v>-191.38999999999987</v>
      </c>
    </row>
    <row r="33" spans="1:6" hidden="1" x14ac:dyDescent="0.2">
      <c r="A33" s="15" t="s">
        <v>37</v>
      </c>
      <c r="B33" s="16">
        <f>SUM(B31:B32)</f>
        <v>-326970.02</v>
      </c>
      <c r="C33" s="16">
        <f>SUM(C31:C32)</f>
        <v>-156166.13</v>
      </c>
      <c r="D33" s="16">
        <f>SUM(D31:D32)</f>
        <v>-479192.66</v>
      </c>
      <c r="E33" s="16">
        <f>SUM(E31:E32)</f>
        <v>-322345.03999999998</v>
      </c>
      <c r="F33" s="16">
        <f>SUM(F31:F32)</f>
        <v>-1284673.8499999999</v>
      </c>
    </row>
    <row r="34" spans="1:6" x14ac:dyDescent="0.2">
      <c r="A34" s="10" t="s">
        <v>38</v>
      </c>
      <c r="B34" s="6">
        <v>-47827.71</v>
      </c>
      <c r="C34" s="6">
        <v>-4303.5600000000004</v>
      </c>
      <c r="D34" s="6">
        <v>-40534.32</v>
      </c>
      <c r="E34" s="6">
        <v>-24665.1</v>
      </c>
      <c r="F34" s="6">
        <v>-117330.69</v>
      </c>
    </row>
    <row r="35" spans="1:6" hidden="1" x14ac:dyDescent="0.2">
      <c r="A35" s="11" t="s">
        <v>39</v>
      </c>
      <c r="B35" s="12">
        <v>-47827.71</v>
      </c>
      <c r="C35" s="12">
        <v>-4303.5600000000004</v>
      </c>
      <c r="D35" s="12">
        <v>-40534.32</v>
      </c>
      <c r="E35" s="12">
        <v>-24665.1</v>
      </c>
      <c r="F35" s="12">
        <f>SUM(B35:E35)</f>
        <v>-117330.69</v>
      </c>
    </row>
    <row r="36" spans="1:6" hidden="1" x14ac:dyDescent="0.2">
      <c r="A36" s="15" t="s">
        <v>40</v>
      </c>
      <c r="B36" s="16">
        <f>SUM(B35)</f>
        <v>-47827.71</v>
      </c>
      <c r="C36" s="16">
        <f>SUM(C35)</f>
        <v>-4303.5600000000004</v>
      </c>
      <c r="D36" s="16">
        <f>SUM(D35)</f>
        <v>-40534.32</v>
      </c>
      <c r="E36" s="16">
        <f>SUM(E35)</f>
        <v>-24665.1</v>
      </c>
      <c r="F36" s="16">
        <f>SUM(F35)</f>
        <v>-117330.69</v>
      </c>
    </row>
    <row r="37" spans="1:6" x14ac:dyDescent="0.2">
      <c r="A37" s="17" t="s">
        <v>41</v>
      </c>
      <c r="B37" s="16">
        <f>B33+B36</f>
        <v>-374797.73000000004</v>
      </c>
      <c r="C37" s="16">
        <f>C33+C36</f>
        <v>-160469.69</v>
      </c>
      <c r="D37" s="16">
        <f>D33+D36</f>
        <v>-519726.98</v>
      </c>
      <c r="E37" s="16">
        <f>E33+E36</f>
        <v>-347010.13999999996</v>
      </c>
      <c r="F37" s="16">
        <f>F33+F36</f>
        <v>-1402004.5399999998</v>
      </c>
    </row>
    <row r="38" spans="1:6" x14ac:dyDescent="0.2">
      <c r="A38" s="9" t="s">
        <v>42</v>
      </c>
      <c r="B38" s="6">
        <v>-63041.51</v>
      </c>
      <c r="C38" s="6">
        <v>-80648.160000000003</v>
      </c>
      <c r="D38" s="6">
        <v>-128787.08</v>
      </c>
      <c r="E38" s="6">
        <v>-62031.530000000006</v>
      </c>
      <c r="F38" s="6">
        <v>-334508.28000000003</v>
      </c>
    </row>
    <row r="39" spans="1:6" hidden="1" x14ac:dyDescent="0.2">
      <c r="A39" s="19" t="s">
        <v>43</v>
      </c>
      <c r="B39" s="12">
        <v>-28224</v>
      </c>
      <c r="C39" s="12">
        <v>-43954</v>
      </c>
      <c r="D39" s="12">
        <v>-39250</v>
      </c>
      <c r="E39" s="12">
        <v>-13848</v>
      </c>
      <c r="F39" s="12">
        <f t="shared" ref="F39:F56" si="0">SUM(B39:E39)</f>
        <v>-125276</v>
      </c>
    </row>
    <row r="40" spans="1:6" hidden="1" x14ac:dyDescent="0.2">
      <c r="A40" s="19" t="s">
        <v>44</v>
      </c>
      <c r="B40" s="12">
        <v>-10609.9</v>
      </c>
      <c r="C40" s="12">
        <v>-1081.47</v>
      </c>
      <c r="D40" s="12">
        <v>-7478</v>
      </c>
      <c r="E40" s="12">
        <v>-7306</v>
      </c>
      <c r="F40" s="12">
        <f t="shared" si="0"/>
        <v>-26475.37</v>
      </c>
    </row>
    <row r="41" spans="1:6" hidden="1" x14ac:dyDescent="0.2">
      <c r="A41" s="19" t="s">
        <v>45</v>
      </c>
      <c r="B41" s="12">
        <v>-721.1</v>
      </c>
      <c r="C41" s="12">
        <v>-615</v>
      </c>
      <c r="D41" s="12">
        <v>-715</v>
      </c>
      <c r="E41" s="12">
        <v>-515</v>
      </c>
      <c r="F41" s="12">
        <f t="shared" si="0"/>
        <v>-2566.1</v>
      </c>
    </row>
    <row r="42" spans="1:6" hidden="1" x14ac:dyDescent="0.2">
      <c r="A42" s="19" t="s">
        <v>46</v>
      </c>
      <c r="B42" s="12">
        <v>0</v>
      </c>
      <c r="C42" s="12">
        <v>-446</v>
      </c>
      <c r="D42" s="12">
        <v>-4082.12</v>
      </c>
      <c r="E42" s="12">
        <v>0</v>
      </c>
      <c r="F42" s="12">
        <f t="shared" si="0"/>
        <v>-4528.12</v>
      </c>
    </row>
    <row r="43" spans="1:6" hidden="1" x14ac:dyDescent="0.2">
      <c r="A43" s="19" t="s">
        <v>47</v>
      </c>
      <c r="B43" s="12">
        <v>-738.01</v>
      </c>
      <c r="C43" s="12">
        <v>0</v>
      </c>
      <c r="D43" s="12">
        <v>-132.68</v>
      </c>
      <c r="E43" s="12">
        <v>-69.099999999999994</v>
      </c>
      <c r="F43" s="12">
        <f t="shared" si="0"/>
        <v>-939.79000000000008</v>
      </c>
    </row>
    <row r="44" spans="1:6" hidden="1" x14ac:dyDescent="0.2">
      <c r="A44" s="19" t="s">
        <v>48</v>
      </c>
      <c r="B44" s="12">
        <v>-1871.63</v>
      </c>
      <c r="C44" s="12">
        <v>-1195</v>
      </c>
      <c r="D44" s="12">
        <v>-19144.63</v>
      </c>
      <c r="E44" s="12">
        <v>-6540.22</v>
      </c>
      <c r="F44" s="12">
        <f t="shared" si="0"/>
        <v>-28751.480000000003</v>
      </c>
    </row>
    <row r="45" spans="1:6" hidden="1" x14ac:dyDescent="0.2">
      <c r="A45" s="19" t="s">
        <v>49</v>
      </c>
      <c r="B45" s="12">
        <v>-141.80000000000001</v>
      </c>
      <c r="C45" s="12">
        <v>-37.869999999999997</v>
      </c>
      <c r="D45" s="12">
        <v>-5497.15</v>
      </c>
      <c r="E45" s="12">
        <v>-3020.75</v>
      </c>
      <c r="F45" s="12">
        <f t="shared" si="0"/>
        <v>-8697.57</v>
      </c>
    </row>
    <row r="46" spans="1:6" hidden="1" x14ac:dyDescent="0.2">
      <c r="A46" s="19" t="s">
        <v>50</v>
      </c>
      <c r="B46" s="12">
        <v>-1659.32</v>
      </c>
      <c r="C46" s="12">
        <v>-4737.13</v>
      </c>
      <c r="D46" s="12">
        <v>-21950.11</v>
      </c>
      <c r="E46" s="12">
        <v>-7920.47</v>
      </c>
      <c r="F46" s="12">
        <f t="shared" si="0"/>
        <v>-36267.03</v>
      </c>
    </row>
    <row r="47" spans="1:6" hidden="1" x14ac:dyDescent="0.2">
      <c r="A47" s="19" t="s">
        <v>51</v>
      </c>
      <c r="B47" s="12">
        <v>-304.62</v>
      </c>
      <c r="C47" s="12">
        <v>-1083.6099999999999</v>
      </c>
      <c r="D47" s="12">
        <v>-7810.03</v>
      </c>
      <c r="E47" s="12">
        <v>-7166.69</v>
      </c>
      <c r="F47" s="12">
        <f t="shared" si="0"/>
        <v>-16364.95</v>
      </c>
    </row>
    <row r="48" spans="1:6" hidden="1" x14ac:dyDescent="0.2">
      <c r="A48" s="19" t="s">
        <v>52</v>
      </c>
      <c r="B48" s="12">
        <v>-411.89</v>
      </c>
      <c r="C48" s="12">
        <v>-883.67</v>
      </c>
      <c r="D48" s="12">
        <v>-3020</v>
      </c>
      <c r="E48" s="12">
        <v>-1380</v>
      </c>
      <c r="F48" s="12">
        <f t="shared" si="0"/>
        <v>-5695.5599999999995</v>
      </c>
    </row>
    <row r="49" spans="1:6" hidden="1" x14ac:dyDescent="0.2">
      <c r="A49" s="19" t="s">
        <v>53</v>
      </c>
      <c r="B49" s="12">
        <v>-1800</v>
      </c>
      <c r="C49" s="12">
        <v>0</v>
      </c>
      <c r="D49" s="12">
        <v>0</v>
      </c>
      <c r="E49" s="12">
        <v>0</v>
      </c>
      <c r="F49" s="12">
        <f t="shared" si="0"/>
        <v>-1800</v>
      </c>
    </row>
    <row r="50" spans="1:6" hidden="1" x14ac:dyDescent="0.2">
      <c r="A50" s="19" t="s">
        <v>54</v>
      </c>
      <c r="B50" s="12">
        <v>-1633.31</v>
      </c>
      <c r="C50" s="12">
        <v>-1905.03</v>
      </c>
      <c r="D50" s="12">
        <v>-2251.69</v>
      </c>
      <c r="E50" s="12">
        <v>-1925.05</v>
      </c>
      <c r="F50" s="12">
        <f t="shared" si="0"/>
        <v>-7715.0800000000008</v>
      </c>
    </row>
    <row r="51" spans="1:6" hidden="1" x14ac:dyDescent="0.2">
      <c r="A51" s="19" t="s">
        <v>55</v>
      </c>
      <c r="B51" s="12">
        <v>-3189.57</v>
      </c>
      <c r="C51" s="12">
        <v>-2788.73</v>
      </c>
      <c r="D51" s="12">
        <v>-2602.14</v>
      </c>
      <c r="E51" s="12">
        <v>-2100.7600000000002</v>
      </c>
      <c r="F51" s="12">
        <f t="shared" si="0"/>
        <v>-10681.2</v>
      </c>
    </row>
    <row r="52" spans="1:6" hidden="1" x14ac:dyDescent="0.2">
      <c r="A52" s="19" t="s">
        <v>56</v>
      </c>
      <c r="B52" s="12">
        <v>0</v>
      </c>
      <c r="C52" s="12">
        <v>0</v>
      </c>
      <c r="D52" s="12">
        <v>0</v>
      </c>
      <c r="E52" s="12">
        <v>-400</v>
      </c>
      <c r="F52" s="12">
        <f t="shared" si="0"/>
        <v>-400</v>
      </c>
    </row>
    <row r="53" spans="1:6" hidden="1" x14ac:dyDescent="0.2">
      <c r="A53" s="19" t="s">
        <v>57</v>
      </c>
      <c r="B53" s="12">
        <v>-11736.36</v>
      </c>
      <c r="C53" s="12">
        <v>-21729.52</v>
      </c>
      <c r="D53" s="12">
        <v>-14670.98</v>
      </c>
      <c r="E53" s="12">
        <v>-9839.48</v>
      </c>
      <c r="F53" s="12">
        <f t="shared" si="0"/>
        <v>-57976.34</v>
      </c>
    </row>
    <row r="54" spans="1:6" hidden="1" x14ac:dyDescent="0.2">
      <c r="A54" s="19" t="s">
        <v>58</v>
      </c>
      <c r="B54" s="12">
        <v>0</v>
      </c>
      <c r="C54" s="12">
        <v>-70</v>
      </c>
      <c r="D54" s="12">
        <v>0</v>
      </c>
      <c r="E54" s="12">
        <v>0</v>
      </c>
      <c r="F54" s="12">
        <f t="shared" si="0"/>
        <v>-70</v>
      </c>
    </row>
    <row r="55" spans="1:6" hidden="1" x14ac:dyDescent="0.2">
      <c r="A55" s="19" t="s">
        <v>59</v>
      </c>
      <c r="B55" s="12">
        <v>0</v>
      </c>
      <c r="C55" s="12">
        <v>0</v>
      </c>
      <c r="D55" s="12">
        <v>0</v>
      </c>
      <c r="E55" s="12">
        <v>-0.01</v>
      </c>
      <c r="F55" s="12">
        <f t="shared" si="0"/>
        <v>-0.01</v>
      </c>
    </row>
    <row r="56" spans="1:6" hidden="1" x14ac:dyDescent="0.2">
      <c r="A56" s="19" t="s">
        <v>60</v>
      </c>
      <c r="B56" s="12">
        <v>0</v>
      </c>
      <c r="C56" s="12">
        <v>-121.13</v>
      </c>
      <c r="D56" s="12">
        <v>-182.55</v>
      </c>
      <c r="E56" s="12">
        <v>0</v>
      </c>
      <c r="F56" s="12">
        <f t="shared" si="0"/>
        <v>-303.68</v>
      </c>
    </row>
    <row r="57" spans="1:6" hidden="1" x14ac:dyDescent="0.2">
      <c r="A57" s="17" t="s">
        <v>61</v>
      </c>
      <c r="B57" s="16">
        <f>SUM(B39:B56)</f>
        <v>-63041.51</v>
      </c>
      <c r="C57" s="16">
        <f>SUM(C39:C56)</f>
        <v>-80648.160000000003</v>
      </c>
      <c r="D57" s="16">
        <f>SUM(D39:D56)</f>
        <v>-128787.08</v>
      </c>
      <c r="E57" s="16">
        <f>SUM(E39:E56)</f>
        <v>-62031.530000000006</v>
      </c>
      <c r="F57" s="16">
        <f>SUM(F39:F56)</f>
        <v>-334508.28000000009</v>
      </c>
    </row>
    <row r="58" spans="1:6" x14ac:dyDescent="0.2">
      <c r="A58" s="18" t="s">
        <v>62</v>
      </c>
      <c r="B58" s="16">
        <f>B37+0+B57</f>
        <v>-437839.24000000005</v>
      </c>
      <c r="C58" s="16">
        <f>C37+0+C57</f>
        <v>-241117.85</v>
      </c>
      <c r="D58" s="16">
        <f>D37+0+D57</f>
        <v>-648514.05999999994</v>
      </c>
      <c r="E58" s="16">
        <f>E37+0+E57</f>
        <v>-409041.67</v>
      </c>
      <c r="F58" s="16">
        <f>F37+0+F57</f>
        <v>-1736512.8199999998</v>
      </c>
    </row>
    <row r="59" spans="1:6" x14ac:dyDescent="0.2">
      <c r="A59" s="20" t="s">
        <v>63</v>
      </c>
      <c r="B59" s="16">
        <f>B27+B58</f>
        <v>-202133.63000000006</v>
      </c>
      <c r="C59" s="16">
        <f>C27+C58</f>
        <v>317739.95000000007</v>
      </c>
      <c r="D59" s="16">
        <f>D27+D58</f>
        <v>107856.00999999989</v>
      </c>
      <c r="E59" s="16">
        <f>E27+E58</f>
        <v>237878.97999999992</v>
      </c>
      <c r="F59" s="16">
        <f>F27+F58</f>
        <v>461341.31000000052</v>
      </c>
    </row>
    <row r="60" spans="1:6" x14ac:dyDescent="0.2">
      <c r="A60" s="21" t="s">
        <v>64</v>
      </c>
      <c r="B60" s="16">
        <f>B59+0+0+0</f>
        <v>-202133.63000000006</v>
      </c>
      <c r="C60" s="16">
        <f>C59+0+0+0</f>
        <v>317739.95000000007</v>
      </c>
      <c r="D60" s="16">
        <f>D59+0+0+0</f>
        <v>107856.00999999989</v>
      </c>
      <c r="E60" s="16">
        <f>E59+0+0+0</f>
        <v>237878.97999999992</v>
      </c>
      <c r="F60" s="16">
        <f>F59+0+0+0</f>
        <v>461341.31000000052</v>
      </c>
    </row>
  </sheetData>
  <mergeCells count="3">
    <mergeCell ref="A1:F1"/>
    <mergeCell ref="A2:F2"/>
    <mergeCell ref="A3:F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2023-08-08T18:15:02Z</dcterms:created>
  <dcterms:modified xsi:type="dcterms:W3CDTF">2023-08-08T18:15:16Z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