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PROMATIS-AT\"/>
    </mc:Choice>
  </mc:AlternateContent>
  <xr:revisionPtr revIDLastSave="0" documentId="13_ncr:40009_{280C684F-348D-443E-AE80-EB50199BF8CE}" xr6:coauthVersionLast="47" xr6:coauthVersionMax="47" xr10:uidLastSave="{00000000-0000-0000-0000-000000000000}"/>
  <bookViews>
    <workbookView xWindow="-28920" yWindow="-120" windowWidth="29040" windowHeight="15840"/>
  </bookViews>
  <sheets>
    <sheet name="PGPLbyEntityandMonthQu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84" i="1" l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R83" i="1"/>
  <c r="AR82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R78" i="1"/>
  <c r="AR79" i="1" s="1"/>
  <c r="AQ76" i="1"/>
  <c r="AQ80" i="1" s="1"/>
  <c r="AP76" i="1"/>
  <c r="AO76" i="1"/>
  <c r="AN76" i="1"/>
  <c r="AM76" i="1"/>
  <c r="AL76" i="1"/>
  <c r="AK76" i="1"/>
  <c r="AJ76" i="1"/>
  <c r="AJ80" i="1" s="1"/>
  <c r="AI76" i="1"/>
  <c r="AI80" i="1" s="1"/>
  <c r="AH76" i="1"/>
  <c r="AG76" i="1"/>
  <c r="AF76" i="1"/>
  <c r="AE76" i="1"/>
  <c r="AD76" i="1"/>
  <c r="AC76" i="1"/>
  <c r="AB76" i="1"/>
  <c r="AB80" i="1" s="1"/>
  <c r="AA76" i="1"/>
  <c r="AA80" i="1" s="1"/>
  <c r="Z76" i="1"/>
  <c r="Y76" i="1"/>
  <c r="X76" i="1"/>
  <c r="W76" i="1"/>
  <c r="V76" i="1"/>
  <c r="U76" i="1"/>
  <c r="T76" i="1"/>
  <c r="T80" i="1" s="1"/>
  <c r="S76" i="1"/>
  <c r="S80" i="1" s="1"/>
  <c r="R76" i="1"/>
  <c r="Q76" i="1"/>
  <c r="P76" i="1"/>
  <c r="O76" i="1"/>
  <c r="N76" i="1"/>
  <c r="M76" i="1"/>
  <c r="L76" i="1"/>
  <c r="L80" i="1" s="1"/>
  <c r="K76" i="1"/>
  <c r="K80" i="1" s="1"/>
  <c r="J76" i="1"/>
  <c r="I76" i="1"/>
  <c r="H76" i="1"/>
  <c r="G76" i="1"/>
  <c r="F76" i="1"/>
  <c r="E76" i="1"/>
  <c r="D76" i="1"/>
  <c r="D80" i="1" s="1"/>
  <c r="C76" i="1"/>
  <c r="C80" i="1" s="1"/>
  <c r="B76" i="1"/>
  <c r="AR75" i="1"/>
  <c r="AR76" i="1" s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Q44" i="1"/>
  <c r="AQ45" i="1" s="1"/>
  <c r="AP44" i="1"/>
  <c r="AP45" i="1" s="1"/>
  <c r="AO44" i="1"/>
  <c r="AO45" i="1" s="1"/>
  <c r="AN44" i="1"/>
  <c r="AN45" i="1" s="1"/>
  <c r="AM44" i="1"/>
  <c r="AM45" i="1" s="1"/>
  <c r="AL44" i="1"/>
  <c r="AL45" i="1" s="1"/>
  <c r="AK44" i="1"/>
  <c r="AK45" i="1" s="1"/>
  <c r="AJ44" i="1"/>
  <c r="AJ45" i="1" s="1"/>
  <c r="AI44" i="1"/>
  <c r="AI45" i="1" s="1"/>
  <c r="AH44" i="1"/>
  <c r="AH45" i="1" s="1"/>
  <c r="AG44" i="1"/>
  <c r="AG45" i="1" s="1"/>
  <c r="AF44" i="1"/>
  <c r="AF45" i="1" s="1"/>
  <c r="AE44" i="1"/>
  <c r="AE45" i="1" s="1"/>
  <c r="AD44" i="1"/>
  <c r="AD45" i="1" s="1"/>
  <c r="AC44" i="1"/>
  <c r="AC45" i="1" s="1"/>
  <c r="AB44" i="1"/>
  <c r="AB45" i="1" s="1"/>
  <c r="AA44" i="1"/>
  <c r="AA45" i="1" s="1"/>
  <c r="Z44" i="1"/>
  <c r="Z45" i="1" s="1"/>
  <c r="Y44" i="1"/>
  <c r="Y45" i="1" s="1"/>
  <c r="X44" i="1"/>
  <c r="X45" i="1" s="1"/>
  <c r="W44" i="1"/>
  <c r="W45" i="1" s="1"/>
  <c r="V44" i="1"/>
  <c r="V45" i="1" s="1"/>
  <c r="U44" i="1"/>
  <c r="U45" i="1" s="1"/>
  <c r="T44" i="1"/>
  <c r="T45" i="1" s="1"/>
  <c r="S44" i="1"/>
  <c r="S45" i="1" s="1"/>
  <c r="R44" i="1"/>
  <c r="R45" i="1" s="1"/>
  <c r="Q44" i="1"/>
  <c r="Q45" i="1" s="1"/>
  <c r="P44" i="1"/>
  <c r="P45" i="1" s="1"/>
  <c r="O44" i="1"/>
  <c r="O45" i="1" s="1"/>
  <c r="N44" i="1"/>
  <c r="N45" i="1" s="1"/>
  <c r="M44" i="1"/>
  <c r="M45" i="1" s="1"/>
  <c r="L44" i="1"/>
  <c r="L45" i="1" s="1"/>
  <c r="K44" i="1"/>
  <c r="K45" i="1" s="1"/>
  <c r="J44" i="1"/>
  <c r="J45" i="1" s="1"/>
  <c r="I44" i="1"/>
  <c r="I45" i="1" s="1"/>
  <c r="H44" i="1"/>
  <c r="H45" i="1" s="1"/>
  <c r="G44" i="1"/>
  <c r="G45" i="1" s="1"/>
  <c r="F44" i="1"/>
  <c r="F45" i="1" s="1"/>
  <c r="E44" i="1"/>
  <c r="E45" i="1" s="1"/>
  <c r="D44" i="1"/>
  <c r="D45" i="1" s="1"/>
  <c r="C44" i="1"/>
  <c r="C45" i="1" s="1"/>
  <c r="B44" i="1"/>
  <c r="B45" i="1" s="1"/>
  <c r="AR43" i="1"/>
  <c r="AR42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R37" i="1"/>
  <c r="AR36" i="1"/>
  <c r="AR35" i="1"/>
  <c r="AQ33" i="1"/>
  <c r="AP33" i="1"/>
  <c r="AP39" i="1" s="1"/>
  <c r="AO33" i="1"/>
  <c r="AN33" i="1"/>
  <c r="AN39" i="1" s="1"/>
  <c r="AM33" i="1"/>
  <c r="AM39" i="1" s="1"/>
  <c r="AL33" i="1"/>
  <c r="AL39" i="1" s="1"/>
  <c r="AK33" i="1"/>
  <c r="AJ33" i="1"/>
  <c r="AI33" i="1"/>
  <c r="AH33" i="1"/>
  <c r="AH39" i="1" s="1"/>
  <c r="AG33" i="1"/>
  <c r="AF33" i="1"/>
  <c r="AF39" i="1" s="1"/>
  <c r="AE33" i="1"/>
  <c r="AE39" i="1" s="1"/>
  <c r="AD33" i="1"/>
  <c r="AD39" i="1" s="1"/>
  <c r="AC33" i="1"/>
  <c r="AB33" i="1"/>
  <c r="AA33" i="1"/>
  <c r="Z33" i="1"/>
  <c r="Z39" i="1" s="1"/>
  <c r="Y33" i="1"/>
  <c r="X33" i="1"/>
  <c r="X39" i="1" s="1"/>
  <c r="W33" i="1"/>
  <c r="W39" i="1" s="1"/>
  <c r="V33" i="1"/>
  <c r="V39" i="1" s="1"/>
  <c r="U33" i="1"/>
  <c r="T33" i="1"/>
  <c r="S33" i="1"/>
  <c r="R33" i="1"/>
  <c r="R39" i="1" s="1"/>
  <c r="Q33" i="1"/>
  <c r="P33" i="1"/>
  <c r="P39" i="1" s="1"/>
  <c r="O33" i="1"/>
  <c r="O39" i="1" s="1"/>
  <c r="N33" i="1"/>
  <c r="N39" i="1" s="1"/>
  <c r="M33" i="1"/>
  <c r="L33" i="1"/>
  <c r="K33" i="1"/>
  <c r="J33" i="1"/>
  <c r="J39" i="1" s="1"/>
  <c r="I33" i="1"/>
  <c r="H33" i="1"/>
  <c r="H39" i="1" s="1"/>
  <c r="G33" i="1"/>
  <c r="G39" i="1" s="1"/>
  <c r="F33" i="1"/>
  <c r="F39" i="1" s="1"/>
  <c r="E33" i="1"/>
  <c r="D33" i="1"/>
  <c r="C33" i="1"/>
  <c r="B33" i="1"/>
  <c r="B39" i="1" s="1"/>
  <c r="AR32" i="1"/>
  <c r="AR31" i="1"/>
  <c r="AR25" i="1"/>
  <c r="AR26" i="1" s="1"/>
  <c r="AQ25" i="1"/>
  <c r="AQ26" i="1" s="1"/>
  <c r="AP25" i="1"/>
  <c r="AP26" i="1" s="1"/>
  <c r="AO25" i="1"/>
  <c r="AO26" i="1" s="1"/>
  <c r="AN25" i="1"/>
  <c r="AN26" i="1" s="1"/>
  <c r="AM25" i="1"/>
  <c r="AM26" i="1" s="1"/>
  <c r="AL25" i="1"/>
  <c r="AL26" i="1" s="1"/>
  <c r="AK25" i="1"/>
  <c r="AK26" i="1" s="1"/>
  <c r="AJ25" i="1"/>
  <c r="AJ26" i="1" s="1"/>
  <c r="AI25" i="1"/>
  <c r="AI26" i="1" s="1"/>
  <c r="AH25" i="1"/>
  <c r="AH26" i="1" s="1"/>
  <c r="AG25" i="1"/>
  <c r="AG26" i="1" s="1"/>
  <c r="AF25" i="1"/>
  <c r="AF26" i="1" s="1"/>
  <c r="AE25" i="1"/>
  <c r="AE26" i="1" s="1"/>
  <c r="AD25" i="1"/>
  <c r="AD26" i="1" s="1"/>
  <c r="AC25" i="1"/>
  <c r="AC26" i="1" s="1"/>
  <c r="AB25" i="1"/>
  <c r="AB26" i="1" s="1"/>
  <c r="AA25" i="1"/>
  <c r="AA26" i="1" s="1"/>
  <c r="Z25" i="1"/>
  <c r="Z26" i="1" s="1"/>
  <c r="Y25" i="1"/>
  <c r="Y26" i="1" s="1"/>
  <c r="X25" i="1"/>
  <c r="X26" i="1" s="1"/>
  <c r="W25" i="1"/>
  <c r="W26" i="1" s="1"/>
  <c r="V25" i="1"/>
  <c r="V26" i="1" s="1"/>
  <c r="U25" i="1"/>
  <c r="U26" i="1" s="1"/>
  <c r="T25" i="1"/>
  <c r="T26" i="1" s="1"/>
  <c r="S25" i="1"/>
  <c r="S26" i="1" s="1"/>
  <c r="R25" i="1"/>
  <c r="R26" i="1" s="1"/>
  <c r="Q25" i="1"/>
  <c r="Q26" i="1" s="1"/>
  <c r="P25" i="1"/>
  <c r="P26" i="1" s="1"/>
  <c r="O25" i="1"/>
  <c r="O26" i="1" s="1"/>
  <c r="N25" i="1"/>
  <c r="N26" i="1" s="1"/>
  <c r="M25" i="1"/>
  <c r="M26" i="1" s="1"/>
  <c r="L25" i="1"/>
  <c r="L26" i="1" s="1"/>
  <c r="K25" i="1"/>
  <c r="K26" i="1" s="1"/>
  <c r="J25" i="1"/>
  <c r="J26" i="1" s="1"/>
  <c r="I25" i="1"/>
  <c r="I26" i="1" s="1"/>
  <c r="H25" i="1"/>
  <c r="H26" i="1" s="1"/>
  <c r="G25" i="1"/>
  <c r="G26" i="1" s="1"/>
  <c r="F25" i="1"/>
  <c r="F26" i="1" s="1"/>
  <c r="E25" i="1"/>
  <c r="E26" i="1" s="1"/>
  <c r="D25" i="1"/>
  <c r="D26" i="1" s="1"/>
  <c r="C25" i="1"/>
  <c r="C26" i="1" s="1"/>
  <c r="B25" i="1"/>
  <c r="B26" i="1" s="1"/>
  <c r="AR24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R19" i="1"/>
  <c r="AR18" i="1"/>
  <c r="AR17" i="1"/>
  <c r="AQ15" i="1"/>
  <c r="AP15" i="1"/>
  <c r="AO15" i="1"/>
  <c r="AO21" i="1" s="1"/>
  <c r="AN15" i="1"/>
  <c r="AM15" i="1"/>
  <c r="AM21" i="1" s="1"/>
  <c r="AL15" i="1"/>
  <c r="AK15" i="1"/>
  <c r="AK21" i="1" s="1"/>
  <c r="AK27" i="1" s="1"/>
  <c r="AJ15" i="1"/>
  <c r="AI15" i="1"/>
  <c r="AH15" i="1"/>
  <c r="AG15" i="1"/>
  <c r="AG21" i="1" s="1"/>
  <c r="AF15" i="1"/>
  <c r="AE15" i="1"/>
  <c r="AE21" i="1" s="1"/>
  <c r="AD15" i="1"/>
  <c r="AC15" i="1"/>
  <c r="AC21" i="1" s="1"/>
  <c r="AC27" i="1" s="1"/>
  <c r="AB15" i="1"/>
  <c r="AA15" i="1"/>
  <c r="Z15" i="1"/>
  <c r="Y15" i="1"/>
  <c r="Y21" i="1" s="1"/>
  <c r="X15" i="1"/>
  <c r="W15" i="1"/>
  <c r="W21" i="1" s="1"/>
  <c r="V15" i="1"/>
  <c r="U15" i="1"/>
  <c r="U21" i="1" s="1"/>
  <c r="U27" i="1" s="1"/>
  <c r="T15" i="1"/>
  <c r="S15" i="1"/>
  <c r="R15" i="1"/>
  <c r="Q15" i="1"/>
  <c r="Q21" i="1" s="1"/>
  <c r="P15" i="1"/>
  <c r="O15" i="1"/>
  <c r="O21" i="1" s="1"/>
  <c r="N15" i="1"/>
  <c r="M15" i="1"/>
  <c r="M21" i="1" s="1"/>
  <c r="M27" i="1" s="1"/>
  <c r="L15" i="1"/>
  <c r="K15" i="1"/>
  <c r="J15" i="1"/>
  <c r="I15" i="1"/>
  <c r="I21" i="1" s="1"/>
  <c r="H15" i="1"/>
  <c r="G15" i="1"/>
  <c r="G21" i="1" s="1"/>
  <c r="F15" i="1"/>
  <c r="E15" i="1"/>
  <c r="E21" i="1" s="1"/>
  <c r="E27" i="1" s="1"/>
  <c r="D15" i="1"/>
  <c r="C15" i="1"/>
  <c r="B15" i="1"/>
  <c r="AR14" i="1"/>
  <c r="AR13" i="1"/>
  <c r="AR12" i="1"/>
  <c r="AR11" i="1"/>
  <c r="F21" i="1" l="1"/>
  <c r="F27" i="1" s="1"/>
  <c r="F72" i="1" s="1"/>
  <c r="F85" i="1" s="1"/>
  <c r="N21" i="1"/>
  <c r="V21" i="1"/>
  <c r="AD21" i="1"/>
  <c r="AL21" i="1"/>
  <c r="I39" i="1"/>
  <c r="I71" i="1" s="1"/>
  <c r="Q39" i="1"/>
  <c r="Q71" i="1" s="1"/>
  <c r="Y39" i="1"/>
  <c r="Y71" i="1" s="1"/>
  <c r="AG39" i="1"/>
  <c r="AG71" i="1" s="1"/>
  <c r="AO39" i="1"/>
  <c r="AO71" i="1" s="1"/>
  <c r="H21" i="1"/>
  <c r="P21" i="1"/>
  <c r="X21" i="1"/>
  <c r="AF21" i="1"/>
  <c r="AF27" i="1" s="1"/>
  <c r="AN21" i="1"/>
  <c r="AN27" i="1" s="1"/>
  <c r="F80" i="1"/>
  <c r="N80" i="1"/>
  <c r="V80" i="1"/>
  <c r="AD80" i="1"/>
  <c r="AL80" i="1"/>
  <c r="M80" i="1"/>
  <c r="AC80" i="1"/>
  <c r="B80" i="1"/>
  <c r="J80" i="1"/>
  <c r="R80" i="1"/>
  <c r="Z80" i="1"/>
  <c r="AH80" i="1"/>
  <c r="AP80" i="1"/>
  <c r="E80" i="1"/>
  <c r="U80" i="1"/>
  <c r="AK80" i="1"/>
  <c r="AF72" i="1"/>
  <c r="C21" i="1"/>
  <c r="C27" i="1" s="1"/>
  <c r="S21" i="1"/>
  <c r="S27" i="1" s="1"/>
  <c r="AA21" i="1"/>
  <c r="AA27" i="1" s="1"/>
  <c r="AI21" i="1"/>
  <c r="AI27" i="1" s="1"/>
  <c r="AQ21" i="1"/>
  <c r="AQ27" i="1" s="1"/>
  <c r="D39" i="1"/>
  <c r="D71" i="1" s="1"/>
  <c r="L39" i="1"/>
  <c r="L71" i="1" s="1"/>
  <c r="T39" i="1"/>
  <c r="T71" i="1" s="1"/>
  <c r="AB39" i="1"/>
  <c r="AB71" i="1" s="1"/>
  <c r="AJ39" i="1"/>
  <c r="AJ71" i="1" s="1"/>
  <c r="K21" i="1"/>
  <c r="K27" i="1" s="1"/>
  <c r="AR84" i="1"/>
  <c r="AG27" i="1"/>
  <c r="H80" i="1"/>
  <c r="P80" i="1"/>
  <c r="X80" i="1"/>
  <c r="AF80" i="1"/>
  <c r="AN80" i="1"/>
  <c r="I80" i="1"/>
  <c r="Q80" i="1"/>
  <c r="Y80" i="1"/>
  <c r="AG80" i="1"/>
  <c r="AO80" i="1"/>
  <c r="AR33" i="1"/>
  <c r="H71" i="1"/>
  <c r="P71" i="1"/>
  <c r="X71" i="1"/>
  <c r="AF71" i="1"/>
  <c r="AN71" i="1"/>
  <c r="I27" i="1"/>
  <c r="I72" i="1" s="1"/>
  <c r="I85" i="1" s="1"/>
  <c r="B21" i="1"/>
  <c r="B27" i="1" s="1"/>
  <c r="B72" i="1" s="1"/>
  <c r="B85" i="1" s="1"/>
  <c r="J21" i="1"/>
  <c r="J27" i="1" s="1"/>
  <c r="J72" i="1" s="1"/>
  <c r="J85" i="1" s="1"/>
  <c r="R21" i="1"/>
  <c r="R27" i="1" s="1"/>
  <c r="Z21" i="1"/>
  <c r="Z27" i="1" s="1"/>
  <c r="AH21" i="1"/>
  <c r="AH27" i="1" s="1"/>
  <c r="AP21" i="1"/>
  <c r="AP27" i="1" s="1"/>
  <c r="C39" i="1"/>
  <c r="C71" i="1" s="1"/>
  <c r="K39" i="1"/>
  <c r="K71" i="1" s="1"/>
  <c r="K72" i="1" s="1"/>
  <c r="K85" i="1" s="1"/>
  <c r="S39" i="1"/>
  <c r="S71" i="1" s="1"/>
  <c r="AA39" i="1"/>
  <c r="AA71" i="1" s="1"/>
  <c r="AA72" i="1" s="1"/>
  <c r="AA85" i="1" s="1"/>
  <c r="AI39" i="1"/>
  <c r="AI71" i="1" s="1"/>
  <c r="AI72" i="1" s="1"/>
  <c r="AI85" i="1" s="1"/>
  <c r="AQ39" i="1"/>
  <c r="Y27" i="1"/>
  <c r="AR38" i="1"/>
  <c r="D21" i="1"/>
  <c r="D27" i="1" s="1"/>
  <c r="L21" i="1"/>
  <c r="L27" i="1" s="1"/>
  <c r="T21" i="1"/>
  <c r="T27" i="1" s="1"/>
  <c r="AB21" i="1"/>
  <c r="AB27" i="1" s="1"/>
  <c r="AJ21" i="1"/>
  <c r="AJ27" i="1" s="1"/>
  <c r="AR20" i="1"/>
  <c r="E39" i="1"/>
  <c r="E71" i="1" s="1"/>
  <c r="E72" i="1" s="1"/>
  <c r="E85" i="1" s="1"/>
  <c r="M39" i="1"/>
  <c r="M71" i="1" s="1"/>
  <c r="M72" i="1" s="1"/>
  <c r="M85" i="1" s="1"/>
  <c r="U39" i="1"/>
  <c r="U71" i="1" s="1"/>
  <c r="U72" i="1" s="1"/>
  <c r="AC39" i="1"/>
  <c r="AC71" i="1" s="1"/>
  <c r="AC72" i="1" s="1"/>
  <c r="AC85" i="1" s="1"/>
  <c r="AK39" i="1"/>
  <c r="AK71" i="1" s="1"/>
  <c r="AK72" i="1" s="1"/>
  <c r="AO27" i="1"/>
  <c r="AO72" i="1" s="1"/>
  <c r="F71" i="1"/>
  <c r="N71" i="1"/>
  <c r="V71" i="1"/>
  <c r="AD71" i="1"/>
  <c r="AL71" i="1"/>
  <c r="AR44" i="1"/>
  <c r="AR45" i="1" s="1"/>
  <c r="G80" i="1"/>
  <c r="O80" i="1"/>
  <c r="W80" i="1"/>
  <c r="AE80" i="1"/>
  <c r="AM80" i="1"/>
  <c r="Q27" i="1"/>
  <c r="AR15" i="1"/>
  <c r="AR70" i="1"/>
  <c r="W27" i="1"/>
  <c r="O27" i="1"/>
  <c r="B71" i="1"/>
  <c r="J71" i="1"/>
  <c r="R71" i="1"/>
  <c r="Z71" i="1"/>
  <c r="AH71" i="1"/>
  <c r="AP71" i="1"/>
  <c r="G27" i="1"/>
  <c r="AE27" i="1"/>
  <c r="H27" i="1"/>
  <c r="P27" i="1"/>
  <c r="P72" i="1" s="1"/>
  <c r="AQ71" i="1"/>
  <c r="AQ72" i="1" s="1"/>
  <c r="AQ85" i="1" s="1"/>
  <c r="AR80" i="1"/>
  <c r="AM27" i="1"/>
  <c r="X27" i="1"/>
  <c r="X72" i="1" s="1"/>
  <c r="N27" i="1"/>
  <c r="N72" i="1" s="1"/>
  <c r="V27" i="1"/>
  <c r="AD27" i="1"/>
  <c r="AD72" i="1" s="1"/>
  <c r="AD85" i="1" s="1"/>
  <c r="AL27" i="1"/>
  <c r="AL72" i="1" s="1"/>
  <c r="AL85" i="1" s="1"/>
  <c r="G71" i="1"/>
  <c r="O71" i="1"/>
  <c r="W71" i="1"/>
  <c r="AE71" i="1"/>
  <c r="AM71" i="1"/>
  <c r="Q72" i="1" l="1"/>
  <c r="Q85" i="1" s="1"/>
  <c r="C72" i="1"/>
  <c r="C85" i="1" s="1"/>
  <c r="AN72" i="1"/>
  <c r="AN85" i="1" s="1"/>
  <c r="AG72" i="1"/>
  <c r="AF85" i="1"/>
  <c r="N85" i="1"/>
  <c r="Y72" i="1"/>
  <c r="Y85" i="1" s="1"/>
  <c r="H72" i="1"/>
  <c r="H85" i="1" s="1"/>
  <c r="AJ72" i="1"/>
  <c r="AJ85" i="1" s="1"/>
  <c r="S72" i="1"/>
  <c r="S85" i="1" s="1"/>
  <c r="AK85" i="1"/>
  <c r="AO85" i="1"/>
  <c r="AB72" i="1"/>
  <c r="AB85" i="1" s="1"/>
  <c r="AG85" i="1"/>
  <c r="T72" i="1"/>
  <c r="T85" i="1" s="1"/>
  <c r="AP72" i="1"/>
  <c r="AP85" i="1" s="1"/>
  <c r="X85" i="1"/>
  <c r="L72" i="1"/>
  <c r="L85" i="1" s="1"/>
  <c r="P85" i="1"/>
  <c r="AR21" i="1"/>
  <c r="AR27" i="1" s="1"/>
  <c r="U85" i="1"/>
  <c r="D72" i="1"/>
  <c r="D85" i="1" s="1"/>
  <c r="AR39" i="1"/>
  <c r="AR71" i="1" s="1"/>
  <c r="V72" i="1"/>
  <c r="V85" i="1" s="1"/>
  <c r="AE72" i="1"/>
  <c r="AE85" i="1" s="1"/>
  <c r="G72" i="1"/>
  <c r="G85" i="1" s="1"/>
  <c r="AM72" i="1"/>
  <c r="AM85" i="1" s="1"/>
  <c r="AH72" i="1"/>
  <c r="AH85" i="1" s="1"/>
  <c r="O72" i="1"/>
  <c r="O85" i="1" s="1"/>
  <c r="Z72" i="1"/>
  <c r="Z85" i="1" s="1"/>
  <c r="R72" i="1"/>
  <c r="R85" i="1" s="1"/>
  <c r="W72" i="1"/>
  <c r="W85" i="1" s="1"/>
  <c r="AR72" i="1" l="1"/>
  <c r="AR85" i="1" s="1"/>
</calcChain>
</file>

<file path=xl/sharedStrings.xml><?xml version="1.0" encoding="utf-8"?>
<sst xmlns="http://schemas.openxmlformats.org/spreadsheetml/2006/main" count="171" uniqueCount="128">
  <si>
    <t>Firma : PROMATIS GmbH</t>
  </si>
  <si>
    <t>PG P+L by Entity and Month/Quarter/Year</t>
  </si>
  <si>
    <t>From Jan 2020 to Dez 2023</t>
  </si>
  <si>
    <t> 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</si>
  <si>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</si>
  <si>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</si>
  <si>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</si>
  <si>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</si>
  <si>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</si>
  <si>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</si>
  <si>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</si>
  <si>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</si>
  <si>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</si>
  <si>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</si>
  <si>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</si>
  <si>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</si>
  <si>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</si>
  <si>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</si>
  <si>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</si>
  <si>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</si>
  <si>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</si>
  <si>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</si>
  <si>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</si>
  <si>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</si>
  <si>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</si>
  <si>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</si>
  <si>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</si>
  <si>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</si>
  <si>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</si>
  <si>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</si>
  <si>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</si>
  <si>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</si>
  <si>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</si>
  <si>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</si>
  <si>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</si>
  <si>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</si>
  <si>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</si>
  <si>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</si>
  <si>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</si>
  <si>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</si>
  <si>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</si>
  <si>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</si>
  <si>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Mrz 2023</t>
  </si>
  <si>
    <t>Apr 2023</t>
  </si>
  <si>
    <t>Mai 2023</t>
  </si>
  <si>
    <t>Jun 2023</t>
  </si>
  <si>
    <t>Total</t>
  </si>
  <si>
    <t>Saldo</t>
  </si>
  <si>
    <t>Net profit/loss for the year</t>
  </si>
  <si>
    <t>EBIT</t>
  </si>
  <si>
    <t>Gross profit</t>
  </si>
  <si>
    <t>Operating income</t>
  </si>
  <si>
    <t>1. Revenue</t>
  </si>
  <si>
    <t>410000 - Tax-exempt sales, section 4 no. 8 ff. UStG</t>
  </si>
  <si>
    <t>433600 - Revenue from oth serv. taxable in anoth EU cntry</t>
  </si>
  <si>
    <t>433800 - Rev. from services tax. in a 3.country, not subject  dom tax</t>
  </si>
  <si>
    <t>440000 - Revenue Services- standard VAT</t>
  </si>
  <si>
    <t>Total Revenue</t>
  </si>
  <si>
    <t>4. Other operating income</t>
  </si>
  <si>
    <t>483000 - Other operating income</t>
  </si>
  <si>
    <t>490000 - Income from disposal of fixed assets</t>
  </si>
  <si>
    <t>493000 - Income from reversal of provisions</t>
  </si>
  <si>
    <t>Total Other operating income</t>
  </si>
  <si>
    <t>Total Operating income</t>
  </si>
  <si>
    <t>5. Cost of materials</t>
  </si>
  <si>
    <t>b) Cost of purchased services</t>
  </si>
  <si>
    <t>590100 - Third Party Services §13b EU-Country - Service</t>
  </si>
  <si>
    <t>Total Cost of purchased services</t>
  </si>
  <si>
    <t>Total Cost of materials</t>
  </si>
  <si>
    <t>Total Gross profit</t>
  </si>
  <si>
    <t>Operating expenses (except cost of materials)</t>
  </si>
  <si>
    <t>6. Personnel expenses</t>
  </si>
  <si>
    <t>a) Wages and salaries</t>
  </si>
  <si>
    <t>602000 - Salaries</t>
  </si>
  <si>
    <t>606000 - Voluntary social benefits subject to wage tax</t>
  </si>
  <si>
    <t>Total Wages and salaries</t>
  </si>
  <si>
    <t>b) Social security, post-employ, and other employee benft costs</t>
  </si>
  <si>
    <t>611000 - Statutory social security expenses</t>
  </si>
  <si>
    <t>612000 - Contributions to occupational health and safety agency</t>
  </si>
  <si>
    <t>615000 - Pension funds</t>
  </si>
  <si>
    <t>Total Social security, post-employ, and other employee benft costs</t>
  </si>
  <si>
    <t>Total Personnel expenses</t>
  </si>
  <si>
    <t>7. Depreciation and amortisation</t>
  </si>
  <si>
    <t>a) Amortisation of intangible assets and depr. of tangbl assets</t>
  </si>
  <si>
    <t>622000 - Depr. of tangible fixed assets (excl. Depr. of vehicles)</t>
  </si>
  <si>
    <t>626000 - Immediate write-off of low-value assets</t>
  </si>
  <si>
    <t>Total a) Amortisation of intangible assets and depr. of tangbl assets</t>
  </si>
  <si>
    <t>Total Depreciation and amortisation</t>
  </si>
  <si>
    <t>8. Other operating expenses</t>
  </si>
  <si>
    <t>631000 - Rent (immovable property)</t>
  </si>
  <si>
    <t>632500 - Gas, electricity, water</t>
  </si>
  <si>
    <t>640000 - Insurance premiums</t>
  </si>
  <si>
    <t>642000 - Contributions</t>
  </si>
  <si>
    <t>643600 - Tax-deductible late filing penalties and administrativ fines</t>
  </si>
  <si>
    <t>646000 - Repairs and maintenance of technical equipment and machinery</t>
  </si>
  <si>
    <t>660000 - Advertising costs</t>
  </si>
  <si>
    <t>664300 - Small gifts</t>
  </si>
  <si>
    <t>665000 - Employee travel expenses</t>
  </si>
  <si>
    <t>665200 - Employee travel expenses, standard tax</t>
  </si>
  <si>
    <t>666000 - Employee travel expenses, accommodation costs</t>
  </si>
  <si>
    <t>669900 - Travel costs liability adjustment account</t>
  </si>
  <si>
    <t>678000 - Third-party services (distribution)</t>
  </si>
  <si>
    <t>680000 - Postage</t>
  </si>
  <si>
    <t>680500 - Telephone</t>
  </si>
  <si>
    <t>681000 - Fax and Internet costs</t>
  </si>
  <si>
    <t>681500 - Office supplies</t>
  </si>
  <si>
    <t>682100 - Training costs</t>
  </si>
  <si>
    <t>682500 - Legal and consulting costs</t>
  </si>
  <si>
    <t>682700 - Period-end closing and audit costs</t>
  </si>
  <si>
    <t>683700 - Expenses for temp. transfer of rights(licences, concessions)</t>
  </si>
  <si>
    <t>685500 - Incidental monetary transaction costs</t>
  </si>
  <si>
    <t>699400 - Selling expenses</t>
  </si>
  <si>
    <t>Total Other operating expenses</t>
  </si>
  <si>
    <t>Total Operating expenses (except cost of materials)</t>
  </si>
  <si>
    <t>Total EBIT</t>
  </si>
  <si>
    <t>Financial result</t>
  </si>
  <si>
    <t>11. Other interest and similar income</t>
  </si>
  <si>
    <t>710000 - Other interest and similar income</t>
  </si>
  <si>
    <t>Total Other interest and similar income</t>
  </si>
  <si>
    <t>13. Interest and similar expenses</t>
  </si>
  <si>
    <t>736000 - Interest cost included in additions to pension provisions</t>
  </si>
  <si>
    <t>Total Interest and similar expenses</t>
  </si>
  <si>
    <t>Total Financial result</t>
  </si>
  <si>
    <t>14. Taxes on income</t>
  </si>
  <si>
    <t>760000 - Corporate income tax</t>
  </si>
  <si>
    <t>760300 - Corporate income tax for prior years</t>
  </si>
  <si>
    <t>Total Taxes on income</t>
  </si>
  <si>
    <t>TOTAL Net profit/loss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</si>
</sst>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C0C0C0"/>
      </top>
      <bottom/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4"/>
    </xf>
    <xf numFmtId="0" fontId="22" fillId="0" borderId="0" xfId="0" applyFont="1" applyBorder="1" applyAlignment="1">
      <alignment horizontal="left" indent="5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4"/>
    </xf>
    <xf numFmtId="168" fontId="21" fillId="0" borderId="10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4"/>
    </xf>
    <xf numFmtId="168" fontId="21" fillId="0" borderId="11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3"/>
    </xf>
    <xf numFmtId="0" fontId="21" fillId="0" borderId="11" xfId="0" applyFont="1" applyBorder="1" applyAlignment="1">
      <alignment horizontal="left" indent="2"/>
    </xf>
    <xf numFmtId="0" fontId="22" fillId="0" borderId="0" xfId="0" applyFont="1" applyBorder="1" applyAlignment="1">
      <alignment horizontal="left" indent="4"/>
    </xf>
    <xf numFmtId="0" fontId="21" fillId="0" borderId="11" xfId="0" applyFont="1" applyBorder="1" applyAlignment="1">
      <alignment horizontal="left" indent="1"/>
    </xf>
    <xf numFmtId="0" fontId="22" fillId="0" borderId="0" xfId="0" applyFont="1" applyBorder="1" applyAlignment="1">
      <alignment horizontal="left" indent="3"/>
    </xf>
    <xf numFmtId="0" fontId="22" fillId="0" borderId="0" xfId="0" applyFont="1" applyBorder="1" applyAlignment="1">
      <alignment horizontal="left" indent="2"/>
    </xf>
    <xf numFmtId="0" fontId="21" fillId="0" borderId="11" xfId="0" applyFont="1" applyBorder="1" applyAlignment="1">
      <alignment horizontal="left" vertical="center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5"/>
  <sheetViews>
    <sheetView tabSelected="1" workbookViewId="0">
      <pane ySplit="5" topLeftCell="A6" activePane="bottomLeft" state="frozen"/>
      <selection pane="bottomLeft" activeCell="C65" sqref="C65"/>
    </sheetView>
  </sheetViews>
  <sheetFormatPr baseColWidth="10" defaultRowHeight="11.25" x14ac:dyDescent="0.2"/>
  <cols>
    <col min="1" max="1" width="71.33203125" bestFit="1" customWidth="1"/>
    <col min="2" max="6" width="10.83203125" bestFit="1" customWidth="1"/>
    <col min="7" max="7" width="11.1640625" bestFit="1" customWidth="1"/>
    <col min="8" max="11" width="10.83203125" bestFit="1" customWidth="1"/>
    <col min="12" max="13" width="11.83203125" bestFit="1" customWidth="1"/>
    <col min="14" max="18" width="10.83203125" bestFit="1" customWidth="1"/>
    <col min="19" max="19" width="11.83203125" bestFit="1" customWidth="1"/>
    <col min="20" max="20" width="10.83203125" bestFit="1" customWidth="1"/>
    <col min="21" max="21" width="11.1640625" bestFit="1" customWidth="1"/>
    <col min="22" max="22" width="10.83203125" bestFit="1" customWidth="1"/>
    <col min="23" max="23" width="11.83203125" bestFit="1" customWidth="1"/>
    <col min="24" max="24" width="10.83203125" bestFit="1" customWidth="1"/>
    <col min="25" max="26" width="11.1640625" bestFit="1" customWidth="1"/>
    <col min="27" max="27" width="11.83203125" bestFit="1" customWidth="1"/>
    <col min="28" max="31" width="11.1640625" bestFit="1" customWidth="1"/>
    <col min="32" max="32" width="10.83203125" bestFit="1" customWidth="1"/>
    <col min="33" max="33" width="11.83203125" bestFit="1" customWidth="1"/>
    <col min="34" max="35" width="11.1640625" bestFit="1" customWidth="1"/>
    <col min="36" max="37" width="11.83203125" bestFit="1" customWidth="1"/>
    <col min="38" max="42" width="11.1640625" bestFit="1" customWidth="1"/>
    <col min="43" max="43" width="11.83203125" bestFit="1" customWidth="1"/>
    <col min="44" max="44" width="13.33203125" bestFit="1" customWidth="1"/>
  </cols>
  <sheetData>
    <row r="1" spans="1:44" s="23" customFormat="1" ht="15.75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</row>
    <row r="2" spans="1:44" s="23" customFormat="1" ht="18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</row>
    <row r="3" spans="1:44" s="23" customFormat="1" ht="18" x14ac:dyDescent="0.25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</row>
    <row r="4" spans="1:44" x14ac:dyDescent="0.2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</row>
    <row r="5" spans="1:44" x14ac:dyDescent="0.2">
      <c r="A5" s="1" t="s">
        <v>3</v>
      </c>
      <c r="B5" s="2" t="s">
        <v>47</v>
      </c>
      <c r="C5" s="2" t="s">
        <v>47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47</v>
      </c>
      <c r="M5" s="2" t="s">
        <v>47</v>
      </c>
      <c r="N5" s="2" t="s">
        <v>47</v>
      </c>
      <c r="O5" s="2" t="s">
        <v>47</v>
      </c>
      <c r="P5" s="2" t="s">
        <v>47</v>
      </c>
      <c r="Q5" s="2" t="s">
        <v>47</v>
      </c>
      <c r="R5" s="2" t="s">
        <v>47</v>
      </c>
      <c r="S5" s="2" t="s">
        <v>47</v>
      </c>
      <c r="T5" s="2" t="s">
        <v>47</v>
      </c>
      <c r="U5" s="2" t="s">
        <v>47</v>
      </c>
      <c r="V5" s="2" t="s">
        <v>47</v>
      </c>
      <c r="W5" s="2" t="s">
        <v>47</v>
      </c>
      <c r="X5" s="2" t="s">
        <v>47</v>
      </c>
      <c r="Y5" s="2" t="s">
        <v>47</v>
      </c>
      <c r="Z5" s="2" t="s">
        <v>47</v>
      </c>
      <c r="AA5" s="2" t="s">
        <v>47</v>
      </c>
      <c r="AB5" s="2" t="s">
        <v>47</v>
      </c>
      <c r="AC5" s="2" t="s">
        <v>47</v>
      </c>
      <c r="AD5" s="2" t="s">
        <v>47</v>
      </c>
      <c r="AE5" s="2" t="s">
        <v>47</v>
      </c>
      <c r="AF5" s="2" t="s">
        <v>47</v>
      </c>
      <c r="AG5" s="2" t="s">
        <v>47</v>
      </c>
      <c r="AH5" s="2" t="s">
        <v>47</v>
      </c>
      <c r="AI5" s="2" t="s">
        <v>47</v>
      </c>
      <c r="AJ5" s="2" t="s">
        <v>47</v>
      </c>
      <c r="AK5" s="2" t="s">
        <v>47</v>
      </c>
      <c r="AL5" s="2" t="s">
        <v>47</v>
      </c>
      <c r="AM5" s="2" t="s">
        <v>47</v>
      </c>
      <c r="AN5" s="2" t="s">
        <v>47</v>
      </c>
      <c r="AO5" s="2" t="s">
        <v>47</v>
      </c>
      <c r="AP5" s="2" t="s">
        <v>47</v>
      </c>
      <c r="AQ5" s="2" t="s">
        <v>47</v>
      </c>
      <c r="AR5" s="2" t="s">
        <v>47</v>
      </c>
    </row>
    <row r="6" spans="1:44" x14ac:dyDescent="0.2">
      <c r="A6" s="3" t="s">
        <v>48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</row>
    <row r="7" spans="1:44" x14ac:dyDescent="0.2">
      <c r="A7" s="5" t="s">
        <v>49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1:44" x14ac:dyDescent="0.2">
      <c r="A8" s="6" t="s">
        <v>50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spans="1:44" x14ac:dyDescent="0.2">
      <c r="A9" s="7" t="s">
        <v>51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</row>
    <row r="10" spans="1:44" x14ac:dyDescent="0.2">
      <c r="A10" s="8" t="s">
        <v>52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</row>
    <row r="11" spans="1:44" x14ac:dyDescent="0.2">
      <c r="A11" s="9" t="s">
        <v>53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6600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f>SUM(B11:AQ11)</f>
        <v>6600</v>
      </c>
    </row>
    <row r="12" spans="1:44" x14ac:dyDescent="0.2">
      <c r="A12" s="9" t="s">
        <v>54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19251</v>
      </c>
      <c r="N12" s="10">
        <v>5421</v>
      </c>
      <c r="O12" s="10">
        <v>2239</v>
      </c>
      <c r="P12" s="10">
        <v>17002</v>
      </c>
      <c r="Q12" s="10">
        <v>57691</v>
      </c>
      <c r="R12" s="10">
        <v>10958</v>
      </c>
      <c r="S12" s="10">
        <v>36588</v>
      </c>
      <c r="T12" s="10">
        <v>5312.5</v>
      </c>
      <c r="U12" s="10">
        <v>36534</v>
      </c>
      <c r="V12" s="10">
        <v>19047.5</v>
      </c>
      <c r="W12" s="10">
        <v>20170</v>
      </c>
      <c r="X12" s="10">
        <v>6909.25</v>
      </c>
      <c r="Y12" s="10">
        <v>12409</v>
      </c>
      <c r="Z12" s="10">
        <v>11276.5</v>
      </c>
      <c r="AA12" s="10">
        <v>18722.25</v>
      </c>
      <c r="AB12" s="10">
        <v>23790.25</v>
      </c>
      <c r="AC12" s="10">
        <v>28668.560000000001</v>
      </c>
      <c r="AD12" s="10">
        <v>35304</v>
      </c>
      <c r="AE12" s="10">
        <v>47710.75</v>
      </c>
      <c r="AF12" s="10">
        <v>0</v>
      </c>
      <c r="AG12" s="10">
        <v>78050.5</v>
      </c>
      <c r="AH12" s="10">
        <v>49185.25</v>
      </c>
      <c r="AI12" s="10">
        <v>33775.75</v>
      </c>
      <c r="AJ12" s="10">
        <v>32317.5</v>
      </c>
      <c r="AK12" s="10">
        <v>12344.31</v>
      </c>
      <c r="AL12" s="10">
        <v>21560</v>
      </c>
      <c r="AM12" s="10">
        <v>29212.69</v>
      </c>
      <c r="AN12" s="10">
        <v>32185.19</v>
      </c>
      <c r="AO12" s="10">
        <v>28048.400000000001</v>
      </c>
      <c r="AP12" s="10">
        <v>32764</v>
      </c>
      <c r="AQ12" s="10">
        <v>23177</v>
      </c>
      <c r="AR12" s="10">
        <f>SUM(B12:AQ12)</f>
        <v>787625.15</v>
      </c>
    </row>
    <row r="13" spans="1:44" x14ac:dyDescent="0.2">
      <c r="A13" s="9" t="s">
        <v>55</v>
      </c>
      <c r="B13" s="10">
        <v>0</v>
      </c>
      <c r="C13" s="10">
        <v>0</v>
      </c>
      <c r="D13" s="10">
        <v>0</v>
      </c>
      <c r="E13" s="10">
        <v>6600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-6600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f>SUM(B13:AQ13)</f>
        <v>0</v>
      </c>
    </row>
    <row r="14" spans="1:44" x14ac:dyDescent="0.2">
      <c r="A14" s="9" t="s">
        <v>56</v>
      </c>
      <c r="B14" s="10">
        <v>18505</v>
      </c>
      <c r="C14" s="10">
        <v>20225</v>
      </c>
      <c r="D14" s="10">
        <v>45966.1</v>
      </c>
      <c r="E14" s="10">
        <v>16400</v>
      </c>
      <c r="F14" s="10">
        <v>17835</v>
      </c>
      <c r="G14" s="10">
        <v>140582.9</v>
      </c>
      <c r="H14" s="10">
        <v>35215</v>
      </c>
      <c r="I14" s="10">
        <v>78732.350000000006</v>
      </c>
      <c r="J14" s="10">
        <v>34546.25</v>
      </c>
      <c r="K14" s="10">
        <v>41546.25</v>
      </c>
      <c r="L14" s="10">
        <v>92628.6</v>
      </c>
      <c r="M14" s="10">
        <v>294277.3</v>
      </c>
      <c r="N14" s="10">
        <v>15435</v>
      </c>
      <c r="O14" s="10">
        <v>91499.85</v>
      </c>
      <c r="P14" s="10">
        <v>37736.25</v>
      </c>
      <c r="Q14" s="10">
        <v>21212.5</v>
      </c>
      <c r="R14" s="10">
        <v>49566.1</v>
      </c>
      <c r="S14" s="10">
        <v>147905.20000000001</v>
      </c>
      <c r="T14" s="10">
        <v>30621.25</v>
      </c>
      <c r="U14" s="10">
        <v>122599.85</v>
      </c>
      <c r="V14" s="10">
        <v>68896.25</v>
      </c>
      <c r="W14" s="10">
        <v>203681.45</v>
      </c>
      <c r="X14" s="10">
        <v>90504.85</v>
      </c>
      <c r="Y14" s="10">
        <v>106610</v>
      </c>
      <c r="Z14" s="10">
        <v>89233.75</v>
      </c>
      <c r="AA14" s="10">
        <v>155328.6</v>
      </c>
      <c r="AB14" s="10">
        <v>121530</v>
      </c>
      <c r="AC14" s="10">
        <v>107581.25</v>
      </c>
      <c r="AD14" s="10">
        <v>139021.93</v>
      </c>
      <c r="AE14" s="10">
        <v>115716.25</v>
      </c>
      <c r="AF14" s="10">
        <v>89615</v>
      </c>
      <c r="AG14" s="10">
        <v>131401.1</v>
      </c>
      <c r="AH14" s="10">
        <v>74989</v>
      </c>
      <c r="AI14" s="10">
        <v>97946.25</v>
      </c>
      <c r="AJ14" s="10">
        <v>257262.35</v>
      </c>
      <c r="AK14" s="10">
        <v>-24050.25</v>
      </c>
      <c r="AL14" s="10">
        <v>83051.25</v>
      </c>
      <c r="AM14" s="10">
        <v>96922.35</v>
      </c>
      <c r="AN14" s="10">
        <v>213685.75</v>
      </c>
      <c r="AO14" s="10">
        <v>131200</v>
      </c>
      <c r="AP14" s="10">
        <v>101752.35</v>
      </c>
      <c r="AQ14" s="10">
        <v>96521.25</v>
      </c>
      <c r="AR14" s="10">
        <f>SUM(B14:AQ14)</f>
        <v>3901436.4800000009</v>
      </c>
    </row>
    <row r="15" spans="1:44" x14ac:dyDescent="0.2">
      <c r="A15" s="11" t="s">
        <v>57</v>
      </c>
      <c r="B15" s="12">
        <f t="shared" ref="B15:AR15" si="0">SUM(B11:B14)</f>
        <v>18505</v>
      </c>
      <c r="C15" s="12">
        <f t="shared" si="0"/>
        <v>20225</v>
      </c>
      <c r="D15" s="12">
        <f t="shared" si="0"/>
        <v>45966.1</v>
      </c>
      <c r="E15" s="12">
        <f t="shared" si="0"/>
        <v>23000</v>
      </c>
      <c r="F15" s="12">
        <f t="shared" si="0"/>
        <v>17835</v>
      </c>
      <c r="G15" s="12">
        <f t="shared" si="0"/>
        <v>140582.9</v>
      </c>
      <c r="H15" s="12">
        <f t="shared" si="0"/>
        <v>35215</v>
      </c>
      <c r="I15" s="12">
        <f t="shared" si="0"/>
        <v>78732.350000000006</v>
      </c>
      <c r="J15" s="12">
        <f t="shared" si="0"/>
        <v>34546.25</v>
      </c>
      <c r="K15" s="12">
        <f t="shared" si="0"/>
        <v>41546.25</v>
      </c>
      <c r="L15" s="12">
        <f t="shared" si="0"/>
        <v>92628.6</v>
      </c>
      <c r="M15" s="12">
        <f t="shared" si="0"/>
        <v>313528.3</v>
      </c>
      <c r="N15" s="12">
        <f t="shared" si="0"/>
        <v>20856</v>
      </c>
      <c r="O15" s="12">
        <f t="shared" si="0"/>
        <v>93738.85</v>
      </c>
      <c r="P15" s="12">
        <f t="shared" si="0"/>
        <v>54738.25</v>
      </c>
      <c r="Q15" s="12">
        <f t="shared" si="0"/>
        <v>78903.5</v>
      </c>
      <c r="R15" s="12">
        <f t="shared" si="0"/>
        <v>60524.1</v>
      </c>
      <c r="S15" s="12">
        <f t="shared" si="0"/>
        <v>184493.2</v>
      </c>
      <c r="T15" s="12">
        <f t="shared" si="0"/>
        <v>35933.75</v>
      </c>
      <c r="U15" s="12">
        <f t="shared" si="0"/>
        <v>159133.85</v>
      </c>
      <c r="V15" s="12">
        <f t="shared" si="0"/>
        <v>87943.75</v>
      </c>
      <c r="W15" s="12">
        <f t="shared" si="0"/>
        <v>223851.45</v>
      </c>
      <c r="X15" s="12">
        <f t="shared" si="0"/>
        <v>97414.1</v>
      </c>
      <c r="Y15" s="12">
        <f t="shared" si="0"/>
        <v>119019</v>
      </c>
      <c r="Z15" s="12">
        <f t="shared" si="0"/>
        <v>100510.25</v>
      </c>
      <c r="AA15" s="12">
        <f t="shared" si="0"/>
        <v>174050.85</v>
      </c>
      <c r="AB15" s="12">
        <f t="shared" si="0"/>
        <v>145320.25</v>
      </c>
      <c r="AC15" s="12">
        <f t="shared" si="0"/>
        <v>136249.81</v>
      </c>
      <c r="AD15" s="12">
        <f t="shared" si="0"/>
        <v>174325.93</v>
      </c>
      <c r="AE15" s="12">
        <f t="shared" si="0"/>
        <v>163427</v>
      </c>
      <c r="AF15" s="12">
        <f t="shared" si="0"/>
        <v>89615</v>
      </c>
      <c r="AG15" s="12">
        <f t="shared" si="0"/>
        <v>209451.6</v>
      </c>
      <c r="AH15" s="12">
        <f t="shared" si="0"/>
        <v>124174.25</v>
      </c>
      <c r="AI15" s="12">
        <f t="shared" si="0"/>
        <v>131722</v>
      </c>
      <c r="AJ15" s="12">
        <f t="shared" si="0"/>
        <v>289579.84999999998</v>
      </c>
      <c r="AK15" s="12">
        <f t="shared" si="0"/>
        <v>-11705.94</v>
      </c>
      <c r="AL15" s="12">
        <f t="shared" si="0"/>
        <v>104611.25</v>
      </c>
      <c r="AM15" s="12">
        <f t="shared" si="0"/>
        <v>126135.04000000001</v>
      </c>
      <c r="AN15" s="12">
        <f t="shared" si="0"/>
        <v>245870.94</v>
      </c>
      <c r="AO15" s="12">
        <f t="shared" si="0"/>
        <v>159248.4</v>
      </c>
      <c r="AP15" s="12">
        <f t="shared" si="0"/>
        <v>134516.35</v>
      </c>
      <c r="AQ15" s="12">
        <f t="shared" si="0"/>
        <v>119698.25</v>
      </c>
      <c r="AR15" s="12">
        <f t="shared" si="0"/>
        <v>4695661.6300000008</v>
      </c>
    </row>
    <row r="16" spans="1:44" x14ac:dyDescent="0.2">
      <c r="A16" s="8" t="s">
        <v>58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1:44" x14ac:dyDescent="0.2">
      <c r="A17" s="9" t="s">
        <v>59</v>
      </c>
      <c r="B17" s="10">
        <v>0</v>
      </c>
      <c r="C17" s="10">
        <v>0.38</v>
      </c>
      <c r="D17" s="10">
        <v>0</v>
      </c>
      <c r="E17" s="10">
        <v>-0.38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59.15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0.01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-20264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f>SUM(B17:AQ17)</f>
        <v>-20204.84</v>
      </c>
    </row>
    <row r="18" spans="1:44" x14ac:dyDescent="0.2">
      <c r="A18" s="9" t="s">
        <v>60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5887.84</v>
      </c>
      <c r="H18" s="10">
        <v>5330.39</v>
      </c>
      <c r="I18" s="10">
        <v>0</v>
      </c>
      <c r="J18" s="10">
        <v>0</v>
      </c>
      <c r="K18" s="10">
        <v>0</v>
      </c>
      <c r="L18" s="10">
        <v>6497.81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2154.7199999999998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5413.13</v>
      </c>
      <c r="AP18" s="10">
        <v>0</v>
      </c>
      <c r="AQ18" s="10">
        <v>0</v>
      </c>
      <c r="AR18" s="10">
        <f>SUM(B18:AQ18)</f>
        <v>25283.890000000003</v>
      </c>
    </row>
    <row r="19" spans="1:44" x14ac:dyDescent="0.2">
      <c r="A19" s="9" t="s">
        <v>61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325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f>SUM(B19:AQ19)</f>
        <v>325</v>
      </c>
    </row>
    <row r="20" spans="1:44" x14ac:dyDescent="0.2">
      <c r="A20" s="13" t="s">
        <v>62</v>
      </c>
      <c r="B20" s="14">
        <f t="shared" ref="B20:AR20" si="1">SUM(B17:B19)</f>
        <v>0</v>
      </c>
      <c r="C20" s="14">
        <f t="shared" si="1"/>
        <v>0.38</v>
      </c>
      <c r="D20" s="14">
        <f t="shared" si="1"/>
        <v>0</v>
      </c>
      <c r="E20" s="14">
        <f t="shared" si="1"/>
        <v>-0.38</v>
      </c>
      <c r="F20" s="14">
        <f t="shared" si="1"/>
        <v>0</v>
      </c>
      <c r="G20" s="14">
        <f t="shared" si="1"/>
        <v>5887.84</v>
      </c>
      <c r="H20" s="14">
        <f t="shared" si="1"/>
        <v>5330.39</v>
      </c>
      <c r="I20" s="14">
        <f t="shared" si="1"/>
        <v>0</v>
      </c>
      <c r="J20" s="14">
        <f t="shared" si="1"/>
        <v>0</v>
      </c>
      <c r="K20" s="14">
        <f t="shared" si="1"/>
        <v>59.15</v>
      </c>
      <c r="L20" s="14">
        <f t="shared" si="1"/>
        <v>6497.81</v>
      </c>
      <c r="M20" s="14">
        <f t="shared" si="1"/>
        <v>325</v>
      </c>
      <c r="N20" s="14">
        <f t="shared" si="1"/>
        <v>0</v>
      </c>
      <c r="O20" s="14">
        <f t="shared" si="1"/>
        <v>0</v>
      </c>
      <c r="P20" s="14">
        <f t="shared" si="1"/>
        <v>0</v>
      </c>
      <c r="Q20" s="14">
        <f t="shared" si="1"/>
        <v>0</v>
      </c>
      <c r="R20" s="14">
        <f t="shared" si="1"/>
        <v>0</v>
      </c>
      <c r="S20" s="14">
        <f t="shared" si="1"/>
        <v>0</v>
      </c>
      <c r="T20" s="14">
        <f t="shared" si="1"/>
        <v>2154.7199999999998</v>
      </c>
      <c r="U20" s="14">
        <f t="shared" si="1"/>
        <v>0.01</v>
      </c>
      <c r="V20" s="14">
        <f t="shared" si="1"/>
        <v>0</v>
      </c>
      <c r="W20" s="14">
        <f t="shared" si="1"/>
        <v>0</v>
      </c>
      <c r="X20" s="14">
        <f t="shared" si="1"/>
        <v>0</v>
      </c>
      <c r="Y20" s="14">
        <f t="shared" si="1"/>
        <v>0</v>
      </c>
      <c r="Z20" s="14">
        <f t="shared" si="1"/>
        <v>0</v>
      </c>
      <c r="AA20" s="14">
        <f t="shared" si="1"/>
        <v>0</v>
      </c>
      <c r="AB20" s="14">
        <f t="shared" si="1"/>
        <v>0</v>
      </c>
      <c r="AC20" s="14">
        <f t="shared" si="1"/>
        <v>0</v>
      </c>
      <c r="AD20" s="14">
        <f t="shared" si="1"/>
        <v>0</v>
      </c>
      <c r="AE20" s="14">
        <f t="shared" si="1"/>
        <v>0</v>
      </c>
      <c r="AF20" s="14">
        <f t="shared" si="1"/>
        <v>0</v>
      </c>
      <c r="AG20" s="14">
        <f t="shared" si="1"/>
        <v>0</v>
      </c>
      <c r="AH20" s="14">
        <f t="shared" si="1"/>
        <v>0</v>
      </c>
      <c r="AI20" s="14">
        <f t="shared" si="1"/>
        <v>0</v>
      </c>
      <c r="AJ20" s="14">
        <f t="shared" si="1"/>
        <v>0</v>
      </c>
      <c r="AK20" s="14">
        <f t="shared" si="1"/>
        <v>-20264</v>
      </c>
      <c r="AL20" s="14">
        <f t="shared" si="1"/>
        <v>0</v>
      </c>
      <c r="AM20" s="14">
        <f t="shared" si="1"/>
        <v>0</v>
      </c>
      <c r="AN20" s="14">
        <f t="shared" si="1"/>
        <v>0</v>
      </c>
      <c r="AO20" s="14">
        <f t="shared" si="1"/>
        <v>5413.13</v>
      </c>
      <c r="AP20" s="14">
        <f t="shared" si="1"/>
        <v>0</v>
      </c>
      <c r="AQ20" s="14">
        <f t="shared" si="1"/>
        <v>0</v>
      </c>
      <c r="AR20" s="14">
        <f t="shared" si="1"/>
        <v>5404.0500000000029</v>
      </c>
    </row>
    <row r="21" spans="1:44" x14ac:dyDescent="0.2">
      <c r="A21" s="15" t="s">
        <v>63</v>
      </c>
      <c r="B21" s="14">
        <f t="shared" ref="B21:AR21" si="2">B15+0+0+B20</f>
        <v>18505</v>
      </c>
      <c r="C21" s="14">
        <f t="shared" si="2"/>
        <v>20225.38</v>
      </c>
      <c r="D21" s="14">
        <f t="shared" si="2"/>
        <v>45966.1</v>
      </c>
      <c r="E21" s="14">
        <f t="shared" si="2"/>
        <v>22999.62</v>
      </c>
      <c r="F21" s="14">
        <f t="shared" si="2"/>
        <v>17835</v>
      </c>
      <c r="G21" s="14">
        <f t="shared" si="2"/>
        <v>146470.74</v>
      </c>
      <c r="H21" s="14">
        <f t="shared" si="2"/>
        <v>40545.39</v>
      </c>
      <c r="I21" s="14">
        <f t="shared" si="2"/>
        <v>78732.350000000006</v>
      </c>
      <c r="J21" s="14">
        <f t="shared" si="2"/>
        <v>34546.25</v>
      </c>
      <c r="K21" s="14">
        <f t="shared" si="2"/>
        <v>41605.4</v>
      </c>
      <c r="L21" s="14">
        <f t="shared" si="2"/>
        <v>99126.41</v>
      </c>
      <c r="M21" s="14">
        <f t="shared" si="2"/>
        <v>313853.3</v>
      </c>
      <c r="N21" s="14">
        <f t="shared" si="2"/>
        <v>20856</v>
      </c>
      <c r="O21" s="14">
        <f t="shared" si="2"/>
        <v>93738.85</v>
      </c>
      <c r="P21" s="14">
        <f t="shared" si="2"/>
        <v>54738.25</v>
      </c>
      <c r="Q21" s="14">
        <f t="shared" si="2"/>
        <v>78903.5</v>
      </c>
      <c r="R21" s="14">
        <f t="shared" si="2"/>
        <v>60524.1</v>
      </c>
      <c r="S21" s="14">
        <f t="shared" si="2"/>
        <v>184493.2</v>
      </c>
      <c r="T21" s="14">
        <f t="shared" si="2"/>
        <v>38088.47</v>
      </c>
      <c r="U21" s="14">
        <f t="shared" si="2"/>
        <v>159133.86000000002</v>
      </c>
      <c r="V21" s="14">
        <f t="shared" si="2"/>
        <v>87943.75</v>
      </c>
      <c r="W21" s="14">
        <f t="shared" si="2"/>
        <v>223851.45</v>
      </c>
      <c r="X21" s="14">
        <f t="shared" si="2"/>
        <v>97414.1</v>
      </c>
      <c r="Y21" s="14">
        <f t="shared" si="2"/>
        <v>119019</v>
      </c>
      <c r="Z21" s="14">
        <f t="shared" si="2"/>
        <v>100510.25</v>
      </c>
      <c r="AA21" s="14">
        <f t="shared" si="2"/>
        <v>174050.85</v>
      </c>
      <c r="AB21" s="14">
        <f t="shared" si="2"/>
        <v>145320.25</v>
      </c>
      <c r="AC21" s="14">
        <f t="shared" si="2"/>
        <v>136249.81</v>
      </c>
      <c r="AD21" s="14">
        <f t="shared" si="2"/>
        <v>174325.93</v>
      </c>
      <c r="AE21" s="14">
        <f t="shared" si="2"/>
        <v>163427</v>
      </c>
      <c r="AF21" s="14">
        <f t="shared" si="2"/>
        <v>89615</v>
      </c>
      <c r="AG21" s="14">
        <f t="shared" si="2"/>
        <v>209451.6</v>
      </c>
      <c r="AH21" s="14">
        <f t="shared" si="2"/>
        <v>124174.25</v>
      </c>
      <c r="AI21" s="14">
        <f t="shared" si="2"/>
        <v>131722</v>
      </c>
      <c r="AJ21" s="14">
        <f t="shared" si="2"/>
        <v>289579.84999999998</v>
      </c>
      <c r="AK21" s="14">
        <f t="shared" si="2"/>
        <v>-31969.940000000002</v>
      </c>
      <c r="AL21" s="14">
        <f t="shared" si="2"/>
        <v>104611.25</v>
      </c>
      <c r="AM21" s="14">
        <f t="shared" si="2"/>
        <v>126135.04000000001</v>
      </c>
      <c r="AN21" s="14">
        <f t="shared" si="2"/>
        <v>245870.94</v>
      </c>
      <c r="AO21" s="14">
        <f t="shared" si="2"/>
        <v>164661.53</v>
      </c>
      <c r="AP21" s="14">
        <f t="shared" si="2"/>
        <v>134516.35</v>
      </c>
      <c r="AQ21" s="14">
        <f t="shared" si="2"/>
        <v>119698.25</v>
      </c>
      <c r="AR21" s="14">
        <f t="shared" si="2"/>
        <v>4701065.6800000006</v>
      </c>
    </row>
    <row r="22" spans="1:44" x14ac:dyDescent="0.2">
      <c r="A22" s="7" t="s">
        <v>64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</row>
    <row r="23" spans="1:44" x14ac:dyDescent="0.2">
      <c r="A23" s="8" t="s">
        <v>65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1:44" x14ac:dyDescent="0.2">
      <c r="A24" s="9" t="s">
        <v>66</v>
      </c>
      <c r="B24" s="10">
        <v>0</v>
      </c>
      <c r="C24" s="10">
        <v>-32334</v>
      </c>
      <c r="D24" s="10">
        <v>0</v>
      </c>
      <c r="E24" s="10">
        <v>0</v>
      </c>
      <c r="F24" s="10">
        <v>0</v>
      </c>
      <c r="G24" s="10">
        <v>0</v>
      </c>
      <c r="H24" s="10">
        <v>-78852.12</v>
      </c>
      <c r="I24" s="10">
        <v>-23706.83</v>
      </c>
      <c r="J24" s="10">
        <v>-34946</v>
      </c>
      <c r="K24" s="10">
        <v>0</v>
      </c>
      <c r="L24" s="10">
        <v>-169770.83</v>
      </c>
      <c r="M24" s="10">
        <v>-170087</v>
      </c>
      <c r="N24" s="10">
        <v>-17572</v>
      </c>
      <c r="O24" s="10">
        <v>-39590.83</v>
      </c>
      <c r="P24" s="10">
        <v>-20705</v>
      </c>
      <c r="Q24" s="10">
        <v>-73473.2</v>
      </c>
      <c r="R24" s="10">
        <v>-17394</v>
      </c>
      <c r="S24" s="10">
        <v>-137489.82999999999</v>
      </c>
      <c r="T24" s="10">
        <v>-28747</v>
      </c>
      <c r="U24" s="10">
        <v>-41188.83</v>
      </c>
      <c r="V24" s="10">
        <v>-47338</v>
      </c>
      <c r="W24" s="10">
        <v>-101218.5</v>
      </c>
      <c r="X24" s="10">
        <v>-44266</v>
      </c>
      <c r="Y24" s="10">
        <v>-93810.83</v>
      </c>
      <c r="Z24" s="10">
        <v>-64127</v>
      </c>
      <c r="AA24" s="10">
        <v>-114167.83</v>
      </c>
      <c r="AB24" s="10">
        <v>-87062</v>
      </c>
      <c r="AC24" s="10">
        <v>-71487.94</v>
      </c>
      <c r="AD24" s="10">
        <v>-93102.83</v>
      </c>
      <c r="AE24" s="10">
        <v>-77116</v>
      </c>
      <c r="AF24" s="10">
        <v>0</v>
      </c>
      <c r="AG24" s="10">
        <v>-170431.86</v>
      </c>
      <c r="AH24" s="10">
        <v>-56692</v>
      </c>
      <c r="AI24" s="10">
        <v>-152.80000000000001</v>
      </c>
      <c r="AJ24" s="10">
        <v>-189965.86</v>
      </c>
      <c r="AK24" s="10">
        <v>-68825</v>
      </c>
      <c r="AL24" s="10">
        <v>-63846</v>
      </c>
      <c r="AM24" s="10">
        <v>-80389.86</v>
      </c>
      <c r="AN24" s="10">
        <v>-49224</v>
      </c>
      <c r="AO24" s="10">
        <v>-43755.29</v>
      </c>
      <c r="AP24" s="10">
        <v>-81245.61</v>
      </c>
      <c r="AQ24" s="10">
        <v>-92642</v>
      </c>
      <c r="AR24" s="10">
        <f>SUM(B24:AQ24)</f>
        <v>-2576724.6799999997</v>
      </c>
    </row>
    <row r="25" spans="1:44" x14ac:dyDescent="0.2">
      <c r="A25" s="13" t="s">
        <v>67</v>
      </c>
      <c r="B25" s="14">
        <f t="shared" ref="B25:AR25" si="3">SUM(B24)</f>
        <v>0</v>
      </c>
      <c r="C25" s="14">
        <f t="shared" si="3"/>
        <v>-32334</v>
      </c>
      <c r="D25" s="14">
        <f t="shared" si="3"/>
        <v>0</v>
      </c>
      <c r="E25" s="14">
        <f t="shared" si="3"/>
        <v>0</v>
      </c>
      <c r="F25" s="14">
        <f t="shared" si="3"/>
        <v>0</v>
      </c>
      <c r="G25" s="14">
        <f t="shared" si="3"/>
        <v>0</v>
      </c>
      <c r="H25" s="14">
        <f t="shared" si="3"/>
        <v>-78852.12</v>
      </c>
      <c r="I25" s="14">
        <f t="shared" si="3"/>
        <v>-23706.83</v>
      </c>
      <c r="J25" s="14">
        <f t="shared" si="3"/>
        <v>-34946</v>
      </c>
      <c r="K25" s="14">
        <f t="shared" si="3"/>
        <v>0</v>
      </c>
      <c r="L25" s="14">
        <f t="shared" si="3"/>
        <v>-169770.83</v>
      </c>
      <c r="M25" s="14">
        <f t="shared" si="3"/>
        <v>-170087</v>
      </c>
      <c r="N25" s="14">
        <f t="shared" si="3"/>
        <v>-17572</v>
      </c>
      <c r="O25" s="14">
        <f t="shared" si="3"/>
        <v>-39590.83</v>
      </c>
      <c r="P25" s="14">
        <f t="shared" si="3"/>
        <v>-20705</v>
      </c>
      <c r="Q25" s="14">
        <f t="shared" si="3"/>
        <v>-73473.2</v>
      </c>
      <c r="R25" s="14">
        <f t="shared" si="3"/>
        <v>-17394</v>
      </c>
      <c r="S25" s="14">
        <f t="shared" si="3"/>
        <v>-137489.82999999999</v>
      </c>
      <c r="T25" s="14">
        <f t="shared" si="3"/>
        <v>-28747</v>
      </c>
      <c r="U25" s="14">
        <f t="shared" si="3"/>
        <v>-41188.83</v>
      </c>
      <c r="V25" s="14">
        <f t="shared" si="3"/>
        <v>-47338</v>
      </c>
      <c r="W25" s="14">
        <f t="shared" si="3"/>
        <v>-101218.5</v>
      </c>
      <c r="X25" s="14">
        <f t="shared" si="3"/>
        <v>-44266</v>
      </c>
      <c r="Y25" s="14">
        <f t="shared" si="3"/>
        <v>-93810.83</v>
      </c>
      <c r="Z25" s="14">
        <f t="shared" si="3"/>
        <v>-64127</v>
      </c>
      <c r="AA25" s="14">
        <f t="shared" si="3"/>
        <v>-114167.83</v>
      </c>
      <c r="AB25" s="14">
        <f t="shared" si="3"/>
        <v>-87062</v>
      </c>
      <c r="AC25" s="14">
        <f t="shared" si="3"/>
        <v>-71487.94</v>
      </c>
      <c r="AD25" s="14">
        <f t="shared" si="3"/>
        <v>-93102.83</v>
      </c>
      <c r="AE25" s="14">
        <f t="shared" si="3"/>
        <v>-77116</v>
      </c>
      <c r="AF25" s="14">
        <f t="shared" si="3"/>
        <v>0</v>
      </c>
      <c r="AG25" s="14">
        <f t="shared" si="3"/>
        <v>-170431.86</v>
      </c>
      <c r="AH25" s="14">
        <f t="shared" si="3"/>
        <v>-56692</v>
      </c>
      <c r="AI25" s="14">
        <f t="shared" si="3"/>
        <v>-152.80000000000001</v>
      </c>
      <c r="AJ25" s="14">
        <f t="shared" si="3"/>
        <v>-189965.86</v>
      </c>
      <c r="AK25" s="14">
        <f t="shared" si="3"/>
        <v>-68825</v>
      </c>
      <c r="AL25" s="14">
        <f t="shared" si="3"/>
        <v>-63846</v>
      </c>
      <c r="AM25" s="14">
        <f t="shared" si="3"/>
        <v>-80389.86</v>
      </c>
      <c r="AN25" s="14">
        <f t="shared" si="3"/>
        <v>-49224</v>
      </c>
      <c r="AO25" s="14">
        <f t="shared" si="3"/>
        <v>-43755.29</v>
      </c>
      <c r="AP25" s="14">
        <f t="shared" si="3"/>
        <v>-81245.61</v>
      </c>
      <c r="AQ25" s="14">
        <f t="shared" si="3"/>
        <v>-92642</v>
      </c>
      <c r="AR25" s="14">
        <f t="shared" si="3"/>
        <v>-2576724.6799999997</v>
      </c>
    </row>
    <row r="26" spans="1:44" x14ac:dyDescent="0.2">
      <c r="A26" s="15" t="s">
        <v>68</v>
      </c>
      <c r="B26" s="14">
        <f t="shared" ref="B26:AR26" si="4">0+B25</f>
        <v>0</v>
      </c>
      <c r="C26" s="14">
        <f t="shared" si="4"/>
        <v>-32334</v>
      </c>
      <c r="D26" s="14">
        <f t="shared" si="4"/>
        <v>0</v>
      </c>
      <c r="E26" s="14">
        <f t="shared" si="4"/>
        <v>0</v>
      </c>
      <c r="F26" s="14">
        <f t="shared" si="4"/>
        <v>0</v>
      </c>
      <c r="G26" s="14">
        <f t="shared" si="4"/>
        <v>0</v>
      </c>
      <c r="H26" s="14">
        <f t="shared" si="4"/>
        <v>-78852.12</v>
      </c>
      <c r="I26" s="14">
        <f t="shared" si="4"/>
        <v>-23706.83</v>
      </c>
      <c r="J26" s="14">
        <f t="shared" si="4"/>
        <v>-34946</v>
      </c>
      <c r="K26" s="14">
        <f t="shared" si="4"/>
        <v>0</v>
      </c>
      <c r="L26" s="14">
        <f t="shared" si="4"/>
        <v>-169770.83</v>
      </c>
      <c r="M26" s="14">
        <f t="shared" si="4"/>
        <v>-170087</v>
      </c>
      <c r="N26" s="14">
        <f t="shared" si="4"/>
        <v>-17572</v>
      </c>
      <c r="O26" s="14">
        <f t="shared" si="4"/>
        <v>-39590.83</v>
      </c>
      <c r="P26" s="14">
        <f t="shared" si="4"/>
        <v>-20705</v>
      </c>
      <c r="Q26" s="14">
        <f t="shared" si="4"/>
        <v>-73473.2</v>
      </c>
      <c r="R26" s="14">
        <f t="shared" si="4"/>
        <v>-17394</v>
      </c>
      <c r="S26" s="14">
        <f t="shared" si="4"/>
        <v>-137489.82999999999</v>
      </c>
      <c r="T26" s="14">
        <f t="shared" si="4"/>
        <v>-28747</v>
      </c>
      <c r="U26" s="14">
        <f t="shared" si="4"/>
        <v>-41188.83</v>
      </c>
      <c r="V26" s="14">
        <f t="shared" si="4"/>
        <v>-47338</v>
      </c>
      <c r="W26" s="14">
        <f t="shared" si="4"/>
        <v>-101218.5</v>
      </c>
      <c r="X26" s="14">
        <f t="shared" si="4"/>
        <v>-44266</v>
      </c>
      <c r="Y26" s="14">
        <f t="shared" si="4"/>
        <v>-93810.83</v>
      </c>
      <c r="Z26" s="14">
        <f t="shared" si="4"/>
        <v>-64127</v>
      </c>
      <c r="AA26" s="14">
        <f t="shared" si="4"/>
        <v>-114167.83</v>
      </c>
      <c r="AB26" s="14">
        <f t="shared" si="4"/>
        <v>-87062</v>
      </c>
      <c r="AC26" s="14">
        <f t="shared" si="4"/>
        <v>-71487.94</v>
      </c>
      <c r="AD26" s="14">
        <f t="shared" si="4"/>
        <v>-93102.83</v>
      </c>
      <c r="AE26" s="14">
        <f t="shared" si="4"/>
        <v>-77116</v>
      </c>
      <c r="AF26" s="14">
        <f t="shared" si="4"/>
        <v>0</v>
      </c>
      <c r="AG26" s="14">
        <f t="shared" si="4"/>
        <v>-170431.86</v>
      </c>
      <c r="AH26" s="14">
        <f t="shared" si="4"/>
        <v>-56692</v>
      </c>
      <c r="AI26" s="14">
        <f t="shared" si="4"/>
        <v>-152.80000000000001</v>
      </c>
      <c r="AJ26" s="14">
        <f t="shared" si="4"/>
        <v>-189965.86</v>
      </c>
      <c r="AK26" s="14">
        <f t="shared" si="4"/>
        <v>-68825</v>
      </c>
      <c r="AL26" s="14">
        <f t="shared" si="4"/>
        <v>-63846</v>
      </c>
      <c r="AM26" s="14">
        <f t="shared" si="4"/>
        <v>-80389.86</v>
      </c>
      <c r="AN26" s="14">
        <f t="shared" si="4"/>
        <v>-49224</v>
      </c>
      <c r="AO26" s="14">
        <f t="shared" si="4"/>
        <v>-43755.29</v>
      </c>
      <c r="AP26" s="14">
        <f t="shared" si="4"/>
        <v>-81245.61</v>
      </c>
      <c r="AQ26" s="14">
        <f t="shared" si="4"/>
        <v>-92642</v>
      </c>
      <c r="AR26" s="14">
        <f t="shared" si="4"/>
        <v>-2576724.6799999997</v>
      </c>
    </row>
    <row r="27" spans="1:44" x14ac:dyDescent="0.2">
      <c r="A27" s="16" t="s">
        <v>69</v>
      </c>
      <c r="B27" s="14">
        <f t="shared" ref="B27:AR27" si="5">B21+B26</f>
        <v>18505</v>
      </c>
      <c r="C27" s="14">
        <f t="shared" si="5"/>
        <v>-12108.619999999999</v>
      </c>
      <c r="D27" s="14">
        <f t="shared" si="5"/>
        <v>45966.1</v>
      </c>
      <c r="E27" s="14">
        <f t="shared" si="5"/>
        <v>22999.62</v>
      </c>
      <c r="F27" s="14">
        <f t="shared" si="5"/>
        <v>17835</v>
      </c>
      <c r="G27" s="14">
        <f t="shared" si="5"/>
        <v>146470.74</v>
      </c>
      <c r="H27" s="14">
        <f t="shared" si="5"/>
        <v>-38306.729999999996</v>
      </c>
      <c r="I27" s="14">
        <f t="shared" si="5"/>
        <v>55025.520000000004</v>
      </c>
      <c r="J27" s="14">
        <f t="shared" si="5"/>
        <v>-399.75</v>
      </c>
      <c r="K27" s="14">
        <f t="shared" si="5"/>
        <v>41605.4</v>
      </c>
      <c r="L27" s="14">
        <f t="shared" si="5"/>
        <v>-70644.419999999984</v>
      </c>
      <c r="M27" s="14">
        <f t="shared" si="5"/>
        <v>143766.29999999999</v>
      </c>
      <c r="N27" s="14">
        <f t="shared" si="5"/>
        <v>3284</v>
      </c>
      <c r="O27" s="14">
        <f t="shared" si="5"/>
        <v>54148.020000000004</v>
      </c>
      <c r="P27" s="14">
        <f t="shared" si="5"/>
        <v>34033.25</v>
      </c>
      <c r="Q27" s="14">
        <f t="shared" si="5"/>
        <v>5430.3000000000029</v>
      </c>
      <c r="R27" s="14">
        <f t="shared" si="5"/>
        <v>43130.1</v>
      </c>
      <c r="S27" s="14">
        <f t="shared" si="5"/>
        <v>47003.370000000024</v>
      </c>
      <c r="T27" s="14">
        <f t="shared" si="5"/>
        <v>9341.4700000000012</v>
      </c>
      <c r="U27" s="14">
        <f t="shared" si="5"/>
        <v>117945.03000000001</v>
      </c>
      <c r="V27" s="14">
        <f t="shared" si="5"/>
        <v>40605.75</v>
      </c>
      <c r="W27" s="14">
        <f t="shared" si="5"/>
        <v>122632.95000000001</v>
      </c>
      <c r="X27" s="14">
        <f t="shared" si="5"/>
        <v>53148.100000000006</v>
      </c>
      <c r="Y27" s="14">
        <f t="shared" si="5"/>
        <v>25208.17</v>
      </c>
      <c r="Z27" s="14">
        <f t="shared" si="5"/>
        <v>36383.25</v>
      </c>
      <c r="AA27" s="14">
        <f t="shared" si="5"/>
        <v>59883.020000000004</v>
      </c>
      <c r="AB27" s="14">
        <f t="shared" si="5"/>
        <v>58258.25</v>
      </c>
      <c r="AC27" s="14">
        <f t="shared" si="5"/>
        <v>64761.869999999995</v>
      </c>
      <c r="AD27" s="14">
        <f t="shared" si="5"/>
        <v>81223.099999999991</v>
      </c>
      <c r="AE27" s="14">
        <f t="shared" si="5"/>
        <v>86311</v>
      </c>
      <c r="AF27" s="14">
        <f t="shared" si="5"/>
        <v>89615</v>
      </c>
      <c r="AG27" s="14">
        <f t="shared" si="5"/>
        <v>39019.74000000002</v>
      </c>
      <c r="AH27" s="14">
        <f t="shared" si="5"/>
        <v>67482.25</v>
      </c>
      <c r="AI27" s="14">
        <f t="shared" si="5"/>
        <v>131569.20000000001</v>
      </c>
      <c r="AJ27" s="14">
        <f t="shared" si="5"/>
        <v>99613.989999999991</v>
      </c>
      <c r="AK27" s="14">
        <f t="shared" si="5"/>
        <v>-100794.94</v>
      </c>
      <c r="AL27" s="14">
        <f t="shared" si="5"/>
        <v>40765.25</v>
      </c>
      <c r="AM27" s="14">
        <f t="shared" si="5"/>
        <v>45745.180000000008</v>
      </c>
      <c r="AN27" s="14">
        <f t="shared" si="5"/>
        <v>196646.94</v>
      </c>
      <c r="AO27" s="14">
        <f t="shared" si="5"/>
        <v>120906.23999999999</v>
      </c>
      <c r="AP27" s="14">
        <f t="shared" si="5"/>
        <v>53270.740000000005</v>
      </c>
      <c r="AQ27" s="14">
        <f t="shared" si="5"/>
        <v>27056.25</v>
      </c>
      <c r="AR27" s="14">
        <f t="shared" si="5"/>
        <v>2124341.0000000009</v>
      </c>
    </row>
    <row r="28" spans="1:44" x14ac:dyDescent="0.2">
      <c r="A28" s="6" t="s">
        <v>70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</row>
    <row r="29" spans="1:44" x14ac:dyDescent="0.2">
      <c r="A29" s="7" t="s">
        <v>71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</row>
    <row r="30" spans="1:44" x14ac:dyDescent="0.2">
      <c r="A30" s="8" t="s">
        <v>72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</row>
    <row r="31" spans="1:44" x14ac:dyDescent="0.2">
      <c r="A31" s="9" t="s">
        <v>73</v>
      </c>
      <c r="B31" s="10">
        <v>-15105.91</v>
      </c>
      <c r="C31" s="10">
        <v>-15105.91</v>
      </c>
      <c r="D31" s="10">
        <v>-16813.849999999999</v>
      </c>
      <c r="E31" s="10">
        <v>-16128.45</v>
      </c>
      <c r="F31" s="10">
        <v>-15479.74</v>
      </c>
      <c r="G31" s="10">
        <v>-29862.78</v>
      </c>
      <c r="H31" s="10">
        <v>-18827.54</v>
      </c>
      <c r="I31" s="10">
        <v>-13363.95</v>
      </c>
      <c r="J31" s="10">
        <v>-17513.96</v>
      </c>
      <c r="K31" s="10">
        <v>-17513.96</v>
      </c>
      <c r="L31" s="10">
        <v>-33637.019999999997</v>
      </c>
      <c r="M31" s="10">
        <v>-47007.19</v>
      </c>
      <c r="N31" s="10">
        <v>-23214.68</v>
      </c>
      <c r="O31" s="10">
        <v>-24402.76</v>
      </c>
      <c r="P31" s="10">
        <v>-24849.95</v>
      </c>
      <c r="Q31" s="10">
        <v>-25009.79</v>
      </c>
      <c r="R31" s="10">
        <v>-25339.46</v>
      </c>
      <c r="S31" s="10">
        <v>-47749.71</v>
      </c>
      <c r="T31" s="10">
        <v>-29112.32</v>
      </c>
      <c r="U31" s="10">
        <v>-30170.03</v>
      </c>
      <c r="V31" s="10">
        <v>-30160.03</v>
      </c>
      <c r="W31" s="10">
        <v>-30170.03</v>
      </c>
      <c r="X31" s="10">
        <v>-56594.67</v>
      </c>
      <c r="Y31" s="10">
        <v>-53760.03</v>
      </c>
      <c r="Z31" s="10">
        <v>-30285.439999999999</v>
      </c>
      <c r="AA31" s="10">
        <v>-31847.21</v>
      </c>
      <c r="AB31" s="10">
        <v>-32452.240000000002</v>
      </c>
      <c r="AC31" s="10">
        <v>-34417.449999999997</v>
      </c>
      <c r="AD31" s="10">
        <v>-34425.449999999997</v>
      </c>
      <c r="AE31" s="10">
        <v>-64335.38</v>
      </c>
      <c r="AF31" s="10">
        <v>-34425.449999999997</v>
      </c>
      <c r="AG31" s="10">
        <v>-34417.449999999997</v>
      </c>
      <c r="AH31" s="10">
        <v>-34417.449999999997</v>
      </c>
      <c r="AI31" s="10">
        <v>-34425.449999999997</v>
      </c>
      <c r="AJ31" s="10">
        <v>-63561.62</v>
      </c>
      <c r="AK31" s="10">
        <v>-35983.089999999997</v>
      </c>
      <c r="AL31" s="10">
        <v>-29969.27</v>
      </c>
      <c r="AM31" s="10">
        <v>-35241.589999999997</v>
      </c>
      <c r="AN31" s="10">
        <v>-42675.3</v>
      </c>
      <c r="AO31" s="10">
        <v>-47461.96</v>
      </c>
      <c r="AP31" s="10">
        <v>-49062.68</v>
      </c>
      <c r="AQ31" s="10">
        <v>-78225.72</v>
      </c>
      <c r="AR31" s="10">
        <f>SUM(B31:AQ31)</f>
        <v>-1404523.92</v>
      </c>
    </row>
    <row r="32" spans="1:44" x14ac:dyDescent="0.2">
      <c r="A32" s="9" t="s">
        <v>74</v>
      </c>
      <c r="B32" s="10">
        <v>0</v>
      </c>
      <c r="C32" s="10">
        <v>0</v>
      </c>
      <c r="D32" s="10">
        <v>-35.14</v>
      </c>
      <c r="E32" s="10">
        <v>0</v>
      </c>
      <c r="F32" s="10">
        <v>0</v>
      </c>
      <c r="G32" s="10">
        <v>0</v>
      </c>
      <c r="H32" s="10">
        <v>-9.99</v>
      </c>
      <c r="I32" s="10">
        <v>-15.48</v>
      </c>
      <c r="J32" s="10">
        <v>-20.23</v>
      </c>
      <c r="K32" s="10">
        <v>0</v>
      </c>
      <c r="L32" s="10">
        <v>-15.99</v>
      </c>
      <c r="M32" s="10">
        <v>-28.19</v>
      </c>
      <c r="N32" s="10">
        <v>0</v>
      </c>
      <c r="O32" s="10">
        <v>-136.44</v>
      </c>
      <c r="P32" s="10">
        <v>-11.78</v>
      </c>
      <c r="Q32" s="10">
        <v>0</v>
      </c>
      <c r="R32" s="10">
        <v>-32.57</v>
      </c>
      <c r="S32" s="10">
        <v>-59.53</v>
      </c>
      <c r="T32" s="10">
        <v>-262.94</v>
      </c>
      <c r="U32" s="10">
        <v>0</v>
      </c>
      <c r="V32" s="10">
        <v>0</v>
      </c>
      <c r="W32" s="10">
        <v>0</v>
      </c>
      <c r="X32" s="10">
        <v>-36.96</v>
      </c>
      <c r="Y32" s="10">
        <v>-180.55</v>
      </c>
      <c r="Z32" s="10">
        <v>0</v>
      </c>
      <c r="AA32" s="10">
        <v>-13.64</v>
      </c>
      <c r="AB32" s="10">
        <v>0</v>
      </c>
      <c r="AC32" s="10">
        <v>-87.71</v>
      </c>
      <c r="AD32" s="10">
        <v>0</v>
      </c>
      <c r="AE32" s="10">
        <v>-16.97</v>
      </c>
      <c r="AF32" s="10">
        <v>0</v>
      </c>
      <c r="AG32" s="10">
        <v>-594.72</v>
      </c>
      <c r="AH32" s="10">
        <v>-13.5</v>
      </c>
      <c r="AI32" s="10">
        <v>0</v>
      </c>
      <c r="AJ32" s="10">
        <v>62.18</v>
      </c>
      <c r="AK32" s="10">
        <v>-467.46</v>
      </c>
      <c r="AL32" s="10">
        <v>-80.84</v>
      </c>
      <c r="AM32" s="10">
        <v>0</v>
      </c>
      <c r="AN32" s="10">
        <v>-18.16</v>
      </c>
      <c r="AO32" s="10">
        <v>-83.88</v>
      </c>
      <c r="AP32" s="10">
        <v>-108.68</v>
      </c>
      <c r="AQ32" s="10">
        <v>-596.79999999999995</v>
      </c>
      <c r="AR32" s="10">
        <f>SUM(B32:AQ32)</f>
        <v>-2865.9699999999993</v>
      </c>
    </row>
    <row r="33" spans="1:44" x14ac:dyDescent="0.2">
      <c r="A33" s="13" t="s">
        <v>75</v>
      </c>
      <c r="B33" s="14">
        <f t="shared" ref="B33:AR33" si="6">SUM(B31:B32)</f>
        <v>-15105.91</v>
      </c>
      <c r="C33" s="14">
        <f t="shared" si="6"/>
        <v>-15105.91</v>
      </c>
      <c r="D33" s="14">
        <f t="shared" si="6"/>
        <v>-16848.989999999998</v>
      </c>
      <c r="E33" s="14">
        <f t="shared" si="6"/>
        <v>-16128.45</v>
      </c>
      <c r="F33" s="14">
        <f t="shared" si="6"/>
        <v>-15479.74</v>
      </c>
      <c r="G33" s="14">
        <f t="shared" si="6"/>
        <v>-29862.78</v>
      </c>
      <c r="H33" s="14">
        <f t="shared" si="6"/>
        <v>-18837.530000000002</v>
      </c>
      <c r="I33" s="14">
        <f t="shared" si="6"/>
        <v>-13379.43</v>
      </c>
      <c r="J33" s="14">
        <f t="shared" si="6"/>
        <v>-17534.189999999999</v>
      </c>
      <c r="K33" s="14">
        <f t="shared" si="6"/>
        <v>-17513.96</v>
      </c>
      <c r="L33" s="14">
        <f t="shared" si="6"/>
        <v>-33653.009999999995</v>
      </c>
      <c r="M33" s="14">
        <f t="shared" si="6"/>
        <v>-47035.380000000005</v>
      </c>
      <c r="N33" s="14">
        <f t="shared" si="6"/>
        <v>-23214.68</v>
      </c>
      <c r="O33" s="14">
        <f t="shared" si="6"/>
        <v>-24539.199999999997</v>
      </c>
      <c r="P33" s="14">
        <f t="shared" si="6"/>
        <v>-24861.73</v>
      </c>
      <c r="Q33" s="14">
        <f t="shared" si="6"/>
        <v>-25009.79</v>
      </c>
      <c r="R33" s="14">
        <f t="shared" si="6"/>
        <v>-25372.03</v>
      </c>
      <c r="S33" s="14">
        <f t="shared" si="6"/>
        <v>-47809.24</v>
      </c>
      <c r="T33" s="14">
        <f t="shared" si="6"/>
        <v>-29375.26</v>
      </c>
      <c r="U33" s="14">
        <f t="shared" si="6"/>
        <v>-30170.03</v>
      </c>
      <c r="V33" s="14">
        <f t="shared" si="6"/>
        <v>-30160.03</v>
      </c>
      <c r="W33" s="14">
        <f t="shared" si="6"/>
        <v>-30170.03</v>
      </c>
      <c r="X33" s="14">
        <f t="shared" si="6"/>
        <v>-56631.63</v>
      </c>
      <c r="Y33" s="14">
        <f t="shared" si="6"/>
        <v>-53940.58</v>
      </c>
      <c r="Z33" s="14">
        <f t="shared" si="6"/>
        <v>-30285.439999999999</v>
      </c>
      <c r="AA33" s="14">
        <f t="shared" si="6"/>
        <v>-31860.85</v>
      </c>
      <c r="AB33" s="14">
        <f t="shared" si="6"/>
        <v>-32452.240000000002</v>
      </c>
      <c r="AC33" s="14">
        <f t="shared" si="6"/>
        <v>-34505.159999999996</v>
      </c>
      <c r="AD33" s="14">
        <f t="shared" si="6"/>
        <v>-34425.449999999997</v>
      </c>
      <c r="AE33" s="14">
        <f t="shared" si="6"/>
        <v>-64352.35</v>
      </c>
      <c r="AF33" s="14">
        <f t="shared" si="6"/>
        <v>-34425.449999999997</v>
      </c>
      <c r="AG33" s="14">
        <f t="shared" si="6"/>
        <v>-35012.17</v>
      </c>
      <c r="AH33" s="14">
        <f t="shared" si="6"/>
        <v>-34430.949999999997</v>
      </c>
      <c r="AI33" s="14">
        <f t="shared" si="6"/>
        <v>-34425.449999999997</v>
      </c>
      <c r="AJ33" s="14">
        <f t="shared" si="6"/>
        <v>-63499.44</v>
      </c>
      <c r="AK33" s="14">
        <f t="shared" si="6"/>
        <v>-36450.549999999996</v>
      </c>
      <c r="AL33" s="14">
        <f t="shared" si="6"/>
        <v>-30050.11</v>
      </c>
      <c r="AM33" s="14">
        <f t="shared" si="6"/>
        <v>-35241.589999999997</v>
      </c>
      <c r="AN33" s="14">
        <f t="shared" si="6"/>
        <v>-42693.460000000006</v>
      </c>
      <c r="AO33" s="14">
        <f t="shared" si="6"/>
        <v>-47545.84</v>
      </c>
      <c r="AP33" s="14">
        <f t="shared" si="6"/>
        <v>-49171.360000000001</v>
      </c>
      <c r="AQ33" s="14">
        <f t="shared" si="6"/>
        <v>-78822.52</v>
      </c>
      <c r="AR33" s="14">
        <f t="shared" si="6"/>
        <v>-1407389.89</v>
      </c>
    </row>
    <row r="34" spans="1:44" x14ac:dyDescent="0.2">
      <c r="A34" s="8" t="s">
        <v>76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</row>
    <row r="35" spans="1:44" x14ac:dyDescent="0.2">
      <c r="A35" s="9" t="s">
        <v>77</v>
      </c>
      <c r="B35" s="10">
        <v>-2396.2199999999998</v>
      </c>
      <c r="C35" s="10">
        <v>-2396.2199999999998</v>
      </c>
      <c r="D35" s="10">
        <v>-3776.9</v>
      </c>
      <c r="E35" s="10">
        <v>-2396.2199999999998</v>
      </c>
      <c r="F35" s="10">
        <v>-2396.2199999999998</v>
      </c>
      <c r="G35" s="10">
        <v>-4292.8999999999996</v>
      </c>
      <c r="H35" s="10">
        <v>-3058.34</v>
      </c>
      <c r="I35" s="10">
        <v>-2799.98</v>
      </c>
      <c r="J35" s="10">
        <v>-2799.98</v>
      </c>
      <c r="K35" s="10">
        <v>-2799.98</v>
      </c>
      <c r="L35" s="10">
        <v>-4184.8500000000004</v>
      </c>
      <c r="M35" s="10">
        <v>-5649.59</v>
      </c>
      <c r="N35" s="10">
        <v>-3965.14</v>
      </c>
      <c r="O35" s="10">
        <v>-4198.67</v>
      </c>
      <c r="P35" s="10">
        <v>-4975.7</v>
      </c>
      <c r="Q35" s="10">
        <v>-4106.95</v>
      </c>
      <c r="R35" s="10">
        <v>-4202.26</v>
      </c>
      <c r="S35" s="10">
        <v>-8239.5499999999993</v>
      </c>
      <c r="T35" s="10">
        <v>-4978.91</v>
      </c>
      <c r="U35" s="10">
        <v>-5186.25</v>
      </c>
      <c r="V35" s="10">
        <v>-5186.25</v>
      </c>
      <c r="W35" s="10">
        <v>-5186.25</v>
      </c>
      <c r="X35" s="10">
        <v>-8446.36</v>
      </c>
      <c r="Y35" s="10">
        <v>-5186.25</v>
      </c>
      <c r="Z35" s="10">
        <v>-5209.95</v>
      </c>
      <c r="AA35" s="10">
        <v>-5479.46</v>
      </c>
      <c r="AB35" s="10">
        <v>-5588.98</v>
      </c>
      <c r="AC35" s="10">
        <v>-6230.57</v>
      </c>
      <c r="AD35" s="10">
        <v>-5866.48</v>
      </c>
      <c r="AE35" s="10">
        <v>-11358.62</v>
      </c>
      <c r="AF35" s="10">
        <v>-5866.48</v>
      </c>
      <c r="AG35" s="10">
        <v>-5866.48</v>
      </c>
      <c r="AH35" s="10">
        <v>-5866.48</v>
      </c>
      <c r="AI35" s="10">
        <v>-5866.48</v>
      </c>
      <c r="AJ35" s="10">
        <v>-9513.48</v>
      </c>
      <c r="AK35" s="10">
        <v>-15836.36</v>
      </c>
      <c r="AL35" s="10">
        <v>-5051.53</v>
      </c>
      <c r="AM35" s="10">
        <v>-6086.99</v>
      </c>
      <c r="AN35" s="10">
        <v>-7272.04</v>
      </c>
      <c r="AO35" s="10">
        <v>-8197.51</v>
      </c>
      <c r="AP35" s="10">
        <v>-8508.24</v>
      </c>
      <c r="AQ35" s="10">
        <v>-13360.48</v>
      </c>
      <c r="AR35" s="10">
        <f>SUM(B35:AQ35)</f>
        <v>-239832.55000000008</v>
      </c>
    </row>
    <row r="36" spans="1:44" x14ac:dyDescent="0.2">
      <c r="A36" s="9" t="s">
        <v>78</v>
      </c>
      <c r="B36" s="10">
        <v>0</v>
      </c>
      <c r="C36" s="10">
        <v>-2000</v>
      </c>
      <c r="D36" s="10">
        <v>0</v>
      </c>
      <c r="E36" s="10">
        <v>0</v>
      </c>
      <c r="F36" s="10">
        <v>-518.54999999999995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-130</v>
      </c>
      <c r="M36" s="10">
        <v>0</v>
      </c>
      <c r="N36" s="10">
        <v>0</v>
      </c>
      <c r="O36" s="10">
        <v>0</v>
      </c>
      <c r="P36" s="10">
        <v>-130</v>
      </c>
      <c r="Q36" s="10">
        <v>0</v>
      </c>
      <c r="R36" s="10">
        <v>-528.54999999999995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-258</v>
      </c>
      <c r="Z36" s="10">
        <v>0</v>
      </c>
      <c r="AA36" s="10">
        <v>0</v>
      </c>
      <c r="AB36" s="10">
        <v>0</v>
      </c>
      <c r="AC36" s="10">
        <v>0</v>
      </c>
      <c r="AD36" s="10">
        <v>-95.4</v>
      </c>
      <c r="AE36" s="10">
        <v>-426.6</v>
      </c>
      <c r="AF36" s="10">
        <v>0</v>
      </c>
      <c r="AG36" s="10">
        <v>-84</v>
      </c>
      <c r="AH36" s="10">
        <v>0</v>
      </c>
      <c r="AI36" s="10">
        <v>0</v>
      </c>
      <c r="AJ36" s="10">
        <v>-134</v>
      </c>
      <c r="AK36" s="10">
        <v>740</v>
      </c>
      <c r="AL36" s="10">
        <v>0</v>
      </c>
      <c r="AM36" s="10">
        <v>0</v>
      </c>
      <c r="AN36" s="10">
        <v>0</v>
      </c>
      <c r="AO36" s="10">
        <v>0</v>
      </c>
      <c r="AP36" s="10">
        <v>-799.64</v>
      </c>
      <c r="AQ36" s="10">
        <v>-93</v>
      </c>
      <c r="AR36" s="10">
        <f>SUM(B36:AQ36)</f>
        <v>-4457.7400000000007</v>
      </c>
    </row>
    <row r="37" spans="1:44" x14ac:dyDescent="0.2">
      <c r="A37" s="9" t="s">
        <v>79</v>
      </c>
      <c r="B37" s="10">
        <v>-215.1</v>
      </c>
      <c r="C37" s="10">
        <v>-215.1</v>
      </c>
      <c r="D37" s="10">
        <v>-500.73</v>
      </c>
      <c r="E37" s="10">
        <v>-220.35</v>
      </c>
      <c r="F37" s="10">
        <v>-220.35</v>
      </c>
      <c r="G37" s="10">
        <v>-425.56</v>
      </c>
      <c r="H37" s="10">
        <v>-249.45</v>
      </c>
      <c r="I37" s="10">
        <v>-296.14999999999998</v>
      </c>
      <c r="J37" s="10">
        <v>-249.45</v>
      </c>
      <c r="K37" s="10">
        <v>-249.45</v>
      </c>
      <c r="L37" s="10">
        <v>-479.29</v>
      </c>
      <c r="M37" s="10">
        <v>-249.45</v>
      </c>
      <c r="N37" s="10">
        <v>-291.39999999999998</v>
      </c>
      <c r="O37" s="10">
        <v>-325.06</v>
      </c>
      <c r="P37" s="10">
        <v>-757.68</v>
      </c>
      <c r="Q37" s="10">
        <v>-356.24</v>
      </c>
      <c r="R37" s="10">
        <v>-360.82</v>
      </c>
      <c r="S37" s="10">
        <v>-680.54</v>
      </c>
      <c r="T37" s="10">
        <v>-358.53</v>
      </c>
      <c r="U37" s="10">
        <v>-429.57</v>
      </c>
      <c r="V37" s="10">
        <v>-429.57</v>
      </c>
      <c r="W37" s="10">
        <v>-429.57</v>
      </c>
      <c r="X37" s="10">
        <v>-806.57</v>
      </c>
      <c r="Y37" s="10">
        <v>-429.57</v>
      </c>
      <c r="Z37" s="10">
        <v>-431.21</v>
      </c>
      <c r="AA37" s="10">
        <v>-453.62</v>
      </c>
      <c r="AB37" s="10">
        <v>-796.51</v>
      </c>
      <c r="AC37" s="10">
        <v>-490.41</v>
      </c>
      <c r="AD37" s="10">
        <v>-490.41</v>
      </c>
      <c r="AE37" s="10">
        <v>-917.07</v>
      </c>
      <c r="AF37" s="10">
        <v>-490.41</v>
      </c>
      <c r="AG37" s="10">
        <v>-490.41</v>
      </c>
      <c r="AH37" s="10">
        <v>-490.41</v>
      </c>
      <c r="AI37" s="10">
        <v>-490.41</v>
      </c>
      <c r="AJ37" s="10">
        <v>-908.13</v>
      </c>
      <c r="AK37" s="10">
        <v>-25478.720000000001</v>
      </c>
      <c r="AL37" s="10">
        <v>-500.86</v>
      </c>
      <c r="AM37" s="10">
        <v>-503.24</v>
      </c>
      <c r="AN37" s="10">
        <v>-545.80999999999995</v>
      </c>
      <c r="AO37" s="10">
        <v>-634.12</v>
      </c>
      <c r="AP37" s="10">
        <v>-773.42</v>
      </c>
      <c r="AQ37" s="10">
        <v>-1117.02</v>
      </c>
      <c r="AR37" s="10">
        <f>SUM(B37:AQ37)</f>
        <v>-45227.739999999991</v>
      </c>
    </row>
    <row r="38" spans="1:44" x14ac:dyDescent="0.2">
      <c r="A38" s="13" t="s">
        <v>80</v>
      </c>
      <c r="B38" s="14">
        <f t="shared" ref="B38:AR38" si="7">SUM(B35:B37)</f>
        <v>-2611.3199999999997</v>
      </c>
      <c r="C38" s="14">
        <f t="shared" si="7"/>
        <v>-4611.32</v>
      </c>
      <c r="D38" s="14">
        <f t="shared" si="7"/>
        <v>-4277.63</v>
      </c>
      <c r="E38" s="14">
        <f t="shared" si="7"/>
        <v>-2616.5699999999997</v>
      </c>
      <c r="F38" s="14">
        <f t="shared" si="7"/>
        <v>-3135.1199999999994</v>
      </c>
      <c r="G38" s="14">
        <f t="shared" si="7"/>
        <v>-4718.46</v>
      </c>
      <c r="H38" s="14">
        <f t="shared" si="7"/>
        <v>-3307.79</v>
      </c>
      <c r="I38" s="14">
        <f t="shared" si="7"/>
        <v>-3096.13</v>
      </c>
      <c r="J38" s="14">
        <f t="shared" si="7"/>
        <v>-3049.43</v>
      </c>
      <c r="K38" s="14">
        <f t="shared" si="7"/>
        <v>-3049.43</v>
      </c>
      <c r="L38" s="14">
        <f t="shared" si="7"/>
        <v>-4794.1400000000003</v>
      </c>
      <c r="M38" s="14">
        <f t="shared" si="7"/>
        <v>-5899.04</v>
      </c>
      <c r="N38" s="14">
        <f t="shared" si="7"/>
        <v>-4256.54</v>
      </c>
      <c r="O38" s="14">
        <f t="shared" si="7"/>
        <v>-4523.7300000000005</v>
      </c>
      <c r="P38" s="14">
        <f t="shared" si="7"/>
        <v>-5863.38</v>
      </c>
      <c r="Q38" s="14">
        <f t="shared" si="7"/>
        <v>-4463.1899999999996</v>
      </c>
      <c r="R38" s="14">
        <f t="shared" si="7"/>
        <v>-5091.63</v>
      </c>
      <c r="S38" s="14">
        <f t="shared" si="7"/>
        <v>-8920.09</v>
      </c>
      <c r="T38" s="14">
        <f t="shared" si="7"/>
        <v>-5337.44</v>
      </c>
      <c r="U38" s="14">
        <f t="shared" si="7"/>
        <v>-5615.82</v>
      </c>
      <c r="V38" s="14">
        <f t="shared" si="7"/>
        <v>-5615.82</v>
      </c>
      <c r="W38" s="14">
        <f t="shared" si="7"/>
        <v>-5615.82</v>
      </c>
      <c r="X38" s="14">
        <f t="shared" si="7"/>
        <v>-9252.93</v>
      </c>
      <c r="Y38" s="14">
        <f t="shared" si="7"/>
        <v>-5873.82</v>
      </c>
      <c r="Z38" s="14">
        <f t="shared" si="7"/>
        <v>-5641.16</v>
      </c>
      <c r="AA38" s="14">
        <f t="shared" si="7"/>
        <v>-5933.08</v>
      </c>
      <c r="AB38" s="14">
        <f t="shared" si="7"/>
        <v>-6385.49</v>
      </c>
      <c r="AC38" s="14">
        <f t="shared" si="7"/>
        <v>-6720.98</v>
      </c>
      <c r="AD38" s="14">
        <f t="shared" si="7"/>
        <v>-6452.2899999999991</v>
      </c>
      <c r="AE38" s="14">
        <f t="shared" si="7"/>
        <v>-12702.29</v>
      </c>
      <c r="AF38" s="14">
        <f t="shared" si="7"/>
        <v>-6356.8899999999994</v>
      </c>
      <c r="AG38" s="14">
        <f t="shared" si="7"/>
        <v>-6440.8899999999994</v>
      </c>
      <c r="AH38" s="14">
        <f t="shared" si="7"/>
        <v>-6356.8899999999994</v>
      </c>
      <c r="AI38" s="14">
        <f t="shared" si="7"/>
        <v>-6356.8899999999994</v>
      </c>
      <c r="AJ38" s="14">
        <f t="shared" si="7"/>
        <v>-10555.609999999999</v>
      </c>
      <c r="AK38" s="14">
        <f t="shared" si="7"/>
        <v>-40575.08</v>
      </c>
      <c r="AL38" s="14">
        <f t="shared" si="7"/>
        <v>-5552.3899999999994</v>
      </c>
      <c r="AM38" s="14">
        <f t="shared" si="7"/>
        <v>-6590.23</v>
      </c>
      <c r="AN38" s="14">
        <f t="shared" si="7"/>
        <v>-7817.85</v>
      </c>
      <c r="AO38" s="14">
        <f t="shared" si="7"/>
        <v>-8831.630000000001</v>
      </c>
      <c r="AP38" s="14">
        <f t="shared" si="7"/>
        <v>-10081.299999999999</v>
      </c>
      <c r="AQ38" s="14">
        <f t="shared" si="7"/>
        <v>-14570.5</v>
      </c>
      <c r="AR38" s="14">
        <f t="shared" si="7"/>
        <v>-289518.03000000003</v>
      </c>
    </row>
    <row r="39" spans="1:44" x14ac:dyDescent="0.2">
      <c r="A39" s="15" t="s">
        <v>81</v>
      </c>
      <c r="B39" s="14">
        <f t="shared" ref="B39:AR39" si="8">B33+B38</f>
        <v>-17717.23</v>
      </c>
      <c r="C39" s="14">
        <f t="shared" si="8"/>
        <v>-19717.23</v>
      </c>
      <c r="D39" s="14">
        <f t="shared" si="8"/>
        <v>-21126.62</v>
      </c>
      <c r="E39" s="14">
        <f t="shared" si="8"/>
        <v>-18745.02</v>
      </c>
      <c r="F39" s="14">
        <f t="shared" si="8"/>
        <v>-18614.86</v>
      </c>
      <c r="G39" s="14">
        <f t="shared" si="8"/>
        <v>-34581.24</v>
      </c>
      <c r="H39" s="14">
        <f t="shared" si="8"/>
        <v>-22145.320000000003</v>
      </c>
      <c r="I39" s="14">
        <f t="shared" si="8"/>
        <v>-16475.560000000001</v>
      </c>
      <c r="J39" s="14">
        <f t="shared" si="8"/>
        <v>-20583.62</v>
      </c>
      <c r="K39" s="14">
        <f t="shared" si="8"/>
        <v>-20563.39</v>
      </c>
      <c r="L39" s="14">
        <f t="shared" si="8"/>
        <v>-38447.149999999994</v>
      </c>
      <c r="M39" s="14">
        <f t="shared" si="8"/>
        <v>-52934.420000000006</v>
      </c>
      <c r="N39" s="14">
        <f t="shared" si="8"/>
        <v>-27471.22</v>
      </c>
      <c r="O39" s="14">
        <f t="shared" si="8"/>
        <v>-29062.929999999997</v>
      </c>
      <c r="P39" s="14">
        <f t="shared" si="8"/>
        <v>-30725.11</v>
      </c>
      <c r="Q39" s="14">
        <f t="shared" si="8"/>
        <v>-29472.98</v>
      </c>
      <c r="R39" s="14">
        <f t="shared" si="8"/>
        <v>-30463.66</v>
      </c>
      <c r="S39" s="14">
        <f t="shared" si="8"/>
        <v>-56729.33</v>
      </c>
      <c r="T39" s="14">
        <f t="shared" si="8"/>
        <v>-34712.699999999997</v>
      </c>
      <c r="U39" s="14">
        <f t="shared" si="8"/>
        <v>-35785.85</v>
      </c>
      <c r="V39" s="14">
        <f t="shared" si="8"/>
        <v>-35775.85</v>
      </c>
      <c r="W39" s="14">
        <f t="shared" si="8"/>
        <v>-35785.85</v>
      </c>
      <c r="X39" s="14">
        <f t="shared" si="8"/>
        <v>-65884.56</v>
      </c>
      <c r="Y39" s="14">
        <f t="shared" si="8"/>
        <v>-59814.400000000001</v>
      </c>
      <c r="Z39" s="14">
        <f t="shared" si="8"/>
        <v>-35926.6</v>
      </c>
      <c r="AA39" s="14">
        <f t="shared" si="8"/>
        <v>-37793.93</v>
      </c>
      <c r="AB39" s="14">
        <f t="shared" si="8"/>
        <v>-38837.730000000003</v>
      </c>
      <c r="AC39" s="14">
        <f t="shared" si="8"/>
        <v>-41226.14</v>
      </c>
      <c r="AD39" s="14">
        <f t="shared" si="8"/>
        <v>-40877.74</v>
      </c>
      <c r="AE39" s="14">
        <f t="shared" si="8"/>
        <v>-77054.64</v>
      </c>
      <c r="AF39" s="14">
        <f t="shared" si="8"/>
        <v>-40782.339999999997</v>
      </c>
      <c r="AG39" s="14">
        <f t="shared" si="8"/>
        <v>-41453.06</v>
      </c>
      <c r="AH39" s="14">
        <f t="shared" si="8"/>
        <v>-40787.839999999997</v>
      </c>
      <c r="AI39" s="14">
        <f t="shared" si="8"/>
        <v>-40782.339999999997</v>
      </c>
      <c r="AJ39" s="14">
        <f t="shared" si="8"/>
        <v>-74055.05</v>
      </c>
      <c r="AK39" s="14">
        <f t="shared" si="8"/>
        <v>-77025.63</v>
      </c>
      <c r="AL39" s="14">
        <f t="shared" si="8"/>
        <v>-35602.5</v>
      </c>
      <c r="AM39" s="14">
        <f t="shared" si="8"/>
        <v>-41831.819999999992</v>
      </c>
      <c r="AN39" s="14">
        <f t="shared" si="8"/>
        <v>-50511.310000000005</v>
      </c>
      <c r="AO39" s="14">
        <f t="shared" si="8"/>
        <v>-56377.47</v>
      </c>
      <c r="AP39" s="14">
        <f t="shared" si="8"/>
        <v>-59252.66</v>
      </c>
      <c r="AQ39" s="14">
        <f t="shared" si="8"/>
        <v>-93393.02</v>
      </c>
      <c r="AR39" s="14">
        <f t="shared" si="8"/>
        <v>-1696907.92</v>
      </c>
    </row>
    <row r="40" spans="1:44" x14ac:dyDescent="0.2">
      <c r="A40" s="7" t="s">
        <v>82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 spans="1:44" x14ac:dyDescent="0.2">
      <c r="A41" s="8" t="s">
        <v>83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2" spans="1:44" x14ac:dyDescent="0.2">
      <c r="A42" s="9" t="s">
        <v>84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-815.83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-318.88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-88.16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f>SUM(B42:AQ42)</f>
        <v>-1222.8700000000001</v>
      </c>
    </row>
    <row r="43" spans="1:44" x14ac:dyDescent="0.2">
      <c r="A43" s="9" t="s">
        <v>85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-438.92</v>
      </c>
      <c r="N43" s="10">
        <v>0</v>
      </c>
      <c r="O43" s="10">
        <v>-783.44</v>
      </c>
      <c r="P43" s="10">
        <v>255.24</v>
      </c>
      <c r="Q43" s="10">
        <v>0</v>
      </c>
      <c r="R43" s="10">
        <v>-740</v>
      </c>
      <c r="S43" s="10">
        <v>0</v>
      </c>
      <c r="T43" s="10">
        <v>-2273.56</v>
      </c>
      <c r="U43" s="10">
        <v>0</v>
      </c>
      <c r="V43" s="10">
        <v>-647.04999999999995</v>
      </c>
      <c r="W43" s="10">
        <v>0</v>
      </c>
      <c r="X43" s="10">
        <v>0</v>
      </c>
      <c r="Y43" s="10">
        <v>-356.55</v>
      </c>
      <c r="Z43" s="10">
        <v>-207.5</v>
      </c>
      <c r="AA43" s="10">
        <v>0</v>
      </c>
      <c r="AB43" s="10">
        <v>0</v>
      </c>
      <c r="AC43" s="10">
        <v>-415</v>
      </c>
      <c r="AD43" s="10">
        <v>0</v>
      </c>
      <c r="AE43" s="10">
        <v>-378.62</v>
      </c>
      <c r="AF43" s="10">
        <v>0</v>
      </c>
      <c r="AG43" s="10">
        <v>-268.29000000000002</v>
      </c>
      <c r="AH43" s="10">
        <v>0</v>
      </c>
      <c r="AI43" s="10">
        <v>0</v>
      </c>
      <c r="AJ43" s="10">
        <v>0</v>
      </c>
      <c r="AK43" s="10">
        <v>-256.19</v>
      </c>
      <c r="AL43" s="10">
        <v>0</v>
      </c>
      <c r="AM43" s="10">
        <v>-696.96</v>
      </c>
      <c r="AN43" s="10">
        <v>-358.75</v>
      </c>
      <c r="AO43" s="10">
        <v>-1001.79</v>
      </c>
      <c r="AP43" s="10">
        <v>0</v>
      </c>
      <c r="AQ43" s="10">
        <v>0</v>
      </c>
      <c r="AR43" s="10">
        <f>SUM(B43:AQ43)</f>
        <v>-8567.380000000001</v>
      </c>
    </row>
    <row r="44" spans="1:44" x14ac:dyDescent="0.2">
      <c r="A44" s="13" t="s">
        <v>86</v>
      </c>
      <c r="B44" s="14">
        <f t="shared" ref="B44:AR44" si="9">SUM(B42:B43)</f>
        <v>0</v>
      </c>
      <c r="C44" s="14">
        <f t="shared" si="9"/>
        <v>0</v>
      </c>
      <c r="D44" s="14">
        <f t="shared" si="9"/>
        <v>0</v>
      </c>
      <c r="E44" s="14">
        <f t="shared" si="9"/>
        <v>0</v>
      </c>
      <c r="F44" s="14">
        <f t="shared" si="9"/>
        <v>0</v>
      </c>
      <c r="G44" s="14">
        <f t="shared" si="9"/>
        <v>0</v>
      </c>
      <c r="H44" s="14">
        <f t="shared" si="9"/>
        <v>0</v>
      </c>
      <c r="I44" s="14">
        <f t="shared" si="9"/>
        <v>0</v>
      </c>
      <c r="J44" s="14">
        <f t="shared" si="9"/>
        <v>0</v>
      </c>
      <c r="K44" s="14">
        <f t="shared" si="9"/>
        <v>0</v>
      </c>
      <c r="L44" s="14">
        <f t="shared" si="9"/>
        <v>0</v>
      </c>
      <c r="M44" s="14">
        <f t="shared" si="9"/>
        <v>-1254.75</v>
      </c>
      <c r="N44" s="14">
        <f t="shared" si="9"/>
        <v>0</v>
      </c>
      <c r="O44" s="14">
        <f t="shared" si="9"/>
        <v>-783.44</v>
      </c>
      <c r="P44" s="14">
        <f t="shared" si="9"/>
        <v>255.24</v>
      </c>
      <c r="Q44" s="14">
        <f t="shared" si="9"/>
        <v>0</v>
      </c>
      <c r="R44" s="14">
        <f t="shared" si="9"/>
        <v>-740</v>
      </c>
      <c r="S44" s="14">
        <f t="shared" si="9"/>
        <v>0</v>
      </c>
      <c r="T44" s="14">
        <f t="shared" si="9"/>
        <v>-2273.56</v>
      </c>
      <c r="U44" s="14">
        <f t="shared" si="9"/>
        <v>0</v>
      </c>
      <c r="V44" s="14">
        <f t="shared" si="9"/>
        <v>-647.04999999999995</v>
      </c>
      <c r="W44" s="14">
        <f t="shared" si="9"/>
        <v>0</v>
      </c>
      <c r="X44" s="14">
        <f t="shared" si="9"/>
        <v>0</v>
      </c>
      <c r="Y44" s="14">
        <f t="shared" si="9"/>
        <v>-675.43000000000006</v>
      </c>
      <c r="Z44" s="14">
        <f t="shared" si="9"/>
        <v>-207.5</v>
      </c>
      <c r="AA44" s="14">
        <f t="shared" si="9"/>
        <v>0</v>
      </c>
      <c r="AB44" s="14">
        <f t="shared" si="9"/>
        <v>0</v>
      </c>
      <c r="AC44" s="14">
        <f t="shared" si="9"/>
        <v>-415</v>
      </c>
      <c r="AD44" s="14">
        <f t="shared" si="9"/>
        <v>0</v>
      </c>
      <c r="AE44" s="14">
        <f t="shared" si="9"/>
        <v>-378.62</v>
      </c>
      <c r="AF44" s="14">
        <f t="shared" si="9"/>
        <v>0</v>
      </c>
      <c r="AG44" s="14">
        <f t="shared" si="9"/>
        <v>-268.29000000000002</v>
      </c>
      <c r="AH44" s="14">
        <f t="shared" si="9"/>
        <v>0</v>
      </c>
      <c r="AI44" s="14">
        <f t="shared" si="9"/>
        <v>0</v>
      </c>
      <c r="AJ44" s="14">
        <f t="shared" si="9"/>
        <v>0</v>
      </c>
      <c r="AK44" s="14">
        <f t="shared" si="9"/>
        <v>-344.35</v>
      </c>
      <c r="AL44" s="14">
        <f t="shared" si="9"/>
        <v>0</v>
      </c>
      <c r="AM44" s="14">
        <f t="shared" si="9"/>
        <v>-696.96</v>
      </c>
      <c r="AN44" s="14">
        <f t="shared" si="9"/>
        <v>-358.75</v>
      </c>
      <c r="AO44" s="14">
        <f t="shared" si="9"/>
        <v>-1001.79</v>
      </c>
      <c r="AP44" s="14">
        <f t="shared" si="9"/>
        <v>0</v>
      </c>
      <c r="AQ44" s="14">
        <f t="shared" si="9"/>
        <v>0</v>
      </c>
      <c r="AR44" s="14">
        <f t="shared" si="9"/>
        <v>-9790.2500000000018</v>
      </c>
    </row>
    <row r="45" spans="1:44" x14ac:dyDescent="0.2">
      <c r="A45" s="15" t="s">
        <v>87</v>
      </c>
      <c r="B45" s="14">
        <f t="shared" ref="B45:AR45" si="10">B44+0</f>
        <v>0</v>
      </c>
      <c r="C45" s="14">
        <f t="shared" si="10"/>
        <v>0</v>
      </c>
      <c r="D45" s="14">
        <f t="shared" si="10"/>
        <v>0</v>
      </c>
      <c r="E45" s="14">
        <f t="shared" si="10"/>
        <v>0</v>
      </c>
      <c r="F45" s="14">
        <f t="shared" si="10"/>
        <v>0</v>
      </c>
      <c r="G45" s="14">
        <f t="shared" si="10"/>
        <v>0</v>
      </c>
      <c r="H45" s="14">
        <f t="shared" si="10"/>
        <v>0</v>
      </c>
      <c r="I45" s="14">
        <f t="shared" si="10"/>
        <v>0</v>
      </c>
      <c r="J45" s="14">
        <f t="shared" si="10"/>
        <v>0</v>
      </c>
      <c r="K45" s="14">
        <f t="shared" si="10"/>
        <v>0</v>
      </c>
      <c r="L45" s="14">
        <f t="shared" si="10"/>
        <v>0</v>
      </c>
      <c r="M45" s="14">
        <f t="shared" si="10"/>
        <v>-1254.75</v>
      </c>
      <c r="N45" s="14">
        <f t="shared" si="10"/>
        <v>0</v>
      </c>
      <c r="O45" s="14">
        <f t="shared" si="10"/>
        <v>-783.44</v>
      </c>
      <c r="P45" s="14">
        <f t="shared" si="10"/>
        <v>255.24</v>
      </c>
      <c r="Q45" s="14">
        <f t="shared" si="10"/>
        <v>0</v>
      </c>
      <c r="R45" s="14">
        <f t="shared" si="10"/>
        <v>-740</v>
      </c>
      <c r="S45" s="14">
        <f t="shared" si="10"/>
        <v>0</v>
      </c>
      <c r="T45" s="14">
        <f t="shared" si="10"/>
        <v>-2273.56</v>
      </c>
      <c r="U45" s="14">
        <f t="shared" si="10"/>
        <v>0</v>
      </c>
      <c r="V45" s="14">
        <f t="shared" si="10"/>
        <v>-647.04999999999995</v>
      </c>
      <c r="W45" s="14">
        <f t="shared" si="10"/>
        <v>0</v>
      </c>
      <c r="X45" s="14">
        <f t="shared" si="10"/>
        <v>0</v>
      </c>
      <c r="Y45" s="14">
        <f t="shared" si="10"/>
        <v>-675.43000000000006</v>
      </c>
      <c r="Z45" s="14">
        <f t="shared" si="10"/>
        <v>-207.5</v>
      </c>
      <c r="AA45" s="14">
        <f t="shared" si="10"/>
        <v>0</v>
      </c>
      <c r="AB45" s="14">
        <f t="shared" si="10"/>
        <v>0</v>
      </c>
      <c r="AC45" s="14">
        <f t="shared" si="10"/>
        <v>-415</v>
      </c>
      <c r="AD45" s="14">
        <f t="shared" si="10"/>
        <v>0</v>
      </c>
      <c r="AE45" s="14">
        <f t="shared" si="10"/>
        <v>-378.62</v>
      </c>
      <c r="AF45" s="14">
        <f t="shared" si="10"/>
        <v>0</v>
      </c>
      <c r="AG45" s="14">
        <f t="shared" si="10"/>
        <v>-268.29000000000002</v>
      </c>
      <c r="AH45" s="14">
        <f t="shared" si="10"/>
        <v>0</v>
      </c>
      <c r="AI45" s="14">
        <f t="shared" si="10"/>
        <v>0</v>
      </c>
      <c r="AJ45" s="14">
        <f t="shared" si="10"/>
        <v>0</v>
      </c>
      <c r="AK45" s="14">
        <f t="shared" si="10"/>
        <v>-344.35</v>
      </c>
      <c r="AL45" s="14">
        <f t="shared" si="10"/>
        <v>0</v>
      </c>
      <c r="AM45" s="14">
        <f t="shared" si="10"/>
        <v>-696.96</v>
      </c>
      <c r="AN45" s="14">
        <f t="shared" si="10"/>
        <v>-358.75</v>
      </c>
      <c r="AO45" s="14">
        <f t="shared" si="10"/>
        <v>-1001.79</v>
      </c>
      <c r="AP45" s="14">
        <f t="shared" si="10"/>
        <v>0</v>
      </c>
      <c r="AQ45" s="14">
        <f t="shared" si="10"/>
        <v>0</v>
      </c>
      <c r="AR45" s="14">
        <f t="shared" si="10"/>
        <v>-9790.2500000000018</v>
      </c>
    </row>
    <row r="46" spans="1:44" x14ac:dyDescent="0.2">
      <c r="A46" s="7" t="s">
        <v>88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 spans="1:44" x14ac:dyDescent="0.2">
      <c r="A47" s="17" t="s">
        <v>89</v>
      </c>
      <c r="B47" s="10">
        <v>-650</v>
      </c>
      <c r="C47" s="10">
        <v>-650</v>
      </c>
      <c r="D47" s="10">
        <v>-650</v>
      </c>
      <c r="E47" s="10">
        <v>-650</v>
      </c>
      <c r="F47" s="10">
        <v>-606.48</v>
      </c>
      <c r="G47" s="10">
        <v>-606.48</v>
      </c>
      <c r="H47" s="10">
        <v>-606.48</v>
      </c>
      <c r="I47" s="10">
        <v>-606.48</v>
      </c>
      <c r="J47" s="10">
        <v>-606.48</v>
      </c>
      <c r="K47" s="10">
        <v>-606.48</v>
      </c>
      <c r="L47" s="10">
        <v>-606.48</v>
      </c>
      <c r="M47" s="10">
        <v>-606.48</v>
      </c>
      <c r="N47" s="10">
        <v>-579.65</v>
      </c>
      <c r="O47" s="10">
        <v>-579.65</v>
      </c>
      <c r="P47" s="10">
        <v>-579.65</v>
      </c>
      <c r="Q47" s="10">
        <v>-2546.02</v>
      </c>
      <c r="R47" s="10">
        <v>-2003.38</v>
      </c>
      <c r="S47" s="10">
        <v>-1984.87</v>
      </c>
      <c r="T47" s="10">
        <v>-1984.87</v>
      </c>
      <c r="U47" s="10">
        <v>-1984.87</v>
      </c>
      <c r="V47" s="10">
        <v>-1984.87</v>
      </c>
      <c r="W47" s="10">
        <v>-1984.87</v>
      </c>
      <c r="X47" s="10">
        <v>-1984.87</v>
      </c>
      <c r="Y47" s="10">
        <v>-1984.87</v>
      </c>
      <c r="Z47" s="10">
        <v>-1984.87</v>
      </c>
      <c r="AA47" s="10">
        <v>-1984.87</v>
      </c>
      <c r="AB47" s="10">
        <v>-1984.87</v>
      </c>
      <c r="AC47" s="10">
        <v>-1984.87</v>
      </c>
      <c r="AD47" s="10">
        <v>-1984.87</v>
      </c>
      <c r="AE47" s="10">
        <v>-2617.69</v>
      </c>
      <c r="AF47" s="10">
        <v>-2022.62</v>
      </c>
      <c r="AG47" s="10">
        <v>-2022.62</v>
      </c>
      <c r="AH47" s="10">
        <v>-2414.2399999999998</v>
      </c>
      <c r="AI47" s="10">
        <v>-2218.44</v>
      </c>
      <c r="AJ47" s="10">
        <v>-2226.16</v>
      </c>
      <c r="AK47" s="10">
        <v>-2218.44</v>
      </c>
      <c r="AL47" s="10">
        <v>-2401.5700000000002</v>
      </c>
      <c r="AM47" s="10">
        <v>-2401.5700000000002</v>
      </c>
      <c r="AN47" s="10">
        <v>-3229.55</v>
      </c>
      <c r="AO47" s="10">
        <v>-3229.55</v>
      </c>
      <c r="AP47" s="10">
        <v>-3267.48</v>
      </c>
      <c r="AQ47" s="10">
        <v>-3307.61</v>
      </c>
      <c r="AR47" s="10">
        <f t="shared" ref="AR47:AR69" si="11">SUM(B47:AQ47)</f>
        <v>-71136.170000000013</v>
      </c>
    </row>
    <row r="48" spans="1:44" x14ac:dyDescent="0.2">
      <c r="A48" s="17" t="s">
        <v>90</v>
      </c>
      <c r="B48" s="10">
        <v>-89</v>
      </c>
      <c r="C48" s="10">
        <v>-89</v>
      </c>
      <c r="D48" s="10">
        <v>-89</v>
      </c>
      <c r="E48" s="10">
        <v>-89</v>
      </c>
      <c r="F48" s="10">
        <v>-89</v>
      </c>
      <c r="G48" s="10">
        <v>0</v>
      </c>
      <c r="H48" s="10">
        <v>-10.99</v>
      </c>
      <c r="I48" s="10">
        <v>-99.99</v>
      </c>
      <c r="J48" s="10">
        <v>-78.010000000000005</v>
      </c>
      <c r="K48" s="10">
        <v>-89</v>
      </c>
      <c r="L48" s="10">
        <v>-89</v>
      </c>
      <c r="M48" s="10">
        <v>-89</v>
      </c>
      <c r="N48" s="10">
        <v>-89</v>
      </c>
      <c r="O48" s="10">
        <v>-89</v>
      </c>
      <c r="P48" s="10">
        <v>-89</v>
      </c>
      <c r="Q48" s="10">
        <v>-89</v>
      </c>
      <c r="R48" s="10">
        <v>-61.5</v>
      </c>
      <c r="S48" s="10">
        <v>-84.49</v>
      </c>
      <c r="T48" s="10">
        <v>0</v>
      </c>
      <c r="U48" s="10">
        <v>-220.7</v>
      </c>
      <c r="V48" s="10">
        <v>25.39</v>
      </c>
      <c r="W48" s="10">
        <v>0</v>
      </c>
      <c r="X48" s="10">
        <v>0</v>
      </c>
      <c r="Y48" s="10">
        <v>-37.5</v>
      </c>
      <c r="Z48" s="10">
        <v>0</v>
      </c>
      <c r="AA48" s="10">
        <v>0</v>
      </c>
      <c r="AB48" s="10">
        <v>-37.5</v>
      </c>
      <c r="AC48" s="10">
        <v>0</v>
      </c>
      <c r="AD48" s="10">
        <v>-323.26</v>
      </c>
      <c r="AE48" s="10">
        <v>0</v>
      </c>
      <c r="AF48" s="10">
        <v>0</v>
      </c>
      <c r="AG48" s="10">
        <v>-112.5</v>
      </c>
      <c r="AH48" s="10">
        <v>0</v>
      </c>
      <c r="AI48" s="10">
        <v>0</v>
      </c>
      <c r="AJ48" s="10">
        <v>-112.5</v>
      </c>
      <c r="AK48" s="10">
        <v>0</v>
      </c>
      <c r="AL48" s="10">
        <v>-112.5</v>
      </c>
      <c r="AM48" s="10">
        <v>0</v>
      </c>
      <c r="AN48" s="10">
        <v>0</v>
      </c>
      <c r="AO48" s="10">
        <v>-112.5</v>
      </c>
      <c r="AP48" s="10">
        <v>-189.69</v>
      </c>
      <c r="AQ48" s="10">
        <v>0</v>
      </c>
      <c r="AR48" s="10">
        <f t="shared" si="11"/>
        <v>-2636.2400000000002</v>
      </c>
    </row>
    <row r="49" spans="1:44" x14ac:dyDescent="0.2">
      <c r="A49" s="17" t="s">
        <v>91</v>
      </c>
      <c r="B49" s="10">
        <v>0</v>
      </c>
      <c r="C49" s="10">
        <v>0</v>
      </c>
      <c r="D49" s="10">
        <v>0</v>
      </c>
      <c r="E49" s="10">
        <v>-152.62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-327.08999999999997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-1063.6500000000001</v>
      </c>
      <c r="AR49" s="10">
        <f t="shared" si="11"/>
        <v>-1543.3600000000001</v>
      </c>
    </row>
    <row r="50" spans="1:44" x14ac:dyDescent="0.2">
      <c r="A50" s="17" t="s">
        <v>92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-33.39</v>
      </c>
      <c r="I50" s="10">
        <v>-40</v>
      </c>
      <c r="J50" s="10">
        <v>-74.23</v>
      </c>
      <c r="K50" s="10">
        <v>0</v>
      </c>
      <c r="L50" s="10">
        <v>0</v>
      </c>
      <c r="M50" s="10">
        <v>-201.32</v>
      </c>
      <c r="N50" s="10">
        <v>0</v>
      </c>
      <c r="O50" s="10">
        <v>0</v>
      </c>
      <c r="P50" s="10">
        <v>-868.1</v>
      </c>
      <c r="Q50" s="10">
        <v>-8.8000000000000007</v>
      </c>
      <c r="R50" s="10">
        <v>-40</v>
      </c>
      <c r="S50" s="10">
        <v>-188.48</v>
      </c>
      <c r="T50" s="10">
        <v>0</v>
      </c>
      <c r="U50" s="10">
        <v>0</v>
      </c>
      <c r="V50" s="10">
        <v>-77.91</v>
      </c>
      <c r="W50" s="10">
        <v>0</v>
      </c>
      <c r="X50" s="10">
        <v>-98</v>
      </c>
      <c r="Y50" s="10">
        <v>-125.96</v>
      </c>
      <c r="Z50" s="10">
        <v>0</v>
      </c>
      <c r="AA50" s="10">
        <v>0</v>
      </c>
      <c r="AB50" s="10">
        <v>-158.38999999999999</v>
      </c>
      <c r="AC50" s="10">
        <v>0</v>
      </c>
      <c r="AD50" s="10">
        <v>-211.95</v>
      </c>
      <c r="AE50" s="10">
        <v>-147.12</v>
      </c>
      <c r="AF50" s="10">
        <v>0</v>
      </c>
      <c r="AG50" s="10">
        <v>0</v>
      </c>
      <c r="AH50" s="10">
        <v>-241.24</v>
      </c>
      <c r="AI50" s="10">
        <v>0</v>
      </c>
      <c r="AJ50" s="10">
        <v>-98</v>
      </c>
      <c r="AK50" s="10">
        <v>446.75</v>
      </c>
      <c r="AL50" s="10">
        <v>0</v>
      </c>
      <c r="AM50" s="10">
        <v>0</v>
      </c>
      <c r="AN50" s="10">
        <v>-258.57</v>
      </c>
      <c r="AO50" s="10">
        <v>0</v>
      </c>
      <c r="AP50" s="10">
        <v>-140</v>
      </c>
      <c r="AQ50" s="10">
        <v>-137.66999999999999</v>
      </c>
      <c r="AR50" s="10">
        <f t="shared" si="11"/>
        <v>-2702.3799999999997</v>
      </c>
    </row>
    <row r="51" spans="1:44" x14ac:dyDescent="0.2">
      <c r="A51" s="17" t="s">
        <v>93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-278.88</v>
      </c>
      <c r="AF51" s="10">
        <v>0</v>
      </c>
      <c r="AG51" s="10">
        <v>0</v>
      </c>
      <c r="AH51" s="10">
        <v>0</v>
      </c>
      <c r="AI51" s="10">
        <v>0</v>
      </c>
      <c r="AJ51" s="10">
        <v>-10</v>
      </c>
      <c r="AK51" s="10">
        <v>288.88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f t="shared" si="11"/>
        <v>0</v>
      </c>
    </row>
    <row r="52" spans="1:44" x14ac:dyDescent="0.2">
      <c r="A52" s="17" t="s">
        <v>94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-18424.12</v>
      </c>
      <c r="H52" s="10">
        <v>18410.95</v>
      </c>
      <c r="I52" s="10">
        <v>0</v>
      </c>
      <c r="J52" s="10">
        <v>0</v>
      </c>
      <c r="K52" s="10">
        <v>0</v>
      </c>
      <c r="L52" s="10">
        <v>-100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-241.62</v>
      </c>
      <c r="S52" s="10">
        <v>0</v>
      </c>
      <c r="T52" s="10">
        <v>-167.69</v>
      </c>
      <c r="U52" s="10">
        <v>0</v>
      </c>
      <c r="V52" s="10">
        <v>-30.23</v>
      </c>
      <c r="W52" s="10">
        <v>0</v>
      </c>
      <c r="X52" s="10">
        <v>-24.55</v>
      </c>
      <c r="Y52" s="10">
        <v>9.86</v>
      </c>
      <c r="Z52" s="10">
        <v>0</v>
      </c>
      <c r="AA52" s="10">
        <v>-318.95999999999998</v>
      </c>
      <c r="AB52" s="10">
        <v>0</v>
      </c>
      <c r="AC52" s="10">
        <v>0</v>
      </c>
      <c r="AD52" s="10">
        <v>0</v>
      </c>
      <c r="AE52" s="10">
        <v>-29.22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348.18</v>
      </c>
      <c r="AL52" s="10">
        <v>-804.48</v>
      </c>
      <c r="AM52" s="10">
        <v>645</v>
      </c>
      <c r="AN52" s="10">
        <v>0</v>
      </c>
      <c r="AO52" s="10">
        <v>-625</v>
      </c>
      <c r="AP52" s="10">
        <v>-100</v>
      </c>
      <c r="AQ52" s="10">
        <v>625</v>
      </c>
      <c r="AR52" s="10">
        <f t="shared" si="11"/>
        <v>-826.87999999999806</v>
      </c>
    </row>
    <row r="53" spans="1:44" x14ac:dyDescent="0.2">
      <c r="A53" s="17" t="s">
        <v>95</v>
      </c>
      <c r="B53" s="10">
        <v>0</v>
      </c>
      <c r="C53" s="10">
        <v>0</v>
      </c>
      <c r="D53" s="10">
        <v>-103.72</v>
      </c>
      <c r="E53" s="10">
        <v>0</v>
      </c>
      <c r="F53" s="10">
        <v>0</v>
      </c>
      <c r="G53" s="10">
        <v>-6.64</v>
      </c>
      <c r="H53" s="10">
        <v>-144.69999999999999</v>
      </c>
      <c r="I53" s="10">
        <v>-154.83000000000001</v>
      </c>
      <c r="J53" s="10">
        <v>-400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-478.16</v>
      </c>
      <c r="Y53" s="10">
        <v>0</v>
      </c>
      <c r="Z53" s="10">
        <v>0</v>
      </c>
      <c r="AA53" s="10">
        <v>0</v>
      </c>
      <c r="AB53" s="10">
        <v>0</v>
      </c>
      <c r="AC53" s="10">
        <v>-299.92</v>
      </c>
      <c r="AD53" s="10">
        <v>0</v>
      </c>
      <c r="AE53" s="10">
        <v>0</v>
      </c>
      <c r="AF53" s="10">
        <v>0</v>
      </c>
      <c r="AG53" s="10">
        <v>-32.15</v>
      </c>
      <c r="AH53" s="10">
        <v>0</v>
      </c>
      <c r="AI53" s="10">
        <v>0</v>
      </c>
      <c r="AJ53" s="10">
        <v>-1193.73</v>
      </c>
      <c r="AK53" s="10">
        <v>675.8</v>
      </c>
      <c r="AL53" s="10">
        <v>-480.18</v>
      </c>
      <c r="AM53" s="10">
        <v>-222.48</v>
      </c>
      <c r="AN53" s="10">
        <v>0</v>
      </c>
      <c r="AO53" s="10">
        <v>-2078.09</v>
      </c>
      <c r="AP53" s="10">
        <v>0</v>
      </c>
      <c r="AQ53" s="10">
        <v>0</v>
      </c>
      <c r="AR53" s="10">
        <f t="shared" si="11"/>
        <v>-4918.8</v>
      </c>
    </row>
    <row r="54" spans="1:44" x14ac:dyDescent="0.2">
      <c r="A54" s="17" t="s">
        <v>96</v>
      </c>
      <c r="B54" s="10">
        <v>0</v>
      </c>
      <c r="C54" s="10">
        <v>0</v>
      </c>
      <c r="D54" s="10">
        <v>-33.479999999999997</v>
      </c>
      <c r="E54" s="10">
        <v>0</v>
      </c>
      <c r="F54" s="10">
        <v>0</v>
      </c>
      <c r="G54" s="10">
        <v>0</v>
      </c>
      <c r="H54" s="10">
        <v>-4.82</v>
      </c>
      <c r="I54" s="10">
        <v>0</v>
      </c>
      <c r="J54" s="10">
        <v>0</v>
      </c>
      <c r="K54" s="10">
        <v>0</v>
      </c>
      <c r="L54" s="10">
        <v>-4.07</v>
      </c>
      <c r="M54" s="10">
        <v>0</v>
      </c>
      <c r="N54" s="10">
        <v>0</v>
      </c>
      <c r="O54" s="10">
        <v>0</v>
      </c>
      <c r="P54" s="10">
        <v>-4.1399999999999997</v>
      </c>
      <c r="Q54" s="10">
        <v>0</v>
      </c>
      <c r="R54" s="10">
        <v>-6.4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-42.96</v>
      </c>
      <c r="Y54" s="10">
        <v>0</v>
      </c>
      <c r="Z54" s="10">
        <v>0</v>
      </c>
      <c r="AA54" s="10">
        <v>0</v>
      </c>
      <c r="AB54" s="10">
        <v>0</v>
      </c>
      <c r="AC54" s="10">
        <v>-10.029999999999999</v>
      </c>
      <c r="AD54" s="10">
        <v>0</v>
      </c>
      <c r="AE54" s="10">
        <v>-18.100000000000001</v>
      </c>
      <c r="AF54" s="10">
        <v>0</v>
      </c>
      <c r="AG54" s="10">
        <v>-12.98</v>
      </c>
      <c r="AH54" s="10">
        <v>0</v>
      </c>
      <c r="AI54" s="10">
        <v>0</v>
      </c>
      <c r="AJ54" s="10">
        <v>0</v>
      </c>
      <c r="AK54" s="10">
        <v>41.11</v>
      </c>
      <c r="AL54" s="10">
        <v>0</v>
      </c>
      <c r="AM54" s="10">
        <v>-14.84</v>
      </c>
      <c r="AN54" s="10">
        <v>-22.35</v>
      </c>
      <c r="AO54" s="10">
        <v>-64.09</v>
      </c>
      <c r="AP54" s="10">
        <v>-3.28</v>
      </c>
      <c r="AQ54" s="10">
        <v>0</v>
      </c>
      <c r="AR54" s="10">
        <f t="shared" si="11"/>
        <v>-200.43</v>
      </c>
    </row>
    <row r="55" spans="1:44" x14ac:dyDescent="0.2">
      <c r="A55" s="17" t="s">
        <v>97</v>
      </c>
      <c r="B55" s="10">
        <v>-253</v>
      </c>
      <c r="C55" s="10">
        <v>0</v>
      </c>
      <c r="D55" s="10">
        <v>-67.400000000000006</v>
      </c>
      <c r="E55" s="10">
        <v>0</v>
      </c>
      <c r="F55" s="10">
        <v>0</v>
      </c>
      <c r="G55" s="10">
        <v>0</v>
      </c>
      <c r="H55" s="10">
        <v>0</v>
      </c>
      <c r="I55" s="10">
        <v>-77.3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-193.63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-324.8</v>
      </c>
      <c r="Z55" s="10">
        <v>0</v>
      </c>
      <c r="AA55" s="10">
        <v>0</v>
      </c>
      <c r="AB55" s="10">
        <v>-36.4</v>
      </c>
      <c r="AC55" s="10">
        <v>-509.39</v>
      </c>
      <c r="AD55" s="10">
        <v>-327.32</v>
      </c>
      <c r="AE55" s="10">
        <v>-813.39</v>
      </c>
      <c r="AF55" s="10">
        <v>-524.89</v>
      </c>
      <c r="AG55" s="10">
        <v>0</v>
      </c>
      <c r="AH55" s="10">
        <v>-100.6</v>
      </c>
      <c r="AI55" s="10">
        <v>-106.6</v>
      </c>
      <c r="AJ55" s="10">
        <v>-168.19</v>
      </c>
      <c r="AK55" s="10">
        <v>-5263.56</v>
      </c>
      <c r="AL55" s="10">
        <v>0</v>
      </c>
      <c r="AM55" s="10">
        <v>-22.1</v>
      </c>
      <c r="AN55" s="10">
        <v>0</v>
      </c>
      <c r="AO55" s="10">
        <v>-102.9</v>
      </c>
      <c r="AP55" s="10">
        <v>0</v>
      </c>
      <c r="AQ55" s="10">
        <v>-1254.3900000000001</v>
      </c>
      <c r="AR55" s="10">
        <f t="shared" si="11"/>
        <v>-10145.859999999999</v>
      </c>
    </row>
    <row r="56" spans="1:44" x14ac:dyDescent="0.2">
      <c r="A56" s="17" t="s">
        <v>98</v>
      </c>
      <c r="B56" s="10">
        <v>-949.22</v>
      </c>
      <c r="C56" s="10">
        <v>-617.4</v>
      </c>
      <c r="D56" s="10">
        <v>-1011.14</v>
      </c>
      <c r="E56" s="10">
        <v>-355.46</v>
      </c>
      <c r="F56" s="10">
        <v>0</v>
      </c>
      <c r="G56" s="10">
        <v>-285.58</v>
      </c>
      <c r="H56" s="10">
        <v>-617.4</v>
      </c>
      <c r="I56" s="10">
        <v>-628.1</v>
      </c>
      <c r="J56" s="10">
        <v>-617.4</v>
      </c>
      <c r="K56" s="10">
        <v>-617.4</v>
      </c>
      <c r="L56" s="10">
        <v>-617.4</v>
      </c>
      <c r="M56" s="10">
        <v>0</v>
      </c>
      <c r="N56" s="10">
        <v>-949.22</v>
      </c>
      <c r="O56" s="10">
        <v>-636.70000000000005</v>
      </c>
      <c r="P56" s="10">
        <v>-949.22</v>
      </c>
      <c r="Q56" s="10">
        <v>-617.4</v>
      </c>
      <c r="R56" s="10">
        <v>-617.4</v>
      </c>
      <c r="S56" s="10">
        <v>-617.4</v>
      </c>
      <c r="T56" s="10">
        <v>-617.4</v>
      </c>
      <c r="U56" s="10">
        <v>-617.4</v>
      </c>
      <c r="V56" s="10">
        <v>-617.4</v>
      </c>
      <c r="W56" s="10">
        <v>-617.4</v>
      </c>
      <c r="X56" s="10">
        <v>-617.4</v>
      </c>
      <c r="Y56" s="10">
        <v>-627.76</v>
      </c>
      <c r="Z56" s="10">
        <v>-949.22</v>
      </c>
      <c r="AA56" s="10">
        <v>-617.4</v>
      </c>
      <c r="AB56" s="10">
        <v>-949.22</v>
      </c>
      <c r="AC56" s="10">
        <v>-629.91</v>
      </c>
      <c r="AD56" s="10">
        <v>-632.94000000000005</v>
      </c>
      <c r="AE56" s="10">
        <v>-662.3</v>
      </c>
      <c r="AF56" s="10">
        <v>-848.03</v>
      </c>
      <c r="AG56" s="10">
        <v>-617.4</v>
      </c>
      <c r="AH56" s="10">
        <v>-620.85</v>
      </c>
      <c r="AI56" s="10">
        <v>-710.93</v>
      </c>
      <c r="AJ56" s="10">
        <v>-629.61</v>
      </c>
      <c r="AK56" s="10">
        <v>-1223.5</v>
      </c>
      <c r="AL56" s="10">
        <v>-949.22</v>
      </c>
      <c r="AM56" s="10">
        <v>-806.56</v>
      </c>
      <c r="AN56" s="10">
        <v>-949.22</v>
      </c>
      <c r="AO56" s="10">
        <v>-720.93</v>
      </c>
      <c r="AP56" s="10">
        <v>-823.04</v>
      </c>
      <c r="AQ56" s="10">
        <v>-1163.26</v>
      </c>
      <c r="AR56" s="10">
        <f t="shared" si="11"/>
        <v>-28922.139999999996</v>
      </c>
    </row>
    <row r="57" spans="1:44" x14ac:dyDescent="0.2">
      <c r="A57" s="17" t="s">
        <v>99</v>
      </c>
      <c r="B57" s="10">
        <v>-176.5</v>
      </c>
      <c r="C57" s="10">
        <v>0</v>
      </c>
      <c r="D57" s="10">
        <v>-282.39999999999998</v>
      </c>
      <c r="E57" s="10">
        <v>0</v>
      </c>
      <c r="F57" s="10">
        <v>0</v>
      </c>
      <c r="G57" s="10">
        <v>0</v>
      </c>
      <c r="H57" s="10">
        <v>0</v>
      </c>
      <c r="I57" s="10">
        <v>-66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-129.44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-814.9</v>
      </c>
      <c r="Z57" s="10">
        <v>0</v>
      </c>
      <c r="AA57" s="10">
        <v>0</v>
      </c>
      <c r="AB57" s="10">
        <v>-123.55</v>
      </c>
      <c r="AC57" s="10">
        <v>-456.25</v>
      </c>
      <c r="AD57" s="10">
        <v>-414.2</v>
      </c>
      <c r="AE57" s="10">
        <v>-862.8</v>
      </c>
      <c r="AF57" s="10">
        <v>-1147.92</v>
      </c>
      <c r="AG57" s="10">
        <v>0</v>
      </c>
      <c r="AH57" s="10">
        <v>-105.9</v>
      </c>
      <c r="AI57" s="10">
        <v>-569.29999999999995</v>
      </c>
      <c r="AJ57" s="10">
        <v>-254.6</v>
      </c>
      <c r="AK57" s="10">
        <v>481.59</v>
      </c>
      <c r="AL57" s="10">
        <v>0</v>
      </c>
      <c r="AM57" s="10">
        <v>-176.5</v>
      </c>
      <c r="AN57" s="10">
        <v>0</v>
      </c>
      <c r="AO57" s="10">
        <v>-426.6</v>
      </c>
      <c r="AP57" s="10">
        <v>0</v>
      </c>
      <c r="AQ57" s="10">
        <v>-993.89</v>
      </c>
      <c r="AR57" s="10">
        <f t="shared" si="11"/>
        <v>-6519.1600000000008</v>
      </c>
    </row>
    <row r="58" spans="1:44" x14ac:dyDescent="0.2">
      <c r="A58" s="17" t="s">
        <v>100</v>
      </c>
      <c r="B58" s="10">
        <v>0</v>
      </c>
      <c r="C58" s="10">
        <v>0</v>
      </c>
      <c r="D58" s="10">
        <v>0</v>
      </c>
      <c r="E58" s="10">
        <v>-478.15</v>
      </c>
      <c r="F58" s="10">
        <v>0</v>
      </c>
      <c r="G58" s="10">
        <v>0</v>
      </c>
      <c r="H58" s="10">
        <v>-478.15</v>
      </c>
      <c r="I58" s="10">
        <v>0</v>
      </c>
      <c r="J58" s="10">
        <v>0</v>
      </c>
      <c r="K58" s="10">
        <v>-514.54999999999995</v>
      </c>
      <c r="L58" s="10">
        <v>0</v>
      </c>
      <c r="M58" s="10">
        <v>-514.54999999999995</v>
      </c>
      <c r="N58" s="10">
        <v>0</v>
      </c>
      <c r="O58" s="10">
        <v>0</v>
      </c>
      <c r="P58" s="10">
        <v>0</v>
      </c>
      <c r="Q58" s="10">
        <v>-678.65</v>
      </c>
      <c r="R58" s="10">
        <v>0</v>
      </c>
      <c r="S58" s="10">
        <v>0</v>
      </c>
      <c r="T58" s="10">
        <v>-678.65</v>
      </c>
      <c r="U58" s="10">
        <v>0</v>
      </c>
      <c r="V58" s="10">
        <v>0</v>
      </c>
      <c r="W58" s="10">
        <v>-749.55</v>
      </c>
      <c r="X58" s="10">
        <v>0</v>
      </c>
      <c r="Y58" s="10">
        <v>-749.55</v>
      </c>
      <c r="Z58" s="10">
        <v>0</v>
      </c>
      <c r="AA58" s="10">
        <v>0</v>
      </c>
      <c r="AB58" s="10">
        <v>0</v>
      </c>
      <c r="AC58" s="10">
        <v>-786.65</v>
      </c>
      <c r="AD58" s="10">
        <v>0</v>
      </c>
      <c r="AE58" s="10">
        <v>0</v>
      </c>
      <c r="AF58" s="10">
        <v>-785.4</v>
      </c>
      <c r="AG58" s="10">
        <v>0</v>
      </c>
      <c r="AH58" s="10">
        <v>0</v>
      </c>
      <c r="AI58" s="10">
        <v>-785.4</v>
      </c>
      <c r="AJ58" s="10">
        <v>0</v>
      </c>
      <c r="AK58" s="10">
        <v>2357.4499999999998</v>
      </c>
      <c r="AL58" s="10">
        <v>0</v>
      </c>
      <c r="AM58" s="10">
        <v>0</v>
      </c>
      <c r="AN58" s="10">
        <v>0</v>
      </c>
      <c r="AO58" s="10">
        <v>-936.1</v>
      </c>
      <c r="AP58" s="10">
        <v>0</v>
      </c>
      <c r="AQ58" s="10">
        <v>0</v>
      </c>
      <c r="AR58" s="10">
        <f t="shared" si="11"/>
        <v>-5777.9</v>
      </c>
    </row>
    <row r="59" spans="1:44" x14ac:dyDescent="0.2">
      <c r="A59" s="17" t="s">
        <v>101</v>
      </c>
      <c r="B59" s="10">
        <v>0</v>
      </c>
      <c r="C59" s="10">
        <v>0</v>
      </c>
      <c r="D59" s="10">
        <v>0</v>
      </c>
      <c r="E59" s="10">
        <v>-493.5</v>
      </c>
      <c r="F59" s="10">
        <v>0</v>
      </c>
      <c r="G59" s="10">
        <v>0</v>
      </c>
      <c r="H59" s="10">
        <v>-483.35</v>
      </c>
      <c r="I59" s="10">
        <v>0</v>
      </c>
      <c r="J59" s="10">
        <v>0</v>
      </c>
      <c r="K59" s="10">
        <v>-473.25</v>
      </c>
      <c r="L59" s="10">
        <v>0</v>
      </c>
      <c r="M59" s="10">
        <v>-490.5</v>
      </c>
      <c r="N59" s="10">
        <v>0</v>
      </c>
      <c r="O59" s="10">
        <v>0</v>
      </c>
      <c r="P59" s="10">
        <v>-4386.38</v>
      </c>
      <c r="Q59" s="10">
        <v>-542.9</v>
      </c>
      <c r="R59" s="10">
        <v>0</v>
      </c>
      <c r="S59" s="10">
        <v>0</v>
      </c>
      <c r="T59" s="10">
        <v>-573.15</v>
      </c>
      <c r="U59" s="10">
        <v>0</v>
      </c>
      <c r="V59" s="10">
        <v>0</v>
      </c>
      <c r="W59" s="10">
        <v>-593.5</v>
      </c>
      <c r="X59" s="10">
        <v>0</v>
      </c>
      <c r="Y59" s="10">
        <v>-556.85</v>
      </c>
      <c r="Z59" s="10">
        <v>0</v>
      </c>
      <c r="AA59" s="10">
        <v>0</v>
      </c>
      <c r="AB59" s="10">
        <v>0</v>
      </c>
      <c r="AC59" s="10">
        <v>-637.35</v>
      </c>
      <c r="AD59" s="10">
        <v>0</v>
      </c>
      <c r="AE59" s="10">
        <v>0</v>
      </c>
      <c r="AF59" s="10">
        <v>-673.35</v>
      </c>
      <c r="AG59" s="10">
        <v>0</v>
      </c>
      <c r="AH59" s="10">
        <v>0</v>
      </c>
      <c r="AI59" s="10">
        <v>-697.35</v>
      </c>
      <c r="AJ59" s="10">
        <v>0</v>
      </c>
      <c r="AK59" s="10">
        <v>2008.05</v>
      </c>
      <c r="AL59" s="10">
        <v>0</v>
      </c>
      <c r="AM59" s="10">
        <v>0</v>
      </c>
      <c r="AN59" s="10">
        <v>0</v>
      </c>
      <c r="AO59" s="10">
        <v>-845.15</v>
      </c>
      <c r="AP59" s="10">
        <v>0</v>
      </c>
      <c r="AQ59" s="10">
        <v>0</v>
      </c>
      <c r="AR59" s="10">
        <f t="shared" si="11"/>
        <v>-9438.5300000000007</v>
      </c>
    </row>
    <row r="60" spans="1:44" x14ac:dyDescent="0.2">
      <c r="A60" s="17" t="s">
        <v>102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-11.57</v>
      </c>
      <c r="M60" s="10">
        <v>-19.28</v>
      </c>
      <c r="N60" s="10">
        <v>0</v>
      </c>
      <c r="O60" s="10">
        <v>0</v>
      </c>
      <c r="P60" s="10">
        <v>-33.24</v>
      </c>
      <c r="Q60" s="10">
        <v>0</v>
      </c>
      <c r="R60" s="10">
        <v>0</v>
      </c>
      <c r="S60" s="10">
        <v>0</v>
      </c>
      <c r="T60" s="10">
        <v>-19.28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-29.59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-28.48</v>
      </c>
      <c r="AK60" s="10">
        <v>0</v>
      </c>
      <c r="AL60" s="10">
        <v>-12.9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f t="shared" si="11"/>
        <v>-154.34</v>
      </c>
    </row>
    <row r="61" spans="1:44" x14ac:dyDescent="0.2">
      <c r="A61" s="17" t="s">
        <v>103</v>
      </c>
      <c r="B61" s="10">
        <v>-161.69</v>
      </c>
      <c r="C61" s="10">
        <v>-198.92</v>
      </c>
      <c r="D61" s="10">
        <v>-156.94</v>
      </c>
      <c r="E61" s="10">
        <v>-512.16999999999996</v>
      </c>
      <c r="F61" s="10">
        <v>0</v>
      </c>
      <c r="G61" s="10">
        <v>-244.52</v>
      </c>
      <c r="H61" s="10">
        <v>-259.27</v>
      </c>
      <c r="I61" s="10">
        <v>-348.08</v>
      </c>
      <c r="J61" s="10">
        <v>-554.07000000000005</v>
      </c>
      <c r="K61" s="10">
        <v>-381.59</v>
      </c>
      <c r="L61" s="10">
        <v>-183.87</v>
      </c>
      <c r="M61" s="10">
        <v>-239.47</v>
      </c>
      <c r="N61" s="10">
        <v>-77.5</v>
      </c>
      <c r="O61" s="10">
        <v>-416.44</v>
      </c>
      <c r="P61" s="10">
        <v>-77.5</v>
      </c>
      <c r="Q61" s="10">
        <v>-307.43</v>
      </c>
      <c r="R61" s="10">
        <v>-223.73</v>
      </c>
      <c r="S61" s="10">
        <v>-276.38</v>
      </c>
      <c r="T61" s="10">
        <v>-93.47</v>
      </c>
      <c r="U61" s="10">
        <v>-306.72000000000003</v>
      </c>
      <c r="V61" s="10">
        <v>-144.19999999999999</v>
      </c>
      <c r="W61" s="10">
        <v>-287.67</v>
      </c>
      <c r="X61" s="10">
        <v>-61.5</v>
      </c>
      <c r="Y61" s="10">
        <v>-358.22</v>
      </c>
      <c r="Z61" s="10">
        <v>-364.76</v>
      </c>
      <c r="AA61" s="10">
        <v>-492.81</v>
      </c>
      <c r="AB61" s="10">
        <v>-353.04</v>
      </c>
      <c r="AC61" s="10">
        <v>-361.68</v>
      </c>
      <c r="AD61" s="10">
        <v>-438.14</v>
      </c>
      <c r="AE61" s="10">
        <v>-482.9</v>
      </c>
      <c r="AF61" s="10">
        <v>-302.11</v>
      </c>
      <c r="AG61" s="10">
        <v>-543.80999999999995</v>
      </c>
      <c r="AH61" s="10">
        <v>-380.91</v>
      </c>
      <c r="AI61" s="10">
        <v>-348</v>
      </c>
      <c r="AJ61" s="10">
        <v>-448.07</v>
      </c>
      <c r="AK61" s="10">
        <v>-236.49</v>
      </c>
      <c r="AL61" s="10">
        <v>-391.74</v>
      </c>
      <c r="AM61" s="10">
        <v>-463.1</v>
      </c>
      <c r="AN61" s="10">
        <v>-427.23</v>
      </c>
      <c r="AO61" s="10">
        <v>-399.42</v>
      </c>
      <c r="AP61" s="10">
        <v>-363.25</v>
      </c>
      <c r="AQ61" s="10">
        <v>-436.35</v>
      </c>
      <c r="AR61" s="10">
        <f t="shared" si="11"/>
        <v>-13105.160000000002</v>
      </c>
    </row>
    <row r="62" spans="1:44" x14ac:dyDescent="0.2">
      <c r="A62" s="17" t="s">
        <v>104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-20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-66.680000000000007</v>
      </c>
      <c r="U62" s="10">
        <v>0</v>
      </c>
      <c r="V62" s="10">
        <v>0</v>
      </c>
      <c r="W62" s="10">
        <v>0</v>
      </c>
      <c r="X62" s="10">
        <v>0</v>
      </c>
      <c r="Y62" s="10">
        <v>-16.670000000000002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f t="shared" si="11"/>
        <v>-103.35000000000001</v>
      </c>
    </row>
    <row r="63" spans="1:44" x14ac:dyDescent="0.2">
      <c r="A63" s="17" t="s">
        <v>105</v>
      </c>
      <c r="B63" s="10">
        <v>0</v>
      </c>
      <c r="C63" s="10">
        <v>0</v>
      </c>
      <c r="D63" s="10">
        <v>-7.15</v>
      </c>
      <c r="E63" s="10">
        <v>-155.24</v>
      </c>
      <c r="F63" s="10">
        <v>0</v>
      </c>
      <c r="G63" s="10">
        <v>0</v>
      </c>
      <c r="H63" s="10">
        <v>-88.33</v>
      </c>
      <c r="I63" s="10">
        <v>0</v>
      </c>
      <c r="J63" s="10">
        <v>0</v>
      </c>
      <c r="K63" s="10">
        <v>0</v>
      </c>
      <c r="L63" s="10">
        <v>-16.670000000000002</v>
      </c>
      <c r="M63" s="10">
        <v>0</v>
      </c>
      <c r="N63" s="10">
        <v>-53.57</v>
      </c>
      <c r="O63" s="10">
        <v>-63</v>
      </c>
      <c r="P63" s="10">
        <v>0</v>
      </c>
      <c r="Q63" s="10">
        <v>0</v>
      </c>
      <c r="R63" s="10">
        <v>0</v>
      </c>
      <c r="S63" s="10">
        <v>0</v>
      </c>
      <c r="T63" s="10">
        <v>-71.97</v>
      </c>
      <c r="U63" s="10">
        <v>0</v>
      </c>
      <c r="V63" s="10">
        <v>0</v>
      </c>
      <c r="W63" s="10">
        <v>0</v>
      </c>
      <c r="X63" s="10">
        <v>0</v>
      </c>
      <c r="Y63" s="10">
        <v>-155.1</v>
      </c>
      <c r="Z63" s="10">
        <v>0</v>
      </c>
      <c r="AA63" s="10">
        <v>0</v>
      </c>
      <c r="AB63" s="10">
        <v>0</v>
      </c>
      <c r="AC63" s="10">
        <v>17.260000000000002</v>
      </c>
      <c r="AD63" s="10">
        <v>0</v>
      </c>
      <c r="AE63" s="10">
        <v>-36.64</v>
      </c>
      <c r="AF63" s="10">
        <v>0</v>
      </c>
      <c r="AG63" s="10">
        <v>0</v>
      </c>
      <c r="AH63" s="10">
        <v>0</v>
      </c>
      <c r="AI63" s="10">
        <v>0</v>
      </c>
      <c r="AJ63" s="10">
        <v>-5.82</v>
      </c>
      <c r="AK63" s="10">
        <v>0</v>
      </c>
      <c r="AL63" s="10">
        <v>0</v>
      </c>
      <c r="AM63" s="10">
        <v>-46.47</v>
      </c>
      <c r="AN63" s="10">
        <v>0</v>
      </c>
      <c r="AO63" s="10">
        <v>-31.58</v>
      </c>
      <c r="AP63" s="10">
        <v>0</v>
      </c>
      <c r="AQ63" s="10">
        <v>0</v>
      </c>
      <c r="AR63" s="10">
        <f t="shared" si="11"/>
        <v>-714.2800000000002</v>
      </c>
    </row>
    <row r="64" spans="1:44" x14ac:dyDescent="0.2">
      <c r="A64" s="17" t="s">
        <v>106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-250</v>
      </c>
      <c r="AO64" s="10">
        <v>-224.81</v>
      </c>
      <c r="AP64" s="10">
        <v>0</v>
      </c>
      <c r="AQ64" s="10">
        <v>0</v>
      </c>
      <c r="AR64" s="10">
        <f t="shared" si="11"/>
        <v>-474.81</v>
      </c>
    </row>
    <row r="65" spans="1:44" x14ac:dyDescent="0.2">
      <c r="A65" s="17" t="s">
        <v>107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-2000</v>
      </c>
      <c r="Q65" s="10">
        <v>-278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-2688.8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f t="shared" si="11"/>
        <v>-4966.8</v>
      </c>
    </row>
    <row r="66" spans="1:44" x14ac:dyDescent="0.2">
      <c r="A66" s="17" t="s">
        <v>108</v>
      </c>
      <c r="B66" s="10">
        <v>0</v>
      </c>
      <c r="C66" s="10">
        <v>0</v>
      </c>
      <c r="D66" s="10">
        <v>0</v>
      </c>
      <c r="E66" s="10">
        <v>-1132.45</v>
      </c>
      <c r="F66" s="10">
        <v>0</v>
      </c>
      <c r="G66" s="10">
        <v>0</v>
      </c>
      <c r="H66" s="10">
        <v>-2251.65</v>
      </c>
      <c r="I66" s="10">
        <v>0</v>
      </c>
      <c r="J66" s="10">
        <v>0</v>
      </c>
      <c r="K66" s="10">
        <v>-2009.75</v>
      </c>
      <c r="L66" s="10">
        <v>0</v>
      </c>
      <c r="M66" s="10">
        <v>-5334.75</v>
      </c>
      <c r="N66" s="10">
        <v>0</v>
      </c>
      <c r="O66" s="10">
        <v>0</v>
      </c>
      <c r="P66" s="10">
        <v>0</v>
      </c>
      <c r="Q66" s="10">
        <v>-1351.25</v>
      </c>
      <c r="R66" s="10">
        <v>0</v>
      </c>
      <c r="S66" s="10">
        <v>0</v>
      </c>
      <c r="T66" s="10">
        <v>-6245.5</v>
      </c>
      <c r="U66" s="10">
        <v>0</v>
      </c>
      <c r="V66" s="10">
        <v>0</v>
      </c>
      <c r="W66" s="10">
        <v>2778.9</v>
      </c>
      <c r="X66" s="10">
        <v>0</v>
      </c>
      <c r="Y66" s="10">
        <v>-5691</v>
      </c>
      <c r="Z66" s="10">
        <v>0</v>
      </c>
      <c r="AA66" s="10">
        <v>0</v>
      </c>
      <c r="AB66" s="10">
        <v>0</v>
      </c>
      <c r="AC66" s="10">
        <v>-1573.45</v>
      </c>
      <c r="AD66" s="10">
        <v>0</v>
      </c>
      <c r="AE66" s="10">
        <v>0</v>
      </c>
      <c r="AF66" s="10">
        <v>-2363.9499999999998</v>
      </c>
      <c r="AG66" s="10">
        <v>0</v>
      </c>
      <c r="AH66" s="10">
        <v>0</v>
      </c>
      <c r="AI66" s="10">
        <v>-1344.5</v>
      </c>
      <c r="AJ66" s="10">
        <v>0</v>
      </c>
      <c r="AK66" s="10">
        <v>-8871.98</v>
      </c>
      <c r="AL66" s="10">
        <v>0</v>
      </c>
      <c r="AM66" s="10">
        <v>0</v>
      </c>
      <c r="AN66" s="10">
        <v>0</v>
      </c>
      <c r="AO66" s="10">
        <v>-1912.1</v>
      </c>
      <c r="AP66" s="10">
        <v>0</v>
      </c>
      <c r="AQ66" s="10">
        <v>0</v>
      </c>
      <c r="AR66" s="10">
        <f t="shared" si="11"/>
        <v>-37303.43</v>
      </c>
    </row>
    <row r="67" spans="1:44" x14ac:dyDescent="0.2">
      <c r="A67" s="17" t="s">
        <v>109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-255.24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f t="shared" si="11"/>
        <v>-255.24</v>
      </c>
    </row>
    <row r="68" spans="1:44" x14ac:dyDescent="0.2">
      <c r="A68" s="17" t="s">
        <v>110</v>
      </c>
      <c r="B68" s="10">
        <v>0</v>
      </c>
      <c r="C68" s="10">
        <v>0</v>
      </c>
      <c r="D68" s="10">
        <v>-110.75</v>
      </c>
      <c r="E68" s="10">
        <v>-13.2</v>
      </c>
      <c r="F68" s="10">
        <v>-0.22</v>
      </c>
      <c r="G68" s="10">
        <v>-120.3</v>
      </c>
      <c r="H68" s="10">
        <v>-130</v>
      </c>
      <c r="I68" s="10">
        <v>0</v>
      </c>
      <c r="J68" s="10">
        <v>-182.12</v>
      </c>
      <c r="K68" s="10">
        <v>0</v>
      </c>
      <c r="L68" s="10">
        <v>-10</v>
      </c>
      <c r="M68" s="10">
        <v>-207.98</v>
      </c>
      <c r="N68" s="10">
        <v>-0.11</v>
      </c>
      <c r="O68" s="10">
        <v>0</v>
      </c>
      <c r="P68" s="10">
        <v>-189.08</v>
      </c>
      <c r="Q68" s="10">
        <v>-0.11</v>
      </c>
      <c r="R68" s="10">
        <v>-36.4</v>
      </c>
      <c r="S68" s="10">
        <v>-161.09</v>
      </c>
      <c r="T68" s="10">
        <v>-39.6</v>
      </c>
      <c r="U68" s="10">
        <v>0</v>
      </c>
      <c r="V68" s="10">
        <v>-197.79</v>
      </c>
      <c r="W68" s="10">
        <v>0</v>
      </c>
      <c r="X68" s="10">
        <v>0</v>
      </c>
      <c r="Y68" s="10">
        <v>-217.55</v>
      </c>
      <c r="Z68" s="10">
        <v>-17.2</v>
      </c>
      <c r="AA68" s="10">
        <v>0</v>
      </c>
      <c r="AB68" s="10">
        <v>-190.84</v>
      </c>
      <c r="AC68" s="10">
        <v>0</v>
      </c>
      <c r="AD68" s="10">
        <v>35</v>
      </c>
      <c r="AE68" s="10">
        <v>-214.14</v>
      </c>
      <c r="AF68" s="10">
        <v>0</v>
      </c>
      <c r="AG68" s="10">
        <v>-26.4</v>
      </c>
      <c r="AH68" s="10">
        <v>-194.95</v>
      </c>
      <c r="AI68" s="10">
        <v>0</v>
      </c>
      <c r="AJ68" s="10">
        <v>0</v>
      </c>
      <c r="AK68" s="10">
        <v>199.08</v>
      </c>
      <c r="AL68" s="10">
        <v>0</v>
      </c>
      <c r="AM68" s="10">
        <v>-0.22</v>
      </c>
      <c r="AN68" s="10">
        <v>-187.38</v>
      </c>
      <c r="AO68" s="10">
        <v>-26.4</v>
      </c>
      <c r="AP68" s="10">
        <v>0</v>
      </c>
      <c r="AQ68" s="10">
        <v>-230.39</v>
      </c>
      <c r="AR68" s="10">
        <f t="shared" si="11"/>
        <v>-2470.14</v>
      </c>
    </row>
    <row r="69" spans="1:44" x14ac:dyDescent="0.2">
      <c r="A69" s="17" t="s">
        <v>111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-1270</v>
      </c>
      <c r="AR69" s="10">
        <f t="shared" si="11"/>
        <v>-1270</v>
      </c>
    </row>
    <row r="70" spans="1:44" x14ac:dyDescent="0.2">
      <c r="A70" s="15" t="s">
        <v>112</v>
      </c>
      <c r="B70" s="14">
        <f t="shared" ref="B70:AR70" si="12">SUM(B47:B69)</f>
        <v>-2279.4100000000003</v>
      </c>
      <c r="C70" s="14">
        <f t="shared" si="12"/>
        <v>-1555.3200000000002</v>
      </c>
      <c r="D70" s="14">
        <f t="shared" si="12"/>
        <v>-2511.98</v>
      </c>
      <c r="E70" s="14">
        <f t="shared" si="12"/>
        <v>-4031.79</v>
      </c>
      <c r="F70" s="14">
        <f t="shared" si="12"/>
        <v>-695.7</v>
      </c>
      <c r="G70" s="14">
        <f t="shared" si="12"/>
        <v>-19687.64</v>
      </c>
      <c r="H70" s="14">
        <f t="shared" si="12"/>
        <v>13302.419999999996</v>
      </c>
      <c r="I70" s="14">
        <f t="shared" si="12"/>
        <v>-2020.78</v>
      </c>
      <c r="J70" s="14">
        <f t="shared" si="12"/>
        <v>-2512.31</v>
      </c>
      <c r="K70" s="14">
        <f t="shared" si="12"/>
        <v>-4692.0200000000004</v>
      </c>
      <c r="L70" s="14">
        <f t="shared" si="12"/>
        <v>-1639.06</v>
      </c>
      <c r="M70" s="14">
        <f t="shared" si="12"/>
        <v>-7723.33</v>
      </c>
      <c r="N70" s="14">
        <f t="shared" si="12"/>
        <v>-1749.0499999999997</v>
      </c>
      <c r="O70" s="14">
        <f t="shared" si="12"/>
        <v>-1784.79</v>
      </c>
      <c r="P70" s="14">
        <f t="shared" si="12"/>
        <v>-9431.5499999999993</v>
      </c>
      <c r="Q70" s="14">
        <f t="shared" si="12"/>
        <v>-6419.56</v>
      </c>
      <c r="R70" s="14">
        <f t="shared" si="12"/>
        <v>-3230.4300000000003</v>
      </c>
      <c r="S70" s="14">
        <f t="shared" si="12"/>
        <v>-3635.78</v>
      </c>
      <c r="T70" s="14">
        <f t="shared" si="12"/>
        <v>-10558.26</v>
      </c>
      <c r="U70" s="14">
        <f t="shared" si="12"/>
        <v>-3129.6899999999996</v>
      </c>
      <c r="V70" s="14">
        <f t="shared" si="12"/>
        <v>-3027.0099999999998</v>
      </c>
      <c r="W70" s="14">
        <f t="shared" si="12"/>
        <v>-1454.0899999999997</v>
      </c>
      <c r="X70" s="14">
        <f t="shared" si="12"/>
        <v>-3307.44</v>
      </c>
      <c r="Y70" s="14">
        <f t="shared" si="12"/>
        <v>-11650.869999999999</v>
      </c>
      <c r="Z70" s="14">
        <f t="shared" si="12"/>
        <v>-3316.05</v>
      </c>
      <c r="AA70" s="14">
        <f t="shared" si="12"/>
        <v>-3414.04</v>
      </c>
      <c r="AB70" s="14">
        <f t="shared" si="12"/>
        <v>-3833.8100000000004</v>
      </c>
      <c r="AC70" s="14">
        <f t="shared" si="12"/>
        <v>-7261.83</v>
      </c>
      <c r="AD70" s="14">
        <f t="shared" si="12"/>
        <v>-4297.68</v>
      </c>
      <c r="AE70" s="14">
        <f t="shared" si="12"/>
        <v>-6490.27</v>
      </c>
      <c r="AF70" s="14">
        <f t="shared" si="12"/>
        <v>-8668.27</v>
      </c>
      <c r="AG70" s="14">
        <f t="shared" si="12"/>
        <v>-3367.86</v>
      </c>
      <c r="AH70" s="14">
        <f t="shared" si="12"/>
        <v>-4058.6899999999991</v>
      </c>
      <c r="AI70" s="14">
        <f t="shared" si="12"/>
        <v>-6780.5199999999995</v>
      </c>
      <c r="AJ70" s="14">
        <f t="shared" si="12"/>
        <v>-5175.1599999999989</v>
      </c>
      <c r="AK70" s="14">
        <f t="shared" si="12"/>
        <v>-13655.88</v>
      </c>
      <c r="AL70" s="14">
        <f t="shared" si="12"/>
        <v>-5152.5899999999992</v>
      </c>
      <c r="AM70" s="14">
        <f t="shared" si="12"/>
        <v>-3508.8399999999997</v>
      </c>
      <c r="AN70" s="14">
        <f t="shared" si="12"/>
        <v>-5324.3</v>
      </c>
      <c r="AO70" s="14">
        <f t="shared" si="12"/>
        <v>-11735.22</v>
      </c>
      <c r="AP70" s="14">
        <f t="shared" si="12"/>
        <v>-4886.74</v>
      </c>
      <c r="AQ70" s="14">
        <f t="shared" si="12"/>
        <v>-9232.2100000000028</v>
      </c>
      <c r="AR70" s="14">
        <f t="shared" si="12"/>
        <v>-205585.40000000002</v>
      </c>
    </row>
    <row r="71" spans="1:44" x14ac:dyDescent="0.2">
      <c r="A71" s="16" t="s">
        <v>113</v>
      </c>
      <c r="B71" s="14">
        <f t="shared" ref="B71:AR71" si="13">B39+B45+B70</f>
        <v>-19996.64</v>
      </c>
      <c r="C71" s="14">
        <f t="shared" si="13"/>
        <v>-21272.55</v>
      </c>
      <c r="D71" s="14">
        <f t="shared" si="13"/>
        <v>-23638.6</v>
      </c>
      <c r="E71" s="14">
        <f t="shared" si="13"/>
        <v>-22776.81</v>
      </c>
      <c r="F71" s="14">
        <f t="shared" si="13"/>
        <v>-19310.560000000001</v>
      </c>
      <c r="G71" s="14">
        <f t="shared" si="13"/>
        <v>-54268.88</v>
      </c>
      <c r="H71" s="14">
        <f t="shared" si="13"/>
        <v>-8842.9000000000069</v>
      </c>
      <c r="I71" s="14">
        <f t="shared" si="13"/>
        <v>-18496.34</v>
      </c>
      <c r="J71" s="14">
        <f t="shared" si="13"/>
        <v>-23095.93</v>
      </c>
      <c r="K71" s="14">
        <f t="shared" si="13"/>
        <v>-25255.41</v>
      </c>
      <c r="L71" s="14">
        <f t="shared" si="13"/>
        <v>-40086.209999999992</v>
      </c>
      <c r="M71" s="14">
        <f t="shared" si="13"/>
        <v>-61912.500000000007</v>
      </c>
      <c r="N71" s="14">
        <f t="shared" si="13"/>
        <v>-29220.27</v>
      </c>
      <c r="O71" s="14">
        <f t="shared" si="13"/>
        <v>-31631.159999999996</v>
      </c>
      <c r="P71" s="14">
        <f t="shared" si="13"/>
        <v>-39901.42</v>
      </c>
      <c r="Q71" s="14">
        <f t="shared" si="13"/>
        <v>-35892.54</v>
      </c>
      <c r="R71" s="14">
        <f t="shared" si="13"/>
        <v>-34434.089999999997</v>
      </c>
      <c r="S71" s="14">
        <f t="shared" si="13"/>
        <v>-60365.11</v>
      </c>
      <c r="T71" s="14">
        <f t="shared" si="13"/>
        <v>-47544.52</v>
      </c>
      <c r="U71" s="14">
        <f t="shared" si="13"/>
        <v>-38915.54</v>
      </c>
      <c r="V71" s="14">
        <f t="shared" si="13"/>
        <v>-39449.910000000003</v>
      </c>
      <c r="W71" s="14">
        <f t="shared" si="13"/>
        <v>-37239.939999999995</v>
      </c>
      <c r="X71" s="14">
        <f t="shared" si="13"/>
        <v>-69192</v>
      </c>
      <c r="Y71" s="14">
        <f t="shared" si="13"/>
        <v>-72140.7</v>
      </c>
      <c r="Z71" s="14">
        <f t="shared" si="13"/>
        <v>-39450.15</v>
      </c>
      <c r="AA71" s="14">
        <f t="shared" si="13"/>
        <v>-41207.97</v>
      </c>
      <c r="AB71" s="14">
        <f t="shared" si="13"/>
        <v>-42671.54</v>
      </c>
      <c r="AC71" s="14">
        <f t="shared" si="13"/>
        <v>-48902.97</v>
      </c>
      <c r="AD71" s="14">
        <f t="shared" si="13"/>
        <v>-45175.42</v>
      </c>
      <c r="AE71" s="14">
        <f t="shared" si="13"/>
        <v>-83923.53</v>
      </c>
      <c r="AF71" s="14">
        <f t="shared" si="13"/>
        <v>-49450.61</v>
      </c>
      <c r="AG71" s="14">
        <f t="shared" si="13"/>
        <v>-45089.21</v>
      </c>
      <c r="AH71" s="14">
        <f t="shared" si="13"/>
        <v>-44846.53</v>
      </c>
      <c r="AI71" s="14">
        <f t="shared" si="13"/>
        <v>-47562.859999999993</v>
      </c>
      <c r="AJ71" s="14">
        <f t="shared" si="13"/>
        <v>-79230.210000000006</v>
      </c>
      <c r="AK71" s="14">
        <f t="shared" si="13"/>
        <v>-91025.860000000015</v>
      </c>
      <c r="AL71" s="14">
        <f t="shared" si="13"/>
        <v>-40755.089999999997</v>
      </c>
      <c r="AM71" s="14">
        <f t="shared" si="13"/>
        <v>-46037.619999999988</v>
      </c>
      <c r="AN71" s="14">
        <f t="shared" si="13"/>
        <v>-56194.360000000008</v>
      </c>
      <c r="AO71" s="14">
        <f t="shared" si="13"/>
        <v>-69114.48</v>
      </c>
      <c r="AP71" s="14">
        <f t="shared" si="13"/>
        <v>-64139.4</v>
      </c>
      <c r="AQ71" s="14">
        <f t="shared" si="13"/>
        <v>-102625.23000000001</v>
      </c>
      <c r="AR71" s="14">
        <f t="shared" si="13"/>
        <v>-1912283.5699999998</v>
      </c>
    </row>
    <row r="72" spans="1:44" x14ac:dyDescent="0.2">
      <c r="A72" s="18" t="s">
        <v>114</v>
      </c>
      <c r="B72" s="14">
        <f t="shared" ref="B72:AR72" si="14">B27+B71</f>
        <v>-1491.6399999999994</v>
      </c>
      <c r="C72" s="14">
        <f t="shared" si="14"/>
        <v>-33381.17</v>
      </c>
      <c r="D72" s="14">
        <f t="shared" si="14"/>
        <v>22327.5</v>
      </c>
      <c r="E72" s="14">
        <f t="shared" si="14"/>
        <v>222.80999999999767</v>
      </c>
      <c r="F72" s="14">
        <f t="shared" si="14"/>
        <v>-1475.5600000000013</v>
      </c>
      <c r="G72" s="14">
        <f t="shared" si="14"/>
        <v>92201.859999999986</v>
      </c>
      <c r="H72" s="14">
        <f t="shared" si="14"/>
        <v>-47149.630000000005</v>
      </c>
      <c r="I72" s="14">
        <f t="shared" si="14"/>
        <v>36529.180000000008</v>
      </c>
      <c r="J72" s="14">
        <f t="shared" si="14"/>
        <v>-23495.68</v>
      </c>
      <c r="K72" s="14">
        <f t="shared" si="14"/>
        <v>16349.990000000002</v>
      </c>
      <c r="L72" s="14">
        <f t="shared" si="14"/>
        <v>-110730.62999999998</v>
      </c>
      <c r="M72" s="14">
        <f t="shared" si="14"/>
        <v>81853.799999999988</v>
      </c>
      <c r="N72" s="14">
        <f t="shared" si="14"/>
        <v>-25936.27</v>
      </c>
      <c r="O72" s="14">
        <f t="shared" si="14"/>
        <v>22516.860000000008</v>
      </c>
      <c r="P72" s="14">
        <f t="shared" si="14"/>
        <v>-5868.1699999999983</v>
      </c>
      <c r="Q72" s="14">
        <f t="shared" si="14"/>
        <v>-30462.239999999998</v>
      </c>
      <c r="R72" s="14">
        <f t="shared" si="14"/>
        <v>8696.010000000002</v>
      </c>
      <c r="S72" s="14">
        <f t="shared" si="14"/>
        <v>-13361.739999999976</v>
      </c>
      <c r="T72" s="14">
        <f t="shared" si="14"/>
        <v>-38203.049999999996</v>
      </c>
      <c r="U72" s="14">
        <f t="shared" si="14"/>
        <v>79029.49000000002</v>
      </c>
      <c r="V72" s="14">
        <f t="shared" si="14"/>
        <v>1155.8399999999965</v>
      </c>
      <c r="W72" s="14">
        <f t="shared" si="14"/>
        <v>85393.010000000009</v>
      </c>
      <c r="X72" s="14">
        <f t="shared" si="14"/>
        <v>-16043.899999999994</v>
      </c>
      <c r="Y72" s="14">
        <f t="shared" si="14"/>
        <v>-46932.53</v>
      </c>
      <c r="Z72" s="14">
        <f t="shared" si="14"/>
        <v>-3066.9000000000015</v>
      </c>
      <c r="AA72" s="14">
        <f t="shared" si="14"/>
        <v>18675.050000000003</v>
      </c>
      <c r="AB72" s="14">
        <f t="shared" si="14"/>
        <v>15586.71</v>
      </c>
      <c r="AC72" s="14">
        <f t="shared" si="14"/>
        <v>15858.899999999994</v>
      </c>
      <c r="AD72" s="14">
        <f t="shared" si="14"/>
        <v>36047.679999999993</v>
      </c>
      <c r="AE72" s="14">
        <f t="shared" si="14"/>
        <v>2387.4700000000012</v>
      </c>
      <c r="AF72" s="14">
        <f t="shared" si="14"/>
        <v>40164.39</v>
      </c>
      <c r="AG72" s="14">
        <f t="shared" si="14"/>
        <v>-6069.4699999999793</v>
      </c>
      <c r="AH72" s="14">
        <f t="shared" si="14"/>
        <v>22635.72</v>
      </c>
      <c r="AI72" s="14">
        <f t="shared" si="14"/>
        <v>84006.340000000026</v>
      </c>
      <c r="AJ72" s="14">
        <f t="shared" si="14"/>
        <v>20383.779999999984</v>
      </c>
      <c r="AK72" s="14">
        <f t="shared" si="14"/>
        <v>-191820.80000000002</v>
      </c>
      <c r="AL72" s="14">
        <f t="shared" si="14"/>
        <v>10.160000000003492</v>
      </c>
      <c r="AM72" s="14">
        <f t="shared" si="14"/>
        <v>-292.4399999999805</v>
      </c>
      <c r="AN72" s="14">
        <f t="shared" si="14"/>
        <v>140452.57999999999</v>
      </c>
      <c r="AO72" s="14">
        <f t="shared" si="14"/>
        <v>51791.759999999995</v>
      </c>
      <c r="AP72" s="14">
        <f t="shared" si="14"/>
        <v>-10868.659999999996</v>
      </c>
      <c r="AQ72" s="14">
        <f t="shared" si="14"/>
        <v>-75568.98000000001</v>
      </c>
      <c r="AR72" s="14">
        <f t="shared" si="14"/>
        <v>212057.4300000011</v>
      </c>
    </row>
    <row r="73" spans="1:44" x14ac:dyDescent="0.2">
      <c r="A73" s="5" t="s">
        <v>115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</row>
    <row r="74" spans="1:44" x14ac:dyDescent="0.2">
      <c r="A74" s="6" t="s">
        <v>116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</row>
    <row r="75" spans="1:44" x14ac:dyDescent="0.2">
      <c r="A75" s="19" t="s">
        <v>117</v>
      </c>
      <c r="B75" s="10">
        <v>0</v>
      </c>
      <c r="C75" s="10">
        <v>0</v>
      </c>
      <c r="D75" s="10">
        <v>4.7300000000000004</v>
      </c>
      <c r="E75" s="10">
        <v>0</v>
      </c>
      <c r="F75" s="10">
        <v>0</v>
      </c>
      <c r="G75" s="10">
        <v>4.47</v>
      </c>
      <c r="H75" s="10">
        <v>0</v>
      </c>
      <c r="I75" s="10">
        <v>0</v>
      </c>
      <c r="J75" s="10">
        <v>4.96</v>
      </c>
      <c r="K75" s="10">
        <v>0</v>
      </c>
      <c r="L75" s="10">
        <v>0</v>
      </c>
      <c r="M75" s="10">
        <v>5.63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6.52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10.130000000000001</v>
      </c>
      <c r="AL75" s="10">
        <v>0</v>
      </c>
      <c r="AM75" s="10">
        <v>0</v>
      </c>
      <c r="AN75" s="10">
        <v>82.11</v>
      </c>
      <c r="AO75" s="10">
        <v>0</v>
      </c>
      <c r="AP75" s="10">
        <v>0</v>
      </c>
      <c r="AQ75" s="10">
        <v>69.59</v>
      </c>
      <c r="AR75" s="10">
        <f>SUM(B75:AQ75)</f>
        <v>188.14</v>
      </c>
    </row>
    <row r="76" spans="1:44" x14ac:dyDescent="0.2">
      <c r="A76" s="16" t="s">
        <v>118</v>
      </c>
      <c r="B76" s="14">
        <f t="shared" ref="B76:AR76" si="15">SUM(B75)</f>
        <v>0</v>
      </c>
      <c r="C76" s="14">
        <f t="shared" si="15"/>
        <v>0</v>
      </c>
      <c r="D76" s="14">
        <f t="shared" si="15"/>
        <v>4.7300000000000004</v>
      </c>
      <c r="E76" s="14">
        <f t="shared" si="15"/>
        <v>0</v>
      </c>
      <c r="F76" s="14">
        <f t="shared" si="15"/>
        <v>0</v>
      </c>
      <c r="G76" s="14">
        <f t="shared" si="15"/>
        <v>4.47</v>
      </c>
      <c r="H76" s="14">
        <f t="shared" si="15"/>
        <v>0</v>
      </c>
      <c r="I76" s="14">
        <f t="shared" si="15"/>
        <v>0</v>
      </c>
      <c r="J76" s="14">
        <f t="shared" si="15"/>
        <v>4.96</v>
      </c>
      <c r="K76" s="14">
        <f t="shared" si="15"/>
        <v>0</v>
      </c>
      <c r="L76" s="14">
        <f t="shared" si="15"/>
        <v>0</v>
      </c>
      <c r="M76" s="14">
        <f t="shared" si="15"/>
        <v>5.63</v>
      </c>
      <c r="N76" s="14">
        <f t="shared" si="15"/>
        <v>0</v>
      </c>
      <c r="O76" s="14">
        <f t="shared" si="15"/>
        <v>0</v>
      </c>
      <c r="P76" s="14">
        <f t="shared" si="15"/>
        <v>0</v>
      </c>
      <c r="Q76" s="14">
        <f t="shared" si="15"/>
        <v>0</v>
      </c>
      <c r="R76" s="14">
        <f t="shared" si="15"/>
        <v>0</v>
      </c>
      <c r="S76" s="14">
        <f t="shared" si="15"/>
        <v>0</v>
      </c>
      <c r="T76" s="14">
        <f t="shared" si="15"/>
        <v>0</v>
      </c>
      <c r="U76" s="14">
        <f t="shared" si="15"/>
        <v>0</v>
      </c>
      <c r="V76" s="14">
        <f t="shared" si="15"/>
        <v>0</v>
      </c>
      <c r="W76" s="14">
        <f t="shared" si="15"/>
        <v>0</v>
      </c>
      <c r="X76" s="14">
        <f t="shared" si="15"/>
        <v>0</v>
      </c>
      <c r="Y76" s="14">
        <f t="shared" si="15"/>
        <v>6.52</v>
      </c>
      <c r="Z76" s="14">
        <f t="shared" si="15"/>
        <v>0</v>
      </c>
      <c r="AA76" s="14">
        <f t="shared" si="15"/>
        <v>0</v>
      </c>
      <c r="AB76" s="14">
        <f t="shared" si="15"/>
        <v>0</v>
      </c>
      <c r="AC76" s="14">
        <f t="shared" si="15"/>
        <v>0</v>
      </c>
      <c r="AD76" s="14">
        <f t="shared" si="15"/>
        <v>0</v>
      </c>
      <c r="AE76" s="14">
        <f t="shared" si="15"/>
        <v>0</v>
      </c>
      <c r="AF76" s="14">
        <f t="shared" si="15"/>
        <v>0</v>
      </c>
      <c r="AG76" s="14">
        <f t="shared" si="15"/>
        <v>0</v>
      </c>
      <c r="AH76" s="14">
        <f t="shared" si="15"/>
        <v>0</v>
      </c>
      <c r="AI76" s="14">
        <f t="shared" si="15"/>
        <v>0</v>
      </c>
      <c r="AJ76" s="14">
        <f t="shared" si="15"/>
        <v>0</v>
      </c>
      <c r="AK76" s="14">
        <f t="shared" si="15"/>
        <v>10.130000000000001</v>
      </c>
      <c r="AL76" s="14">
        <f t="shared" si="15"/>
        <v>0</v>
      </c>
      <c r="AM76" s="14">
        <f t="shared" si="15"/>
        <v>0</v>
      </c>
      <c r="AN76" s="14">
        <f t="shared" si="15"/>
        <v>82.11</v>
      </c>
      <c r="AO76" s="14">
        <f t="shared" si="15"/>
        <v>0</v>
      </c>
      <c r="AP76" s="14">
        <f t="shared" si="15"/>
        <v>0</v>
      </c>
      <c r="AQ76" s="14">
        <f t="shared" si="15"/>
        <v>69.59</v>
      </c>
      <c r="AR76" s="14">
        <f t="shared" si="15"/>
        <v>188.14</v>
      </c>
    </row>
    <row r="77" spans="1:44" x14ac:dyDescent="0.2">
      <c r="A77" s="6" t="s">
        <v>119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</row>
    <row r="78" spans="1:44" x14ac:dyDescent="0.2">
      <c r="A78" s="19" t="s">
        <v>120</v>
      </c>
      <c r="B78" s="10">
        <v>-470.64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-561.27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-168</v>
      </c>
      <c r="AG78" s="10">
        <v>0</v>
      </c>
      <c r="AH78" s="10">
        <v>0</v>
      </c>
      <c r="AI78" s="10">
        <v>0</v>
      </c>
      <c r="AJ78" s="10">
        <v>0</v>
      </c>
      <c r="AK78" s="10">
        <v>168</v>
      </c>
      <c r="AL78" s="10">
        <v>0</v>
      </c>
      <c r="AM78" s="10">
        <v>-12</v>
      </c>
      <c r="AN78" s="10">
        <v>0</v>
      </c>
      <c r="AO78" s="10">
        <v>-72</v>
      </c>
      <c r="AP78" s="10">
        <v>-240</v>
      </c>
      <c r="AQ78" s="10">
        <v>0</v>
      </c>
      <c r="AR78" s="10">
        <f>SUM(B78:AQ78)</f>
        <v>-1355.9099999999999</v>
      </c>
    </row>
    <row r="79" spans="1:44" x14ac:dyDescent="0.2">
      <c r="A79" s="16" t="s">
        <v>121</v>
      </c>
      <c r="B79" s="14">
        <f t="shared" ref="B79:AR79" si="16">SUM(B78)</f>
        <v>-470.64</v>
      </c>
      <c r="C79" s="14">
        <f t="shared" si="16"/>
        <v>0</v>
      </c>
      <c r="D79" s="14">
        <f t="shared" si="16"/>
        <v>0</v>
      </c>
      <c r="E79" s="14">
        <f t="shared" si="16"/>
        <v>0</v>
      </c>
      <c r="F79" s="14">
        <f t="shared" si="16"/>
        <v>0</v>
      </c>
      <c r="G79" s="14">
        <f t="shared" si="16"/>
        <v>0</v>
      </c>
      <c r="H79" s="14">
        <f t="shared" si="16"/>
        <v>0</v>
      </c>
      <c r="I79" s="14">
        <f t="shared" si="16"/>
        <v>0</v>
      </c>
      <c r="J79" s="14">
        <f t="shared" si="16"/>
        <v>0</v>
      </c>
      <c r="K79" s="14">
        <f t="shared" si="16"/>
        <v>0</v>
      </c>
      <c r="L79" s="14">
        <f t="shared" si="16"/>
        <v>0</v>
      </c>
      <c r="M79" s="14">
        <f t="shared" si="16"/>
        <v>-561.27</v>
      </c>
      <c r="N79" s="14">
        <f t="shared" si="16"/>
        <v>0</v>
      </c>
      <c r="O79" s="14">
        <f t="shared" si="16"/>
        <v>0</v>
      </c>
      <c r="P79" s="14">
        <f t="shared" si="16"/>
        <v>0</v>
      </c>
      <c r="Q79" s="14">
        <f t="shared" si="16"/>
        <v>0</v>
      </c>
      <c r="R79" s="14">
        <f t="shared" si="16"/>
        <v>0</v>
      </c>
      <c r="S79" s="14">
        <f t="shared" si="16"/>
        <v>0</v>
      </c>
      <c r="T79" s="14">
        <f t="shared" si="16"/>
        <v>0</v>
      </c>
      <c r="U79" s="14">
        <f t="shared" si="16"/>
        <v>0</v>
      </c>
      <c r="V79" s="14">
        <f t="shared" si="16"/>
        <v>0</v>
      </c>
      <c r="W79" s="14">
        <f t="shared" si="16"/>
        <v>0</v>
      </c>
      <c r="X79" s="14">
        <f t="shared" si="16"/>
        <v>0</v>
      </c>
      <c r="Y79" s="14">
        <f t="shared" si="16"/>
        <v>0</v>
      </c>
      <c r="Z79" s="14">
        <f t="shared" si="16"/>
        <v>0</v>
      </c>
      <c r="AA79" s="14">
        <f t="shared" si="16"/>
        <v>0</v>
      </c>
      <c r="AB79" s="14">
        <f t="shared" si="16"/>
        <v>0</v>
      </c>
      <c r="AC79" s="14">
        <f t="shared" si="16"/>
        <v>0</v>
      </c>
      <c r="AD79" s="14">
        <f t="shared" si="16"/>
        <v>0</v>
      </c>
      <c r="AE79" s="14">
        <f t="shared" si="16"/>
        <v>0</v>
      </c>
      <c r="AF79" s="14">
        <f t="shared" si="16"/>
        <v>-168</v>
      </c>
      <c r="AG79" s="14">
        <f t="shared" si="16"/>
        <v>0</v>
      </c>
      <c r="AH79" s="14">
        <f t="shared" si="16"/>
        <v>0</v>
      </c>
      <c r="AI79" s="14">
        <f t="shared" si="16"/>
        <v>0</v>
      </c>
      <c r="AJ79" s="14">
        <f t="shared" si="16"/>
        <v>0</v>
      </c>
      <c r="AK79" s="14">
        <f t="shared" si="16"/>
        <v>168</v>
      </c>
      <c r="AL79" s="14">
        <f t="shared" si="16"/>
        <v>0</v>
      </c>
      <c r="AM79" s="14">
        <f t="shared" si="16"/>
        <v>-12</v>
      </c>
      <c r="AN79" s="14">
        <f t="shared" si="16"/>
        <v>0</v>
      </c>
      <c r="AO79" s="14">
        <f t="shared" si="16"/>
        <v>-72</v>
      </c>
      <c r="AP79" s="14">
        <f t="shared" si="16"/>
        <v>-240</v>
      </c>
      <c r="AQ79" s="14">
        <f t="shared" si="16"/>
        <v>0</v>
      </c>
      <c r="AR79" s="14">
        <f t="shared" si="16"/>
        <v>-1355.9099999999999</v>
      </c>
    </row>
    <row r="80" spans="1:44" x14ac:dyDescent="0.2">
      <c r="A80" s="18" t="s">
        <v>122</v>
      </c>
      <c r="B80" s="14">
        <f t="shared" ref="B80:AR80" si="17">0+0+B76+0+B79</f>
        <v>-470.64</v>
      </c>
      <c r="C80" s="14">
        <f t="shared" si="17"/>
        <v>0</v>
      </c>
      <c r="D80" s="14">
        <f t="shared" si="17"/>
        <v>4.7300000000000004</v>
      </c>
      <c r="E80" s="14">
        <f t="shared" si="17"/>
        <v>0</v>
      </c>
      <c r="F80" s="14">
        <f t="shared" si="17"/>
        <v>0</v>
      </c>
      <c r="G80" s="14">
        <f t="shared" si="17"/>
        <v>4.47</v>
      </c>
      <c r="H80" s="14">
        <f t="shared" si="17"/>
        <v>0</v>
      </c>
      <c r="I80" s="14">
        <f t="shared" si="17"/>
        <v>0</v>
      </c>
      <c r="J80" s="14">
        <f t="shared" si="17"/>
        <v>4.96</v>
      </c>
      <c r="K80" s="14">
        <f t="shared" si="17"/>
        <v>0</v>
      </c>
      <c r="L80" s="14">
        <f t="shared" si="17"/>
        <v>0</v>
      </c>
      <c r="M80" s="14">
        <f t="shared" si="17"/>
        <v>-555.64</v>
      </c>
      <c r="N80" s="14">
        <f t="shared" si="17"/>
        <v>0</v>
      </c>
      <c r="O80" s="14">
        <f t="shared" si="17"/>
        <v>0</v>
      </c>
      <c r="P80" s="14">
        <f t="shared" si="17"/>
        <v>0</v>
      </c>
      <c r="Q80" s="14">
        <f t="shared" si="17"/>
        <v>0</v>
      </c>
      <c r="R80" s="14">
        <f t="shared" si="17"/>
        <v>0</v>
      </c>
      <c r="S80" s="14">
        <f t="shared" si="17"/>
        <v>0</v>
      </c>
      <c r="T80" s="14">
        <f t="shared" si="17"/>
        <v>0</v>
      </c>
      <c r="U80" s="14">
        <f t="shared" si="17"/>
        <v>0</v>
      </c>
      <c r="V80" s="14">
        <f t="shared" si="17"/>
        <v>0</v>
      </c>
      <c r="W80" s="14">
        <f t="shared" si="17"/>
        <v>0</v>
      </c>
      <c r="X80" s="14">
        <f t="shared" si="17"/>
        <v>0</v>
      </c>
      <c r="Y80" s="14">
        <f t="shared" si="17"/>
        <v>6.52</v>
      </c>
      <c r="Z80" s="14">
        <f t="shared" si="17"/>
        <v>0</v>
      </c>
      <c r="AA80" s="14">
        <f t="shared" si="17"/>
        <v>0</v>
      </c>
      <c r="AB80" s="14">
        <f t="shared" si="17"/>
        <v>0</v>
      </c>
      <c r="AC80" s="14">
        <f t="shared" si="17"/>
        <v>0</v>
      </c>
      <c r="AD80" s="14">
        <f t="shared" si="17"/>
        <v>0</v>
      </c>
      <c r="AE80" s="14">
        <f t="shared" si="17"/>
        <v>0</v>
      </c>
      <c r="AF80" s="14">
        <f t="shared" si="17"/>
        <v>-168</v>
      </c>
      <c r="AG80" s="14">
        <f t="shared" si="17"/>
        <v>0</v>
      </c>
      <c r="AH80" s="14">
        <f t="shared" si="17"/>
        <v>0</v>
      </c>
      <c r="AI80" s="14">
        <f t="shared" si="17"/>
        <v>0</v>
      </c>
      <c r="AJ80" s="14">
        <f t="shared" si="17"/>
        <v>0</v>
      </c>
      <c r="AK80" s="14">
        <f t="shared" si="17"/>
        <v>178.13</v>
      </c>
      <c r="AL80" s="14">
        <f t="shared" si="17"/>
        <v>0</v>
      </c>
      <c r="AM80" s="14">
        <f t="shared" si="17"/>
        <v>-12</v>
      </c>
      <c r="AN80" s="14">
        <f t="shared" si="17"/>
        <v>82.11</v>
      </c>
      <c r="AO80" s="14">
        <f t="shared" si="17"/>
        <v>-72</v>
      </c>
      <c r="AP80" s="14">
        <f t="shared" si="17"/>
        <v>-240</v>
      </c>
      <c r="AQ80" s="14">
        <f t="shared" si="17"/>
        <v>69.59</v>
      </c>
      <c r="AR80" s="14">
        <f t="shared" si="17"/>
        <v>-1167.77</v>
      </c>
    </row>
    <row r="81" spans="1:44" x14ac:dyDescent="0.2">
      <c r="A81" s="5" t="s">
        <v>123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</row>
    <row r="82" spans="1:44" x14ac:dyDescent="0.2">
      <c r="A82" s="20" t="s">
        <v>124</v>
      </c>
      <c r="B82" s="10">
        <v>0</v>
      </c>
      <c r="C82" s="10">
        <v>-2500</v>
      </c>
      <c r="D82" s="10">
        <v>2063</v>
      </c>
      <c r="E82" s="10">
        <v>0</v>
      </c>
      <c r="F82" s="10">
        <v>-437</v>
      </c>
      <c r="G82" s="10">
        <v>0</v>
      </c>
      <c r="H82" s="10">
        <v>0</v>
      </c>
      <c r="I82" s="10">
        <v>-437</v>
      </c>
      <c r="J82" s="10">
        <v>0</v>
      </c>
      <c r="K82" s="10">
        <v>0</v>
      </c>
      <c r="L82" s="10">
        <v>-439</v>
      </c>
      <c r="M82" s="10">
        <v>0</v>
      </c>
      <c r="N82" s="10">
        <v>0</v>
      </c>
      <c r="O82" s="10">
        <v>-437</v>
      </c>
      <c r="P82" s="10">
        <v>0</v>
      </c>
      <c r="Q82" s="10">
        <v>0</v>
      </c>
      <c r="R82" s="10">
        <v>-437</v>
      </c>
      <c r="S82" s="10">
        <v>0</v>
      </c>
      <c r="T82" s="10">
        <v>56</v>
      </c>
      <c r="U82" s="10">
        <v>-409</v>
      </c>
      <c r="V82" s="10">
        <v>0</v>
      </c>
      <c r="W82" s="10">
        <v>0</v>
      </c>
      <c r="X82" s="10">
        <v>-409</v>
      </c>
      <c r="Y82" s="10">
        <v>330</v>
      </c>
      <c r="Z82" s="10">
        <v>0</v>
      </c>
      <c r="AA82" s="10">
        <v>-409</v>
      </c>
      <c r="AB82" s="10">
        <v>0</v>
      </c>
      <c r="AC82" s="10">
        <v>0</v>
      </c>
      <c r="AD82" s="10">
        <v>-269</v>
      </c>
      <c r="AE82" s="10">
        <v>0</v>
      </c>
      <c r="AF82" s="10">
        <v>0</v>
      </c>
      <c r="AG82" s="10">
        <v>-339</v>
      </c>
      <c r="AH82" s="10">
        <v>0</v>
      </c>
      <c r="AI82" s="10">
        <v>0</v>
      </c>
      <c r="AJ82" s="10">
        <v>-341</v>
      </c>
      <c r="AK82" s="10">
        <v>-2081.5</v>
      </c>
      <c r="AL82" s="10">
        <v>0</v>
      </c>
      <c r="AM82" s="10">
        <v>-339</v>
      </c>
      <c r="AN82" s="10">
        <v>0</v>
      </c>
      <c r="AO82" s="10">
        <v>0</v>
      </c>
      <c r="AP82" s="10">
        <v>-339</v>
      </c>
      <c r="AQ82" s="10">
        <v>0</v>
      </c>
      <c r="AR82" s="10">
        <f>SUM(B82:AQ82)</f>
        <v>-7173.5</v>
      </c>
    </row>
    <row r="83" spans="1:44" x14ac:dyDescent="0.2">
      <c r="A83" s="20" t="s">
        <v>125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1250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676</v>
      </c>
      <c r="U83" s="10">
        <v>0</v>
      </c>
      <c r="V83" s="10">
        <v>0</v>
      </c>
      <c r="W83" s="10">
        <v>0</v>
      </c>
      <c r="X83" s="10">
        <v>0</v>
      </c>
      <c r="Y83" s="10">
        <v>-5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f>SUM(B83:AQ83)</f>
        <v>1921</v>
      </c>
    </row>
    <row r="84" spans="1:44" x14ac:dyDescent="0.2">
      <c r="A84" s="18" t="s">
        <v>126</v>
      </c>
      <c r="B84" s="14">
        <f t="shared" ref="B84:AR84" si="18">SUM(B82:B83)</f>
        <v>0</v>
      </c>
      <c r="C84" s="14">
        <f t="shared" si="18"/>
        <v>-2500</v>
      </c>
      <c r="D84" s="14">
        <f t="shared" si="18"/>
        <v>2063</v>
      </c>
      <c r="E84" s="14">
        <f t="shared" si="18"/>
        <v>0</v>
      </c>
      <c r="F84" s="14">
        <f t="shared" si="18"/>
        <v>-437</v>
      </c>
      <c r="G84" s="14">
        <f t="shared" si="18"/>
        <v>0</v>
      </c>
      <c r="H84" s="14">
        <f t="shared" si="18"/>
        <v>0</v>
      </c>
      <c r="I84" s="14">
        <f t="shared" si="18"/>
        <v>-437</v>
      </c>
      <c r="J84" s="14">
        <f t="shared" si="18"/>
        <v>0</v>
      </c>
      <c r="K84" s="14">
        <f t="shared" si="18"/>
        <v>0</v>
      </c>
      <c r="L84" s="14">
        <f t="shared" si="18"/>
        <v>-439</v>
      </c>
      <c r="M84" s="14">
        <f t="shared" si="18"/>
        <v>1250</v>
      </c>
      <c r="N84" s="14">
        <f t="shared" si="18"/>
        <v>0</v>
      </c>
      <c r="O84" s="14">
        <f t="shared" si="18"/>
        <v>-437</v>
      </c>
      <c r="P84" s="14">
        <f t="shared" si="18"/>
        <v>0</v>
      </c>
      <c r="Q84" s="14">
        <f t="shared" si="18"/>
        <v>0</v>
      </c>
      <c r="R84" s="14">
        <f t="shared" si="18"/>
        <v>-437</v>
      </c>
      <c r="S84" s="14">
        <f t="shared" si="18"/>
        <v>0</v>
      </c>
      <c r="T84" s="14">
        <f t="shared" si="18"/>
        <v>732</v>
      </c>
      <c r="U84" s="14">
        <f t="shared" si="18"/>
        <v>-409</v>
      </c>
      <c r="V84" s="14">
        <f t="shared" si="18"/>
        <v>0</v>
      </c>
      <c r="W84" s="14">
        <f t="shared" si="18"/>
        <v>0</v>
      </c>
      <c r="X84" s="14">
        <f t="shared" si="18"/>
        <v>-409</v>
      </c>
      <c r="Y84" s="14">
        <f t="shared" si="18"/>
        <v>325</v>
      </c>
      <c r="Z84" s="14">
        <f t="shared" si="18"/>
        <v>0</v>
      </c>
      <c r="AA84" s="14">
        <f t="shared" si="18"/>
        <v>-409</v>
      </c>
      <c r="AB84" s="14">
        <f t="shared" si="18"/>
        <v>0</v>
      </c>
      <c r="AC84" s="14">
        <f t="shared" si="18"/>
        <v>0</v>
      </c>
      <c r="AD84" s="14">
        <f t="shared" si="18"/>
        <v>-269</v>
      </c>
      <c r="AE84" s="14">
        <f t="shared" si="18"/>
        <v>0</v>
      </c>
      <c r="AF84" s="14">
        <f t="shared" si="18"/>
        <v>0</v>
      </c>
      <c r="AG84" s="14">
        <f t="shared" si="18"/>
        <v>-339</v>
      </c>
      <c r="AH84" s="14">
        <f t="shared" si="18"/>
        <v>0</v>
      </c>
      <c r="AI84" s="14">
        <f t="shared" si="18"/>
        <v>0</v>
      </c>
      <c r="AJ84" s="14">
        <f t="shared" si="18"/>
        <v>-341</v>
      </c>
      <c r="AK84" s="14">
        <f t="shared" si="18"/>
        <v>-2081.5</v>
      </c>
      <c r="AL84" s="14">
        <f t="shared" si="18"/>
        <v>0</v>
      </c>
      <c r="AM84" s="14">
        <f t="shared" si="18"/>
        <v>-339</v>
      </c>
      <c r="AN84" s="14">
        <f t="shared" si="18"/>
        <v>0</v>
      </c>
      <c r="AO84" s="14">
        <f t="shared" si="18"/>
        <v>0</v>
      </c>
      <c r="AP84" s="14">
        <f t="shared" si="18"/>
        <v>-339</v>
      </c>
      <c r="AQ84" s="14">
        <f t="shared" si="18"/>
        <v>0</v>
      </c>
      <c r="AR84" s="14">
        <f t="shared" si="18"/>
        <v>-5252.5</v>
      </c>
    </row>
    <row r="85" spans="1:44" x14ac:dyDescent="0.2">
      <c r="A85" s="21" t="s">
        <v>127</v>
      </c>
      <c r="B85" s="14">
        <f t="shared" ref="B85:AR85" si="19">B72+B80+B84+0</f>
        <v>-1962.2799999999993</v>
      </c>
      <c r="C85" s="14">
        <f t="shared" si="19"/>
        <v>-35881.17</v>
      </c>
      <c r="D85" s="14">
        <f t="shared" si="19"/>
        <v>24395.23</v>
      </c>
      <c r="E85" s="14">
        <f t="shared" si="19"/>
        <v>222.80999999999767</v>
      </c>
      <c r="F85" s="14">
        <f t="shared" si="19"/>
        <v>-1912.5600000000013</v>
      </c>
      <c r="G85" s="14">
        <f t="shared" si="19"/>
        <v>92206.329999999987</v>
      </c>
      <c r="H85" s="14">
        <f t="shared" si="19"/>
        <v>-47149.630000000005</v>
      </c>
      <c r="I85" s="14">
        <f t="shared" si="19"/>
        <v>36092.180000000008</v>
      </c>
      <c r="J85" s="14">
        <f t="shared" si="19"/>
        <v>-23490.720000000001</v>
      </c>
      <c r="K85" s="14">
        <f t="shared" si="19"/>
        <v>16349.990000000002</v>
      </c>
      <c r="L85" s="14">
        <f t="shared" si="19"/>
        <v>-111169.62999999998</v>
      </c>
      <c r="M85" s="14">
        <f t="shared" si="19"/>
        <v>82548.159999999989</v>
      </c>
      <c r="N85" s="14">
        <f t="shared" si="19"/>
        <v>-25936.27</v>
      </c>
      <c r="O85" s="14">
        <f t="shared" si="19"/>
        <v>22079.860000000008</v>
      </c>
      <c r="P85" s="14">
        <f t="shared" si="19"/>
        <v>-5868.1699999999983</v>
      </c>
      <c r="Q85" s="14">
        <f t="shared" si="19"/>
        <v>-30462.239999999998</v>
      </c>
      <c r="R85" s="14">
        <f t="shared" si="19"/>
        <v>8259.010000000002</v>
      </c>
      <c r="S85" s="14">
        <f t="shared" si="19"/>
        <v>-13361.739999999976</v>
      </c>
      <c r="T85" s="14">
        <f t="shared" si="19"/>
        <v>-37471.049999999996</v>
      </c>
      <c r="U85" s="14">
        <f t="shared" si="19"/>
        <v>78620.49000000002</v>
      </c>
      <c r="V85" s="14">
        <f t="shared" si="19"/>
        <v>1155.8399999999965</v>
      </c>
      <c r="W85" s="14">
        <f t="shared" si="19"/>
        <v>85393.010000000009</v>
      </c>
      <c r="X85" s="14">
        <f t="shared" si="19"/>
        <v>-16452.899999999994</v>
      </c>
      <c r="Y85" s="14">
        <f t="shared" si="19"/>
        <v>-46601.01</v>
      </c>
      <c r="Z85" s="14">
        <f t="shared" si="19"/>
        <v>-3066.9000000000015</v>
      </c>
      <c r="AA85" s="14">
        <f t="shared" si="19"/>
        <v>18266.050000000003</v>
      </c>
      <c r="AB85" s="14">
        <f t="shared" si="19"/>
        <v>15586.71</v>
      </c>
      <c r="AC85" s="14">
        <f t="shared" si="19"/>
        <v>15858.899999999994</v>
      </c>
      <c r="AD85" s="14">
        <f t="shared" si="19"/>
        <v>35778.679999999993</v>
      </c>
      <c r="AE85" s="14">
        <f t="shared" si="19"/>
        <v>2387.4700000000012</v>
      </c>
      <c r="AF85" s="14">
        <f t="shared" si="19"/>
        <v>39996.39</v>
      </c>
      <c r="AG85" s="14">
        <f t="shared" si="19"/>
        <v>-6408.4699999999793</v>
      </c>
      <c r="AH85" s="14">
        <f t="shared" si="19"/>
        <v>22635.72</v>
      </c>
      <c r="AI85" s="14">
        <f t="shared" si="19"/>
        <v>84006.340000000026</v>
      </c>
      <c r="AJ85" s="14">
        <f t="shared" si="19"/>
        <v>20042.779999999984</v>
      </c>
      <c r="AK85" s="14">
        <f t="shared" si="19"/>
        <v>-193724.17</v>
      </c>
      <c r="AL85" s="14">
        <f t="shared" si="19"/>
        <v>10.160000000003492</v>
      </c>
      <c r="AM85" s="14">
        <f t="shared" si="19"/>
        <v>-643.4399999999805</v>
      </c>
      <c r="AN85" s="14">
        <f t="shared" si="19"/>
        <v>140534.68999999997</v>
      </c>
      <c r="AO85" s="14">
        <f t="shared" si="19"/>
        <v>51719.759999999995</v>
      </c>
      <c r="AP85" s="14">
        <f t="shared" si="19"/>
        <v>-11447.659999999996</v>
      </c>
      <c r="AQ85" s="14">
        <f t="shared" si="19"/>
        <v>-75499.390000000014</v>
      </c>
      <c r="AR85" s="14">
        <f t="shared" si="19"/>
        <v>205637.16000000111</v>
      </c>
    </row>
  </sheetData>
  <mergeCells count="3">
    <mergeCell ref="A1:AR1"/>
    <mergeCell ref="A2:AR2"/>
    <mergeCell ref="A3:AR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PGPLbyEntityandMonthQuart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2023-08-08T19:01:47Z</dcterms:created>
  <dcterms:modified xsi:type="dcterms:W3CDTF">2023-08-08T19:04:27Z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