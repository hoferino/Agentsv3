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AT\"/>
    </mc:Choice>
  </mc:AlternateContent>
  <xr:revisionPtr revIDLastSave="0" documentId="13_ncr:40009_{4EE8FECE-8D56-48A2-9BFE-E5F5DC62B81A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byEntity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94" i="1" l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CC67" i="1"/>
  <c r="CC89" i="1" s="1"/>
  <c r="CB67" i="1"/>
  <c r="CB89" i="1" s="1"/>
  <c r="CA67" i="1"/>
  <c r="CA89" i="1" s="1"/>
  <c r="BZ67" i="1"/>
  <c r="BZ89" i="1" s="1"/>
  <c r="BY67" i="1"/>
  <c r="BY89" i="1" s="1"/>
  <c r="BX67" i="1"/>
  <c r="BX89" i="1" s="1"/>
  <c r="BW67" i="1"/>
  <c r="BW89" i="1" s="1"/>
  <c r="BV67" i="1"/>
  <c r="BV89" i="1" s="1"/>
  <c r="BU67" i="1"/>
  <c r="BU89" i="1" s="1"/>
  <c r="BT67" i="1"/>
  <c r="BT89" i="1" s="1"/>
  <c r="BS67" i="1"/>
  <c r="BS89" i="1" s="1"/>
  <c r="BR67" i="1"/>
  <c r="BR89" i="1" s="1"/>
  <c r="BQ67" i="1"/>
  <c r="BQ89" i="1" s="1"/>
  <c r="BP67" i="1"/>
  <c r="BP89" i="1" s="1"/>
  <c r="BO67" i="1"/>
  <c r="BO89" i="1" s="1"/>
  <c r="BN67" i="1"/>
  <c r="BN89" i="1" s="1"/>
  <c r="BM67" i="1"/>
  <c r="BM89" i="1" s="1"/>
  <c r="BL67" i="1"/>
  <c r="BL89" i="1" s="1"/>
  <c r="BK67" i="1"/>
  <c r="BK89" i="1" s="1"/>
  <c r="BJ67" i="1"/>
  <c r="BJ89" i="1" s="1"/>
  <c r="BI67" i="1"/>
  <c r="BI89" i="1" s="1"/>
  <c r="BH67" i="1"/>
  <c r="BH89" i="1" s="1"/>
  <c r="BG67" i="1"/>
  <c r="BG89" i="1" s="1"/>
  <c r="BF67" i="1"/>
  <c r="BF89" i="1" s="1"/>
  <c r="BE67" i="1"/>
  <c r="BE89" i="1" s="1"/>
  <c r="BD67" i="1"/>
  <c r="BD89" i="1" s="1"/>
  <c r="BC67" i="1"/>
  <c r="BC89" i="1" s="1"/>
  <c r="BB67" i="1"/>
  <c r="BB89" i="1" s="1"/>
  <c r="BA67" i="1"/>
  <c r="BA89" i="1" s="1"/>
  <c r="AZ67" i="1"/>
  <c r="AZ89" i="1" s="1"/>
  <c r="AY67" i="1"/>
  <c r="AY89" i="1" s="1"/>
  <c r="AX67" i="1"/>
  <c r="AX89" i="1" s="1"/>
  <c r="AW67" i="1"/>
  <c r="AW89" i="1" s="1"/>
  <c r="AV67" i="1"/>
  <c r="AV89" i="1" s="1"/>
  <c r="AU67" i="1"/>
  <c r="AU89" i="1" s="1"/>
  <c r="AT67" i="1"/>
  <c r="AT89" i="1" s="1"/>
  <c r="AS67" i="1"/>
  <c r="AS89" i="1" s="1"/>
  <c r="AR67" i="1"/>
  <c r="AR89" i="1" s="1"/>
  <c r="AQ67" i="1"/>
  <c r="AQ89" i="1" s="1"/>
  <c r="AP67" i="1"/>
  <c r="AP89" i="1" s="1"/>
  <c r="AO67" i="1"/>
  <c r="AO89" i="1" s="1"/>
  <c r="AN67" i="1"/>
  <c r="AN89" i="1" s="1"/>
  <c r="AM67" i="1"/>
  <c r="AM89" i="1" s="1"/>
  <c r="AL67" i="1"/>
  <c r="AL89" i="1" s="1"/>
  <c r="AK67" i="1"/>
  <c r="AK89" i="1" s="1"/>
  <c r="AJ67" i="1"/>
  <c r="AJ89" i="1" s="1"/>
  <c r="AI67" i="1"/>
  <c r="AI89" i="1" s="1"/>
  <c r="AH67" i="1"/>
  <c r="AH89" i="1" s="1"/>
  <c r="AG67" i="1"/>
  <c r="AG89" i="1" s="1"/>
  <c r="AF67" i="1"/>
  <c r="AF89" i="1" s="1"/>
  <c r="AE67" i="1"/>
  <c r="AE89" i="1" s="1"/>
  <c r="AD67" i="1"/>
  <c r="AD89" i="1" s="1"/>
  <c r="AC67" i="1"/>
  <c r="AC89" i="1" s="1"/>
  <c r="AB67" i="1"/>
  <c r="AB89" i="1" s="1"/>
  <c r="AA67" i="1"/>
  <c r="AA89" i="1" s="1"/>
  <c r="Z67" i="1"/>
  <c r="Z89" i="1" s="1"/>
  <c r="Y67" i="1"/>
  <c r="Y89" i="1" s="1"/>
  <c r="X67" i="1"/>
  <c r="X89" i="1" s="1"/>
  <c r="W67" i="1"/>
  <c r="W89" i="1" s="1"/>
  <c r="V67" i="1"/>
  <c r="V89" i="1" s="1"/>
  <c r="U67" i="1"/>
  <c r="U89" i="1" s="1"/>
  <c r="T67" i="1"/>
  <c r="T89" i="1" s="1"/>
  <c r="S67" i="1"/>
  <c r="S89" i="1" s="1"/>
  <c r="R67" i="1"/>
  <c r="R89" i="1" s="1"/>
  <c r="Q67" i="1"/>
  <c r="Q89" i="1" s="1"/>
  <c r="P67" i="1"/>
  <c r="P89" i="1" s="1"/>
  <c r="O67" i="1"/>
  <c r="O89" i="1" s="1"/>
  <c r="N67" i="1"/>
  <c r="N89" i="1" s="1"/>
  <c r="M67" i="1"/>
  <c r="M89" i="1" s="1"/>
  <c r="L67" i="1"/>
  <c r="L89" i="1" s="1"/>
  <c r="K67" i="1"/>
  <c r="K89" i="1" s="1"/>
  <c r="J67" i="1"/>
  <c r="J89" i="1" s="1"/>
  <c r="I67" i="1"/>
  <c r="I89" i="1" s="1"/>
  <c r="H67" i="1"/>
  <c r="H89" i="1" s="1"/>
  <c r="G67" i="1"/>
  <c r="G89" i="1" s="1"/>
  <c r="F67" i="1"/>
  <c r="F89" i="1" s="1"/>
  <c r="E67" i="1"/>
  <c r="E89" i="1" s="1"/>
  <c r="D67" i="1"/>
  <c r="D89" i="1" s="1"/>
  <c r="C67" i="1"/>
  <c r="C89" i="1" s="1"/>
  <c r="B67" i="1"/>
  <c r="B89" i="1" s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CC57" i="1"/>
  <c r="CC62" i="1" s="1"/>
  <c r="CB57" i="1"/>
  <c r="CB62" i="1" s="1"/>
  <c r="CA57" i="1"/>
  <c r="CA62" i="1" s="1"/>
  <c r="BZ57" i="1"/>
  <c r="BZ62" i="1" s="1"/>
  <c r="BY57" i="1"/>
  <c r="BY62" i="1" s="1"/>
  <c r="BX57" i="1"/>
  <c r="BX62" i="1" s="1"/>
  <c r="BW57" i="1"/>
  <c r="BW62" i="1" s="1"/>
  <c r="BV57" i="1"/>
  <c r="BV62" i="1" s="1"/>
  <c r="BU57" i="1"/>
  <c r="BU62" i="1" s="1"/>
  <c r="BT57" i="1"/>
  <c r="BT62" i="1" s="1"/>
  <c r="BS57" i="1"/>
  <c r="BS62" i="1" s="1"/>
  <c r="BR57" i="1"/>
  <c r="BR62" i="1" s="1"/>
  <c r="BQ57" i="1"/>
  <c r="BQ62" i="1" s="1"/>
  <c r="BP57" i="1"/>
  <c r="BP62" i="1" s="1"/>
  <c r="BO57" i="1"/>
  <c r="BO62" i="1" s="1"/>
  <c r="BN57" i="1"/>
  <c r="BN62" i="1" s="1"/>
  <c r="BM57" i="1"/>
  <c r="BM62" i="1" s="1"/>
  <c r="BL57" i="1"/>
  <c r="BL62" i="1" s="1"/>
  <c r="BK57" i="1"/>
  <c r="BK62" i="1" s="1"/>
  <c r="BJ57" i="1"/>
  <c r="BJ62" i="1" s="1"/>
  <c r="BI57" i="1"/>
  <c r="BI62" i="1" s="1"/>
  <c r="BH57" i="1"/>
  <c r="BH62" i="1" s="1"/>
  <c r="BG57" i="1"/>
  <c r="BG62" i="1" s="1"/>
  <c r="BF57" i="1"/>
  <c r="BF62" i="1" s="1"/>
  <c r="BE57" i="1"/>
  <c r="BE62" i="1" s="1"/>
  <c r="BD57" i="1"/>
  <c r="BD62" i="1" s="1"/>
  <c r="BC57" i="1"/>
  <c r="BC62" i="1" s="1"/>
  <c r="BB57" i="1"/>
  <c r="BB62" i="1" s="1"/>
  <c r="BA57" i="1"/>
  <c r="BA62" i="1" s="1"/>
  <c r="AZ57" i="1"/>
  <c r="AZ62" i="1" s="1"/>
  <c r="AY57" i="1"/>
  <c r="AY62" i="1" s="1"/>
  <c r="AX57" i="1"/>
  <c r="AX62" i="1" s="1"/>
  <c r="AW57" i="1"/>
  <c r="AW62" i="1" s="1"/>
  <c r="AV57" i="1"/>
  <c r="AV62" i="1" s="1"/>
  <c r="AU57" i="1"/>
  <c r="AU62" i="1" s="1"/>
  <c r="AT57" i="1"/>
  <c r="AT62" i="1" s="1"/>
  <c r="AS57" i="1"/>
  <c r="AS62" i="1" s="1"/>
  <c r="AR57" i="1"/>
  <c r="AR62" i="1" s="1"/>
  <c r="AQ57" i="1"/>
  <c r="AQ62" i="1" s="1"/>
  <c r="AP57" i="1"/>
  <c r="AP62" i="1" s="1"/>
  <c r="AO57" i="1"/>
  <c r="AO62" i="1" s="1"/>
  <c r="AN57" i="1"/>
  <c r="AN62" i="1" s="1"/>
  <c r="AM57" i="1"/>
  <c r="AM62" i="1" s="1"/>
  <c r="AL57" i="1"/>
  <c r="AL62" i="1" s="1"/>
  <c r="AK57" i="1"/>
  <c r="AK62" i="1" s="1"/>
  <c r="AJ57" i="1"/>
  <c r="AJ62" i="1" s="1"/>
  <c r="AI57" i="1"/>
  <c r="AI62" i="1" s="1"/>
  <c r="AH57" i="1"/>
  <c r="AH62" i="1" s="1"/>
  <c r="AG57" i="1"/>
  <c r="AG62" i="1" s="1"/>
  <c r="AF57" i="1"/>
  <c r="AF62" i="1" s="1"/>
  <c r="AE57" i="1"/>
  <c r="AE62" i="1" s="1"/>
  <c r="AD57" i="1"/>
  <c r="AD62" i="1" s="1"/>
  <c r="AC57" i="1"/>
  <c r="AC62" i="1" s="1"/>
  <c r="AB57" i="1"/>
  <c r="AB62" i="1" s="1"/>
  <c r="AA57" i="1"/>
  <c r="AA62" i="1" s="1"/>
  <c r="Z57" i="1"/>
  <c r="Z62" i="1" s="1"/>
  <c r="Y57" i="1"/>
  <c r="Y62" i="1" s="1"/>
  <c r="X57" i="1"/>
  <c r="X62" i="1" s="1"/>
  <c r="W57" i="1"/>
  <c r="W62" i="1" s="1"/>
  <c r="V57" i="1"/>
  <c r="V62" i="1" s="1"/>
  <c r="U57" i="1"/>
  <c r="U62" i="1" s="1"/>
  <c r="T57" i="1"/>
  <c r="T62" i="1" s="1"/>
  <c r="S57" i="1"/>
  <c r="S62" i="1" s="1"/>
  <c r="R57" i="1"/>
  <c r="R62" i="1" s="1"/>
  <c r="Q57" i="1"/>
  <c r="Q62" i="1" s="1"/>
  <c r="P57" i="1"/>
  <c r="P62" i="1" s="1"/>
  <c r="O57" i="1"/>
  <c r="O62" i="1" s="1"/>
  <c r="N57" i="1"/>
  <c r="N62" i="1" s="1"/>
  <c r="M57" i="1"/>
  <c r="M62" i="1" s="1"/>
  <c r="L57" i="1"/>
  <c r="L62" i="1" s="1"/>
  <c r="K57" i="1"/>
  <c r="K62" i="1" s="1"/>
  <c r="J57" i="1"/>
  <c r="J62" i="1" s="1"/>
  <c r="I57" i="1"/>
  <c r="I62" i="1" s="1"/>
  <c r="H57" i="1"/>
  <c r="H62" i="1" s="1"/>
  <c r="G57" i="1"/>
  <c r="G62" i="1" s="1"/>
  <c r="F57" i="1"/>
  <c r="F62" i="1" s="1"/>
  <c r="E57" i="1"/>
  <c r="E62" i="1" s="1"/>
  <c r="D57" i="1"/>
  <c r="D62" i="1" s="1"/>
  <c r="C57" i="1"/>
  <c r="C62" i="1" s="1"/>
  <c r="B57" i="1"/>
  <c r="B62" i="1" s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CC49" i="1"/>
  <c r="CC52" i="1" s="1"/>
  <c r="CC96" i="1" s="1"/>
  <c r="CB49" i="1"/>
  <c r="CB52" i="1" s="1"/>
  <c r="CB96" i="1" s="1"/>
  <c r="CA49" i="1"/>
  <c r="CA52" i="1" s="1"/>
  <c r="BZ49" i="1"/>
  <c r="BZ52" i="1" s="1"/>
  <c r="BY49" i="1"/>
  <c r="BY52" i="1" s="1"/>
  <c r="BX49" i="1"/>
  <c r="BX52" i="1" s="1"/>
  <c r="BW49" i="1"/>
  <c r="BW52" i="1" s="1"/>
  <c r="BV49" i="1"/>
  <c r="BV52" i="1" s="1"/>
  <c r="BU49" i="1"/>
  <c r="BU52" i="1" s="1"/>
  <c r="BU96" i="1" s="1"/>
  <c r="BT49" i="1"/>
  <c r="BT52" i="1" s="1"/>
  <c r="BT96" i="1" s="1"/>
  <c r="BS49" i="1"/>
  <c r="BS52" i="1" s="1"/>
  <c r="BR49" i="1"/>
  <c r="BR52" i="1" s="1"/>
  <c r="BQ49" i="1"/>
  <c r="BQ52" i="1" s="1"/>
  <c r="BP49" i="1"/>
  <c r="BP52" i="1" s="1"/>
  <c r="BO49" i="1"/>
  <c r="BO52" i="1" s="1"/>
  <c r="BN49" i="1"/>
  <c r="BN52" i="1" s="1"/>
  <c r="BM49" i="1"/>
  <c r="BM52" i="1" s="1"/>
  <c r="BM96" i="1" s="1"/>
  <c r="BL49" i="1"/>
  <c r="BL52" i="1" s="1"/>
  <c r="BL96" i="1" s="1"/>
  <c r="BK49" i="1"/>
  <c r="BK52" i="1" s="1"/>
  <c r="BJ49" i="1"/>
  <c r="BJ52" i="1" s="1"/>
  <c r="BI49" i="1"/>
  <c r="BI52" i="1" s="1"/>
  <c r="BH49" i="1"/>
  <c r="BH52" i="1" s="1"/>
  <c r="BG49" i="1"/>
  <c r="BG52" i="1" s="1"/>
  <c r="BF49" i="1"/>
  <c r="BF52" i="1" s="1"/>
  <c r="BE49" i="1"/>
  <c r="BE52" i="1" s="1"/>
  <c r="BE96" i="1" s="1"/>
  <c r="BD49" i="1"/>
  <c r="BD52" i="1" s="1"/>
  <c r="BD96" i="1" s="1"/>
  <c r="BC49" i="1"/>
  <c r="BC52" i="1" s="1"/>
  <c r="BB49" i="1"/>
  <c r="BB52" i="1" s="1"/>
  <c r="BA49" i="1"/>
  <c r="BA52" i="1" s="1"/>
  <c r="AZ49" i="1"/>
  <c r="AZ52" i="1" s="1"/>
  <c r="AY49" i="1"/>
  <c r="AY52" i="1" s="1"/>
  <c r="AX49" i="1"/>
  <c r="AX52" i="1" s="1"/>
  <c r="AW49" i="1"/>
  <c r="AW52" i="1" s="1"/>
  <c r="AW96" i="1" s="1"/>
  <c r="AV49" i="1"/>
  <c r="AV52" i="1" s="1"/>
  <c r="AV96" i="1" s="1"/>
  <c r="AU49" i="1"/>
  <c r="AU52" i="1" s="1"/>
  <c r="AT49" i="1"/>
  <c r="AT52" i="1" s="1"/>
  <c r="AS49" i="1"/>
  <c r="AS52" i="1" s="1"/>
  <c r="AR49" i="1"/>
  <c r="AR52" i="1" s="1"/>
  <c r="AQ49" i="1"/>
  <c r="AQ52" i="1" s="1"/>
  <c r="AP49" i="1"/>
  <c r="AP52" i="1" s="1"/>
  <c r="AO49" i="1"/>
  <c r="AO52" i="1" s="1"/>
  <c r="AO96" i="1" s="1"/>
  <c r="AN49" i="1"/>
  <c r="AN52" i="1" s="1"/>
  <c r="AN96" i="1" s="1"/>
  <c r="AM49" i="1"/>
  <c r="AM52" i="1" s="1"/>
  <c r="AL49" i="1"/>
  <c r="AL52" i="1" s="1"/>
  <c r="AK49" i="1"/>
  <c r="AK52" i="1" s="1"/>
  <c r="AJ49" i="1"/>
  <c r="AJ52" i="1" s="1"/>
  <c r="AI49" i="1"/>
  <c r="AI52" i="1" s="1"/>
  <c r="AH49" i="1"/>
  <c r="AH52" i="1" s="1"/>
  <c r="AG49" i="1"/>
  <c r="AG52" i="1" s="1"/>
  <c r="AG96" i="1" s="1"/>
  <c r="AF49" i="1"/>
  <c r="AF52" i="1" s="1"/>
  <c r="AF96" i="1" s="1"/>
  <c r="AE49" i="1"/>
  <c r="AE52" i="1" s="1"/>
  <c r="AD49" i="1"/>
  <c r="AD52" i="1" s="1"/>
  <c r="AC49" i="1"/>
  <c r="AC52" i="1" s="1"/>
  <c r="AB49" i="1"/>
  <c r="AB52" i="1" s="1"/>
  <c r="AA49" i="1"/>
  <c r="AA52" i="1" s="1"/>
  <c r="Z49" i="1"/>
  <c r="Z52" i="1" s="1"/>
  <c r="Y49" i="1"/>
  <c r="Y52" i="1" s="1"/>
  <c r="Y96" i="1" s="1"/>
  <c r="X49" i="1"/>
  <c r="X52" i="1" s="1"/>
  <c r="X96" i="1" s="1"/>
  <c r="W49" i="1"/>
  <c r="W52" i="1" s="1"/>
  <c r="V49" i="1"/>
  <c r="V52" i="1" s="1"/>
  <c r="U49" i="1"/>
  <c r="U52" i="1" s="1"/>
  <c r="T49" i="1"/>
  <c r="T52" i="1" s="1"/>
  <c r="S49" i="1"/>
  <c r="S52" i="1" s="1"/>
  <c r="R49" i="1"/>
  <c r="R52" i="1" s="1"/>
  <c r="Q49" i="1"/>
  <c r="Q52" i="1" s="1"/>
  <c r="Q96" i="1" s="1"/>
  <c r="P49" i="1"/>
  <c r="P52" i="1" s="1"/>
  <c r="P96" i="1" s="1"/>
  <c r="O49" i="1"/>
  <c r="O52" i="1" s="1"/>
  <c r="N49" i="1"/>
  <c r="N52" i="1" s="1"/>
  <c r="M49" i="1"/>
  <c r="M52" i="1" s="1"/>
  <c r="L49" i="1"/>
  <c r="L52" i="1" s="1"/>
  <c r="K49" i="1"/>
  <c r="K52" i="1" s="1"/>
  <c r="J49" i="1"/>
  <c r="J52" i="1" s="1"/>
  <c r="I49" i="1"/>
  <c r="I52" i="1" s="1"/>
  <c r="I96" i="1" s="1"/>
  <c r="H49" i="1"/>
  <c r="H52" i="1" s="1"/>
  <c r="H96" i="1" s="1"/>
  <c r="G49" i="1"/>
  <c r="G52" i="1" s="1"/>
  <c r="F49" i="1"/>
  <c r="F52" i="1" s="1"/>
  <c r="E49" i="1"/>
  <c r="E52" i="1" s="1"/>
  <c r="D49" i="1"/>
  <c r="D52" i="1" s="1"/>
  <c r="C49" i="1"/>
  <c r="C52" i="1" s="1"/>
  <c r="B49" i="1"/>
  <c r="B52" i="1" s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Z37" i="1"/>
  <c r="CC36" i="1"/>
  <c r="CC37" i="1" s="1"/>
  <c r="CB36" i="1"/>
  <c r="CB37" i="1" s="1"/>
  <c r="CA36" i="1"/>
  <c r="CA37" i="1" s="1"/>
  <c r="BZ36" i="1"/>
  <c r="BZ37" i="1" s="1"/>
  <c r="BY36" i="1"/>
  <c r="BY37" i="1" s="1"/>
  <c r="BX36" i="1"/>
  <c r="BX37" i="1" s="1"/>
  <c r="BW36" i="1"/>
  <c r="BW37" i="1" s="1"/>
  <c r="BV36" i="1"/>
  <c r="BV37" i="1" s="1"/>
  <c r="BU36" i="1"/>
  <c r="BU37" i="1" s="1"/>
  <c r="BT36" i="1"/>
  <c r="BT37" i="1" s="1"/>
  <c r="BS36" i="1"/>
  <c r="BS37" i="1" s="1"/>
  <c r="BR36" i="1"/>
  <c r="BR37" i="1" s="1"/>
  <c r="BQ36" i="1"/>
  <c r="BQ37" i="1" s="1"/>
  <c r="BP36" i="1"/>
  <c r="BP37" i="1" s="1"/>
  <c r="BO36" i="1"/>
  <c r="BO37" i="1" s="1"/>
  <c r="BN36" i="1"/>
  <c r="BN37" i="1" s="1"/>
  <c r="BM36" i="1"/>
  <c r="BM37" i="1" s="1"/>
  <c r="BL36" i="1"/>
  <c r="BL37" i="1" s="1"/>
  <c r="BK36" i="1"/>
  <c r="BK37" i="1" s="1"/>
  <c r="BJ36" i="1"/>
  <c r="BJ37" i="1" s="1"/>
  <c r="BI36" i="1"/>
  <c r="BI37" i="1" s="1"/>
  <c r="BH36" i="1"/>
  <c r="BH37" i="1" s="1"/>
  <c r="BG36" i="1"/>
  <c r="BG37" i="1" s="1"/>
  <c r="BF36" i="1"/>
  <c r="BF37" i="1" s="1"/>
  <c r="BE36" i="1"/>
  <c r="BE37" i="1" s="1"/>
  <c r="BD36" i="1"/>
  <c r="BD37" i="1" s="1"/>
  <c r="BC36" i="1"/>
  <c r="BC37" i="1" s="1"/>
  <c r="BB36" i="1"/>
  <c r="BB37" i="1" s="1"/>
  <c r="BA36" i="1"/>
  <c r="BA37" i="1" s="1"/>
  <c r="AZ36" i="1"/>
  <c r="AY36" i="1"/>
  <c r="AY37" i="1" s="1"/>
  <c r="AX36" i="1"/>
  <c r="AX37" i="1" s="1"/>
  <c r="AW36" i="1"/>
  <c r="AW37" i="1" s="1"/>
  <c r="AV36" i="1"/>
  <c r="AV37" i="1" s="1"/>
  <c r="AU36" i="1"/>
  <c r="AU37" i="1" s="1"/>
  <c r="AT36" i="1"/>
  <c r="AT37" i="1" s="1"/>
  <c r="AS36" i="1"/>
  <c r="AS37" i="1" s="1"/>
  <c r="AR36" i="1"/>
  <c r="AR37" i="1" s="1"/>
  <c r="AQ36" i="1"/>
  <c r="AQ37" i="1" s="1"/>
  <c r="AP36" i="1"/>
  <c r="AP37" i="1" s="1"/>
  <c r="AO36" i="1"/>
  <c r="AO37" i="1" s="1"/>
  <c r="AN36" i="1"/>
  <c r="AN37" i="1" s="1"/>
  <c r="AM36" i="1"/>
  <c r="AM37" i="1" s="1"/>
  <c r="AL36" i="1"/>
  <c r="AL37" i="1" s="1"/>
  <c r="AK36" i="1"/>
  <c r="AK37" i="1" s="1"/>
  <c r="AJ36" i="1"/>
  <c r="AJ37" i="1" s="1"/>
  <c r="AI36" i="1"/>
  <c r="AI37" i="1" s="1"/>
  <c r="AH36" i="1"/>
  <c r="AH37" i="1" s="1"/>
  <c r="AG36" i="1"/>
  <c r="AG37" i="1" s="1"/>
  <c r="AF36" i="1"/>
  <c r="AF37" i="1" s="1"/>
  <c r="AE36" i="1"/>
  <c r="AE37" i="1" s="1"/>
  <c r="AD36" i="1"/>
  <c r="AD37" i="1" s="1"/>
  <c r="AC36" i="1"/>
  <c r="AC37" i="1" s="1"/>
  <c r="AB36" i="1"/>
  <c r="AB37" i="1" s="1"/>
  <c r="AA36" i="1"/>
  <c r="AA37" i="1" s="1"/>
  <c r="Z36" i="1"/>
  <c r="Z37" i="1" s="1"/>
  <c r="Y36" i="1"/>
  <c r="Y37" i="1" s="1"/>
  <c r="X36" i="1"/>
  <c r="X37" i="1" s="1"/>
  <c r="W36" i="1"/>
  <c r="W37" i="1" s="1"/>
  <c r="V36" i="1"/>
  <c r="V37" i="1" s="1"/>
  <c r="U36" i="1"/>
  <c r="U37" i="1" s="1"/>
  <c r="T36" i="1"/>
  <c r="T37" i="1" s="1"/>
  <c r="S36" i="1"/>
  <c r="S37" i="1" s="1"/>
  <c r="R36" i="1"/>
  <c r="R37" i="1" s="1"/>
  <c r="Q36" i="1"/>
  <c r="Q37" i="1" s="1"/>
  <c r="P36" i="1"/>
  <c r="P37" i="1" s="1"/>
  <c r="O36" i="1"/>
  <c r="O37" i="1" s="1"/>
  <c r="N36" i="1"/>
  <c r="N37" i="1" s="1"/>
  <c r="M36" i="1"/>
  <c r="M37" i="1" s="1"/>
  <c r="L36" i="1"/>
  <c r="L37" i="1" s="1"/>
  <c r="K36" i="1"/>
  <c r="K37" i="1" s="1"/>
  <c r="J36" i="1"/>
  <c r="J37" i="1" s="1"/>
  <c r="I36" i="1"/>
  <c r="I37" i="1" s="1"/>
  <c r="H36" i="1"/>
  <c r="H37" i="1" s="1"/>
  <c r="G36" i="1"/>
  <c r="G37" i="1" s="1"/>
  <c r="F36" i="1"/>
  <c r="F37" i="1" s="1"/>
  <c r="E36" i="1"/>
  <c r="E37" i="1" s="1"/>
  <c r="D36" i="1"/>
  <c r="D37" i="1" s="1"/>
  <c r="C36" i="1"/>
  <c r="C37" i="1" s="1"/>
  <c r="B36" i="1"/>
  <c r="B37" i="1" s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CC20" i="1"/>
  <c r="CC30" i="1" s="1"/>
  <c r="CB20" i="1"/>
  <c r="CB30" i="1" s="1"/>
  <c r="CB38" i="1" s="1"/>
  <c r="CA20" i="1"/>
  <c r="CA30" i="1" s="1"/>
  <c r="BZ20" i="1"/>
  <c r="BZ30" i="1" s="1"/>
  <c r="BY20" i="1"/>
  <c r="BY30" i="1" s="1"/>
  <c r="BX20" i="1"/>
  <c r="BX30" i="1" s="1"/>
  <c r="BW20" i="1"/>
  <c r="BW30" i="1" s="1"/>
  <c r="BV20" i="1"/>
  <c r="BV30" i="1" s="1"/>
  <c r="BU20" i="1"/>
  <c r="BU30" i="1" s="1"/>
  <c r="BT20" i="1"/>
  <c r="BT30" i="1" s="1"/>
  <c r="BT38" i="1" s="1"/>
  <c r="BS20" i="1"/>
  <c r="BS30" i="1" s="1"/>
  <c r="BR20" i="1"/>
  <c r="BR30" i="1" s="1"/>
  <c r="BQ20" i="1"/>
  <c r="BQ30" i="1" s="1"/>
  <c r="BP20" i="1"/>
  <c r="BP30" i="1" s="1"/>
  <c r="BP38" i="1" s="1"/>
  <c r="BO20" i="1"/>
  <c r="BO30" i="1" s="1"/>
  <c r="BN20" i="1"/>
  <c r="BN30" i="1" s="1"/>
  <c r="BN38" i="1" s="1"/>
  <c r="BM20" i="1"/>
  <c r="BM30" i="1" s="1"/>
  <c r="BL20" i="1"/>
  <c r="BL30" i="1" s="1"/>
  <c r="BL38" i="1" s="1"/>
  <c r="BK20" i="1"/>
  <c r="BK30" i="1" s="1"/>
  <c r="BJ20" i="1"/>
  <c r="BJ30" i="1" s="1"/>
  <c r="BI20" i="1"/>
  <c r="BI30" i="1" s="1"/>
  <c r="BH20" i="1"/>
  <c r="BH30" i="1" s="1"/>
  <c r="BG20" i="1"/>
  <c r="BG30" i="1" s="1"/>
  <c r="BF20" i="1"/>
  <c r="BF30" i="1" s="1"/>
  <c r="BF38" i="1" s="1"/>
  <c r="BE20" i="1"/>
  <c r="BE30" i="1" s="1"/>
  <c r="BD20" i="1"/>
  <c r="BD30" i="1" s="1"/>
  <c r="BD38" i="1" s="1"/>
  <c r="BC20" i="1"/>
  <c r="BC30" i="1" s="1"/>
  <c r="BB20" i="1"/>
  <c r="BB30" i="1" s="1"/>
  <c r="BA20" i="1"/>
  <c r="BA30" i="1" s="1"/>
  <c r="AZ20" i="1"/>
  <c r="AZ30" i="1" s="1"/>
  <c r="AY20" i="1"/>
  <c r="AY30" i="1" s="1"/>
  <c r="AX20" i="1"/>
  <c r="AX30" i="1" s="1"/>
  <c r="AW20" i="1"/>
  <c r="AW30" i="1" s="1"/>
  <c r="AV20" i="1"/>
  <c r="AV30" i="1" s="1"/>
  <c r="AV38" i="1" s="1"/>
  <c r="AU20" i="1"/>
  <c r="AU30" i="1" s="1"/>
  <c r="AT20" i="1"/>
  <c r="AT30" i="1" s="1"/>
  <c r="AS20" i="1"/>
  <c r="AS30" i="1" s="1"/>
  <c r="AR20" i="1"/>
  <c r="AR30" i="1" s="1"/>
  <c r="AQ20" i="1"/>
  <c r="AQ30" i="1" s="1"/>
  <c r="AP20" i="1"/>
  <c r="AP30" i="1" s="1"/>
  <c r="AO20" i="1"/>
  <c r="AO30" i="1" s="1"/>
  <c r="AN20" i="1"/>
  <c r="AN30" i="1" s="1"/>
  <c r="AN38" i="1" s="1"/>
  <c r="AM20" i="1"/>
  <c r="AM30" i="1" s="1"/>
  <c r="AL20" i="1"/>
  <c r="AL30" i="1" s="1"/>
  <c r="AK20" i="1"/>
  <c r="AK30" i="1" s="1"/>
  <c r="AJ20" i="1"/>
  <c r="AJ30" i="1" s="1"/>
  <c r="AI20" i="1"/>
  <c r="AI30" i="1" s="1"/>
  <c r="AH20" i="1"/>
  <c r="AH30" i="1" s="1"/>
  <c r="AH38" i="1" s="1"/>
  <c r="AG20" i="1"/>
  <c r="AG30" i="1" s="1"/>
  <c r="AF20" i="1"/>
  <c r="AF30" i="1" s="1"/>
  <c r="AF38" i="1" s="1"/>
  <c r="AE20" i="1"/>
  <c r="AE30" i="1" s="1"/>
  <c r="AD20" i="1"/>
  <c r="AD30" i="1" s="1"/>
  <c r="AC20" i="1"/>
  <c r="AC30" i="1" s="1"/>
  <c r="AB20" i="1"/>
  <c r="AB30" i="1" s="1"/>
  <c r="AA20" i="1"/>
  <c r="AA30" i="1" s="1"/>
  <c r="Z20" i="1"/>
  <c r="Z30" i="1" s="1"/>
  <c r="Z38" i="1" s="1"/>
  <c r="Y20" i="1"/>
  <c r="Y30" i="1" s="1"/>
  <c r="X20" i="1"/>
  <c r="X30" i="1" s="1"/>
  <c r="X38" i="1" s="1"/>
  <c r="W20" i="1"/>
  <c r="W30" i="1" s="1"/>
  <c r="V20" i="1"/>
  <c r="V30" i="1" s="1"/>
  <c r="U20" i="1"/>
  <c r="U30" i="1" s="1"/>
  <c r="T20" i="1"/>
  <c r="T30" i="1" s="1"/>
  <c r="T38" i="1" s="1"/>
  <c r="S20" i="1"/>
  <c r="S30" i="1" s="1"/>
  <c r="R20" i="1"/>
  <c r="R30" i="1" s="1"/>
  <c r="Q20" i="1"/>
  <c r="Q30" i="1" s="1"/>
  <c r="P20" i="1"/>
  <c r="P30" i="1" s="1"/>
  <c r="P38" i="1" s="1"/>
  <c r="O20" i="1"/>
  <c r="O30" i="1" s="1"/>
  <c r="N20" i="1"/>
  <c r="N30" i="1" s="1"/>
  <c r="M20" i="1"/>
  <c r="M30" i="1" s="1"/>
  <c r="L20" i="1"/>
  <c r="L30" i="1" s="1"/>
  <c r="K20" i="1"/>
  <c r="K30" i="1" s="1"/>
  <c r="J20" i="1"/>
  <c r="J30" i="1" s="1"/>
  <c r="I20" i="1"/>
  <c r="I30" i="1" s="1"/>
  <c r="H20" i="1"/>
  <c r="H30" i="1" s="1"/>
  <c r="H38" i="1" s="1"/>
  <c r="G20" i="1"/>
  <c r="G30" i="1" s="1"/>
  <c r="F20" i="1"/>
  <c r="F30" i="1" s="1"/>
  <c r="E20" i="1"/>
  <c r="E30" i="1" s="1"/>
  <c r="D20" i="1"/>
  <c r="D30" i="1" s="1"/>
  <c r="D38" i="1" s="1"/>
  <c r="C20" i="1"/>
  <c r="C30" i="1" s="1"/>
  <c r="B20" i="1"/>
  <c r="B30" i="1" s="1"/>
  <c r="B38" i="1" s="1"/>
  <c r="CC12" i="1"/>
  <c r="CC13" i="1" s="1"/>
  <c r="CC14" i="1" s="1"/>
  <c r="CB12" i="1"/>
  <c r="CB13" i="1" s="1"/>
  <c r="CB14" i="1" s="1"/>
  <c r="CB43" i="1" s="1"/>
  <c r="CA12" i="1"/>
  <c r="CA13" i="1" s="1"/>
  <c r="CA14" i="1" s="1"/>
  <c r="BZ12" i="1"/>
  <c r="BZ13" i="1" s="1"/>
  <c r="BZ14" i="1" s="1"/>
  <c r="BY12" i="1"/>
  <c r="BY13" i="1" s="1"/>
  <c r="BY14" i="1" s="1"/>
  <c r="BX12" i="1"/>
  <c r="BX13" i="1" s="1"/>
  <c r="BX14" i="1" s="1"/>
  <c r="BW12" i="1"/>
  <c r="BW13" i="1" s="1"/>
  <c r="BW14" i="1" s="1"/>
  <c r="BV12" i="1"/>
  <c r="BV13" i="1" s="1"/>
  <c r="BV14" i="1" s="1"/>
  <c r="BU12" i="1"/>
  <c r="BU13" i="1" s="1"/>
  <c r="BU14" i="1" s="1"/>
  <c r="BT12" i="1"/>
  <c r="BT13" i="1" s="1"/>
  <c r="BT14" i="1" s="1"/>
  <c r="BT43" i="1" s="1"/>
  <c r="BS12" i="1"/>
  <c r="BS13" i="1" s="1"/>
  <c r="BS14" i="1" s="1"/>
  <c r="BR12" i="1"/>
  <c r="BR13" i="1" s="1"/>
  <c r="BR14" i="1" s="1"/>
  <c r="BQ12" i="1"/>
  <c r="BQ13" i="1" s="1"/>
  <c r="BQ14" i="1" s="1"/>
  <c r="BP12" i="1"/>
  <c r="BP13" i="1" s="1"/>
  <c r="BP14" i="1" s="1"/>
  <c r="BO12" i="1"/>
  <c r="BO13" i="1" s="1"/>
  <c r="BO14" i="1" s="1"/>
  <c r="BN12" i="1"/>
  <c r="BN13" i="1" s="1"/>
  <c r="BN14" i="1" s="1"/>
  <c r="BM12" i="1"/>
  <c r="BM13" i="1" s="1"/>
  <c r="BM14" i="1" s="1"/>
  <c r="BL12" i="1"/>
  <c r="BL13" i="1" s="1"/>
  <c r="BL14" i="1" s="1"/>
  <c r="BL43" i="1" s="1"/>
  <c r="BK12" i="1"/>
  <c r="BK13" i="1" s="1"/>
  <c r="BK14" i="1" s="1"/>
  <c r="BJ12" i="1"/>
  <c r="BJ13" i="1" s="1"/>
  <c r="BJ14" i="1" s="1"/>
  <c r="BI12" i="1"/>
  <c r="BI13" i="1" s="1"/>
  <c r="BI14" i="1" s="1"/>
  <c r="BH12" i="1"/>
  <c r="BH13" i="1" s="1"/>
  <c r="BH14" i="1" s="1"/>
  <c r="BG12" i="1"/>
  <c r="BG13" i="1" s="1"/>
  <c r="BG14" i="1" s="1"/>
  <c r="BF12" i="1"/>
  <c r="BF13" i="1" s="1"/>
  <c r="BF14" i="1" s="1"/>
  <c r="BE12" i="1"/>
  <c r="BE13" i="1" s="1"/>
  <c r="BE14" i="1" s="1"/>
  <c r="BD12" i="1"/>
  <c r="BD13" i="1" s="1"/>
  <c r="BD14" i="1" s="1"/>
  <c r="BD43" i="1" s="1"/>
  <c r="BC12" i="1"/>
  <c r="BC13" i="1" s="1"/>
  <c r="BC14" i="1" s="1"/>
  <c r="BB12" i="1"/>
  <c r="BB13" i="1" s="1"/>
  <c r="BB14" i="1" s="1"/>
  <c r="BA12" i="1"/>
  <c r="BA13" i="1" s="1"/>
  <c r="BA14" i="1" s="1"/>
  <c r="AZ12" i="1"/>
  <c r="AZ13" i="1" s="1"/>
  <c r="AZ14" i="1" s="1"/>
  <c r="AY12" i="1"/>
  <c r="AY13" i="1" s="1"/>
  <c r="AY14" i="1" s="1"/>
  <c r="AX12" i="1"/>
  <c r="AX13" i="1" s="1"/>
  <c r="AX14" i="1" s="1"/>
  <c r="AW12" i="1"/>
  <c r="AW13" i="1" s="1"/>
  <c r="AW14" i="1" s="1"/>
  <c r="AV12" i="1"/>
  <c r="AV13" i="1" s="1"/>
  <c r="AV14" i="1" s="1"/>
  <c r="AV43" i="1" s="1"/>
  <c r="AU12" i="1"/>
  <c r="AU13" i="1" s="1"/>
  <c r="AU14" i="1" s="1"/>
  <c r="AT12" i="1"/>
  <c r="AT13" i="1" s="1"/>
  <c r="AT14" i="1" s="1"/>
  <c r="AS12" i="1"/>
  <c r="AS13" i="1" s="1"/>
  <c r="AS14" i="1" s="1"/>
  <c r="AR12" i="1"/>
  <c r="AR13" i="1" s="1"/>
  <c r="AR14" i="1" s="1"/>
  <c r="AQ12" i="1"/>
  <c r="AQ13" i="1" s="1"/>
  <c r="AQ14" i="1" s="1"/>
  <c r="AP12" i="1"/>
  <c r="AP13" i="1" s="1"/>
  <c r="AP14" i="1" s="1"/>
  <c r="AO12" i="1"/>
  <c r="AO13" i="1" s="1"/>
  <c r="AO14" i="1" s="1"/>
  <c r="AN12" i="1"/>
  <c r="AN13" i="1" s="1"/>
  <c r="AN14" i="1" s="1"/>
  <c r="AN43" i="1" s="1"/>
  <c r="AM12" i="1"/>
  <c r="AM13" i="1" s="1"/>
  <c r="AM14" i="1" s="1"/>
  <c r="AL12" i="1"/>
  <c r="AL13" i="1" s="1"/>
  <c r="AL14" i="1" s="1"/>
  <c r="AK12" i="1"/>
  <c r="AK13" i="1" s="1"/>
  <c r="AK14" i="1" s="1"/>
  <c r="AJ12" i="1"/>
  <c r="AJ13" i="1" s="1"/>
  <c r="AJ14" i="1" s="1"/>
  <c r="AI12" i="1"/>
  <c r="AI13" i="1" s="1"/>
  <c r="AI14" i="1" s="1"/>
  <c r="AH12" i="1"/>
  <c r="AH13" i="1" s="1"/>
  <c r="AH14" i="1" s="1"/>
  <c r="AG12" i="1"/>
  <c r="AG13" i="1" s="1"/>
  <c r="AG14" i="1" s="1"/>
  <c r="AF12" i="1"/>
  <c r="AF13" i="1" s="1"/>
  <c r="AF14" i="1" s="1"/>
  <c r="AF43" i="1" s="1"/>
  <c r="AE12" i="1"/>
  <c r="AE13" i="1" s="1"/>
  <c r="AE14" i="1" s="1"/>
  <c r="AD12" i="1"/>
  <c r="AD13" i="1" s="1"/>
  <c r="AD14" i="1" s="1"/>
  <c r="AC12" i="1"/>
  <c r="AC13" i="1" s="1"/>
  <c r="AC14" i="1" s="1"/>
  <c r="AB12" i="1"/>
  <c r="AB13" i="1" s="1"/>
  <c r="AB14" i="1" s="1"/>
  <c r="AA12" i="1"/>
  <c r="AA13" i="1" s="1"/>
  <c r="AA14" i="1" s="1"/>
  <c r="Z12" i="1"/>
  <c r="Z13" i="1" s="1"/>
  <c r="Z14" i="1" s="1"/>
  <c r="Y12" i="1"/>
  <c r="Y13" i="1" s="1"/>
  <c r="Y14" i="1" s="1"/>
  <c r="X12" i="1"/>
  <c r="X13" i="1" s="1"/>
  <c r="X14" i="1" s="1"/>
  <c r="X43" i="1" s="1"/>
  <c r="W12" i="1"/>
  <c r="W13" i="1" s="1"/>
  <c r="W14" i="1" s="1"/>
  <c r="V12" i="1"/>
  <c r="V13" i="1" s="1"/>
  <c r="V14" i="1" s="1"/>
  <c r="U12" i="1"/>
  <c r="U13" i="1" s="1"/>
  <c r="U14" i="1" s="1"/>
  <c r="T12" i="1"/>
  <c r="T13" i="1" s="1"/>
  <c r="T14" i="1" s="1"/>
  <c r="S12" i="1"/>
  <c r="S13" i="1" s="1"/>
  <c r="S14" i="1" s="1"/>
  <c r="R12" i="1"/>
  <c r="R13" i="1" s="1"/>
  <c r="R14" i="1" s="1"/>
  <c r="Q12" i="1"/>
  <c r="Q13" i="1" s="1"/>
  <c r="Q14" i="1" s="1"/>
  <c r="P12" i="1"/>
  <c r="P13" i="1" s="1"/>
  <c r="P14" i="1" s="1"/>
  <c r="P43" i="1" s="1"/>
  <c r="O12" i="1"/>
  <c r="O13" i="1" s="1"/>
  <c r="O14" i="1" s="1"/>
  <c r="N12" i="1"/>
  <c r="N13" i="1" s="1"/>
  <c r="N14" i="1" s="1"/>
  <c r="M12" i="1"/>
  <c r="M13" i="1" s="1"/>
  <c r="M14" i="1" s="1"/>
  <c r="L12" i="1"/>
  <c r="L13" i="1" s="1"/>
  <c r="L14" i="1" s="1"/>
  <c r="K12" i="1"/>
  <c r="K13" i="1" s="1"/>
  <c r="K14" i="1" s="1"/>
  <c r="J12" i="1"/>
  <c r="J13" i="1" s="1"/>
  <c r="J14" i="1" s="1"/>
  <c r="I12" i="1"/>
  <c r="I13" i="1" s="1"/>
  <c r="I14" i="1" s="1"/>
  <c r="H12" i="1"/>
  <c r="H13" i="1" s="1"/>
  <c r="H14" i="1" s="1"/>
  <c r="H43" i="1" s="1"/>
  <c r="G12" i="1"/>
  <c r="G13" i="1" s="1"/>
  <c r="G14" i="1" s="1"/>
  <c r="F12" i="1"/>
  <c r="F13" i="1" s="1"/>
  <c r="F14" i="1" s="1"/>
  <c r="E12" i="1"/>
  <c r="E13" i="1" s="1"/>
  <c r="E14" i="1" s="1"/>
  <c r="D12" i="1"/>
  <c r="D13" i="1" s="1"/>
  <c r="D14" i="1" s="1"/>
  <c r="C12" i="1"/>
  <c r="C13" i="1" s="1"/>
  <c r="C14" i="1" s="1"/>
  <c r="B12" i="1"/>
  <c r="B13" i="1" s="1"/>
  <c r="B14" i="1" s="1"/>
  <c r="T96" i="1" l="1"/>
  <c r="AQ43" i="1"/>
  <c r="AY43" i="1"/>
  <c r="C38" i="1"/>
  <c r="C43" i="1" s="1"/>
  <c r="K38" i="1"/>
  <c r="K43" i="1" s="1"/>
  <c r="S38" i="1"/>
  <c r="S43" i="1" s="1"/>
  <c r="AA38" i="1"/>
  <c r="AA43" i="1" s="1"/>
  <c r="AI38" i="1"/>
  <c r="AI43" i="1" s="1"/>
  <c r="AQ38" i="1"/>
  <c r="AY38" i="1"/>
  <c r="BG38" i="1"/>
  <c r="BG43" i="1" s="1"/>
  <c r="BO38" i="1"/>
  <c r="BO43" i="1" s="1"/>
  <c r="BW38" i="1"/>
  <c r="BW43" i="1" s="1"/>
  <c r="AZ38" i="1"/>
  <c r="AZ43" i="1" s="1"/>
  <c r="BV38" i="1"/>
  <c r="B96" i="1"/>
  <c r="J96" i="1"/>
  <c r="AH96" i="1"/>
  <c r="AP96" i="1"/>
  <c r="BF96" i="1"/>
  <c r="BN96" i="1"/>
  <c r="BV96" i="1"/>
  <c r="AB96" i="1"/>
  <c r="AJ96" i="1"/>
  <c r="BP96" i="1"/>
  <c r="R96" i="1"/>
  <c r="AG43" i="1"/>
  <c r="AO43" i="1"/>
  <c r="I38" i="1"/>
  <c r="I43" i="1" s="1"/>
  <c r="Q38" i="1"/>
  <c r="Q43" i="1" s="1"/>
  <c r="Y38" i="1"/>
  <c r="Y43" i="1" s="1"/>
  <c r="AG38" i="1"/>
  <c r="AO38" i="1"/>
  <c r="AW38" i="1"/>
  <c r="AW43" i="1" s="1"/>
  <c r="BE38" i="1"/>
  <c r="BE43" i="1" s="1"/>
  <c r="BM38" i="1"/>
  <c r="BM43" i="1" s="1"/>
  <c r="BU38" i="1"/>
  <c r="BU43" i="1" s="1"/>
  <c r="CC38" i="1"/>
  <c r="CC43" i="1" s="1"/>
  <c r="C96" i="1"/>
  <c r="K96" i="1"/>
  <c r="S96" i="1"/>
  <c r="AA96" i="1"/>
  <c r="AI96" i="1"/>
  <c r="AQ96" i="1"/>
  <c r="AY96" i="1"/>
  <c r="BG96" i="1"/>
  <c r="BO96" i="1"/>
  <c r="BW96" i="1"/>
  <c r="AX96" i="1"/>
  <c r="B43" i="1"/>
  <c r="Z43" i="1"/>
  <c r="AH43" i="1"/>
  <c r="BF43" i="1"/>
  <c r="BN43" i="1"/>
  <c r="BV43" i="1"/>
  <c r="J38" i="1"/>
  <c r="J43" i="1" s="1"/>
  <c r="R38" i="1"/>
  <c r="R43" i="1" s="1"/>
  <c r="AP38" i="1"/>
  <c r="AP43" i="1" s="1"/>
  <c r="AX38" i="1"/>
  <c r="AX43" i="1" s="1"/>
  <c r="L96" i="1"/>
  <c r="AR96" i="1"/>
  <c r="BX96" i="1"/>
  <c r="D96" i="1"/>
  <c r="T43" i="1"/>
  <c r="Z96" i="1"/>
  <c r="D43" i="1"/>
  <c r="BP43" i="1"/>
  <c r="L38" i="1"/>
  <c r="L43" i="1" s="1"/>
  <c r="AR38" i="1"/>
  <c r="AR43" i="1" s="1"/>
  <c r="BX38" i="1"/>
  <c r="BX43" i="1" s="1"/>
  <c r="AB38" i="1"/>
  <c r="AB43" i="1" s="1"/>
  <c r="AJ38" i="1"/>
  <c r="AJ43" i="1" s="1"/>
  <c r="BH96" i="1"/>
  <c r="BH38" i="1"/>
  <c r="BH43" i="1" s="1"/>
  <c r="AZ96" i="1"/>
  <c r="E38" i="1"/>
  <c r="E43" i="1" s="1"/>
  <c r="M38" i="1"/>
  <c r="M43" i="1" s="1"/>
  <c r="U38" i="1"/>
  <c r="U43" i="1" s="1"/>
  <c r="AC38" i="1"/>
  <c r="AC43" i="1" s="1"/>
  <c r="AK38" i="1"/>
  <c r="AK43" i="1" s="1"/>
  <c r="AS38" i="1"/>
  <c r="AS43" i="1" s="1"/>
  <c r="BA38" i="1"/>
  <c r="BA43" i="1" s="1"/>
  <c r="BI38" i="1"/>
  <c r="BI43" i="1" s="1"/>
  <c r="BQ38" i="1"/>
  <c r="BQ43" i="1" s="1"/>
  <c r="BY38" i="1"/>
  <c r="BY43" i="1" s="1"/>
  <c r="E96" i="1"/>
  <c r="M96" i="1"/>
  <c r="U96" i="1"/>
  <c r="AC96" i="1"/>
  <c r="AK96" i="1"/>
  <c r="AS96" i="1"/>
  <c r="BA96" i="1"/>
  <c r="BI96" i="1"/>
  <c r="BQ96" i="1"/>
  <c r="BY96" i="1"/>
  <c r="F38" i="1"/>
  <c r="F43" i="1" s="1"/>
  <c r="N38" i="1"/>
  <c r="N43" i="1" s="1"/>
  <c r="V38" i="1"/>
  <c r="V43" i="1" s="1"/>
  <c r="AD38" i="1"/>
  <c r="AD43" i="1" s="1"/>
  <c r="AL38" i="1"/>
  <c r="AL43" i="1" s="1"/>
  <c r="AT38" i="1"/>
  <c r="AT43" i="1" s="1"/>
  <c r="BB38" i="1"/>
  <c r="BB43" i="1" s="1"/>
  <c r="BJ38" i="1"/>
  <c r="BJ43" i="1" s="1"/>
  <c r="BR38" i="1"/>
  <c r="BR43" i="1" s="1"/>
  <c r="BZ38" i="1"/>
  <c r="BZ43" i="1" s="1"/>
  <c r="F96" i="1"/>
  <c r="N96" i="1"/>
  <c r="V96" i="1"/>
  <c r="AD96" i="1"/>
  <c r="AL96" i="1"/>
  <c r="AT96" i="1"/>
  <c r="BB96" i="1"/>
  <c r="BJ96" i="1"/>
  <c r="BR96" i="1"/>
  <c r="BZ96" i="1"/>
  <c r="G38" i="1"/>
  <c r="G43" i="1" s="1"/>
  <c r="O38" i="1"/>
  <c r="O43" i="1" s="1"/>
  <c r="W38" i="1"/>
  <c r="W43" i="1" s="1"/>
  <c r="AE38" i="1"/>
  <c r="AE43" i="1" s="1"/>
  <c r="AM38" i="1"/>
  <c r="AM43" i="1" s="1"/>
  <c r="AU38" i="1"/>
  <c r="AU43" i="1" s="1"/>
  <c r="BC38" i="1"/>
  <c r="BC43" i="1" s="1"/>
  <c r="BK38" i="1"/>
  <c r="BK43" i="1" s="1"/>
  <c r="BS38" i="1"/>
  <c r="BS43" i="1" s="1"/>
  <c r="CA38" i="1"/>
  <c r="CA43" i="1" s="1"/>
  <c r="G96" i="1"/>
  <c r="O96" i="1"/>
  <c r="W96" i="1"/>
  <c r="AE96" i="1"/>
  <c r="AM96" i="1"/>
  <c r="AU96" i="1"/>
  <c r="BC96" i="1"/>
  <c r="BK96" i="1"/>
  <c r="BS96" i="1"/>
  <c r="CA96" i="1"/>
</calcChain>
</file>

<file path=xl/sharedStrings.xml><?xml version="1.0" encoding="utf-8"?>
<sst xmlns="http://schemas.openxmlformats.org/spreadsheetml/2006/main" count="249" uniqueCount="169">
  <si>
    <t>Firma : PROMATIS GmbH</t>
  </si>
  <si>
    <t>PG Balance Sheet by Entity and Month/Quarter/Year</t>
  </si>
  <si>
    <t>End of Dez 2023</t>
  </si>
  <si>
    <t> 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</si>
  <si>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</si>
  <si>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</si>
  <si>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</si>
  <si>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</si>
  <si>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</si>
  <si>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</si>
  <si>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</si>
  <si>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</si>
  <si>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</si>
  <si>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</si>
  <si>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</si>
  <si>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</si>
  <si>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</si>
  <si>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</si>
  <si>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</si>
  <si>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</si>
  <si>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</si>
  <si>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</si>
  <si>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</si>
  <si>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</si>
  <si>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</si>
  <si>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</si>
  <si>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</si>
  <si>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</si>
  <si>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</si>
  <si>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</si>
  <si>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</si>
  <si>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</si>
  <si>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</si>
  <si>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</si>
  <si>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</si>
  <si>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</si>
  <si>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</si>
  <si>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</si>
  <si>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</si>
  <si>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</si>
  <si>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</si>
  <si>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</si>
  <si>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</si>
  <si>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</si>
  <si>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</si>
  <si>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</si>
  <si>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</si>
  <si>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</si>
  <si>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</si>
  <si>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</si>
  <si>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</si>
  <si>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</si>
  <si>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</si>
  <si>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</si>
  <si>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</si>
  <si>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</si>
  <si>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</si>
  <si>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</si>
  <si>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</si>
  <si>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</si>
  <si>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</si>
  <si>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</si>
  <si>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</si>
  <si>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</si>
  <si>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</si>
  <si>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</si>
  <si>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</si>
  <si>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</si>
  <si>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</si>
  <si>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</si>
  <si>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</si>
  <si>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</si>
  <si>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</si>
  <si>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</si>
  <si>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</si>
  <si>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</si>
  <si>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</si>
  <si>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</si>
  <si>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</si>
  <si>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Mrz 2023</t>
  </si>
  <si>
    <t>Apr 2023</t>
  </si>
  <si>
    <t>Mai 2023</t>
  </si>
  <si>
    <t>Jun 2023</t>
  </si>
  <si>
    <t>Aug 2023</t>
  </si>
  <si>
    <t>As of Dez 2023</t>
  </si>
  <si>
    <t>ASSETS</t>
  </si>
  <si>
    <t>A. Fixed assets</t>
  </si>
  <si>
    <t>II. Tangible assets</t>
  </si>
  <si>
    <t>3. Other equipment, operating and office equipment</t>
  </si>
  <si>
    <t>063000 - Operating equipment</t>
  </si>
  <si>
    <t>067010 - Low value assets - software</t>
  </si>
  <si>
    <t>Total Other equipment, operating and office equipment</t>
  </si>
  <si>
    <t>Total Tangible assets</t>
  </si>
  <si>
    <t>Total Fixed assets</t>
  </si>
  <si>
    <t>B. Current assets</t>
  </si>
  <si>
    <t>II. Trade receivables and other receivables</t>
  </si>
  <si>
    <t>1. Trade receivables</t>
  </si>
  <si>
    <t>120100 - Trade receivables</t>
  </si>
  <si>
    <t>Total Trade receivables</t>
  </si>
  <si>
    <t>2. Receivables from affiliated companies</t>
  </si>
  <si>
    <t>127101 - Receivables from PROMATIS software GmbH</t>
  </si>
  <si>
    <t>Total Receivables from affiliated companies</t>
  </si>
  <si>
    <t>6. Other receivables and other assets</t>
  </si>
  <si>
    <t>134100 - Receivables from employees (payroll) - due within 1 year</t>
  </si>
  <si>
    <t>135000 - Security deposits</t>
  </si>
  <si>
    <t>137000 - Items in transit</t>
  </si>
  <si>
    <t>145000 - Reclaimed corporate income tax</t>
  </si>
  <si>
    <t>Total Other receivables and other assets</t>
  </si>
  <si>
    <t>Total Trade receivables and other receivables</t>
  </si>
  <si>
    <t>IV. Cash-in-hand, central / bank balances and cheques</t>
  </si>
  <si>
    <t>Bank</t>
  </si>
  <si>
    <t>180090 - VoBa Steiermark Girokonto -AT394477012579000000- PROMATIS AT</t>
  </si>
  <si>
    <t>180092 - VoBa Steiermark Tagesgeld -AT094477012579001122- PROMATIS AT</t>
  </si>
  <si>
    <t>900000 - Opening Balance</t>
  </si>
  <si>
    <t>Gesamt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</si>
  <si>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</si>
  <si>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</si>
  <si>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</si>
  <si>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</si>
  <si>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</si>
  <si>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</si>
  <si>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</si>
  <si>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A. Equity</t>
  </si>
  <si>
    <t>I. Issued capital</t>
  </si>
  <si>
    <t>290000 - Subscribed capital</t>
  </si>
  <si>
    <t>Total Issued capital</t>
  </si>
  <si>
    <t>IV. Profit Brought Forward</t>
  </si>
  <si>
    <t>VI. Net profit/loss for the year</t>
  </si>
  <si>
    <t>Total Equity</t>
  </si>
  <si>
    <t>B. Provisions</t>
  </si>
  <si>
    <t>2. Provision for taxes</t>
  </si>
  <si>
    <t>304000 - Provision for corporate income tax</t>
  </si>
  <si>
    <t>Total Provision for taxes</t>
  </si>
  <si>
    <t>3. Other provisions</t>
  </si>
  <si>
    <t>307000 - Other provisions</t>
  </si>
  <si>
    <t>309500 - Provisions for period-end closing and audit costs</t>
  </si>
  <si>
    <t>Total Other provisions</t>
  </si>
  <si>
    <t>Total Provisions</t>
  </si>
  <si>
    <t>C. Liabilities</t>
  </si>
  <si>
    <t>4. Trade payables</t>
  </si>
  <si>
    <t>330000 - Trade payables</t>
  </si>
  <si>
    <t>Total Trade payables</t>
  </si>
  <si>
    <t>6. Liabilities to affiliated companies</t>
  </si>
  <si>
    <t>340101 - Liabilities ag. PROMATIS software GmbH</t>
  </si>
  <si>
    <t>Total Liabilities to affiliated companies</t>
  </si>
  <si>
    <t>8. Other liabilities</t>
  </si>
  <si>
    <t>140400 - Deductible input tax on intra-EU acquisitions - standard</t>
  </si>
  <si>
    <t>140600 - VAT on Purchases</t>
  </si>
  <si>
    <t>140700 - Deductible input tax under section 13b UStG - standard</t>
  </si>
  <si>
    <t>146000 - Cash in Transit</t>
  </si>
  <si>
    <t>350000 - Other liabilities</t>
  </si>
  <si>
    <t>352100 - Loans by typical silent partners - due within 1 year</t>
  </si>
  <si>
    <t>370000 - Liabilities from taxes and levies</t>
  </si>
  <si>
    <t>372000 - Payroll liabilities</t>
  </si>
  <si>
    <t>372500 - Liabilities for amounts withheld from employees</t>
  </si>
  <si>
    <t>373000 - Wage and church tax payables</t>
  </si>
  <si>
    <t>374000 - Social security liabilities</t>
  </si>
  <si>
    <t>380600 - VAT - standard rate</t>
  </si>
  <si>
    <t>381700 - VAT on supplies of goods and serv. tax. in anoth. EU country</t>
  </si>
  <si>
    <t>382000 - VAT prepayments</t>
  </si>
  <si>
    <t>383800 - VAT under section 13b UStG - from EU</t>
  </si>
  <si>
    <t>384100 - VAT, previous year</t>
  </si>
  <si>
    <t>Total Other liabilities</t>
  </si>
  <si>
    <t>Total Liabilities</t>
  </si>
  <si>
    <t>D. Deferred income</t>
  </si>
  <si>
    <t>390000 - Deferred Income - manual booking</t>
  </si>
  <si>
    <t>390001 - Deferred Revenue - Accounts Receivables</t>
  </si>
  <si>
    <t>Total Deferred income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</si>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</sst>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10"/>
      <color indexed="16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9"/>
      <color indexed="56"/>
      <name val="Arial"/>
    </font>
    <font>
      <b/>
      <sz val="9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800000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10" xfId="0" applyFont="1" applyBorder="1" applyAlignment="1">
      <alignment horizontal="left" vertical="center"/>
    </xf>
    <xf numFmtId="168" fontId="21" fillId="0" borderId="10" xfId="0" applyNumberFormat="1" applyFont="1" applyBorder="1" applyAlignment="1">
      <alignment horizontal="right" vertical="center"/>
    </xf>
    <xf numFmtId="0" fontId="24" fillId="0" borderId="0" xfId="0" applyFont="1" applyBorder="1" applyAlignment="1">
      <alignment horizontal="left" indent="1"/>
    </xf>
    <xf numFmtId="168" fontId="24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2"/>
    </xf>
    <xf numFmtId="168" fontId="22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3"/>
    </xf>
    <xf numFmtId="0" fontId="23" fillId="0" borderId="0" xfId="0" applyFont="1" applyBorder="1" applyAlignment="1">
      <alignment horizontal="left" indent="4"/>
    </xf>
    <xf numFmtId="4" fontId="23" fillId="0" borderId="0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3"/>
    </xf>
    <xf numFmtId="4" fontId="22" fillId="0" borderId="11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2"/>
    </xf>
    <xf numFmtId="168" fontId="22" fillId="0" borderId="11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left" indent="1"/>
    </xf>
    <xf numFmtId="168" fontId="22" fillId="0" borderId="12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1"/>
    </xf>
    <xf numFmtId="168" fontId="23" fillId="0" borderId="0" xfId="0" applyNumberFormat="1" applyFont="1" applyBorder="1" applyAlignment="1">
      <alignment horizontal="right" vertical="center"/>
    </xf>
    <xf numFmtId="0" fontId="23" fillId="0" borderId="0" xfId="0" applyFont="1" applyBorder="1" applyAlignment="1">
      <alignment horizontal="left" indent="2"/>
    </xf>
    <xf numFmtId="0" fontId="22" fillId="0" borderId="11" xfId="0" applyFont="1" applyBorder="1" applyAlignment="1">
      <alignment horizontal="left" indent="1"/>
    </xf>
    <xf numFmtId="0" fontId="25" fillId="0" borderId="13" xfId="0" applyFont="1" applyBorder="1" applyAlignment="1">
      <alignment horizontal="left" vertical="center"/>
    </xf>
    <xf numFmtId="168" fontId="25" fillId="0" borderId="13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indent="3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96"/>
  <sheetViews>
    <sheetView tabSelected="1" workbookViewId="0">
      <pane ySplit="5" topLeftCell="A6" activePane="bottomLeft" state="frozen"/>
      <selection pane="bottomLeft" sqref="A1:CC1"/>
    </sheetView>
  </sheetViews>
  <sheetFormatPr baseColWidth="10" defaultRowHeight="11.25" x14ac:dyDescent="0.2"/>
  <cols>
    <col min="1" max="1" width="73.33203125" bestFit="1" customWidth="1"/>
    <col min="2" max="81" width="14.33203125" bestFit="1" customWidth="1"/>
  </cols>
  <sheetData>
    <row r="1" spans="1:81" s="27" customFormat="1" ht="15.75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</row>
    <row r="2" spans="1:81" s="27" customFormat="1" ht="18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</row>
    <row r="3" spans="1:81" s="27" customFormat="1" ht="18" x14ac:dyDescent="0.25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</row>
    <row r="4" spans="1:81" x14ac:dyDescent="0.2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50</v>
      </c>
      <c r="AW4" s="2" t="s">
        <v>51</v>
      </c>
      <c r="AX4" s="2" t="s">
        <v>52</v>
      </c>
      <c r="AY4" s="2" t="s">
        <v>53</v>
      </c>
      <c r="AZ4" s="2" t="s">
        <v>54</v>
      </c>
      <c r="BA4" s="2" t="s">
        <v>55</v>
      </c>
      <c r="BB4" s="2" t="s">
        <v>56</v>
      </c>
      <c r="BC4" s="2" t="s">
        <v>57</v>
      </c>
      <c r="BD4" s="2" t="s">
        <v>58</v>
      </c>
      <c r="BE4" s="2" t="s">
        <v>59</v>
      </c>
      <c r="BF4" s="2" t="s">
        <v>60</v>
      </c>
      <c r="BG4" s="2" t="s">
        <v>61</v>
      </c>
      <c r="BH4" s="2" t="s">
        <v>62</v>
      </c>
      <c r="BI4" s="2" t="s">
        <v>63</v>
      </c>
      <c r="BJ4" s="2" t="s">
        <v>64</v>
      </c>
      <c r="BK4" s="2" t="s">
        <v>65</v>
      </c>
      <c r="BL4" s="2" t="s">
        <v>66</v>
      </c>
      <c r="BM4" s="2" t="s">
        <v>67</v>
      </c>
      <c r="BN4" s="2" t="s">
        <v>68</v>
      </c>
      <c r="BO4" s="2" t="s">
        <v>69</v>
      </c>
      <c r="BP4" s="2" t="s">
        <v>70</v>
      </c>
      <c r="BQ4" s="2" t="s">
        <v>71</v>
      </c>
      <c r="BR4" s="2" t="s">
        <v>72</v>
      </c>
      <c r="BS4" s="2" t="s">
        <v>73</v>
      </c>
      <c r="BT4" s="2" t="s">
        <v>74</v>
      </c>
      <c r="BU4" s="2" t="s">
        <v>75</v>
      </c>
      <c r="BV4" s="2" t="s">
        <v>76</v>
      </c>
      <c r="BW4" s="2" t="s">
        <v>77</v>
      </c>
      <c r="BX4" s="2" t="s">
        <v>78</v>
      </c>
      <c r="BY4" s="2" t="s">
        <v>79</v>
      </c>
      <c r="BZ4" s="2" t="s">
        <v>80</v>
      </c>
      <c r="CA4" s="2" t="s">
        <v>81</v>
      </c>
      <c r="CB4" s="2" t="s">
        <v>82</v>
      </c>
      <c r="CC4" s="2" t="s">
        <v>83</v>
      </c>
    </row>
    <row r="5" spans="1:81" x14ac:dyDescent="0.2">
      <c r="A5" s="1" t="s">
        <v>3</v>
      </c>
      <c r="B5" s="2" t="s">
        <v>84</v>
      </c>
      <c r="C5" s="2" t="s">
        <v>84</v>
      </c>
      <c r="D5" s="2" t="s">
        <v>84</v>
      </c>
      <c r="E5" s="2" t="s">
        <v>84</v>
      </c>
      <c r="F5" s="2" t="s">
        <v>84</v>
      </c>
      <c r="G5" s="2" t="s">
        <v>84</v>
      </c>
      <c r="H5" s="2" t="s">
        <v>84</v>
      </c>
      <c r="I5" s="2" t="s">
        <v>84</v>
      </c>
      <c r="J5" s="2" t="s">
        <v>84</v>
      </c>
      <c r="K5" s="2" t="s">
        <v>84</v>
      </c>
      <c r="L5" s="2" t="s">
        <v>84</v>
      </c>
      <c r="M5" s="2" t="s">
        <v>84</v>
      </c>
      <c r="N5" s="2" t="s">
        <v>84</v>
      </c>
      <c r="O5" s="2" t="s">
        <v>84</v>
      </c>
      <c r="P5" s="2" t="s">
        <v>84</v>
      </c>
      <c r="Q5" s="2" t="s">
        <v>84</v>
      </c>
      <c r="R5" s="2" t="s">
        <v>84</v>
      </c>
      <c r="S5" s="2" t="s">
        <v>84</v>
      </c>
      <c r="T5" s="2" t="s">
        <v>84</v>
      </c>
      <c r="U5" s="2" t="s">
        <v>84</v>
      </c>
      <c r="V5" s="2" t="s">
        <v>84</v>
      </c>
      <c r="W5" s="2" t="s">
        <v>84</v>
      </c>
      <c r="X5" s="2" t="s">
        <v>84</v>
      </c>
      <c r="Y5" s="2" t="s">
        <v>84</v>
      </c>
      <c r="Z5" s="2" t="s">
        <v>84</v>
      </c>
      <c r="AA5" s="2" t="s">
        <v>84</v>
      </c>
      <c r="AB5" s="2" t="s">
        <v>84</v>
      </c>
      <c r="AC5" s="2" t="s">
        <v>84</v>
      </c>
      <c r="AD5" s="2" t="s">
        <v>84</v>
      </c>
      <c r="AE5" s="2" t="s">
        <v>84</v>
      </c>
      <c r="AF5" s="2" t="s">
        <v>84</v>
      </c>
      <c r="AG5" s="2" t="s">
        <v>84</v>
      </c>
      <c r="AH5" s="2" t="s">
        <v>84</v>
      </c>
      <c r="AI5" s="2" t="s">
        <v>84</v>
      </c>
      <c r="AJ5" s="2" t="s">
        <v>84</v>
      </c>
      <c r="AK5" s="2" t="s">
        <v>84</v>
      </c>
      <c r="AL5" s="2" t="s">
        <v>84</v>
      </c>
      <c r="AM5" s="2" t="s">
        <v>84</v>
      </c>
      <c r="AN5" s="2" t="s">
        <v>84</v>
      </c>
      <c r="AO5" s="2" t="s">
        <v>84</v>
      </c>
      <c r="AP5" s="2" t="s">
        <v>84</v>
      </c>
      <c r="AQ5" s="2" t="s">
        <v>84</v>
      </c>
      <c r="AR5" s="2" t="s">
        <v>84</v>
      </c>
      <c r="AS5" s="2" t="s">
        <v>84</v>
      </c>
      <c r="AT5" s="2" t="s">
        <v>84</v>
      </c>
      <c r="AU5" s="2" t="s">
        <v>84</v>
      </c>
      <c r="AV5" s="2" t="s">
        <v>84</v>
      </c>
      <c r="AW5" s="2" t="s">
        <v>84</v>
      </c>
      <c r="AX5" s="2" t="s">
        <v>84</v>
      </c>
      <c r="AY5" s="2" t="s">
        <v>84</v>
      </c>
      <c r="AZ5" s="2" t="s">
        <v>84</v>
      </c>
      <c r="BA5" s="2" t="s">
        <v>84</v>
      </c>
      <c r="BB5" s="2" t="s">
        <v>84</v>
      </c>
      <c r="BC5" s="2" t="s">
        <v>84</v>
      </c>
      <c r="BD5" s="2" t="s">
        <v>84</v>
      </c>
      <c r="BE5" s="2" t="s">
        <v>84</v>
      </c>
      <c r="BF5" s="2" t="s">
        <v>84</v>
      </c>
      <c r="BG5" s="2" t="s">
        <v>84</v>
      </c>
      <c r="BH5" s="2" t="s">
        <v>84</v>
      </c>
      <c r="BI5" s="2" t="s">
        <v>84</v>
      </c>
      <c r="BJ5" s="2" t="s">
        <v>84</v>
      </c>
      <c r="BK5" s="2" t="s">
        <v>84</v>
      </c>
      <c r="BL5" s="2" t="s">
        <v>84</v>
      </c>
      <c r="BM5" s="2" t="s">
        <v>84</v>
      </c>
      <c r="BN5" s="2" t="s">
        <v>84</v>
      </c>
      <c r="BO5" s="2" t="s">
        <v>84</v>
      </c>
      <c r="BP5" s="2" t="s">
        <v>84</v>
      </c>
      <c r="BQ5" s="2" t="s">
        <v>84</v>
      </c>
      <c r="BR5" s="2" t="s">
        <v>84</v>
      </c>
      <c r="BS5" s="2" t="s">
        <v>84</v>
      </c>
      <c r="BT5" s="2" t="s">
        <v>84</v>
      </c>
      <c r="BU5" s="2" t="s">
        <v>84</v>
      </c>
      <c r="BV5" s="2" t="s">
        <v>84</v>
      </c>
      <c r="BW5" s="2" t="s">
        <v>84</v>
      </c>
      <c r="BX5" s="2" t="s">
        <v>84</v>
      </c>
      <c r="BY5" s="2" t="s">
        <v>84</v>
      </c>
      <c r="BZ5" s="2" t="s">
        <v>84</v>
      </c>
      <c r="CA5" s="2" t="s">
        <v>84</v>
      </c>
      <c r="CB5" s="2" t="s">
        <v>84</v>
      </c>
      <c r="CC5" s="2" t="s">
        <v>84</v>
      </c>
    </row>
    <row r="6" spans="1:81" ht="12.75" x14ac:dyDescent="0.2">
      <c r="A6" s="3" t="s">
        <v>85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ht="12" x14ac:dyDescent="0.2">
      <c r="A7" s="5" t="s">
        <v>86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</row>
    <row r="8" spans="1:81" x14ac:dyDescent="0.2">
      <c r="A8" s="7" t="s">
        <v>87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</row>
    <row r="9" spans="1:81" x14ac:dyDescent="0.2">
      <c r="A9" s="9" t="s">
        <v>88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</row>
    <row r="10" spans="1:81" x14ac:dyDescent="0.2">
      <c r="A10" s="10" t="s">
        <v>89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1064.98</v>
      </c>
      <c r="H10" s="11">
        <v>1064.98</v>
      </c>
      <c r="I10" s="11">
        <v>2910.79</v>
      </c>
      <c r="J10" s="11">
        <v>2910.79</v>
      </c>
      <c r="K10" s="11">
        <v>2910.79</v>
      </c>
      <c r="L10" s="11">
        <v>2910.79</v>
      </c>
      <c r="M10" s="11">
        <v>2910.79</v>
      </c>
      <c r="N10" s="11">
        <v>2413.81</v>
      </c>
      <c r="O10" s="11">
        <v>2413.81</v>
      </c>
      <c r="P10" s="11">
        <v>2413.81</v>
      </c>
      <c r="Q10" s="11">
        <v>2413.81</v>
      </c>
      <c r="R10" s="11">
        <v>2413.81</v>
      </c>
      <c r="S10" s="11">
        <v>2413.81</v>
      </c>
      <c r="T10" s="11">
        <v>2413.81</v>
      </c>
      <c r="U10" s="11">
        <v>2413.81</v>
      </c>
      <c r="V10" s="11">
        <v>2854.63</v>
      </c>
      <c r="W10" s="11">
        <v>2854.63</v>
      </c>
      <c r="X10" s="11">
        <v>2854.63</v>
      </c>
      <c r="Y10" s="11">
        <v>2854.63</v>
      </c>
      <c r="Z10" s="11">
        <v>2082.8500000000004</v>
      </c>
      <c r="AA10" s="11">
        <v>2082.8500000000004</v>
      </c>
      <c r="AB10" s="11">
        <v>2082.8500000000004</v>
      </c>
      <c r="AC10" s="11">
        <v>2082.8500000000004</v>
      </c>
      <c r="AD10" s="11">
        <v>2082.8500000000004</v>
      </c>
      <c r="AE10" s="11">
        <v>2082.8500000000004</v>
      </c>
      <c r="AF10" s="11">
        <v>2082.8500000000004</v>
      </c>
      <c r="AG10" s="11">
        <v>2082.8500000000004</v>
      </c>
      <c r="AH10" s="11">
        <v>2082.8500000000004</v>
      </c>
      <c r="AI10" s="11">
        <v>2082.8500000000004</v>
      </c>
      <c r="AJ10" s="11">
        <v>2082.8500000000004</v>
      </c>
      <c r="AK10" s="11">
        <v>2082.8500000000004</v>
      </c>
      <c r="AL10" s="11">
        <v>1266.9900000000002</v>
      </c>
      <c r="AM10" s="11">
        <v>1266.9900000000002</v>
      </c>
      <c r="AN10" s="11">
        <v>1266.9900000000002</v>
      </c>
      <c r="AO10" s="11">
        <v>1266.9900000000002</v>
      </c>
      <c r="AP10" s="11">
        <v>1266.9900000000002</v>
      </c>
      <c r="AQ10" s="11">
        <v>1266.9900000000002</v>
      </c>
      <c r="AR10" s="11">
        <v>1266.9900000000002</v>
      </c>
      <c r="AS10" s="11">
        <v>1266.9900000000002</v>
      </c>
      <c r="AT10" s="11">
        <v>1266.9900000000002</v>
      </c>
      <c r="AU10" s="11">
        <v>1266.9900000000002</v>
      </c>
      <c r="AV10" s="11">
        <v>1266.9900000000002</v>
      </c>
      <c r="AW10" s="11">
        <v>1266.9900000000002</v>
      </c>
      <c r="AX10" s="11">
        <v>451.1600000000002</v>
      </c>
      <c r="AY10" s="11">
        <v>451.1600000000002</v>
      </c>
      <c r="AZ10" s="11">
        <v>451.1600000000002</v>
      </c>
      <c r="BA10" s="11">
        <v>451.1600000000002</v>
      </c>
      <c r="BB10" s="11">
        <v>451.1600000000002</v>
      </c>
      <c r="BC10" s="11">
        <v>451.1600000000002</v>
      </c>
      <c r="BD10" s="11">
        <v>451.1600000000002</v>
      </c>
      <c r="BE10" s="11">
        <v>451.1600000000002</v>
      </c>
      <c r="BF10" s="11">
        <v>451.1600000000002</v>
      </c>
      <c r="BG10" s="11">
        <v>451.1600000000002</v>
      </c>
      <c r="BH10" s="11">
        <v>451.1600000000002</v>
      </c>
      <c r="BI10" s="11">
        <v>451.1600000000002</v>
      </c>
      <c r="BJ10" s="11">
        <v>132.2800000000002</v>
      </c>
      <c r="BK10" s="11">
        <v>132.2800000000002</v>
      </c>
      <c r="BL10" s="11">
        <v>132.2800000000002</v>
      </c>
      <c r="BM10" s="11">
        <v>132.2800000000002</v>
      </c>
      <c r="BN10" s="11">
        <v>132.2800000000002</v>
      </c>
      <c r="BO10" s="11">
        <v>132.2800000000002</v>
      </c>
      <c r="BP10" s="11">
        <v>132.2800000000002</v>
      </c>
      <c r="BQ10" s="11">
        <v>132.2800000000002</v>
      </c>
      <c r="BR10" s="11">
        <v>132.2800000000002</v>
      </c>
      <c r="BS10" s="11">
        <v>132.2800000000002</v>
      </c>
      <c r="BT10" s="11">
        <v>132.2800000000002</v>
      </c>
      <c r="BU10" s="11">
        <v>132.2800000000002</v>
      </c>
      <c r="BV10" s="11">
        <v>44.120000000000203</v>
      </c>
      <c r="BW10" s="11">
        <v>88.240000000000208</v>
      </c>
      <c r="BX10" s="11">
        <v>88.240000000000208</v>
      </c>
      <c r="BY10" s="11">
        <v>88.240000000000208</v>
      </c>
      <c r="BZ10" s="11">
        <v>88.240000000000208</v>
      </c>
      <c r="CA10" s="11">
        <v>88.240000000000208</v>
      </c>
      <c r="CB10" s="11">
        <v>88.240000000000208</v>
      </c>
      <c r="CC10" s="11">
        <v>88.240000000000208</v>
      </c>
    </row>
    <row r="11" spans="1:81" x14ac:dyDescent="0.2">
      <c r="A11" s="10" t="s">
        <v>90</v>
      </c>
      <c r="B11" s="11">
        <v>0</v>
      </c>
      <c r="C11" s="11">
        <v>229.17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</row>
    <row r="12" spans="1:81" x14ac:dyDescent="0.2">
      <c r="A12" s="12" t="s">
        <v>91</v>
      </c>
      <c r="B12" s="13">
        <f t="shared" ref="B12:AG12" si="0">SUM(B10:B11)</f>
        <v>0</v>
      </c>
      <c r="C12" s="13">
        <f t="shared" si="0"/>
        <v>229.17</v>
      </c>
      <c r="D12" s="13">
        <f t="shared" si="0"/>
        <v>0</v>
      </c>
      <c r="E12" s="13">
        <f t="shared" si="0"/>
        <v>0</v>
      </c>
      <c r="F12" s="13">
        <f t="shared" si="0"/>
        <v>0</v>
      </c>
      <c r="G12" s="13">
        <f t="shared" si="0"/>
        <v>1064.98</v>
      </c>
      <c r="H12" s="13">
        <f t="shared" si="0"/>
        <v>1064.98</v>
      </c>
      <c r="I12" s="13">
        <f t="shared" si="0"/>
        <v>2910.79</v>
      </c>
      <c r="J12" s="13">
        <f t="shared" si="0"/>
        <v>2910.79</v>
      </c>
      <c r="K12" s="13">
        <f t="shared" si="0"/>
        <v>2910.79</v>
      </c>
      <c r="L12" s="13">
        <f t="shared" si="0"/>
        <v>2910.79</v>
      </c>
      <c r="M12" s="13">
        <f t="shared" si="0"/>
        <v>2910.79</v>
      </c>
      <c r="N12" s="13">
        <f t="shared" si="0"/>
        <v>2413.81</v>
      </c>
      <c r="O12" s="13">
        <f t="shared" si="0"/>
        <v>2413.81</v>
      </c>
      <c r="P12" s="13">
        <f t="shared" si="0"/>
        <v>2413.81</v>
      </c>
      <c r="Q12" s="13">
        <f t="shared" si="0"/>
        <v>2413.81</v>
      </c>
      <c r="R12" s="13">
        <f t="shared" si="0"/>
        <v>2413.81</v>
      </c>
      <c r="S12" s="13">
        <f t="shared" si="0"/>
        <v>2413.81</v>
      </c>
      <c r="T12" s="13">
        <f t="shared" si="0"/>
        <v>2413.81</v>
      </c>
      <c r="U12" s="13">
        <f t="shared" si="0"/>
        <v>2413.81</v>
      </c>
      <c r="V12" s="13">
        <f t="shared" si="0"/>
        <v>2854.63</v>
      </c>
      <c r="W12" s="13">
        <f t="shared" si="0"/>
        <v>2854.63</v>
      </c>
      <c r="X12" s="13">
        <f t="shared" si="0"/>
        <v>2854.63</v>
      </c>
      <c r="Y12" s="13">
        <f t="shared" si="0"/>
        <v>2854.63</v>
      </c>
      <c r="Z12" s="13">
        <f t="shared" si="0"/>
        <v>2082.8500000000004</v>
      </c>
      <c r="AA12" s="13">
        <f t="shared" si="0"/>
        <v>2082.8500000000004</v>
      </c>
      <c r="AB12" s="13">
        <f t="shared" si="0"/>
        <v>2082.8500000000004</v>
      </c>
      <c r="AC12" s="13">
        <f t="shared" si="0"/>
        <v>2082.8500000000004</v>
      </c>
      <c r="AD12" s="13">
        <f t="shared" si="0"/>
        <v>2082.8500000000004</v>
      </c>
      <c r="AE12" s="13">
        <f t="shared" si="0"/>
        <v>2082.8500000000004</v>
      </c>
      <c r="AF12" s="13">
        <f t="shared" si="0"/>
        <v>2082.8500000000004</v>
      </c>
      <c r="AG12" s="13">
        <f t="shared" si="0"/>
        <v>2082.8500000000004</v>
      </c>
      <c r="AH12" s="13">
        <f t="shared" ref="AH12:BM12" si="1">SUM(AH10:AH11)</f>
        <v>2082.8500000000004</v>
      </c>
      <c r="AI12" s="13">
        <f t="shared" si="1"/>
        <v>2082.8500000000004</v>
      </c>
      <c r="AJ12" s="13">
        <f t="shared" si="1"/>
        <v>2082.8500000000004</v>
      </c>
      <c r="AK12" s="13">
        <f t="shared" si="1"/>
        <v>2082.8500000000004</v>
      </c>
      <c r="AL12" s="13">
        <f t="shared" si="1"/>
        <v>1266.9900000000002</v>
      </c>
      <c r="AM12" s="13">
        <f t="shared" si="1"/>
        <v>1266.9900000000002</v>
      </c>
      <c r="AN12" s="13">
        <f t="shared" si="1"/>
        <v>1266.9900000000002</v>
      </c>
      <c r="AO12" s="13">
        <f t="shared" si="1"/>
        <v>1266.9900000000002</v>
      </c>
      <c r="AP12" s="13">
        <f t="shared" si="1"/>
        <v>1266.9900000000002</v>
      </c>
      <c r="AQ12" s="13">
        <f t="shared" si="1"/>
        <v>1266.9900000000002</v>
      </c>
      <c r="AR12" s="13">
        <f t="shared" si="1"/>
        <v>1266.9900000000002</v>
      </c>
      <c r="AS12" s="13">
        <f t="shared" si="1"/>
        <v>1266.9900000000002</v>
      </c>
      <c r="AT12" s="13">
        <f t="shared" si="1"/>
        <v>1266.9900000000002</v>
      </c>
      <c r="AU12" s="13">
        <f t="shared" si="1"/>
        <v>1266.9900000000002</v>
      </c>
      <c r="AV12" s="13">
        <f t="shared" si="1"/>
        <v>1266.9900000000002</v>
      </c>
      <c r="AW12" s="13">
        <f t="shared" si="1"/>
        <v>1266.9900000000002</v>
      </c>
      <c r="AX12" s="13">
        <f t="shared" si="1"/>
        <v>451.1600000000002</v>
      </c>
      <c r="AY12" s="13">
        <f t="shared" si="1"/>
        <v>451.1600000000002</v>
      </c>
      <c r="AZ12" s="13">
        <f t="shared" si="1"/>
        <v>451.1600000000002</v>
      </c>
      <c r="BA12" s="13">
        <f t="shared" si="1"/>
        <v>451.1600000000002</v>
      </c>
      <c r="BB12" s="13">
        <f t="shared" si="1"/>
        <v>451.1600000000002</v>
      </c>
      <c r="BC12" s="13">
        <f t="shared" si="1"/>
        <v>451.1600000000002</v>
      </c>
      <c r="BD12" s="13">
        <f t="shared" si="1"/>
        <v>451.1600000000002</v>
      </c>
      <c r="BE12" s="13">
        <f t="shared" si="1"/>
        <v>451.1600000000002</v>
      </c>
      <c r="BF12" s="13">
        <f t="shared" si="1"/>
        <v>451.1600000000002</v>
      </c>
      <c r="BG12" s="13">
        <f t="shared" si="1"/>
        <v>451.1600000000002</v>
      </c>
      <c r="BH12" s="13">
        <f t="shared" si="1"/>
        <v>451.1600000000002</v>
      </c>
      <c r="BI12" s="13">
        <f t="shared" si="1"/>
        <v>451.1600000000002</v>
      </c>
      <c r="BJ12" s="13">
        <f t="shared" si="1"/>
        <v>132.2800000000002</v>
      </c>
      <c r="BK12" s="13">
        <f t="shared" si="1"/>
        <v>132.2800000000002</v>
      </c>
      <c r="BL12" s="13">
        <f t="shared" si="1"/>
        <v>132.2800000000002</v>
      </c>
      <c r="BM12" s="13">
        <f t="shared" si="1"/>
        <v>132.2800000000002</v>
      </c>
      <c r="BN12" s="13">
        <f t="shared" ref="BN12:CS12" si="2">SUM(BN10:BN11)</f>
        <v>132.2800000000002</v>
      </c>
      <c r="BO12" s="13">
        <f t="shared" si="2"/>
        <v>132.2800000000002</v>
      </c>
      <c r="BP12" s="13">
        <f t="shared" si="2"/>
        <v>132.2800000000002</v>
      </c>
      <c r="BQ12" s="13">
        <f t="shared" si="2"/>
        <v>132.2800000000002</v>
      </c>
      <c r="BR12" s="13">
        <f t="shared" si="2"/>
        <v>132.2800000000002</v>
      </c>
      <c r="BS12" s="13">
        <f t="shared" si="2"/>
        <v>132.2800000000002</v>
      </c>
      <c r="BT12" s="13">
        <f t="shared" si="2"/>
        <v>132.2800000000002</v>
      </c>
      <c r="BU12" s="13">
        <f t="shared" si="2"/>
        <v>132.2800000000002</v>
      </c>
      <c r="BV12" s="13">
        <f t="shared" si="2"/>
        <v>44.120000000000203</v>
      </c>
      <c r="BW12" s="13">
        <f t="shared" si="2"/>
        <v>88.240000000000208</v>
      </c>
      <c r="BX12" s="13">
        <f t="shared" si="2"/>
        <v>88.240000000000208</v>
      </c>
      <c r="BY12" s="13">
        <f t="shared" si="2"/>
        <v>88.240000000000208</v>
      </c>
      <c r="BZ12" s="13">
        <f t="shared" si="2"/>
        <v>88.240000000000208</v>
      </c>
      <c r="CA12" s="13">
        <f t="shared" si="2"/>
        <v>88.240000000000208</v>
      </c>
      <c r="CB12" s="13">
        <f t="shared" si="2"/>
        <v>88.240000000000208</v>
      </c>
      <c r="CC12" s="13">
        <f t="shared" si="2"/>
        <v>88.240000000000208</v>
      </c>
    </row>
    <row r="13" spans="1:81" x14ac:dyDescent="0.2">
      <c r="A13" s="14" t="s">
        <v>92</v>
      </c>
      <c r="B13" s="15">
        <f t="shared" ref="B13:AG13" si="3">0+0+B12+0</f>
        <v>0</v>
      </c>
      <c r="C13" s="15">
        <f t="shared" si="3"/>
        <v>229.17</v>
      </c>
      <c r="D13" s="15">
        <f t="shared" si="3"/>
        <v>0</v>
      </c>
      <c r="E13" s="15">
        <f t="shared" si="3"/>
        <v>0</v>
      </c>
      <c r="F13" s="15">
        <f t="shared" si="3"/>
        <v>0</v>
      </c>
      <c r="G13" s="15">
        <f t="shared" si="3"/>
        <v>1064.98</v>
      </c>
      <c r="H13" s="15">
        <f t="shared" si="3"/>
        <v>1064.98</v>
      </c>
      <c r="I13" s="15">
        <f t="shared" si="3"/>
        <v>2910.79</v>
      </c>
      <c r="J13" s="15">
        <f t="shared" si="3"/>
        <v>2910.79</v>
      </c>
      <c r="K13" s="15">
        <f t="shared" si="3"/>
        <v>2910.79</v>
      </c>
      <c r="L13" s="15">
        <f t="shared" si="3"/>
        <v>2910.79</v>
      </c>
      <c r="M13" s="15">
        <f t="shared" si="3"/>
        <v>2910.79</v>
      </c>
      <c r="N13" s="15">
        <f t="shared" si="3"/>
        <v>2413.81</v>
      </c>
      <c r="O13" s="15">
        <f t="shared" si="3"/>
        <v>2413.81</v>
      </c>
      <c r="P13" s="15">
        <f t="shared" si="3"/>
        <v>2413.81</v>
      </c>
      <c r="Q13" s="15">
        <f t="shared" si="3"/>
        <v>2413.81</v>
      </c>
      <c r="R13" s="15">
        <f t="shared" si="3"/>
        <v>2413.81</v>
      </c>
      <c r="S13" s="15">
        <f t="shared" si="3"/>
        <v>2413.81</v>
      </c>
      <c r="T13" s="15">
        <f t="shared" si="3"/>
        <v>2413.81</v>
      </c>
      <c r="U13" s="15">
        <f t="shared" si="3"/>
        <v>2413.81</v>
      </c>
      <c r="V13" s="15">
        <f t="shared" si="3"/>
        <v>2854.63</v>
      </c>
      <c r="W13" s="15">
        <f t="shared" si="3"/>
        <v>2854.63</v>
      </c>
      <c r="X13" s="15">
        <f t="shared" si="3"/>
        <v>2854.63</v>
      </c>
      <c r="Y13" s="15">
        <f t="shared" si="3"/>
        <v>2854.63</v>
      </c>
      <c r="Z13" s="15">
        <f t="shared" si="3"/>
        <v>2082.8500000000004</v>
      </c>
      <c r="AA13" s="15">
        <f t="shared" si="3"/>
        <v>2082.8500000000004</v>
      </c>
      <c r="AB13" s="15">
        <f t="shared" si="3"/>
        <v>2082.8500000000004</v>
      </c>
      <c r="AC13" s="15">
        <f t="shared" si="3"/>
        <v>2082.8500000000004</v>
      </c>
      <c r="AD13" s="15">
        <f t="shared" si="3"/>
        <v>2082.8500000000004</v>
      </c>
      <c r="AE13" s="15">
        <f t="shared" si="3"/>
        <v>2082.8500000000004</v>
      </c>
      <c r="AF13" s="15">
        <f t="shared" si="3"/>
        <v>2082.8500000000004</v>
      </c>
      <c r="AG13" s="15">
        <f t="shared" si="3"/>
        <v>2082.8500000000004</v>
      </c>
      <c r="AH13" s="15">
        <f t="shared" ref="AH13:BM13" si="4">0+0+AH12+0</f>
        <v>2082.8500000000004</v>
      </c>
      <c r="AI13" s="15">
        <f t="shared" si="4"/>
        <v>2082.8500000000004</v>
      </c>
      <c r="AJ13" s="15">
        <f t="shared" si="4"/>
        <v>2082.8500000000004</v>
      </c>
      <c r="AK13" s="15">
        <f t="shared" si="4"/>
        <v>2082.8500000000004</v>
      </c>
      <c r="AL13" s="15">
        <f t="shared" si="4"/>
        <v>1266.9900000000002</v>
      </c>
      <c r="AM13" s="15">
        <f t="shared" si="4"/>
        <v>1266.9900000000002</v>
      </c>
      <c r="AN13" s="15">
        <f t="shared" si="4"/>
        <v>1266.9900000000002</v>
      </c>
      <c r="AO13" s="15">
        <f t="shared" si="4"/>
        <v>1266.9900000000002</v>
      </c>
      <c r="AP13" s="15">
        <f t="shared" si="4"/>
        <v>1266.9900000000002</v>
      </c>
      <c r="AQ13" s="15">
        <f t="shared" si="4"/>
        <v>1266.9900000000002</v>
      </c>
      <c r="AR13" s="15">
        <f t="shared" si="4"/>
        <v>1266.9900000000002</v>
      </c>
      <c r="AS13" s="15">
        <f t="shared" si="4"/>
        <v>1266.9900000000002</v>
      </c>
      <c r="AT13" s="15">
        <f t="shared" si="4"/>
        <v>1266.9900000000002</v>
      </c>
      <c r="AU13" s="15">
        <f t="shared" si="4"/>
        <v>1266.9900000000002</v>
      </c>
      <c r="AV13" s="15">
        <f t="shared" si="4"/>
        <v>1266.9900000000002</v>
      </c>
      <c r="AW13" s="15">
        <f t="shared" si="4"/>
        <v>1266.9900000000002</v>
      </c>
      <c r="AX13" s="15">
        <f t="shared" si="4"/>
        <v>451.1600000000002</v>
      </c>
      <c r="AY13" s="15">
        <f t="shared" si="4"/>
        <v>451.1600000000002</v>
      </c>
      <c r="AZ13" s="15">
        <f t="shared" si="4"/>
        <v>451.1600000000002</v>
      </c>
      <c r="BA13" s="15">
        <f t="shared" si="4"/>
        <v>451.1600000000002</v>
      </c>
      <c r="BB13" s="15">
        <f t="shared" si="4"/>
        <v>451.1600000000002</v>
      </c>
      <c r="BC13" s="15">
        <f t="shared" si="4"/>
        <v>451.1600000000002</v>
      </c>
      <c r="BD13" s="15">
        <f t="shared" si="4"/>
        <v>451.1600000000002</v>
      </c>
      <c r="BE13" s="15">
        <f t="shared" si="4"/>
        <v>451.1600000000002</v>
      </c>
      <c r="BF13" s="15">
        <f t="shared" si="4"/>
        <v>451.1600000000002</v>
      </c>
      <c r="BG13" s="15">
        <f t="shared" si="4"/>
        <v>451.1600000000002</v>
      </c>
      <c r="BH13" s="15">
        <f t="shared" si="4"/>
        <v>451.1600000000002</v>
      </c>
      <c r="BI13" s="15">
        <f t="shared" si="4"/>
        <v>451.1600000000002</v>
      </c>
      <c r="BJ13" s="15">
        <f t="shared" si="4"/>
        <v>132.2800000000002</v>
      </c>
      <c r="BK13" s="15">
        <f t="shared" si="4"/>
        <v>132.2800000000002</v>
      </c>
      <c r="BL13" s="15">
        <f t="shared" si="4"/>
        <v>132.2800000000002</v>
      </c>
      <c r="BM13" s="15">
        <f t="shared" si="4"/>
        <v>132.2800000000002</v>
      </c>
      <c r="BN13" s="15">
        <f t="shared" ref="BN13:CS13" si="5">0+0+BN12+0</f>
        <v>132.2800000000002</v>
      </c>
      <c r="BO13" s="15">
        <f t="shared" si="5"/>
        <v>132.2800000000002</v>
      </c>
      <c r="BP13" s="15">
        <f t="shared" si="5"/>
        <v>132.2800000000002</v>
      </c>
      <c r="BQ13" s="15">
        <f t="shared" si="5"/>
        <v>132.2800000000002</v>
      </c>
      <c r="BR13" s="15">
        <f t="shared" si="5"/>
        <v>132.2800000000002</v>
      </c>
      <c r="BS13" s="15">
        <f t="shared" si="5"/>
        <v>132.2800000000002</v>
      </c>
      <c r="BT13" s="15">
        <f t="shared" si="5"/>
        <v>132.2800000000002</v>
      </c>
      <c r="BU13" s="15">
        <f t="shared" si="5"/>
        <v>132.2800000000002</v>
      </c>
      <c r="BV13" s="15">
        <f t="shared" si="5"/>
        <v>44.120000000000203</v>
      </c>
      <c r="BW13" s="15">
        <f t="shared" si="5"/>
        <v>88.240000000000208</v>
      </c>
      <c r="BX13" s="15">
        <f t="shared" si="5"/>
        <v>88.240000000000208</v>
      </c>
      <c r="BY13" s="15">
        <f t="shared" si="5"/>
        <v>88.240000000000208</v>
      </c>
      <c r="BZ13" s="15">
        <f t="shared" si="5"/>
        <v>88.240000000000208</v>
      </c>
      <c r="CA13" s="15">
        <f t="shared" si="5"/>
        <v>88.240000000000208</v>
      </c>
      <c r="CB13" s="15">
        <f t="shared" si="5"/>
        <v>88.240000000000208</v>
      </c>
      <c r="CC13" s="15">
        <f t="shared" si="5"/>
        <v>88.240000000000208</v>
      </c>
    </row>
    <row r="14" spans="1:81" x14ac:dyDescent="0.2">
      <c r="A14" s="16" t="s">
        <v>93</v>
      </c>
      <c r="B14" s="17">
        <f t="shared" ref="B14:AG14" si="6">0+B13+0</f>
        <v>0</v>
      </c>
      <c r="C14" s="17">
        <f t="shared" si="6"/>
        <v>229.17</v>
      </c>
      <c r="D14" s="17">
        <f t="shared" si="6"/>
        <v>0</v>
      </c>
      <c r="E14" s="17">
        <f t="shared" si="6"/>
        <v>0</v>
      </c>
      <c r="F14" s="17">
        <f t="shared" si="6"/>
        <v>0</v>
      </c>
      <c r="G14" s="17">
        <f t="shared" si="6"/>
        <v>1064.98</v>
      </c>
      <c r="H14" s="17">
        <f t="shared" si="6"/>
        <v>1064.98</v>
      </c>
      <c r="I14" s="17">
        <f t="shared" si="6"/>
        <v>2910.79</v>
      </c>
      <c r="J14" s="17">
        <f t="shared" si="6"/>
        <v>2910.79</v>
      </c>
      <c r="K14" s="17">
        <f t="shared" si="6"/>
        <v>2910.79</v>
      </c>
      <c r="L14" s="17">
        <f t="shared" si="6"/>
        <v>2910.79</v>
      </c>
      <c r="M14" s="17">
        <f t="shared" si="6"/>
        <v>2910.79</v>
      </c>
      <c r="N14" s="17">
        <f t="shared" si="6"/>
        <v>2413.81</v>
      </c>
      <c r="O14" s="17">
        <f t="shared" si="6"/>
        <v>2413.81</v>
      </c>
      <c r="P14" s="17">
        <f t="shared" si="6"/>
        <v>2413.81</v>
      </c>
      <c r="Q14" s="17">
        <f t="shared" si="6"/>
        <v>2413.81</v>
      </c>
      <c r="R14" s="17">
        <f t="shared" si="6"/>
        <v>2413.81</v>
      </c>
      <c r="S14" s="17">
        <f t="shared" si="6"/>
        <v>2413.81</v>
      </c>
      <c r="T14" s="17">
        <f t="shared" si="6"/>
        <v>2413.81</v>
      </c>
      <c r="U14" s="17">
        <f t="shared" si="6"/>
        <v>2413.81</v>
      </c>
      <c r="V14" s="17">
        <f t="shared" si="6"/>
        <v>2854.63</v>
      </c>
      <c r="W14" s="17">
        <f t="shared" si="6"/>
        <v>2854.63</v>
      </c>
      <c r="X14" s="17">
        <f t="shared" si="6"/>
        <v>2854.63</v>
      </c>
      <c r="Y14" s="17">
        <f t="shared" si="6"/>
        <v>2854.63</v>
      </c>
      <c r="Z14" s="17">
        <f t="shared" si="6"/>
        <v>2082.8500000000004</v>
      </c>
      <c r="AA14" s="17">
        <f t="shared" si="6"/>
        <v>2082.8500000000004</v>
      </c>
      <c r="AB14" s="17">
        <f t="shared" si="6"/>
        <v>2082.8500000000004</v>
      </c>
      <c r="AC14" s="17">
        <f t="shared" si="6"/>
        <v>2082.8500000000004</v>
      </c>
      <c r="AD14" s="17">
        <f t="shared" si="6"/>
        <v>2082.8500000000004</v>
      </c>
      <c r="AE14" s="17">
        <f t="shared" si="6"/>
        <v>2082.8500000000004</v>
      </c>
      <c r="AF14" s="17">
        <f t="shared" si="6"/>
        <v>2082.8500000000004</v>
      </c>
      <c r="AG14" s="17">
        <f t="shared" si="6"/>
        <v>2082.8500000000004</v>
      </c>
      <c r="AH14" s="17">
        <f t="shared" ref="AH14:BM14" si="7">0+AH13+0</f>
        <v>2082.8500000000004</v>
      </c>
      <c r="AI14" s="17">
        <f t="shared" si="7"/>
        <v>2082.8500000000004</v>
      </c>
      <c r="AJ14" s="17">
        <f t="shared" si="7"/>
        <v>2082.8500000000004</v>
      </c>
      <c r="AK14" s="17">
        <f t="shared" si="7"/>
        <v>2082.8500000000004</v>
      </c>
      <c r="AL14" s="17">
        <f t="shared" si="7"/>
        <v>1266.9900000000002</v>
      </c>
      <c r="AM14" s="17">
        <f t="shared" si="7"/>
        <v>1266.9900000000002</v>
      </c>
      <c r="AN14" s="17">
        <f t="shared" si="7"/>
        <v>1266.9900000000002</v>
      </c>
      <c r="AO14" s="17">
        <f t="shared" si="7"/>
        <v>1266.9900000000002</v>
      </c>
      <c r="AP14" s="17">
        <f t="shared" si="7"/>
        <v>1266.9900000000002</v>
      </c>
      <c r="AQ14" s="17">
        <f t="shared" si="7"/>
        <v>1266.9900000000002</v>
      </c>
      <c r="AR14" s="17">
        <f t="shared" si="7"/>
        <v>1266.9900000000002</v>
      </c>
      <c r="AS14" s="17">
        <f t="shared" si="7"/>
        <v>1266.9900000000002</v>
      </c>
      <c r="AT14" s="17">
        <f t="shared" si="7"/>
        <v>1266.9900000000002</v>
      </c>
      <c r="AU14" s="17">
        <f t="shared" si="7"/>
        <v>1266.9900000000002</v>
      </c>
      <c r="AV14" s="17">
        <f t="shared" si="7"/>
        <v>1266.9900000000002</v>
      </c>
      <c r="AW14" s="17">
        <f t="shared" si="7"/>
        <v>1266.9900000000002</v>
      </c>
      <c r="AX14" s="17">
        <f t="shared" si="7"/>
        <v>451.1600000000002</v>
      </c>
      <c r="AY14" s="17">
        <f t="shared" si="7"/>
        <v>451.1600000000002</v>
      </c>
      <c r="AZ14" s="17">
        <f t="shared" si="7"/>
        <v>451.1600000000002</v>
      </c>
      <c r="BA14" s="17">
        <f t="shared" si="7"/>
        <v>451.1600000000002</v>
      </c>
      <c r="BB14" s="17">
        <f t="shared" si="7"/>
        <v>451.1600000000002</v>
      </c>
      <c r="BC14" s="17">
        <f t="shared" si="7"/>
        <v>451.1600000000002</v>
      </c>
      <c r="BD14" s="17">
        <f t="shared" si="7"/>
        <v>451.1600000000002</v>
      </c>
      <c r="BE14" s="17">
        <f t="shared" si="7"/>
        <v>451.1600000000002</v>
      </c>
      <c r="BF14" s="17">
        <f t="shared" si="7"/>
        <v>451.1600000000002</v>
      </c>
      <c r="BG14" s="17">
        <f t="shared" si="7"/>
        <v>451.1600000000002</v>
      </c>
      <c r="BH14" s="17">
        <f t="shared" si="7"/>
        <v>451.1600000000002</v>
      </c>
      <c r="BI14" s="17">
        <f t="shared" si="7"/>
        <v>451.1600000000002</v>
      </c>
      <c r="BJ14" s="17">
        <f t="shared" si="7"/>
        <v>132.2800000000002</v>
      </c>
      <c r="BK14" s="17">
        <f t="shared" si="7"/>
        <v>132.2800000000002</v>
      </c>
      <c r="BL14" s="17">
        <f t="shared" si="7"/>
        <v>132.2800000000002</v>
      </c>
      <c r="BM14" s="17">
        <f t="shared" si="7"/>
        <v>132.2800000000002</v>
      </c>
      <c r="BN14" s="17">
        <f t="shared" ref="BN14:CS14" si="8">0+BN13+0</f>
        <v>132.2800000000002</v>
      </c>
      <c r="BO14" s="17">
        <f t="shared" si="8"/>
        <v>132.2800000000002</v>
      </c>
      <c r="BP14" s="17">
        <f t="shared" si="8"/>
        <v>132.2800000000002</v>
      </c>
      <c r="BQ14" s="17">
        <f t="shared" si="8"/>
        <v>132.2800000000002</v>
      </c>
      <c r="BR14" s="17">
        <f t="shared" si="8"/>
        <v>132.2800000000002</v>
      </c>
      <c r="BS14" s="17">
        <f t="shared" si="8"/>
        <v>132.2800000000002</v>
      </c>
      <c r="BT14" s="17">
        <f t="shared" si="8"/>
        <v>132.2800000000002</v>
      </c>
      <c r="BU14" s="17">
        <f t="shared" si="8"/>
        <v>132.2800000000002</v>
      </c>
      <c r="BV14" s="17">
        <f t="shared" si="8"/>
        <v>44.120000000000203</v>
      </c>
      <c r="BW14" s="17">
        <f t="shared" si="8"/>
        <v>88.240000000000208</v>
      </c>
      <c r="BX14" s="17">
        <f t="shared" si="8"/>
        <v>88.240000000000208</v>
      </c>
      <c r="BY14" s="17">
        <f t="shared" si="8"/>
        <v>88.240000000000208</v>
      </c>
      <c r="BZ14" s="17">
        <f t="shared" si="8"/>
        <v>88.240000000000208</v>
      </c>
      <c r="CA14" s="17">
        <f t="shared" si="8"/>
        <v>88.240000000000208</v>
      </c>
      <c r="CB14" s="17">
        <f t="shared" si="8"/>
        <v>88.240000000000208</v>
      </c>
      <c r="CC14" s="17">
        <f t="shared" si="8"/>
        <v>88.240000000000208</v>
      </c>
    </row>
    <row r="15" spans="1:81" x14ac:dyDescent="0.2">
      <c r="A15" s="1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</row>
    <row r="16" spans="1:81" ht="12" x14ac:dyDescent="0.2">
      <c r="A16" s="5" t="s">
        <v>94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</row>
    <row r="17" spans="1:81" x14ac:dyDescent="0.2">
      <c r="A17" s="7" t="s">
        <v>95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</row>
    <row r="18" spans="1:81" x14ac:dyDescent="0.2">
      <c r="A18" s="9" t="s">
        <v>96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</row>
    <row r="19" spans="1:81" x14ac:dyDescent="0.2">
      <c r="A19" s="10" t="s">
        <v>97</v>
      </c>
      <c r="B19" s="19">
        <v>297908.52</v>
      </c>
      <c r="C19" s="19">
        <v>97904.450000000012</v>
      </c>
      <c r="D19" s="19">
        <v>227245.99</v>
      </c>
      <c r="E19" s="19">
        <v>443756.51</v>
      </c>
      <c r="F19" s="19">
        <v>476198.16000000003</v>
      </c>
      <c r="G19" s="19">
        <v>367346.71</v>
      </c>
      <c r="H19" s="19">
        <v>350845.92000000004</v>
      </c>
      <c r="I19" s="19">
        <v>400525.04000000004</v>
      </c>
      <c r="J19" s="19">
        <v>455962.75000000006</v>
      </c>
      <c r="K19" s="19">
        <v>322379.49000000005</v>
      </c>
      <c r="L19" s="19">
        <v>373749.44000000006</v>
      </c>
      <c r="M19" s="19">
        <v>255258.03000000006</v>
      </c>
      <c r="N19" s="19">
        <v>359889.03</v>
      </c>
      <c r="O19" s="19">
        <v>211370.76000000004</v>
      </c>
      <c r="P19" s="19">
        <v>276080.72000000003</v>
      </c>
      <c r="Q19" s="19">
        <v>329705.32</v>
      </c>
      <c r="R19" s="19">
        <v>364976.96</v>
      </c>
      <c r="S19" s="19">
        <v>336966</v>
      </c>
      <c r="T19" s="19">
        <v>199905.91</v>
      </c>
      <c r="U19" s="19">
        <v>161421.91</v>
      </c>
      <c r="V19" s="19">
        <v>221369.38</v>
      </c>
      <c r="W19" s="19">
        <v>189344.38</v>
      </c>
      <c r="X19" s="19">
        <v>64309.5</v>
      </c>
      <c r="Y19" s="19">
        <v>78634.36</v>
      </c>
      <c r="Z19" s="19">
        <v>33386.86</v>
      </c>
      <c r="AA19" s="19">
        <v>80146.36</v>
      </c>
      <c r="AB19" s="19">
        <v>83623.5</v>
      </c>
      <c r="AC19" s="19">
        <v>75987</v>
      </c>
      <c r="AD19" s="19">
        <v>40871</v>
      </c>
      <c r="AE19" s="19">
        <v>88010.67</v>
      </c>
      <c r="AF19" s="19">
        <v>62001</v>
      </c>
      <c r="AG19" s="19">
        <v>28744.5</v>
      </c>
      <c r="AH19" s="19">
        <v>52368</v>
      </c>
      <c r="AI19" s="19">
        <v>67144</v>
      </c>
      <c r="AJ19" s="19">
        <v>68092.5</v>
      </c>
      <c r="AK19" s="19">
        <v>46123.5</v>
      </c>
      <c r="AL19" s="19">
        <v>18006</v>
      </c>
      <c r="AM19" s="19">
        <v>40212</v>
      </c>
      <c r="AN19" s="19">
        <v>46476</v>
      </c>
      <c r="AO19" s="19">
        <v>79429.320000000007</v>
      </c>
      <c r="AP19" s="19">
        <v>49008.000000000007</v>
      </c>
      <c r="AQ19" s="19">
        <v>41082.000000000007</v>
      </c>
      <c r="AR19" s="19">
        <v>171405.48</v>
      </c>
      <c r="AS19" s="19">
        <v>89641.32</v>
      </c>
      <c r="AT19" s="19">
        <v>112736.82</v>
      </c>
      <c r="AU19" s="19">
        <v>45082.5</v>
      </c>
      <c r="AV19" s="19">
        <v>59511</v>
      </c>
      <c r="AW19" s="19">
        <v>106204.32</v>
      </c>
      <c r="AX19" s="19">
        <v>78858</v>
      </c>
      <c r="AY19" s="19">
        <v>31936.5</v>
      </c>
      <c r="AZ19" s="19">
        <v>128719.32</v>
      </c>
      <c r="BA19" s="19">
        <v>74147.5</v>
      </c>
      <c r="BB19" s="19">
        <v>90757.5</v>
      </c>
      <c r="BC19" s="19">
        <v>110721.32</v>
      </c>
      <c r="BD19" s="19">
        <v>233518.74</v>
      </c>
      <c r="BE19" s="19">
        <v>54365</v>
      </c>
      <c r="BF19" s="19">
        <v>214320.32</v>
      </c>
      <c r="BG19" s="19">
        <v>134714.5</v>
      </c>
      <c r="BH19" s="19">
        <v>337407.24</v>
      </c>
      <c r="BI19" s="19">
        <v>215601.32</v>
      </c>
      <c r="BJ19" s="19">
        <v>259659.5</v>
      </c>
      <c r="BK19" s="19">
        <v>194890.5</v>
      </c>
      <c r="BL19" s="19">
        <v>334972.32</v>
      </c>
      <c r="BM19" s="19">
        <v>317688</v>
      </c>
      <c r="BN19" s="19">
        <v>341587.26</v>
      </c>
      <c r="BO19" s="19">
        <v>319752.88</v>
      </c>
      <c r="BP19" s="19">
        <v>301447.5</v>
      </c>
      <c r="BQ19" s="19">
        <v>267148.5</v>
      </c>
      <c r="BR19" s="19">
        <v>291448.32000000001</v>
      </c>
      <c r="BS19" s="19">
        <v>254481.12</v>
      </c>
      <c r="BT19" s="19">
        <v>241473.3</v>
      </c>
      <c r="BU19" s="19">
        <v>286599.12</v>
      </c>
      <c r="BV19" s="19">
        <v>105106.19999999998</v>
      </c>
      <c r="BW19" s="19">
        <v>231882.20999999996</v>
      </c>
      <c r="BX19" s="19">
        <v>243798.02999999997</v>
      </c>
      <c r="BY19" s="19">
        <v>374468.61</v>
      </c>
      <c r="BZ19" s="19">
        <v>471541.01</v>
      </c>
      <c r="CA19" s="19">
        <v>314572.53000000003</v>
      </c>
      <c r="CB19" s="19">
        <v>320464.71000000002</v>
      </c>
      <c r="CC19" s="19">
        <v>320464.71000000002</v>
      </c>
    </row>
    <row r="20" spans="1:81" x14ac:dyDescent="0.2">
      <c r="A20" s="12" t="s">
        <v>98</v>
      </c>
      <c r="B20" s="13">
        <f t="shared" ref="B20:AG20" si="9">SUM(B19)</f>
        <v>297908.52</v>
      </c>
      <c r="C20" s="13">
        <f t="shared" si="9"/>
        <v>97904.450000000012</v>
      </c>
      <c r="D20" s="13">
        <f t="shared" si="9"/>
        <v>227245.99</v>
      </c>
      <c r="E20" s="13">
        <f t="shared" si="9"/>
        <v>443756.51</v>
      </c>
      <c r="F20" s="13">
        <f t="shared" si="9"/>
        <v>476198.16000000003</v>
      </c>
      <c r="G20" s="13">
        <f t="shared" si="9"/>
        <v>367346.71</v>
      </c>
      <c r="H20" s="13">
        <f t="shared" si="9"/>
        <v>350845.92000000004</v>
      </c>
      <c r="I20" s="13">
        <f t="shared" si="9"/>
        <v>400525.04000000004</v>
      </c>
      <c r="J20" s="13">
        <f t="shared" si="9"/>
        <v>455962.75000000006</v>
      </c>
      <c r="K20" s="13">
        <f t="shared" si="9"/>
        <v>322379.49000000005</v>
      </c>
      <c r="L20" s="13">
        <f t="shared" si="9"/>
        <v>373749.44000000006</v>
      </c>
      <c r="M20" s="13">
        <f t="shared" si="9"/>
        <v>255258.03000000006</v>
      </c>
      <c r="N20" s="13">
        <f t="shared" si="9"/>
        <v>359889.03</v>
      </c>
      <c r="O20" s="13">
        <f t="shared" si="9"/>
        <v>211370.76000000004</v>
      </c>
      <c r="P20" s="13">
        <f t="shared" si="9"/>
        <v>276080.72000000003</v>
      </c>
      <c r="Q20" s="13">
        <f t="shared" si="9"/>
        <v>329705.32</v>
      </c>
      <c r="R20" s="13">
        <f t="shared" si="9"/>
        <v>364976.96</v>
      </c>
      <c r="S20" s="13">
        <f t="shared" si="9"/>
        <v>336966</v>
      </c>
      <c r="T20" s="13">
        <f t="shared" si="9"/>
        <v>199905.91</v>
      </c>
      <c r="U20" s="13">
        <f t="shared" si="9"/>
        <v>161421.91</v>
      </c>
      <c r="V20" s="13">
        <f t="shared" si="9"/>
        <v>221369.38</v>
      </c>
      <c r="W20" s="13">
        <f t="shared" si="9"/>
        <v>189344.38</v>
      </c>
      <c r="X20" s="13">
        <f t="shared" si="9"/>
        <v>64309.5</v>
      </c>
      <c r="Y20" s="13">
        <f t="shared" si="9"/>
        <v>78634.36</v>
      </c>
      <c r="Z20" s="13">
        <f t="shared" si="9"/>
        <v>33386.86</v>
      </c>
      <c r="AA20" s="13">
        <f t="shared" si="9"/>
        <v>80146.36</v>
      </c>
      <c r="AB20" s="13">
        <f t="shared" si="9"/>
        <v>83623.5</v>
      </c>
      <c r="AC20" s="13">
        <f t="shared" si="9"/>
        <v>75987</v>
      </c>
      <c r="AD20" s="13">
        <f t="shared" si="9"/>
        <v>40871</v>
      </c>
      <c r="AE20" s="13">
        <f t="shared" si="9"/>
        <v>88010.67</v>
      </c>
      <c r="AF20" s="13">
        <f t="shared" si="9"/>
        <v>62001</v>
      </c>
      <c r="AG20" s="13">
        <f t="shared" si="9"/>
        <v>28744.5</v>
      </c>
      <c r="AH20" s="13">
        <f t="shared" ref="AH20:BM20" si="10">SUM(AH19)</f>
        <v>52368</v>
      </c>
      <c r="AI20" s="13">
        <f t="shared" si="10"/>
        <v>67144</v>
      </c>
      <c r="AJ20" s="13">
        <f t="shared" si="10"/>
        <v>68092.5</v>
      </c>
      <c r="AK20" s="13">
        <f t="shared" si="10"/>
        <v>46123.5</v>
      </c>
      <c r="AL20" s="13">
        <f t="shared" si="10"/>
        <v>18006</v>
      </c>
      <c r="AM20" s="13">
        <f t="shared" si="10"/>
        <v>40212</v>
      </c>
      <c r="AN20" s="13">
        <f t="shared" si="10"/>
        <v>46476</v>
      </c>
      <c r="AO20" s="13">
        <f t="shared" si="10"/>
        <v>79429.320000000007</v>
      </c>
      <c r="AP20" s="13">
        <f t="shared" si="10"/>
        <v>49008.000000000007</v>
      </c>
      <c r="AQ20" s="13">
        <f t="shared" si="10"/>
        <v>41082.000000000007</v>
      </c>
      <c r="AR20" s="13">
        <f t="shared" si="10"/>
        <v>171405.48</v>
      </c>
      <c r="AS20" s="13">
        <f t="shared" si="10"/>
        <v>89641.32</v>
      </c>
      <c r="AT20" s="13">
        <f t="shared" si="10"/>
        <v>112736.82</v>
      </c>
      <c r="AU20" s="13">
        <f t="shared" si="10"/>
        <v>45082.5</v>
      </c>
      <c r="AV20" s="13">
        <f t="shared" si="10"/>
        <v>59511</v>
      </c>
      <c r="AW20" s="13">
        <f t="shared" si="10"/>
        <v>106204.32</v>
      </c>
      <c r="AX20" s="13">
        <f t="shared" si="10"/>
        <v>78858</v>
      </c>
      <c r="AY20" s="13">
        <f t="shared" si="10"/>
        <v>31936.5</v>
      </c>
      <c r="AZ20" s="13">
        <f t="shared" si="10"/>
        <v>128719.32</v>
      </c>
      <c r="BA20" s="13">
        <f t="shared" si="10"/>
        <v>74147.5</v>
      </c>
      <c r="BB20" s="13">
        <f t="shared" si="10"/>
        <v>90757.5</v>
      </c>
      <c r="BC20" s="13">
        <f t="shared" si="10"/>
        <v>110721.32</v>
      </c>
      <c r="BD20" s="13">
        <f t="shared" si="10"/>
        <v>233518.74</v>
      </c>
      <c r="BE20" s="13">
        <f t="shared" si="10"/>
        <v>54365</v>
      </c>
      <c r="BF20" s="13">
        <f t="shared" si="10"/>
        <v>214320.32</v>
      </c>
      <c r="BG20" s="13">
        <f t="shared" si="10"/>
        <v>134714.5</v>
      </c>
      <c r="BH20" s="13">
        <f t="shared" si="10"/>
        <v>337407.24</v>
      </c>
      <c r="BI20" s="13">
        <f t="shared" si="10"/>
        <v>215601.32</v>
      </c>
      <c r="BJ20" s="13">
        <f t="shared" si="10"/>
        <v>259659.5</v>
      </c>
      <c r="BK20" s="13">
        <f t="shared" si="10"/>
        <v>194890.5</v>
      </c>
      <c r="BL20" s="13">
        <f t="shared" si="10"/>
        <v>334972.32</v>
      </c>
      <c r="BM20" s="13">
        <f t="shared" si="10"/>
        <v>317688</v>
      </c>
      <c r="BN20" s="13">
        <f t="shared" ref="BN20:CS20" si="11">SUM(BN19)</f>
        <v>341587.26</v>
      </c>
      <c r="BO20" s="13">
        <f t="shared" si="11"/>
        <v>319752.88</v>
      </c>
      <c r="BP20" s="13">
        <f t="shared" si="11"/>
        <v>301447.5</v>
      </c>
      <c r="BQ20" s="13">
        <f t="shared" si="11"/>
        <v>267148.5</v>
      </c>
      <c r="BR20" s="13">
        <f t="shared" si="11"/>
        <v>291448.32000000001</v>
      </c>
      <c r="BS20" s="13">
        <f t="shared" si="11"/>
        <v>254481.12</v>
      </c>
      <c r="BT20" s="13">
        <f t="shared" si="11"/>
        <v>241473.3</v>
      </c>
      <c r="BU20" s="13">
        <f t="shared" si="11"/>
        <v>286599.12</v>
      </c>
      <c r="BV20" s="13">
        <f t="shared" si="11"/>
        <v>105106.19999999998</v>
      </c>
      <c r="BW20" s="13">
        <f t="shared" si="11"/>
        <v>231882.20999999996</v>
      </c>
      <c r="BX20" s="13">
        <f t="shared" si="11"/>
        <v>243798.02999999997</v>
      </c>
      <c r="BY20" s="13">
        <f t="shared" si="11"/>
        <v>374468.61</v>
      </c>
      <c r="BZ20" s="13">
        <f t="shared" si="11"/>
        <v>471541.01</v>
      </c>
      <c r="CA20" s="13">
        <f t="shared" si="11"/>
        <v>314572.53000000003</v>
      </c>
      <c r="CB20" s="13">
        <f t="shared" si="11"/>
        <v>320464.71000000002</v>
      </c>
      <c r="CC20" s="13">
        <f t="shared" si="11"/>
        <v>320464.71000000002</v>
      </c>
    </row>
    <row r="21" spans="1:81" x14ac:dyDescent="0.2">
      <c r="A21" s="9" t="s">
        <v>99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</row>
    <row r="22" spans="1:81" x14ac:dyDescent="0.2">
      <c r="A22" s="10" t="s">
        <v>100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19251</v>
      </c>
      <c r="AY22" s="19">
        <v>24672</v>
      </c>
      <c r="AZ22" s="19">
        <v>26911</v>
      </c>
      <c r="BA22" s="19">
        <v>3882</v>
      </c>
      <c r="BB22" s="19">
        <v>31979</v>
      </c>
      <c r="BC22" s="19">
        <v>42937</v>
      </c>
      <c r="BD22" s="19">
        <v>32546</v>
      </c>
      <c r="BE22" s="19">
        <v>32546</v>
      </c>
      <c r="BF22" s="19">
        <v>18688</v>
      </c>
      <c r="BG22" s="19">
        <v>11360</v>
      </c>
      <c r="BH22" s="19">
        <v>22435</v>
      </c>
      <c r="BI22" s="19">
        <v>29344.25</v>
      </c>
      <c r="BJ22" s="19">
        <v>12281.5</v>
      </c>
      <c r="BK22" s="19">
        <v>11276.5</v>
      </c>
      <c r="BL22" s="19">
        <v>29998.75</v>
      </c>
      <c r="BM22" s="19">
        <v>42512.5</v>
      </c>
      <c r="BN22" s="19">
        <v>51272.25</v>
      </c>
      <c r="BO22" s="19">
        <v>35304</v>
      </c>
      <c r="BP22" s="19">
        <v>83014.75</v>
      </c>
      <c r="BQ22" s="19">
        <v>83014.75</v>
      </c>
      <c r="BR22" s="19">
        <v>161065.25</v>
      </c>
      <c r="BS22" s="19">
        <v>210250.5</v>
      </c>
      <c r="BT22" s="19">
        <v>33775.75</v>
      </c>
      <c r="BU22" s="19">
        <v>32317.5</v>
      </c>
      <c r="BV22" s="19">
        <v>12344.310000000001</v>
      </c>
      <c r="BW22" s="19">
        <v>33904.31</v>
      </c>
      <c r="BX22" s="19">
        <v>29212.69</v>
      </c>
      <c r="BY22" s="19">
        <v>32185.19</v>
      </c>
      <c r="BZ22" s="19">
        <v>0</v>
      </c>
      <c r="CA22" s="19">
        <v>32764</v>
      </c>
      <c r="CB22" s="19">
        <v>23177</v>
      </c>
      <c r="CC22" s="19">
        <v>23177</v>
      </c>
    </row>
    <row r="23" spans="1:81" x14ac:dyDescent="0.2">
      <c r="A23" s="12" t="s">
        <v>101</v>
      </c>
      <c r="B23" s="13">
        <f t="shared" ref="B23:AG23" si="12">SUM(B22)</f>
        <v>0</v>
      </c>
      <c r="C23" s="13">
        <f t="shared" si="12"/>
        <v>0</v>
      </c>
      <c r="D23" s="13">
        <f t="shared" si="12"/>
        <v>0</v>
      </c>
      <c r="E23" s="13">
        <f t="shared" si="12"/>
        <v>0</v>
      </c>
      <c r="F23" s="13">
        <f t="shared" si="12"/>
        <v>0</v>
      </c>
      <c r="G23" s="13">
        <f t="shared" si="12"/>
        <v>0</v>
      </c>
      <c r="H23" s="13">
        <f t="shared" si="12"/>
        <v>0</v>
      </c>
      <c r="I23" s="13">
        <f t="shared" si="12"/>
        <v>0</v>
      </c>
      <c r="J23" s="13">
        <f t="shared" si="12"/>
        <v>0</v>
      </c>
      <c r="K23" s="13">
        <f t="shared" si="12"/>
        <v>0</v>
      </c>
      <c r="L23" s="13">
        <f t="shared" si="12"/>
        <v>0</v>
      </c>
      <c r="M23" s="13">
        <f t="shared" si="12"/>
        <v>0</v>
      </c>
      <c r="N23" s="13">
        <f t="shared" si="12"/>
        <v>0</v>
      </c>
      <c r="O23" s="13">
        <f t="shared" si="12"/>
        <v>0</v>
      </c>
      <c r="P23" s="13">
        <f t="shared" si="12"/>
        <v>0</v>
      </c>
      <c r="Q23" s="13">
        <f t="shared" si="12"/>
        <v>0</v>
      </c>
      <c r="R23" s="13">
        <f t="shared" si="12"/>
        <v>0</v>
      </c>
      <c r="S23" s="13">
        <f t="shared" si="12"/>
        <v>0</v>
      </c>
      <c r="T23" s="13">
        <f t="shared" si="12"/>
        <v>0</v>
      </c>
      <c r="U23" s="13">
        <f t="shared" si="12"/>
        <v>0</v>
      </c>
      <c r="V23" s="13">
        <f t="shared" si="12"/>
        <v>0</v>
      </c>
      <c r="W23" s="13">
        <f t="shared" si="12"/>
        <v>0</v>
      </c>
      <c r="X23" s="13">
        <f t="shared" si="12"/>
        <v>0</v>
      </c>
      <c r="Y23" s="13">
        <f t="shared" si="12"/>
        <v>0</v>
      </c>
      <c r="Z23" s="13">
        <f t="shared" si="12"/>
        <v>0</v>
      </c>
      <c r="AA23" s="13">
        <f t="shared" si="12"/>
        <v>0</v>
      </c>
      <c r="AB23" s="13">
        <f t="shared" si="12"/>
        <v>0</v>
      </c>
      <c r="AC23" s="13">
        <f t="shared" si="12"/>
        <v>0</v>
      </c>
      <c r="AD23" s="13">
        <f t="shared" si="12"/>
        <v>0</v>
      </c>
      <c r="AE23" s="13">
        <f t="shared" si="12"/>
        <v>0</v>
      </c>
      <c r="AF23" s="13">
        <f t="shared" si="12"/>
        <v>0</v>
      </c>
      <c r="AG23" s="13">
        <f t="shared" si="12"/>
        <v>0</v>
      </c>
      <c r="AH23" s="13">
        <f t="shared" ref="AH23:BM23" si="13">SUM(AH22)</f>
        <v>0</v>
      </c>
      <c r="AI23" s="13">
        <f t="shared" si="13"/>
        <v>0</v>
      </c>
      <c r="AJ23" s="13">
        <f t="shared" si="13"/>
        <v>0</v>
      </c>
      <c r="AK23" s="13">
        <f t="shared" si="13"/>
        <v>0</v>
      </c>
      <c r="AL23" s="13">
        <f t="shared" si="13"/>
        <v>0</v>
      </c>
      <c r="AM23" s="13">
        <f t="shared" si="13"/>
        <v>0</v>
      </c>
      <c r="AN23" s="13">
        <f t="shared" si="13"/>
        <v>0</v>
      </c>
      <c r="AO23" s="13">
        <f t="shared" si="13"/>
        <v>0</v>
      </c>
      <c r="AP23" s="13">
        <f t="shared" si="13"/>
        <v>0</v>
      </c>
      <c r="AQ23" s="13">
        <f t="shared" si="13"/>
        <v>0</v>
      </c>
      <c r="AR23" s="13">
        <f t="shared" si="13"/>
        <v>0</v>
      </c>
      <c r="AS23" s="13">
        <f t="shared" si="13"/>
        <v>0</v>
      </c>
      <c r="AT23" s="13">
        <f t="shared" si="13"/>
        <v>0</v>
      </c>
      <c r="AU23" s="13">
        <f t="shared" si="13"/>
        <v>0</v>
      </c>
      <c r="AV23" s="13">
        <f t="shared" si="13"/>
        <v>0</v>
      </c>
      <c r="AW23" s="13">
        <f t="shared" si="13"/>
        <v>0</v>
      </c>
      <c r="AX23" s="13">
        <f t="shared" si="13"/>
        <v>19251</v>
      </c>
      <c r="AY23" s="13">
        <f t="shared" si="13"/>
        <v>24672</v>
      </c>
      <c r="AZ23" s="13">
        <f t="shared" si="13"/>
        <v>26911</v>
      </c>
      <c r="BA23" s="13">
        <f t="shared" si="13"/>
        <v>3882</v>
      </c>
      <c r="BB23" s="13">
        <f t="shared" si="13"/>
        <v>31979</v>
      </c>
      <c r="BC23" s="13">
        <f t="shared" si="13"/>
        <v>42937</v>
      </c>
      <c r="BD23" s="13">
        <f t="shared" si="13"/>
        <v>32546</v>
      </c>
      <c r="BE23" s="13">
        <f t="shared" si="13"/>
        <v>32546</v>
      </c>
      <c r="BF23" s="13">
        <f t="shared" si="13"/>
        <v>18688</v>
      </c>
      <c r="BG23" s="13">
        <f t="shared" si="13"/>
        <v>11360</v>
      </c>
      <c r="BH23" s="13">
        <f t="shared" si="13"/>
        <v>22435</v>
      </c>
      <c r="BI23" s="13">
        <f t="shared" si="13"/>
        <v>29344.25</v>
      </c>
      <c r="BJ23" s="13">
        <f t="shared" si="13"/>
        <v>12281.5</v>
      </c>
      <c r="BK23" s="13">
        <f t="shared" si="13"/>
        <v>11276.5</v>
      </c>
      <c r="BL23" s="13">
        <f t="shared" si="13"/>
        <v>29998.75</v>
      </c>
      <c r="BM23" s="13">
        <f t="shared" si="13"/>
        <v>42512.5</v>
      </c>
      <c r="BN23" s="13">
        <f t="shared" ref="BN23:CS23" si="14">SUM(BN22)</f>
        <v>51272.25</v>
      </c>
      <c r="BO23" s="13">
        <f t="shared" si="14"/>
        <v>35304</v>
      </c>
      <c r="BP23" s="13">
        <f t="shared" si="14"/>
        <v>83014.75</v>
      </c>
      <c r="BQ23" s="13">
        <f t="shared" si="14"/>
        <v>83014.75</v>
      </c>
      <c r="BR23" s="13">
        <f t="shared" si="14"/>
        <v>161065.25</v>
      </c>
      <c r="BS23" s="13">
        <f t="shared" si="14"/>
        <v>210250.5</v>
      </c>
      <c r="BT23" s="13">
        <f t="shared" si="14"/>
        <v>33775.75</v>
      </c>
      <c r="BU23" s="13">
        <f t="shared" si="14"/>
        <v>32317.5</v>
      </c>
      <c r="BV23" s="13">
        <f t="shared" si="14"/>
        <v>12344.310000000001</v>
      </c>
      <c r="BW23" s="13">
        <f t="shared" si="14"/>
        <v>33904.31</v>
      </c>
      <c r="BX23" s="13">
        <f t="shared" si="14"/>
        <v>29212.69</v>
      </c>
      <c r="BY23" s="13">
        <f t="shared" si="14"/>
        <v>32185.19</v>
      </c>
      <c r="BZ23" s="13">
        <f t="shared" si="14"/>
        <v>0</v>
      </c>
      <c r="CA23" s="13">
        <f t="shared" si="14"/>
        <v>32764</v>
      </c>
      <c r="CB23" s="13">
        <f t="shared" si="14"/>
        <v>23177</v>
      </c>
      <c r="CC23" s="13">
        <f t="shared" si="14"/>
        <v>23177</v>
      </c>
    </row>
    <row r="24" spans="1:81" x14ac:dyDescent="0.2">
      <c r="A24" s="9" t="s">
        <v>102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</row>
    <row r="25" spans="1:81" x14ac:dyDescent="0.2">
      <c r="A25" s="10" t="s">
        <v>103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49.16</v>
      </c>
      <c r="AM25" s="19">
        <v>49.16</v>
      </c>
      <c r="AN25" s="19">
        <v>49.16</v>
      </c>
      <c r="AO25" s="19">
        <v>49.16</v>
      </c>
      <c r="AP25" s="19">
        <v>49.16</v>
      </c>
      <c r="AQ25" s="19">
        <v>49.16</v>
      </c>
      <c r="AR25" s="19">
        <v>49.16</v>
      </c>
      <c r="AS25" s="19">
        <v>49.16</v>
      </c>
      <c r="AT25" s="19">
        <v>49.16</v>
      </c>
      <c r="AU25" s="19">
        <v>49.16</v>
      </c>
      <c r="AV25" s="19">
        <v>49.16</v>
      </c>
      <c r="AW25" s="19">
        <v>49.16</v>
      </c>
      <c r="AX25" s="19">
        <v>359.24</v>
      </c>
      <c r="AY25" s="19">
        <v>359.24</v>
      </c>
      <c r="AZ25" s="19">
        <v>359.24</v>
      </c>
      <c r="BA25" s="19">
        <v>359.24</v>
      </c>
      <c r="BB25" s="19">
        <v>359.24</v>
      </c>
      <c r="BC25" s="19">
        <v>359.24</v>
      </c>
      <c r="BD25" s="19">
        <v>359.24</v>
      </c>
      <c r="BE25" s="19">
        <v>359.24</v>
      </c>
      <c r="BF25" s="19">
        <v>359.24</v>
      </c>
      <c r="BG25" s="19">
        <v>359.24</v>
      </c>
      <c r="BH25" s="19">
        <v>359.24</v>
      </c>
      <c r="BI25" s="19">
        <v>359.24</v>
      </c>
      <c r="BJ25" s="19">
        <v>551.94000000000005</v>
      </c>
      <c r="BK25" s="19">
        <v>551.94000000000005</v>
      </c>
      <c r="BL25" s="19">
        <v>551.94000000000005</v>
      </c>
      <c r="BM25" s="19">
        <v>551.94000000000005</v>
      </c>
      <c r="BN25" s="19">
        <v>551.94000000000005</v>
      </c>
      <c r="BO25" s="19">
        <v>551.94000000000005</v>
      </c>
      <c r="BP25" s="19">
        <v>551.94000000000005</v>
      </c>
      <c r="BQ25" s="19">
        <v>551.94000000000005</v>
      </c>
      <c r="BR25" s="19">
        <v>551.94000000000005</v>
      </c>
      <c r="BS25" s="19">
        <v>551.94000000000005</v>
      </c>
      <c r="BT25" s="19">
        <v>551.94000000000005</v>
      </c>
      <c r="BU25" s="19">
        <v>551.94000000000005</v>
      </c>
      <c r="BV25" s="19">
        <v>293.66000000000008</v>
      </c>
      <c r="BW25" s="19">
        <v>293.66000000000008</v>
      </c>
      <c r="BX25" s="19">
        <v>293.66000000000008</v>
      </c>
      <c r="BY25" s="19">
        <v>293.66000000000008</v>
      </c>
      <c r="BZ25" s="19">
        <v>293.66000000000008</v>
      </c>
      <c r="CA25" s="19">
        <v>293.66000000000008</v>
      </c>
      <c r="CB25" s="19">
        <v>293.66000000000008</v>
      </c>
      <c r="CC25" s="19">
        <v>293.66000000000008</v>
      </c>
    </row>
    <row r="26" spans="1:81" x14ac:dyDescent="0.2">
      <c r="A26" s="10" t="s">
        <v>104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7158.91</v>
      </c>
      <c r="BB26" s="19">
        <v>7158.91</v>
      </c>
      <c r="BC26" s="19">
        <v>7158.91</v>
      </c>
      <c r="BD26" s="19">
        <v>7158.91</v>
      </c>
      <c r="BE26" s="19">
        <v>7158.91</v>
      </c>
      <c r="BF26" s="19">
        <v>7158.91</v>
      </c>
      <c r="BG26" s="19">
        <v>7158.91</v>
      </c>
      <c r="BH26" s="19">
        <v>7158.91</v>
      </c>
      <c r="BI26" s="19">
        <v>7158.91</v>
      </c>
      <c r="BJ26" s="19">
        <v>7158.91</v>
      </c>
      <c r="BK26" s="19">
        <v>7158.91</v>
      </c>
      <c r="BL26" s="19">
        <v>7158.91</v>
      </c>
      <c r="BM26" s="19">
        <v>7158.91</v>
      </c>
      <c r="BN26" s="19">
        <v>7158.91</v>
      </c>
      <c r="BO26" s="19">
        <v>7158.91</v>
      </c>
      <c r="BP26" s="19">
        <v>7158.91</v>
      </c>
      <c r="BQ26" s="19">
        <v>7158.91</v>
      </c>
      <c r="BR26" s="19">
        <v>7158.91</v>
      </c>
      <c r="BS26" s="19">
        <v>7158.91</v>
      </c>
      <c r="BT26" s="19">
        <v>7158.91</v>
      </c>
      <c r="BU26" s="19">
        <v>7158.91</v>
      </c>
      <c r="BV26" s="19">
        <v>7158.91</v>
      </c>
      <c r="BW26" s="19">
        <v>14317.82</v>
      </c>
      <c r="BX26" s="19">
        <v>14317.82</v>
      </c>
      <c r="BY26" s="19">
        <v>14317.82</v>
      </c>
      <c r="BZ26" s="19">
        <v>14317.82</v>
      </c>
      <c r="CA26" s="19">
        <v>14317.82</v>
      </c>
      <c r="CB26" s="19">
        <v>14317.82</v>
      </c>
      <c r="CC26" s="19">
        <v>14317.82</v>
      </c>
    </row>
    <row r="27" spans="1:81" x14ac:dyDescent="0.2">
      <c r="A27" s="10" t="s">
        <v>105</v>
      </c>
      <c r="B27" s="19">
        <v>1800.85</v>
      </c>
      <c r="C27" s="19">
        <v>1800.85</v>
      </c>
      <c r="D27" s="19">
        <v>1800.85</v>
      </c>
      <c r="E27" s="19">
        <v>1803.84</v>
      </c>
      <c r="F27" s="19">
        <v>1803.84</v>
      </c>
      <c r="G27" s="19">
        <v>1803.84</v>
      </c>
      <c r="H27" s="19">
        <v>1808.37</v>
      </c>
      <c r="I27" s="19">
        <v>1808.37</v>
      </c>
      <c r="J27" s="19">
        <v>1808.37</v>
      </c>
      <c r="K27" s="19">
        <v>1685.1399999999999</v>
      </c>
      <c r="L27" s="19">
        <v>1685.1399999999999</v>
      </c>
      <c r="M27" s="19">
        <v>1685.1399999999999</v>
      </c>
      <c r="N27" s="19">
        <v>2033.9599999999998</v>
      </c>
      <c r="O27" s="19">
        <v>2033.9599999999998</v>
      </c>
      <c r="P27" s="19">
        <v>2033.9599999999998</v>
      </c>
      <c r="Q27" s="19">
        <v>2036.7199999999998</v>
      </c>
      <c r="R27" s="19">
        <v>2036.7199999999998</v>
      </c>
      <c r="S27" s="19">
        <v>2036.7199999999998</v>
      </c>
      <c r="T27" s="19">
        <v>2039.8899999999999</v>
      </c>
      <c r="U27" s="19">
        <v>1677.4699999999998</v>
      </c>
      <c r="V27" s="19">
        <v>1677.4699999999998</v>
      </c>
      <c r="W27" s="19">
        <v>10.439999999999827</v>
      </c>
      <c r="X27" s="19">
        <v>10.439999999999827</v>
      </c>
      <c r="Y27" s="19">
        <v>10.439999999999827</v>
      </c>
      <c r="Z27" s="19">
        <v>2414.0500000000002</v>
      </c>
      <c r="AA27" s="19">
        <v>2414.0500000000002</v>
      </c>
      <c r="AB27" s="19">
        <v>2414.0500000000002</v>
      </c>
      <c r="AC27" s="19">
        <v>2415.9</v>
      </c>
      <c r="AD27" s="19">
        <v>2415.9</v>
      </c>
      <c r="AE27" s="19">
        <v>2415.9</v>
      </c>
      <c r="AF27" s="19">
        <v>2417.48</v>
      </c>
      <c r="AG27" s="19">
        <v>2417.48</v>
      </c>
      <c r="AH27" s="19">
        <v>2403.48</v>
      </c>
      <c r="AI27" s="19">
        <v>5.3099999999999454</v>
      </c>
      <c r="AJ27" s="19">
        <v>5.3099999999999454</v>
      </c>
      <c r="AK27" s="19">
        <v>5.3099999999999454</v>
      </c>
      <c r="AL27" s="19">
        <v>6.8399999999999457</v>
      </c>
      <c r="AM27" s="19">
        <v>6.8399999999999457</v>
      </c>
      <c r="AN27" s="19">
        <v>6.8399999999999457</v>
      </c>
      <c r="AO27" s="19">
        <v>8.0199999999999463</v>
      </c>
      <c r="AP27" s="19">
        <v>8.0199999999999463</v>
      </c>
      <c r="AQ27" s="19">
        <v>8.0199999999999463</v>
      </c>
      <c r="AR27" s="19">
        <v>9.1399999999999473</v>
      </c>
      <c r="AS27" s="19">
        <v>9.1399999999999473</v>
      </c>
      <c r="AT27" s="19">
        <v>9.1399999999999473</v>
      </c>
      <c r="AU27" s="19">
        <v>10.379999999999947</v>
      </c>
      <c r="AV27" s="19">
        <v>10.379999999999947</v>
      </c>
      <c r="AW27" s="19">
        <v>10.379999999999947</v>
      </c>
      <c r="AX27" s="19">
        <v>4.9499999999999478</v>
      </c>
      <c r="AY27" s="19">
        <v>4.9499999999999478</v>
      </c>
      <c r="AZ27" s="19">
        <v>4.9499999999999478</v>
      </c>
      <c r="BA27" s="19">
        <v>4.9499999999999478</v>
      </c>
      <c r="BB27" s="19">
        <v>4.9499999999999478</v>
      </c>
      <c r="BC27" s="19">
        <v>4.9499999999999478</v>
      </c>
      <c r="BD27" s="19">
        <v>4.9499999999999478</v>
      </c>
      <c r="BE27" s="19">
        <v>4.9499999999999478</v>
      </c>
      <c r="BF27" s="19">
        <v>4.9499999999999478</v>
      </c>
      <c r="BG27" s="19">
        <v>4.9499999999999478</v>
      </c>
      <c r="BH27" s="19">
        <v>4.9499999999999478</v>
      </c>
      <c r="BI27" s="19">
        <v>4.9499999999999478</v>
      </c>
      <c r="BJ27" s="19">
        <v>-5.2402526762307389E-14</v>
      </c>
      <c r="BK27" s="19">
        <v>-5.2402526762307389E-14</v>
      </c>
      <c r="BL27" s="19">
        <v>-5.2402526762307389E-14</v>
      </c>
      <c r="BM27" s="19">
        <v>-5.2402526762307389E-14</v>
      </c>
      <c r="BN27" s="19">
        <v>-5.2402526762307389E-14</v>
      </c>
      <c r="BO27" s="19">
        <v>-5.2402526762307389E-14</v>
      </c>
      <c r="BP27" s="19">
        <v>-5.2402526762307389E-14</v>
      </c>
      <c r="BQ27" s="19">
        <v>-5.2402526762307389E-14</v>
      </c>
      <c r="BR27" s="19">
        <v>-5.2402526762307389E-14</v>
      </c>
      <c r="BS27" s="19">
        <v>-5.2402526762307389E-14</v>
      </c>
      <c r="BT27" s="19">
        <v>-5.2402526762307389E-14</v>
      </c>
      <c r="BU27" s="19">
        <v>-5.2402526762307389E-14</v>
      </c>
      <c r="BV27" s="19">
        <v>-5.2402526762307389E-14</v>
      </c>
      <c r="BW27" s="19">
        <v>-2524.9899999999998</v>
      </c>
      <c r="BX27" s="19">
        <v>-5410.6</v>
      </c>
      <c r="BY27" s="19">
        <v>-5390.0700000000006</v>
      </c>
      <c r="BZ27" s="19">
        <v>23.059999999999491</v>
      </c>
      <c r="CA27" s="19">
        <v>23.059999999999491</v>
      </c>
      <c r="CB27" s="19">
        <v>40.459999999999489</v>
      </c>
      <c r="CC27" s="19">
        <v>40.459999999999489</v>
      </c>
    </row>
    <row r="28" spans="1:81" x14ac:dyDescent="0.2">
      <c r="A28" s="10" t="s">
        <v>106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47031</v>
      </c>
      <c r="AA28" s="19">
        <v>47031</v>
      </c>
      <c r="AB28" s="19">
        <v>47031</v>
      </c>
      <c r="AC28" s="19">
        <v>47031</v>
      </c>
      <c r="AD28" s="19">
        <v>47031</v>
      </c>
      <c r="AE28" s="19">
        <v>47031</v>
      </c>
      <c r="AF28" s="19">
        <v>47031</v>
      </c>
      <c r="AG28" s="19">
        <v>47031</v>
      </c>
      <c r="AH28" s="19">
        <v>0</v>
      </c>
      <c r="AI28" s="19">
        <v>0</v>
      </c>
      <c r="AJ28" s="19">
        <v>0</v>
      </c>
      <c r="AK28" s="19">
        <v>0</v>
      </c>
      <c r="AL28" s="19">
        <v>8250</v>
      </c>
      <c r="AM28" s="19">
        <v>8250</v>
      </c>
      <c r="AN28" s="19">
        <v>8250</v>
      </c>
      <c r="AO28" s="19">
        <v>8250</v>
      </c>
      <c r="AP28" s="19">
        <v>8250</v>
      </c>
      <c r="AQ28" s="19">
        <v>8250</v>
      </c>
      <c r="AR28" s="19">
        <v>8250</v>
      </c>
      <c r="AS28" s="19">
        <v>-1257</v>
      </c>
      <c r="AT28" s="19">
        <v>-1257</v>
      </c>
      <c r="AU28" s="19">
        <v>-1257</v>
      </c>
      <c r="AV28" s="19">
        <v>-1257</v>
      </c>
      <c r="AW28" s="19">
        <v>-1257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330</v>
      </c>
      <c r="BK28" s="19">
        <v>330</v>
      </c>
      <c r="BL28" s="19">
        <v>330</v>
      </c>
      <c r="BM28" s="19">
        <v>330</v>
      </c>
      <c r="BN28" s="19">
        <v>330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</row>
    <row r="29" spans="1:81" x14ac:dyDescent="0.2">
      <c r="A29" s="12" t="s">
        <v>107</v>
      </c>
      <c r="B29" s="13">
        <f t="shared" ref="B29:AG29" si="15">SUM(B25:B28)</f>
        <v>1800.85</v>
      </c>
      <c r="C29" s="13">
        <f t="shared" si="15"/>
        <v>1800.85</v>
      </c>
      <c r="D29" s="13">
        <f t="shared" si="15"/>
        <v>1800.85</v>
      </c>
      <c r="E29" s="13">
        <f t="shared" si="15"/>
        <v>1803.84</v>
      </c>
      <c r="F29" s="13">
        <f t="shared" si="15"/>
        <v>1803.84</v>
      </c>
      <c r="G29" s="13">
        <f t="shared" si="15"/>
        <v>1803.84</v>
      </c>
      <c r="H29" s="13">
        <f t="shared" si="15"/>
        <v>1808.37</v>
      </c>
      <c r="I29" s="13">
        <f t="shared" si="15"/>
        <v>1808.37</v>
      </c>
      <c r="J29" s="13">
        <f t="shared" si="15"/>
        <v>1808.37</v>
      </c>
      <c r="K29" s="13">
        <f t="shared" si="15"/>
        <v>1685.1399999999999</v>
      </c>
      <c r="L29" s="13">
        <f t="shared" si="15"/>
        <v>1685.1399999999999</v>
      </c>
      <c r="M29" s="13">
        <f t="shared" si="15"/>
        <v>1685.1399999999999</v>
      </c>
      <c r="N29" s="13">
        <f t="shared" si="15"/>
        <v>2033.9599999999998</v>
      </c>
      <c r="O29" s="13">
        <f t="shared" si="15"/>
        <v>2033.9599999999998</v>
      </c>
      <c r="P29" s="13">
        <f t="shared" si="15"/>
        <v>2033.9599999999998</v>
      </c>
      <c r="Q29" s="13">
        <f t="shared" si="15"/>
        <v>2036.7199999999998</v>
      </c>
      <c r="R29" s="13">
        <f t="shared" si="15"/>
        <v>2036.7199999999998</v>
      </c>
      <c r="S29" s="13">
        <f t="shared" si="15"/>
        <v>2036.7199999999998</v>
      </c>
      <c r="T29" s="13">
        <f t="shared" si="15"/>
        <v>2039.8899999999999</v>
      </c>
      <c r="U29" s="13">
        <f t="shared" si="15"/>
        <v>1677.4699999999998</v>
      </c>
      <c r="V29" s="13">
        <f t="shared" si="15"/>
        <v>1677.4699999999998</v>
      </c>
      <c r="W29" s="13">
        <f t="shared" si="15"/>
        <v>10.439999999999827</v>
      </c>
      <c r="X29" s="13">
        <f t="shared" si="15"/>
        <v>10.439999999999827</v>
      </c>
      <c r="Y29" s="13">
        <f t="shared" si="15"/>
        <v>10.439999999999827</v>
      </c>
      <c r="Z29" s="13">
        <f t="shared" si="15"/>
        <v>49445.05</v>
      </c>
      <c r="AA29" s="13">
        <f t="shared" si="15"/>
        <v>49445.05</v>
      </c>
      <c r="AB29" s="13">
        <f t="shared" si="15"/>
        <v>49445.05</v>
      </c>
      <c r="AC29" s="13">
        <f t="shared" si="15"/>
        <v>49446.9</v>
      </c>
      <c r="AD29" s="13">
        <f t="shared" si="15"/>
        <v>49446.9</v>
      </c>
      <c r="AE29" s="13">
        <f t="shared" si="15"/>
        <v>49446.9</v>
      </c>
      <c r="AF29" s="13">
        <f t="shared" si="15"/>
        <v>49448.480000000003</v>
      </c>
      <c r="AG29" s="13">
        <f t="shared" si="15"/>
        <v>49448.480000000003</v>
      </c>
      <c r="AH29" s="13">
        <f t="shared" ref="AH29:BM29" si="16">SUM(AH25:AH28)</f>
        <v>2403.48</v>
      </c>
      <c r="AI29" s="13">
        <f t="shared" si="16"/>
        <v>5.3099999999999454</v>
      </c>
      <c r="AJ29" s="13">
        <f t="shared" si="16"/>
        <v>5.3099999999999454</v>
      </c>
      <c r="AK29" s="13">
        <f t="shared" si="16"/>
        <v>5.3099999999999454</v>
      </c>
      <c r="AL29" s="13">
        <f t="shared" si="16"/>
        <v>8306</v>
      </c>
      <c r="AM29" s="13">
        <f t="shared" si="16"/>
        <v>8306</v>
      </c>
      <c r="AN29" s="13">
        <f t="shared" si="16"/>
        <v>8306</v>
      </c>
      <c r="AO29" s="13">
        <f t="shared" si="16"/>
        <v>8307.18</v>
      </c>
      <c r="AP29" s="13">
        <f t="shared" si="16"/>
        <v>8307.18</v>
      </c>
      <c r="AQ29" s="13">
        <f t="shared" si="16"/>
        <v>8307.18</v>
      </c>
      <c r="AR29" s="13">
        <f t="shared" si="16"/>
        <v>8308.2999999999993</v>
      </c>
      <c r="AS29" s="13">
        <f t="shared" si="16"/>
        <v>-1198.7</v>
      </c>
      <c r="AT29" s="13">
        <f t="shared" si="16"/>
        <v>-1198.7</v>
      </c>
      <c r="AU29" s="13">
        <f t="shared" si="16"/>
        <v>-1197.46</v>
      </c>
      <c r="AV29" s="13">
        <f t="shared" si="16"/>
        <v>-1197.46</v>
      </c>
      <c r="AW29" s="13">
        <f t="shared" si="16"/>
        <v>-1197.46</v>
      </c>
      <c r="AX29" s="13">
        <f t="shared" si="16"/>
        <v>364.18999999999994</v>
      </c>
      <c r="AY29" s="13">
        <f t="shared" si="16"/>
        <v>364.18999999999994</v>
      </c>
      <c r="AZ29" s="13">
        <f t="shared" si="16"/>
        <v>364.18999999999994</v>
      </c>
      <c r="BA29" s="13">
        <f t="shared" si="16"/>
        <v>7523.0999999999995</v>
      </c>
      <c r="BB29" s="13">
        <f t="shared" si="16"/>
        <v>7523.0999999999995</v>
      </c>
      <c r="BC29" s="13">
        <f t="shared" si="16"/>
        <v>7523.0999999999995</v>
      </c>
      <c r="BD29" s="13">
        <f t="shared" si="16"/>
        <v>7523.0999999999995</v>
      </c>
      <c r="BE29" s="13">
        <f t="shared" si="16"/>
        <v>7523.0999999999995</v>
      </c>
      <c r="BF29" s="13">
        <f t="shared" si="16"/>
        <v>7523.0999999999995</v>
      </c>
      <c r="BG29" s="13">
        <f t="shared" si="16"/>
        <v>7523.0999999999995</v>
      </c>
      <c r="BH29" s="13">
        <f t="shared" si="16"/>
        <v>7523.0999999999995</v>
      </c>
      <c r="BI29" s="13">
        <f t="shared" si="16"/>
        <v>7523.0999999999995</v>
      </c>
      <c r="BJ29" s="13">
        <f t="shared" si="16"/>
        <v>8040.85</v>
      </c>
      <c r="BK29" s="13">
        <f t="shared" si="16"/>
        <v>8040.85</v>
      </c>
      <c r="BL29" s="13">
        <f t="shared" si="16"/>
        <v>8040.85</v>
      </c>
      <c r="BM29" s="13">
        <f t="shared" si="16"/>
        <v>8040.85</v>
      </c>
      <c r="BN29" s="13">
        <f t="shared" ref="BN29:CS29" si="17">SUM(BN25:BN28)</f>
        <v>8040.85</v>
      </c>
      <c r="BO29" s="13">
        <f t="shared" si="17"/>
        <v>7710.85</v>
      </c>
      <c r="BP29" s="13">
        <f t="shared" si="17"/>
        <v>7710.85</v>
      </c>
      <c r="BQ29" s="13">
        <f t="shared" si="17"/>
        <v>7710.85</v>
      </c>
      <c r="BR29" s="13">
        <f t="shared" si="17"/>
        <v>7710.85</v>
      </c>
      <c r="BS29" s="13">
        <f t="shared" si="17"/>
        <v>7710.85</v>
      </c>
      <c r="BT29" s="13">
        <f t="shared" si="17"/>
        <v>7710.85</v>
      </c>
      <c r="BU29" s="13">
        <f t="shared" si="17"/>
        <v>7710.85</v>
      </c>
      <c r="BV29" s="13">
        <f t="shared" si="17"/>
        <v>7452.57</v>
      </c>
      <c r="BW29" s="13">
        <f t="shared" si="17"/>
        <v>12086.49</v>
      </c>
      <c r="BX29" s="13">
        <f t="shared" si="17"/>
        <v>9200.8799999999992</v>
      </c>
      <c r="BY29" s="13">
        <f t="shared" si="17"/>
        <v>9221.41</v>
      </c>
      <c r="BZ29" s="13">
        <f t="shared" si="17"/>
        <v>14634.539999999999</v>
      </c>
      <c r="CA29" s="13">
        <f t="shared" si="17"/>
        <v>14634.539999999999</v>
      </c>
      <c r="CB29" s="13">
        <f t="shared" si="17"/>
        <v>14651.939999999999</v>
      </c>
      <c r="CC29" s="13">
        <f t="shared" si="17"/>
        <v>14651.939999999999</v>
      </c>
    </row>
    <row r="30" spans="1:81" x14ac:dyDescent="0.2">
      <c r="A30" s="14" t="s">
        <v>108</v>
      </c>
      <c r="B30" s="15">
        <f t="shared" ref="B30:AG30" si="18">B20+B23+0+0+0+B29</f>
        <v>299709.37</v>
      </c>
      <c r="C30" s="15">
        <f t="shared" si="18"/>
        <v>99705.300000000017</v>
      </c>
      <c r="D30" s="15">
        <f t="shared" si="18"/>
        <v>229046.84</v>
      </c>
      <c r="E30" s="15">
        <f t="shared" si="18"/>
        <v>445560.35000000003</v>
      </c>
      <c r="F30" s="15">
        <f t="shared" si="18"/>
        <v>478002.00000000006</v>
      </c>
      <c r="G30" s="15">
        <f t="shared" si="18"/>
        <v>369150.55000000005</v>
      </c>
      <c r="H30" s="15">
        <f t="shared" si="18"/>
        <v>352654.29000000004</v>
      </c>
      <c r="I30" s="15">
        <f t="shared" si="18"/>
        <v>402333.41000000003</v>
      </c>
      <c r="J30" s="15">
        <f t="shared" si="18"/>
        <v>457771.12000000005</v>
      </c>
      <c r="K30" s="15">
        <f t="shared" si="18"/>
        <v>324064.63000000006</v>
      </c>
      <c r="L30" s="15">
        <f t="shared" si="18"/>
        <v>375434.58000000007</v>
      </c>
      <c r="M30" s="15">
        <f t="shared" si="18"/>
        <v>256943.17000000007</v>
      </c>
      <c r="N30" s="15">
        <f t="shared" si="18"/>
        <v>361922.99000000005</v>
      </c>
      <c r="O30" s="15">
        <f t="shared" si="18"/>
        <v>213404.72000000003</v>
      </c>
      <c r="P30" s="15">
        <f t="shared" si="18"/>
        <v>278114.68000000005</v>
      </c>
      <c r="Q30" s="15">
        <f t="shared" si="18"/>
        <v>331742.03999999998</v>
      </c>
      <c r="R30" s="15">
        <f t="shared" si="18"/>
        <v>367013.68</v>
      </c>
      <c r="S30" s="15">
        <f t="shared" si="18"/>
        <v>339002.72</v>
      </c>
      <c r="T30" s="15">
        <f t="shared" si="18"/>
        <v>201945.80000000002</v>
      </c>
      <c r="U30" s="15">
        <f t="shared" si="18"/>
        <v>163099.38</v>
      </c>
      <c r="V30" s="15">
        <f t="shared" si="18"/>
        <v>223046.85</v>
      </c>
      <c r="W30" s="15">
        <f t="shared" si="18"/>
        <v>189354.82</v>
      </c>
      <c r="X30" s="15">
        <f t="shared" si="18"/>
        <v>64319.94</v>
      </c>
      <c r="Y30" s="15">
        <f t="shared" si="18"/>
        <v>78644.800000000003</v>
      </c>
      <c r="Z30" s="15">
        <f t="shared" si="18"/>
        <v>82831.91</v>
      </c>
      <c r="AA30" s="15">
        <f t="shared" si="18"/>
        <v>129591.41</v>
      </c>
      <c r="AB30" s="15">
        <f t="shared" si="18"/>
        <v>133068.54999999999</v>
      </c>
      <c r="AC30" s="15">
        <f t="shared" si="18"/>
        <v>125433.9</v>
      </c>
      <c r="AD30" s="15">
        <f t="shared" si="18"/>
        <v>90317.9</v>
      </c>
      <c r="AE30" s="15">
        <f t="shared" si="18"/>
        <v>137457.57</v>
      </c>
      <c r="AF30" s="15">
        <f t="shared" si="18"/>
        <v>111449.48000000001</v>
      </c>
      <c r="AG30" s="15">
        <f t="shared" si="18"/>
        <v>78192.98000000001</v>
      </c>
      <c r="AH30" s="15">
        <f t="shared" ref="AH30:BM30" si="19">AH20+AH23+0+0+0+AH29</f>
        <v>54771.48</v>
      </c>
      <c r="AI30" s="15">
        <f t="shared" si="19"/>
        <v>67149.31</v>
      </c>
      <c r="AJ30" s="15">
        <f t="shared" si="19"/>
        <v>68097.81</v>
      </c>
      <c r="AK30" s="15">
        <f t="shared" si="19"/>
        <v>46128.81</v>
      </c>
      <c r="AL30" s="15">
        <f t="shared" si="19"/>
        <v>26312</v>
      </c>
      <c r="AM30" s="15">
        <f t="shared" si="19"/>
        <v>48518</v>
      </c>
      <c r="AN30" s="15">
        <f t="shared" si="19"/>
        <v>54782</v>
      </c>
      <c r="AO30" s="15">
        <f t="shared" si="19"/>
        <v>87736.5</v>
      </c>
      <c r="AP30" s="15">
        <f t="shared" si="19"/>
        <v>57315.180000000008</v>
      </c>
      <c r="AQ30" s="15">
        <f t="shared" si="19"/>
        <v>49389.180000000008</v>
      </c>
      <c r="AR30" s="15">
        <f t="shared" si="19"/>
        <v>179713.78</v>
      </c>
      <c r="AS30" s="15">
        <f t="shared" si="19"/>
        <v>88442.62000000001</v>
      </c>
      <c r="AT30" s="15">
        <f t="shared" si="19"/>
        <v>111538.12000000001</v>
      </c>
      <c r="AU30" s="15">
        <f t="shared" si="19"/>
        <v>43885.04</v>
      </c>
      <c r="AV30" s="15">
        <f t="shared" si="19"/>
        <v>58313.54</v>
      </c>
      <c r="AW30" s="15">
        <f t="shared" si="19"/>
        <v>105006.86</v>
      </c>
      <c r="AX30" s="15">
        <f t="shared" si="19"/>
        <v>98473.19</v>
      </c>
      <c r="AY30" s="15">
        <f t="shared" si="19"/>
        <v>56972.69</v>
      </c>
      <c r="AZ30" s="15">
        <f t="shared" si="19"/>
        <v>155994.51</v>
      </c>
      <c r="BA30" s="15">
        <f t="shared" si="19"/>
        <v>85552.6</v>
      </c>
      <c r="BB30" s="15">
        <f t="shared" si="19"/>
        <v>130259.6</v>
      </c>
      <c r="BC30" s="15">
        <f t="shared" si="19"/>
        <v>161181.42000000001</v>
      </c>
      <c r="BD30" s="15">
        <f t="shared" si="19"/>
        <v>273587.83999999997</v>
      </c>
      <c r="BE30" s="15">
        <f t="shared" si="19"/>
        <v>94434.1</v>
      </c>
      <c r="BF30" s="15">
        <f t="shared" si="19"/>
        <v>240531.42</v>
      </c>
      <c r="BG30" s="15">
        <f t="shared" si="19"/>
        <v>153597.6</v>
      </c>
      <c r="BH30" s="15">
        <f t="shared" si="19"/>
        <v>367365.33999999997</v>
      </c>
      <c r="BI30" s="15">
        <f t="shared" si="19"/>
        <v>252468.67</v>
      </c>
      <c r="BJ30" s="15">
        <f t="shared" si="19"/>
        <v>279981.84999999998</v>
      </c>
      <c r="BK30" s="15">
        <f t="shared" si="19"/>
        <v>214207.85</v>
      </c>
      <c r="BL30" s="15">
        <f t="shared" si="19"/>
        <v>373011.92</v>
      </c>
      <c r="BM30" s="15">
        <f t="shared" si="19"/>
        <v>368241.35</v>
      </c>
      <c r="BN30" s="15">
        <f t="shared" ref="BN30:CS30" si="20">BN20+BN23+0+0+0+BN29</f>
        <v>400900.36</v>
      </c>
      <c r="BO30" s="15">
        <f t="shared" si="20"/>
        <v>362767.73</v>
      </c>
      <c r="BP30" s="15">
        <f t="shared" si="20"/>
        <v>392173.1</v>
      </c>
      <c r="BQ30" s="15">
        <f t="shared" si="20"/>
        <v>357874.1</v>
      </c>
      <c r="BR30" s="15">
        <f t="shared" si="20"/>
        <v>460224.42</v>
      </c>
      <c r="BS30" s="15">
        <f t="shared" si="20"/>
        <v>472442.47</v>
      </c>
      <c r="BT30" s="15">
        <f t="shared" si="20"/>
        <v>282959.89999999997</v>
      </c>
      <c r="BU30" s="15">
        <f t="shared" si="20"/>
        <v>326627.46999999997</v>
      </c>
      <c r="BV30" s="15">
        <f t="shared" si="20"/>
        <v>124903.07999999999</v>
      </c>
      <c r="BW30" s="15">
        <f t="shared" si="20"/>
        <v>277873.00999999995</v>
      </c>
      <c r="BX30" s="15">
        <f t="shared" si="20"/>
        <v>282211.59999999998</v>
      </c>
      <c r="BY30" s="15">
        <f t="shared" si="20"/>
        <v>415875.20999999996</v>
      </c>
      <c r="BZ30" s="15">
        <f t="shared" si="20"/>
        <v>486175.55</v>
      </c>
      <c r="CA30" s="15">
        <f t="shared" si="20"/>
        <v>361971.07</v>
      </c>
      <c r="CB30" s="15">
        <f t="shared" si="20"/>
        <v>358293.65</v>
      </c>
      <c r="CC30" s="15">
        <f t="shared" si="20"/>
        <v>358293.65</v>
      </c>
    </row>
    <row r="31" spans="1:81" x14ac:dyDescent="0.2">
      <c r="A31" s="7" t="s">
        <v>109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</row>
    <row r="32" spans="1:81" x14ac:dyDescent="0.2">
      <c r="A32" s="9" t="s">
        <v>110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</row>
    <row r="33" spans="1:81" x14ac:dyDescent="0.2">
      <c r="A33" s="10" t="s">
        <v>111</v>
      </c>
      <c r="B33" s="19">
        <v>242487.9</v>
      </c>
      <c r="C33" s="19">
        <v>228235.87</v>
      </c>
      <c r="D33" s="19">
        <v>133511.13</v>
      </c>
      <c r="E33" s="19">
        <v>192359.9</v>
      </c>
      <c r="F33" s="19">
        <v>259491.78</v>
      </c>
      <c r="G33" s="19">
        <v>475779.3</v>
      </c>
      <c r="H33" s="19">
        <v>224143</v>
      </c>
      <c r="I33" s="19">
        <v>305621.76000000001</v>
      </c>
      <c r="J33" s="19">
        <v>494094.04000000004</v>
      </c>
      <c r="K33" s="19">
        <v>530073.5</v>
      </c>
      <c r="L33" s="19">
        <v>457663.97</v>
      </c>
      <c r="M33" s="19">
        <v>382685.30999999994</v>
      </c>
      <c r="N33" s="19">
        <v>215345.59999999995</v>
      </c>
      <c r="O33" s="19">
        <v>537220.04999999993</v>
      </c>
      <c r="P33" s="19">
        <v>374014.54999999993</v>
      </c>
      <c r="Q33" s="19">
        <v>431356.79999999993</v>
      </c>
      <c r="R33" s="19">
        <v>376665.22999999992</v>
      </c>
      <c r="S33" s="19">
        <v>478904.53999999992</v>
      </c>
      <c r="T33" s="19">
        <v>694471.89999999991</v>
      </c>
      <c r="U33" s="19">
        <v>703131.55999999994</v>
      </c>
      <c r="V33" s="19">
        <v>760192.96</v>
      </c>
      <c r="W33" s="19">
        <v>814171.2</v>
      </c>
      <c r="X33" s="19">
        <v>932328.08</v>
      </c>
      <c r="Y33" s="19">
        <v>273776.05999999994</v>
      </c>
      <c r="Z33" s="19">
        <v>316457.49999999994</v>
      </c>
      <c r="AA33" s="19">
        <v>297834.19999999995</v>
      </c>
      <c r="AB33" s="19">
        <v>300064.61999999994</v>
      </c>
      <c r="AC33" s="19">
        <v>215645.09999999992</v>
      </c>
      <c r="AD33" s="19">
        <v>256303.35999999993</v>
      </c>
      <c r="AE33" s="19">
        <v>243664.45999999993</v>
      </c>
      <c r="AF33" s="19">
        <v>255502.39999999994</v>
      </c>
      <c r="AG33" s="19">
        <v>278426.35999999993</v>
      </c>
      <c r="AH33" s="19">
        <v>256418.87999999992</v>
      </c>
      <c r="AI33" s="19">
        <v>312221.39999999991</v>
      </c>
      <c r="AJ33" s="19">
        <v>204945.8299999999</v>
      </c>
      <c r="AK33" s="19">
        <v>211956.03999999989</v>
      </c>
      <c r="AL33" s="19">
        <v>205950.7999999999</v>
      </c>
      <c r="AM33" s="19">
        <v>179829.50999999989</v>
      </c>
      <c r="AN33" s="19">
        <v>173611.5799999999</v>
      </c>
      <c r="AO33" s="19">
        <v>157791.39999999991</v>
      </c>
      <c r="AP33" s="19">
        <v>181805.5799999999</v>
      </c>
      <c r="AQ33" s="19">
        <v>183197.02999999991</v>
      </c>
      <c r="AR33" s="19">
        <v>160992.89999999991</v>
      </c>
      <c r="AS33" s="19">
        <v>178413.67999999991</v>
      </c>
      <c r="AT33" s="19">
        <v>201684.27999999991</v>
      </c>
      <c r="AU33" s="19">
        <v>255060.2999999999</v>
      </c>
      <c r="AV33" s="19">
        <v>219112.97999999989</v>
      </c>
      <c r="AW33" s="19">
        <v>164011.27999999991</v>
      </c>
      <c r="AX33" s="19">
        <v>406071.89999999991</v>
      </c>
      <c r="AY33" s="19">
        <v>409036.00999999989</v>
      </c>
      <c r="AZ33" s="19">
        <v>314757.92999999988</v>
      </c>
      <c r="BA33" s="19">
        <v>203906.39999999988</v>
      </c>
      <c r="BB33" s="19">
        <v>78187.329999999871</v>
      </c>
      <c r="BC33" s="19">
        <v>48201.85999999987</v>
      </c>
      <c r="BD33" s="19">
        <v>28470.39999999987</v>
      </c>
      <c r="BE33" s="19">
        <v>70463.079999999871</v>
      </c>
      <c r="BF33" s="19">
        <v>43105.459999999875</v>
      </c>
      <c r="BG33" s="19">
        <v>71496.199999999881</v>
      </c>
      <c r="BH33" s="19">
        <v>60178.209999999883</v>
      </c>
      <c r="BI33" s="19">
        <v>67214.509999999878</v>
      </c>
      <c r="BJ33" s="19">
        <v>17376.699999999881</v>
      </c>
      <c r="BK33" s="19">
        <v>70464.199999999881</v>
      </c>
      <c r="BL33" s="19">
        <v>59850.789999999877</v>
      </c>
      <c r="BM33" s="19">
        <v>69832.999999999884</v>
      </c>
      <c r="BN33" s="19">
        <v>55322.829999999885</v>
      </c>
      <c r="BO33" s="19">
        <v>28504.059999999885</v>
      </c>
      <c r="BP33" s="19">
        <v>67955.999999999884</v>
      </c>
      <c r="BQ33" s="19">
        <v>57729.539999999884</v>
      </c>
      <c r="BR33" s="19">
        <v>36564.399999999885</v>
      </c>
      <c r="BS33" s="19">
        <v>66812.199999999881</v>
      </c>
      <c r="BT33" s="19">
        <v>140667.31999999989</v>
      </c>
      <c r="BU33" s="19">
        <v>353839.24999999988</v>
      </c>
      <c r="BV33" s="19">
        <v>249546.09999999989</v>
      </c>
      <c r="BW33" s="19">
        <v>501502.16999999993</v>
      </c>
      <c r="BX33" s="19">
        <v>491891.85999999993</v>
      </c>
      <c r="BY33" s="19">
        <v>472607.99999999994</v>
      </c>
      <c r="BZ33" s="19">
        <v>444421.33999999997</v>
      </c>
      <c r="CA33" s="19">
        <v>420469.92</v>
      </c>
      <c r="CB33" s="19">
        <v>362588.69999999995</v>
      </c>
      <c r="CC33" s="19">
        <v>362588.69999999995</v>
      </c>
    </row>
    <row r="34" spans="1:81" x14ac:dyDescent="0.2">
      <c r="A34" s="10" t="s">
        <v>112</v>
      </c>
      <c r="B34" s="19">
        <v>500364.6</v>
      </c>
      <c r="C34" s="19">
        <v>500364.6</v>
      </c>
      <c r="D34" s="19">
        <v>800364.6</v>
      </c>
      <c r="E34" s="19">
        <v>800364.6</v>
      </c>
      <c r="F34" s="19">
        <v>800364.6</v>
      </c>
      <c r="G34" s="19">
        <v>800364.6</v>
      </c>
      <c r="H34" s="19">
        <v>1000364.6</v>
      </c>
      <c r="I34" s="19">
        <v>1000364.6</v>
      </c>
      <c r="J34" s="19">
        <v>1000364.6</v>
      </c>
      <c r="K34" s="19">
        <v>1000364.6</v>
      </c>
      <c r="L34" s="19">
        <v>1000364.6</v>
      </c>
      <c r="M34" s="19">
        <v>1000364.6</v>
      </c>
      <c r="N34" s="19">
        <v>1001390.7999999999</v>
      </c>
      <c r="O34" s="19">
        <v>-1.1641532182693481E-10</v>
      </c>
      <c r="P34" s="19">
        <v>-1.1641532182693481E-10</v>
      </c>
      <c r="Q34" s="19">
        <v>-1.1641532182693481E-10</v>
      </c>
      <c r="R34" s="19">
        <v>-1.1641532182693481E-10</v>
      </c>
      <c r="S34" s="19">
        <v>-1.1641532182693481E-10</v>
      </c>
      <c r="T34" s="19">
        <v>-1.1641532182693481E-10</v>
      </c>
      <c r="U34" s="19">
        <v>-1.1641532182693481E-10</v>
      </c>
      <c r="V34" s="19">
        <v>-1.1641532182693481E-10</v>
      </c>
      <c r="W34" s="19">
        <v>-1.1641532182693481E-10</v>
      </c>
      <c r="X34" s="19">
        <v>-1.1641532182693481E-10</v>
      </c>
      <c r="Y34" s="19">
        <v>-1.1641532182693481E-10</v>
      </c>
      <c r="Z34" s="19">
        <v>-1.1641532182693481E-10</v>
      </c>
      <c r="AA34" s="19">
        <v>-1.1641532182693481E-10</v>
      </c>
      <c r="AB34" s="19">
        <v>-1.1641532182693481E-10</v>
      </c>
      <c r="AC34" s="19">
        <v>-1.1641532182693481E-10</v>
      </c>
      <c r="AD34" s="19">
        <v>-1.1641532182693481E-10</v>
      </c>
      <c r="AE34" s="19">
        <v>-1.1641532182693481E-10</v>
      </c>
      <c r="AF34" s="19">
        <v>-1.1641532182693481E-10</v>
      </c>
      <c r="AG34" s="19">
        <v>-1.1641532182693481E-10</v>
      </c>
      <c r="AH34" s="19">
        <v>-1.1641532182693481E-10</v>
      </c>
      <c r="AI34" s="19">
        <v>-1.1641532182693481E-10</v>
      </c>
      <c r="AJ34" s="19">
        <v>-1.1641532182693481E-10</v>
      </c>
      <c r="AK34" s="19">
        <v>-1.1641532182693481E-10</v>
      </c>
      <c r="AL34" s="19">
        <v>-1.1641532182693481E-10</v>
      </c>
      <c r="AM34" s="19">
        <v>-1.1641532182693481E-10</v>
      </c>
      <c r="AN34" s="19">
        <v>-1.1641532182693481E-10</v>
      </c>
      <c r="AO34" s="19">
        <v>-1.1641532182693481E-10</v>
      </c>
      <c r="AP34" s="19">
        <v>-1.1641532182693481E-10</v>
      </c>
      <c r="AQ34" s="19">
        <v>-1.1641532182693481E-10</v>
      </c>
      <c r="AR34" s="19">
        <v>-1.1641532182693481E-10</v>
      </c>
      <c r="AS34" s="19">
        <v>-1.1641532182693481E-10</v>
      </c>
      <c r="AT34" s="19">
        <v>-1.1641532182693481E-10</v>
      </c>
      <c r="AU34" s="19">
        <v>-1.1641532182693481E-10</v>
      </c>
      <c r="AV34" s="19">
        <v>-1.1641532182693481E-10</v>
      </c>
      <c r="AW34" s="19">
        <v>-1.1641532182693481E-10</v>
      </c>
      <c r="AX34" s="19">
        <v>-1.1641532182693481E-10</v>
      </c>
      <c r="AY34" s="19">
        <v>-1.1641532182693481E-10</v>
      </c>
      <c r="AZ34" s="19">
        <v>-1.1641532182693481E-10</v>
      </c>
      <c r="BA34" s="19">
        <v>-1.1641532182693481E-10</v>
      </c>
      <c r="BB34" s="19">
        <v>-1.1641532182693481E-10</v>
      </c>
      <c r="BC34" s="19">
        <v>-1.1641532182693481E-10</v>
      </c>
      <c r="BD34" s="19">
        <v>68999.999999999884</v>
      </c>
      <c r="BE34" s="19">
        <v>98999.999999999884</v>
      </c>
      <c r="BF34" s="19">
        <v>98999.999999999884</v>
      </c>
      <c r="BG34" s="19">
        <v>98999.999999999884</v>
      </c>
      <c r="BH34" s="19">
        <v>98999.999999999884</v>
      </c>
      <c r="BI34" s="19">
        <v>98999.999999999884</v>
      </c>
      <c r="BJ34" s="19">
        <v>100003.79999999989</v>
      </c>
      <c r="BK34" s="19">
        <v>99949.999999999884</v>
      </c>
      <c r="BL34" s="19">
        <v>99949.999999999884</v>
      </c>
      <c r="BM34" s="19">
        <v>99949.999999999884</v>
      </c>
      <c r="BN34" s="19">
        <v>99949.999999999884</v>
      </c>
      <c r="BO34" s="19">
        <v>99949.999999999884</v>
      </c>
      <c r="BP34" s="19">
        <v>99949.999999999884</v>
      </c>
      <c r="BQ34" s="19">
        <v>99949.999999999884</v>
      </c>
      <c r="BR34" s="19">
        <v>99949.999999999884</v>
      </c>
      <c r="BS34" s="19">
        <v>99949.999999999884</v>
      </c>
      <c r="BT34" s="19">
        <v>99949.999999999884</v>
      </c>
      <c r="BU34" s="19">
        <v>99949.999999999884</v>
      </c>
      <c r="BV34" s="19">
        <v>99957.599999999889</v>
      </c>
      <c r="BW34" s="19">
        <v>199915.1999999999</v>
      </c>
      <c r="BX34" s="19">
        <v>199915.1999999999</v>
      </c>
      <c r="BY34" s="19">
        <v>199915.1999999999</v>
      </c>
      <c r="BZ34" s="19">
        <v>199915.1999999999</v>
      </c>
      <c r="CA34" s="19">
        <v>349915.1999999999</v>
      </c>
      <c r="CB34" s="19">
        <v>349915.1999999999</v>
      </c>
      <c r="CC34" s="19">
        <v>349915.1999999999</v>
      </c>
    </row>
    <row r="35" spans="1:81" x14ac:dyDescent="0.2">
      <c r="A35" s="10" t="s">
        <v>113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158.86000000000001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812.74</v>
      </c>
      <c r="BF35" s="19">
        <v>812.74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</row>
    <row r="36" spans="1:81" x14ac:dyDescent="0.2">
      <c r="A36" s="12" t="s">
        <v>114</v>
      </c>
      <c r="B36" s="15">
        <f t="shared" ref="B36:AG36" si="21">SUM(B33:B35)</f>
        <v>742852.5</v>
      </c>
      <c r="C36" s="15">
        <f t="shared" si="21"/>
        <v>728600.47</v>
      </c>
      <c r="D36" s="15">
        <f t="shared" si="21"/>
        <v>933875.73</v>
      </c>
      <c r="E36" s="15">
        <f t="shared" si="21"/>
        <v>992724.5</v>
      </c>
      <c r="F36" s="15">
        <f t="shared" si="21"/>
        <v>1059856.3799999999</v>
      </c>
      <c r="G36" s="15">
        <f t="shared" si="21"/>
        <v>1276143.8999999999</v>
      </c>
      <c r="H36" s="15">
        <f t="shared" si="21"/>
        <v>1224507.6000000001</v>
      </c>
      <c r="I36" s="15">
        <f t="shared" si="21"/>
        <v>1305986.3599999999</v>
      </c>
      <c r="J36" s="15">
        <f t="shared" si="21"/>
        <v>1494458.6400000001</v>
      </c>
      <c r="K36" s="15">
        <f t="shared" si="21"/>
        <v>1530438.1</v>
      </c>
      <c r="L36" s="15">
        <f t="shared" si="21"/>
        <v>1458028.5699999998</v>
      </c>
      <c r="M36" s="15">
        <f t="shared" si="21"/>
        <v>1383049.91</v>
      </c>
      <c r="N36" s="15">
        <f t="shared" si="21"/>
        <v>1216736.3999999999</v>
      </c>
      <c r="O36" s="15">
        <f t="shared" si="21"/>
        <v>537220.04999999981</v>
      </c>
      <c r="P36" s="15">
        <f t="shared" si="21"/>
        <v>374014.54999999981</v>
      </c>
      <c r="Q36" s="15">
        <f t="shared" si="21"/>
        <v>431356.79999999981</v>
      </c>
      <c r="R36" s="15">
        <f t="shared" si="21"/>
        <v>376665.22999999981</v>
      </c>
      <c r="S36" s="15">
        <f t="shared" si="21"/>
        <v>478904.5399999998</v>
      </c>
      <c r="T36" s="15">
        <f t="shared" si="21"/>
        <v>694471.89999999979</v>
      </c>
      <c r="U36" s="15">
        <f t="shared" si="21"/>
        <v>703290.41999999981</v>
      </c>
      <c r="V36" s="15">
        <f t="shared" si="21"/>
        <v>760192.95999999985</v>
      </c>
      <c r="W36" s="15">
        <f t="shared" si="21"/>
        <v>814171.19999999984</v>
      </c>
      <c r="X36" s="15">
        <f t="shared" si="21"/>
        <v>932328.07999999984</v>
      </c>
      <c r="Y36" s="15">
        <f t="shared" si="21"/>
        <v>273776.05999999982</v>
      </c>
      <c r="Z36" s="15">
        <f t="shared" si="21"/>
        <v>316457.49999999983</v>
      </c>
      <c r="AA36" s="15">
        <f t="shared" si="21"/>
        <v>297834.19999999984</v>
      </c>
      <c r="AB36" s="15">
        <f t="shared" si="21"/>
        <v>300064.61999999982</v>
      </c>
      <c r="AC36" s="15">
        <f t="shared" si="21"/>
        <v>215645.0999999998</v>
      </c>
      <c r="AD36" s="15">
        <f t="shared" si="21"/>
        <v>256303.35999999981</v>
      </c>
      <c r="AE36" s="15">
        <f t="shared" si="21"/>
        <v>243664.45999999982</v>
      </c>
      <c r="AF36" s="15">
        <f t="shared" si="21"/>
        <v>255502.39999999982</v>
      </c>
      <c r="AG36" s="15">
        <f t="shared" si="21"/>
        <v>278426.35999999981</v>
      </c>
      <c r="AH36" s="15">
        <f t="shared" ref="AH36:BM36" si="22">SUM(AH33:AH35)</f>
        <v>256418.8799999998</v>
      </c>
      <c r="AI36" s="15">
        <f t="shared" si="22"/>
        <v>312221.39999999979</v>
      </c>
      <c r="AJ36" s="15">
        <f t="shared" si="22"/>
        <v>204945.82999999978</v>
      </c>
      <c r="AK36" s="15">
        <f t="shared" si="22"/>
        <v>211956.03999999978</v>
      </c>
      <c r="AL36" s="15">
        <f t="shared" si="22"/>
        <v>205950.79999999978</v>
      </c>
      <c r="AM36" s="15">
        <f t="shared" si="22"/>
        <v>179829.50999999978</v>
      </c>
      <c r="AN36" s="15">
        <f t="shared" si="22"/>
        <v>173611.57999999978</v>
      </c>
      <c r="AO36" s="15">
        <f t="shared" si="22"/>
        <v>157791.39999999979</v>
      </c>
      <c r="AP36" s="15">
        <f t="shared" si="22"/>
        <v>181805.57999999978</v>
      </c>
      <c r="AQ36" s="15">
        <f t="shared" si="22"/>
        <v>183197.0299999998</v>
      </c>
      <c r="AR36" s="15">
        <f t="shared" si="22"/>
        <v>160992.89999999979</v>
      </c>
      <c r="AS36" s="15">
        <f t="shared" si="22"/>
        <v>178413.67999999979</v>
      </c>
      <c r="AT36" s="15">
        <f t="shared" si="22"/>
        <v>201684.2799999998</v>
      </c>
      <c r="AU36" s="15">
        <f t="shared" si="22"/>
        <v>255060.29999999978</v>
      </c>
      <c r="AV36" s="15">
        <f t="shared" si="22"/>
        <v>219112.97999999978</v>
      </c>
      <c r="AW36" s="15">
        <f t="shared" si="22"/>
        <v>164011.2799999998</v>
      </c>
      <c r="AX36" s="15">
        <f t="shared" si="22"/>
        <v>406071.89999999979</v>
      </c>
      <c r="AY36" s="15">
        <f t="shared" si="22"/>
        <v>409036.00999999978</v>
      </c>
      <c r="AZ36" s="15">
        <f t="shared" si="22"/>
        <v>314757.92999999976</v>
      </c>
      <c r="BA36" s="15">
        <f t="shared" si="22"/>
        <v>203906.39999999976</v>
      </c>
      <c r="BB36" s="15">
        <f t="shared" si="22"/>
        <v>78187.329999999754</v>
      </c>
      <c r="BC36" s="15">
        <f t="shared" si="22"/>
        <v>48201.859999999753</v>
      </c>
      <c r="BD36" s="15">
        <f t="shared" si="22"/>
        <v>97470.399999999761</v>
      </c>
      <c r="BE36" s="15">
        <f t="shared" si="22"/>
        <v>170275.81999999975</v>
      </c>
      <c r="BF36" s="15">
        <f t="shared" si="22"/>
        <v>142918.19999999975</v>
      </c>
      <c r="BG36" s="15">
        <f t="shared" si="22"/>
        <v>170496.19999999978</v>
      </c>
      <c r="BH36" s="15">
        <f t="shared" si="22"/>
        <v>159178.20999999976</v>
      </c>
      <c r="BI36" s="15">
        <f t="shared" si="22"/>
        <v>166214.50999999978</v>
      </c>
      <c r="BJ36" s="15">
        <f t="shared" si="22"/>
        <v>117380.49999999977</v>
      </c>
      <c r="BK36" s="15">
        <f t="shared" si="22"/>
        <v>170414.19999999978</v>
      </c>
      <c r="BL36" s="15">
        <f t="shared" si="22"/>
        <v>159800.78999999975</v>
      </c>
      <c r="BM36" s="15">
        <f t="shared" si="22"/>
        <v>169782.99999999977</v>
      </c>
      <c r="BN36" s="15">
        <f t="shared" ref="BN36:CS36" si="23">SUM(BN33:BN35)</f>
        <v>155272.82999999978</v>
      </c>
      <c r="BO36" s="15">
        <f t="shared" si="23"/>
        <v>128454.05999999976</v>
      </c>
      <c r="BP36" s="15">
        <f t="shared" si="23"/>
        <v>167905.99999999977</v>
      </c>
      <c r="BQ36" s="15">
        <f t="shared" si="23"/>
        <v>157679.53999999978</v>
      </c>
      <c r="BR36" s="15">
        <f t="shared" si="23"/>
        <v>136514.39999999976</v>
      </c>
      <c r="BS36" s="15">
        <f t="shared" si="23"/>
        <v>166762.19999999978</v>
      </c>
      <c r="BT36" s="15">
        <f t="shared" si="23"/>
        <v>240617.31999999977</v>
      </c>
      <c r="BU36" s="15">
        <f t="shared" si="23"/>
        <v>453789.24999999977</v>
      </c>
      <c r="BV36" s="15">
        <f t="shared" si="23"/>
        <v>349503.69999999978</v>
      </c>
      <c r="BW36" s="15">
        <f t="shared" si="23"/>
        <v>701417.36999999988</v>
      </c>
      <c r="BX36" s="15">
        <f t="shared" si="23"/>
        <v>691807.05999999982</v>
      </c>
      <c r="BY36" s="15">
        <f t="shared" si="23"/>
        <v>672523.19999999984</v>
      </c>
      <c r="BZ36" s="15">
        <f t="shared" si="23"/>
        <v>644336.5399999998</v>
      </c>
      <c r="CA36" s="15">
        <f t="shared" si="23"/>
        <v>770385.11999999988</v>
      </c>
      <c r="CB36" s="15">
        <f t="shared" si="23"/>
        <v>712503.89999999991</v>
      </c>
      <c r="CC36" s="15">
        <f t="shared" si="23"/>
        <v>712503.89999999991</v>
      </c>
    </row>
    <row r="37" spans="1:81" x14ac:dyDescent="0.2">
      <c r="A37" s="14" t="s">
        <v>115</v>
      </c>
      <c r="B37" s="15">
        <f t="shared" ref="B37:AG37" si="24">0+0+B36</f>
        <v>742852.5</v>
      </c>
      <c r="C37" s="15">
        <f t="shared" si="24"/>
        <v>728600.47</v>
      </c>
      <c r="D37" s="15">
        <f t="shared" si="24"/>
        <v>933875.73</v>
      </c>
      <c r="E37" s="15">
        <f t="shared" si="24"/>
        <v>992724.5</v>
      </c>
      <c r="F37" s="15">
        <f t="shared" si="24"/>
        <v>1059856.3799999999</v>
      </c>
      <c r="G37" s="15">
        <f t="shared" si="24"/>
        <v>1276143.8999999999</v>
      </c>
      <c r="H37" s="15">
        <f t="shared" si="24"/>
        <v>1224507.6000000001</v>
      </c>
      <c r="I37" s="15">
        <f t="shared" si="24"/>
        <v>1305986.3599999999</v>
      </c>
      <c r="J37" s="15">
        <f t="shared" si="24"/>
        <v>1494458.6400000001</v>
      </c>
      <c r="K37" s="15">
        <f t="shared" si="24"/>
        <v>1530438.1</v>
      </c>
      <c r="L37" s="15">
        <f t="shared" si="24"/>
        <v>1458028.5699999998</v>
      </c>
      <c r="M37" s="15">
        <f t="shared" si="24"/>
        <v>1383049.91</v>
      </c>
      <c r="N37" s="15">
        <f t="shared" si="24"/>
        <v>1216736.3999999999</v>
      </c>
      <c r="O37" s="15">
        <f t="shared" si="24"/>
        <v>537220.04999999981</v>
      </c>
      <c r="P37" s="15">
        <f t="shared" si="24"/>
        <v>374014.54999999981</v>
      </c>
      <c r="Q37" s="15">
        <f t="shared" si="24"/>
        <v>431356.79999999981</v>
      </c>
      <c r="R37" s="15">
        <f t="shared" si="24"/>
        <v>376665.22999999981</v>
      </c>
      <c r="S37" s="15">
        <f t="shared" si="24"/>
        <v>478904.5399999998</v>
      </c>
      <c r="T37" s="15">
        <f t="shared" si="24"/>
        <v>694471.89999999979</v>
      </c>
      <c r="U37" s="15">
        <f t="shared" si="24"/>
        <v>703290.41999999981</v>
      </c>
      <c r="V37" s="15">
        <f t="shared" si="24"/>
        <v>760192.95999999985</v>
      </c>
      <c r="W37" s="15">
        <f t="shared" si="24"/>
        <v>814171.19999999984</v>
      </c>
      <c r="X37" s="15">
        <f t="shared" si="24"/>
        <v>932328.07999999984</v>
      </c>
      <c r="Y37" s="15">
        <f t="shared" si="24"/>
        <v>273776.05999999982</v>
      </c>
      <c r="Z37" s="15">
        <f t="shared" si="24"/>
        <v>316457.49999999983</v>
      </c>
      <c r="AA37" s="15">
        <f t="shared" si="24"/>
        <v>297834.19999999984</v>
      </c>
      <c r="AB37" s="15">
        <f t="shared" si="24"/>
        <v>300064.61999999982</v>
      </c>
      <c r="AC37" s="15">
        <f t="shared" si="24"/>
        <v>215645.0999999998</v>
      </c>
      <c r="AD37" s="15">
        <f t="shared" si="24"/>
        <v>256303.35999999981</v>
      </c>
      <c r="AE37" s="15">
        <f t="shared" si="24"/>
        <v>243664.45999999982</v>
      </c>
      <c r="AF37" s="15">
        <f t="shared" si="24"/>
        <v>255502.39999999982</v>
      </c>
      <c r="AG37" s="15">
        <f t="shared" si="24"/>
        <v>278426.35999999981</v>
      </c>
      <c r="AH37" s="15">
        <f t="shared" ref="AH37:BM37" si="25">0+0+AH36</f>
        <v>256418.8799999998</v>
      </c>
      <c r="AI37" s="15">
        <f t="shared" si="25"/>
        <v>312221.39999999979</v>
      </c>
      <c r="AJ37" s="15">
        <f t="shared" si="25"/>
        <v>204945.82999999978</v>
      </c>
      <c r="AK37" s="15">
        <f t="shared" si="25"/>
        <v>211956.03999999978</v>
      </c>
      <c r="AL37" s="15">
        <f t="shared" si="25"/>
        <v>205950.79999999978</v>
      </c>
      <c r="AM37" s="15">
        <f t="shared" si="25"/>
        <v>179829.50999999978</v>
      </c>
      <c r="AN37" s="15">
        <f t="shared" si="25"/>
        <v>173611.57999999978</v>
      </c>
      <c r="AO37" s="15">
        <f t="shared" si="25"/>
        <v>157791.39999999979</v>
      </c>
      <c r="AP37" s="15">
        <f t="shared" si="25"/>
        <v>181805.57999999978</v>
      </c>
      <c r="AQ37" s="15">
        <f t="shared" si="25"/>
        <v>183197.0299999998</v>
      </c>
      <c r="AR37" s="15">
        <f t="shared" si="25"/>
        <v>160992.89999999979</v>
      </c>
      <c r="AS37" s="15">
        <f t="shared" si="25"/>
        <v>178413.67999999979</v>
      </c>
      <c r="AT37" s="15">
        <f t="shared" si="25"/>
        <v>201684.2799999998</v>
      </c>
      <c r="AU37" s="15">
        <f t="shared" si="25"/>
        <v>255060.29999999978</v>
      </c>
      <c r="AV37" s="15">
        <f t="shared" si="25"/>
        <v>219112.97999999978</v>
      </c>
      <c r="AW37" s="15">
        <f t="shared" si="25"/>
        <v>164011.2799999998</v>
      </c>
      <c r="AX37" s="15">
        <f t="shared" si="25"/>
        <v>406071.89999999979</v>
      </c>
      <c r="AY37" s="15">
        <f t="shared" si="25"/>
        <v>409036.00999999978</v>
      </c>
      <c r="AZ37" s="15">
        <f t="shared" si="25"/>
        <v>314757.92999999976</v>
      </c>
      <c r="BA37" s="15">
        <f t="shared" si="25"/>
        <v>203906.39999999976</v>
      </c>
      <c r="BB37" s="15">
        <f t="shared" si="25"/>
        <v>78187.329999999754</v>
      </c>
      <c r="BC37" s="15">
        <f t="shared" si="25"/>
        <v>48201.859999999753</v>
      </c>
      <c r="BD37" s="15">
        <f t="shared" si="25"/>
        <v>97470.399999999761</v>
      </c>
      <c r="BE37" s="15">
        <f t="shared" si="25"/>
        <v>170275.81999999975</v>
      </c>
      <c r="BF37" s="15">
        <f t="shared" si="25"/>
        <v>142918.19999999975</v>
      </c>
      <c r="BG37" s="15">
        <f t="shared" si="25"/>
        <v>170496.19999999978</v>
      </c>
      <c r="BH37" s="15">
        <f t="shared" si="25"/>
        <v>159178.20999999976</v>
      </c>
      <c r="BI37" s="15">
        <f t="shared" si="25"/>
        <v>166214.50999999978</v>
      </c>
      <c r="BJ37" s="15">
        <f t="shared" si="25"/>
        <v>117380.49999999977</v>
      </c>
      <c r="BK37" s="15">
        <f t="shared" si="25"/>
        <v>170414.19999999978</v>
      </c>
      <c r="BL37" s="15">
        <f t="shared" si="25"/>
        <v>159800.78999999975</v>
      </c>
      <c r="BM37" s="15">
        <f t="shared" si="25"/>
        <v>169782.99999999977</v>
      </c>
      <c r="BN37" s="15">
        <f t="shared" ref="BN37:CS37" si="26">0+0+BN36</f>
        <v>155272.82999999978</v>
      </c>
      <c r="BO37" s="15">
        <f t="shared" si="26"/>
        <v>128454.05999999976</v>
      </c>
      <c r="BP37" s="15">
        <f t="shared" si="26"/>
        <v>167905.99999999977</v>
      </c>
      <c r="BQ37" s="15">
        <f t="shared" si="26"/>
        <v>157679.53999999978</v>
      </c>
      <c r="BR37" s="15">
        <f t="shared" si="26"/>
        <v>136514.39999999976</v>
      </c>
      <c r="BS37" s="15">
        <f t="shared" si="26"/>
        <v>166762.19999999978</v>
      </c>
      <c r="BT37" s="15">
        <f t="shared" si="26"/>
        <v>240617.31999999977</v>
      </c>
      <c r="BU37" s="15">
        <f t="shared" si="26"/>
        <v>453789.24999999977</v>
      </c>
      <c r="BV37" s="15">
        <f t="shared" si="26"/>
        <v>349503.69999999978</v>
      </c>
      <c r="BW37" s="15">
        <f t="shared" si="26"/>
        <v>701417.36999999988</v>
      </c>
      <c r="BX37" s="15">
        <f t="shared" si="26"/>
        <v>691807.05999999982</v>
      </c>
      <c r="BY37" s="15">
        <f t="shared" si="26"/>
        <v>672523.19999999984</v>
      </c>
      <c r="BZ37" s="15">
        <f t="shared" si="26"/>
        <v>644336.5399999998</v>
      </c>
      <c r="CA37" s="15">
        <f t="shared" si="26"/>
        <v>770385.11999999988</v>
      </c>
      <c r="CB37" s="15">
        <f t="shared" si="26"/>
        <v>712503.89999999991</v>
      </c>
      <c r="CC37" s="15">
        <f t="shared" si="26"/>
        <v>712503.89999999991</v>
      </c>
    </row>
    <row r="38" spans="1:81" x14ac:dyDescent="0.2">
      <c r="A38" s="16" t="s">
        <v>116</v>
      </c>
      <c r="B38" s="17">
        <f t="shared" ref="B38:AG38" si="27">0+B30+0+B37</f>
        <v>1042561.87</v>
      </c>
      <c r="C38" s="17">
        <f t="shared" si="27"/>
        <v>828305.77</v>
      </c>
      <c r="D38" s="17">
        <f t="shared" si="27"/>
        <v>1162922.57</v>
      </c>
      <c r="E38" s="17">
        <f t="shared" si="27"/>
        <v>1438284.85</v>
      </c>
      <c r="F38" s="17">
        <f t="shared" si="27"/>
        <v>1537858.38</v>
      </c>
      <c r="G38" s="17">
        <f t="shared" si="27"/>
        <v>1645294.45</v>
      </c>
      <c r="H38" s="17">
        <f t="shared" si="27"/>
        <v>1577161.8900000001</v>
      </c>
      <c r="I38" s="17">
        <f t="shared" si="27"/>
        <v>1708319.77</v>
      </c>
      <c r="J38" s="17">
        <f t="shared" si="27"/>
        <v>1952229.7600000002</v>
      </c>
      <c r="K38" s="17">
        <f t="shared" si="27"/>
        <v>1854502.7300000002</v>
      </c>
      <c r="L38" s="17">
        <f t="shared" si="27"/>
        <v>1833463.15</v>
      </c>
      <c r="M38" s="17">
        <f t="shared" si="27"/>
        <v>1639993.08</v>
      </c>
      <c r="N38" s="17">
        <f t="shared" si="27"/>
        <v>1578659.39</v>
      </c>
      <c r="O38" s="17">
        <f t="shared" si="27"/>
        <v>750624.76999999979</v>
      </c>
      <c r="P38" s="17">
        <f t="shared" si="27"/>
        <v>652129.22999999986</v>
      </c>
      <c r="Q38" s="17">
        <f t="shared" si="27"/>
        <v>763098.83999999985</v>
      </c>
      <c r="R38" s="17">
        <f t="shared" si="27"/>
        <v>743678.9099999998</v>
      </c>
      <c r="S38" s="17">
        <f t="shared" si="27"/>
        <v>817907.25999999978</v>
      </c>
      <c r="T38" s="17">
        <f t="shared" si="27"/>
        <v>896417.69999999984</v>
      </c>
      <c r="U38" s="17">
        <f t="shared" si="27"/>
        <v>866389.79999999981</v>
      </c>
      <c r="V38" s="17">
        <f t="shared" si="27"/>
        <v>983239.80999999982</v>
      </c>
      <c r="W38" s="17">
        <f t="shared" si="27"/>
        <v>1003526.0199999998</v>
      </c>
      <c r="X38" s="17">
        <f t="shared" si="27"/>
        <v>996648.01999999979</v>
      </c>
      <c r="Y38" s="17">
        <f t="shared" si="27"/>
        <v>352420.85999999981</v>
      </c>
      <c r="Z38" s="17">
        <f t="shared" si="27"/>
        <v>399289.4099999998</v>
      </c>
      <c r="AA38" s="17">
        <f t="shared" si="27"/>
        <v>427425.60999999987</v>
      </c>
      <c r="AB38" s="17">
        <f t="shared" si="27"/>
        <v>433133.16999999981</v>
      </c>
      <c r="AC38" s="17">
        <f t="shared" si="27"/>
        <v>341078.99999999977</v>
      </c>
      <c r="AD38" s="17">
        <f t="shared" si="27"/>
        <v>346621.25999999978</v>
      </c>
      <c r="AE38" s="17">
        <f t="shared" si="27"/>
        <v>381122.0299999998</v>
      </c>
      <c r="AF38" s="17">
        <f t="shared" si="27"/>
        <v>366951.87999999983</v>
      </c>
      <c r="AG38" s="17">
        <f t="shared" si="27"/>
        <v>356619.33999999985</v>
      </c>
      <c r="AH38" s="17">
        <f t="shared" ref="AH38:BM38" si="28">0+AH30+0+AH37</f>
        <v>311190.35999999981</v>
      </c>
      <c r="AI38" s="17">
        <f t="shared" si="28"/>
        <v>379370.70999999979</v>
      </c>
      <c r="AJ38" s="17">
        <f t="shared" si="28"/>
        <v>273043.63999999978</v>
      </c>
      <c r="AK38" s="17">
        <f t="shared" si="28"/>
        <v>258084.84999999977</v>
      </c>
      <c r="AL38" s="17">
        <f t="shared" si="28"/>
        <v>232262.79999999978</v>
      </c>
      <c r="AM38" s="17">
        <f t="shared" si="28"/>
        <v>228347.50999999978</v>
      </c>
      <c r="AN38" s="17">
        <f t="shared" si="28"/>
        <v>228393.57999999978</v>
      </c>
      <c r="AO38" s="17">
        <f t="shared" si="28"/>
        <v>245527.89999999979</v>
      </c>
      <c r="AP38" s="17">
        <f t="shared" si="28"/>
        <v>239120.75999999978</v>
      </c>
      <c r="AQ38" s="17">
        <f t="shared" si="28"/>
        <v>232586.20999999979</v>
      </c>
      <c r="AR38" s="17">
        <f t="shared" si="28"/>
        <v>340706.67999999982</v>
      </c>
      <c r="AS38" s="17">
        <f t="shared" si="28"/>
        <v>266856.29999999981</v>
      </c>
      <c r="AT38" s="17">
        <f t="shared" si="28"/>
        <v>313222.39999999979</v>
      </c>
      <c r="AU38" s="17">
        <f t="shared" si="28"/>
        <v>298945.33999999979</v>
      </c>
      <c r="AV38" s="17">
        <f t="shared" si="28"/>
        <v>277426.51999999979</v>
      </c>
      <c r="AW38" s="17">
        <f t="shared" si="28"/>
        <v>269018.13999999978</v>
      </c>
      <c r="AX38" s="17">
        <f t="shared" si="28"/>
        <v>504545.08999999979</v>
      </c>
      <c r="AY38" s="17">
        <f t="shared" si="28"/>
        <v>466008.69999999978</v>
      </c>
      <c r="AZ38" s="17">
        <f t="shared" si="28"/>
        <v>470752.43999999977</v>
      </c>
      <c r="BA38" s="17">
        <f t="shared" si="28"/>
        <v>289458.99999999977</v>
      </c>
      <c r="BB38" s="17">
        <f t="shared" si="28"/>
        <v>208446.92999999976</v>
      </c>
      <c r="BC38" s="17">
        <f t="shared" si="28"/>
        <v>209383.27999999977</v>
      </c>
      <c r="BD38" s="17">
        <f t="shared" si="28"/>
        <v>371058.23999999976</v>
      </c>
      <c r="BE38" s="17">
        <f t="shared" si="28"/>
        <v>264709.91999999975</v>
      </c>
      <c r="BF38" s="17">
        <f t="shared" si="28"/>
        <v>383449.61999999976</v>
      </c>
      <c r="BG38" s="17">
        <f t="shared" si="28"/>
        <v>324093.79999999981</v>
      </c>
      <c r="BH38" s="17">
        <f t="shared" si="28"/>
        <v>526543.5499999997</v>
      </c>
      <c r="BI38" s="17">
        <f t="shared" si="28"/>
        <v>418683.17999999982</v>
      </c>
      <c r="BJ38" s="17">
        <f t="shared" si="28"/>
        <v>397362.34999999974</v>
      </c>
      <c r="BK38" s="17">
        <f t="shared" si="28"/>
        <v>384622.04999999981</v>
      </c>
      <c r="BL38" s="17">
        <f t="shared" si="28"/>
        <v>532812.70999999973</v>
      </c>
      <c r="BM38" s="17">
        <f t="shared" si="28"/>
        <v>538024.34999999974</v>
      </c>
      <c r="BN38" s="17">
        <f t="shared" ref="BN38:CS38" si="29">0+BN30+0+BN37</f>
        <v>556173.18999999971</v>
      </c>
      <c r="BO38" s="17">
        <f t="shared" si="29"/>
        <v>491221.78999999975</v>
      </c>
      <c r="BP38" s="17">
        <f t="shared" si="29"/>
        <v>560079.09999999974</v>
      </c>
      <c r="BQ38" s="17">
        <f t="shared" si="29"/>
        <v>515553.63999999978</v>
      </c>
      <c r="BR38" s="17">
        <f t="shared" si="29"/>
        <v>596738.81999999972</v>
      </c>
      <c r="BS38" s="17">
        <f t="shared" si="29"/>
        <v>639204.66999999969</v>
      </c>
      <c r="BT38" s="17">
        <f t="shared" si="29"/>
        <v>523577.21999999974</v>
      </c>
      <c r="BU38" s="17">
        <f t="shared" si="29"/>
        <v>780416.71999999974</v>
      </c>
      <c r="BV38" s="17">
        <f t="shared" si="29"/>
        <v>474406.7799999998</v>
      </c>
      <c r="BW38" s="17">
        <f t="shared" si="29"/>
        <v>979290.37999999989</v>
      </c>
      <c r="BX38" s="17">
        <f t="shared" si="29"/>
        <v>974018.6599999998</v>
      </c>
      <c r="BY38" s="17">
        <f t="shared" si="29"/>
        <v>1088398.4099999997</v>
      </c>
      <c r="BZ38" s="17">
        <f t="shared" si="29"/>
        <v>1130512.0899999999</v>
      </c>
      <c r="CA38" s="17">
        <f t="shared" si="29"/>
        <v>1132356.19</v>
      </c>
      <c r="CB38" s="17">
        <f t="shared" si="29"/>
        <v>1070797.5499999998</v>
      </c>
      <c r="CC38" s="17">
        <f t="shared" si="29"/>
        <v>1070797.5499999998</v>
      </c>
    </row>
    <row r="39" spans="1:81" x14ac:dyDescent="0.2">
      <c r="A39" s="1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</row>
    <row r="40" spans="1:81" ht="12" x14ac:dyDescent="0.2">
      <c r="A40" s="5" t="s">
        <v>117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</row>
    <row r="41" spans="1:81" x14ac:dyDescent="0.2">
      <c r="A41" s="20" t="s">
        <v>118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25.7</v>
      </c>
      <c r="T41" s="19">
        <v>25.7</v>
      </c>
      <c r="U41" s="19">
        <v>25.7</v>
      </c>
      <c r="V41" s="19">
        <v>25.7</v>
      </c>
      <c r="W41" s="19">
        <v>25.7</v>
      </c>
      <c r="X41" s="19">
        <v>25.7</v>
      </c>
      <c r="Y41" s="19">
        <v>25.7</v>
      </c>
      <c r="Z41" s="19">
        <v>25.7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331.82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</row>
    <row r="42" spans="1:81" ht="12" thickBot="1" x14ac:dyDescent="0.25">
      <c r="A42" s="21" t="s">
        <v>119</v>
      </c>
      <c r="B42" s="15">
        <f t="shared" ref="B42:AG42" si="30">SUM(B41)</f>
        <v>0</v>
      </c>
      <c r="C42" s="15">
        <f t="shared" si="30"/>
        <v>0</v>
      </c>
      <c r="D42" s="15">
        <f t="shared" si="30"/>
        <v>0</v>
      </c>
      <c r="E42" s="15">
        <f t="shared" si="30"/>
        <v>0</v>
      </c>
      <c r="F42" s="15">
        <f t="shared" si="30"/>
        <v>0</v>
      </c>
      <c r="G42" s="15">
        <f t="shared" si="30"/>
        <v>0</v>
      </c>
      <c r="H42" s="15">
        <f t="shared" si="30"/>
        <v>0</v>
      </c>
      <c r="I42" s="15">
        <f t="shared" si="30"/>
        <v>0</v>
      </c>
      <c r="J42" s="15">
        <f t="shared" si="30"/>
        <v>0</v>
      </c>
      <c r="K42" s="15">
        <f t="shared" si="30"/>
        <v>0</v>
      </c>
      <c r="L42" s="15">
        <f t="shared" si="30"/>
        <v>0</v>
      </c>
      <c r="M42" s="15">
        <f t="shared" si="30"/>
        <v>0</v>
      </c>
      <c r="N42" s="15">
        <f t="shared" si="30"/>
        <v>0</v>
      </c>
      <c r="O42" s="15">
        <f t="shared" si="30"/>
        <v>0</v>
      </c>
      <c r="P42" s="15">
        <f t="shared" si="30"/>
        <v>0</v>
      </c>
      <c r="Q42" s="15">
        <f t="shared" si="30"/>
        <v>0</v>
      </c>
      <c r="R42" s="15">
        <f t="shared" si="30"/>
        <v>0</v>
      </c>
      <c r="S42" s="15">
        <f t="shared" si="30"/>
        <v>25.7</v>
      </c>
      <c r="T42" s="15">
        <f t="shared" si="30"/>
        <v>25.7</v>
      </c>
      <c r="U42" s="15">
        <f t="shared" si="30"/>
        <v>25.7</v>
      </c>
      <c r="V42" s="15">
        <f t="shared" si="30"/>
        <v>25.7</v>
      </c>
      <c r="W42" s="15">
        <f t="shared" si="30"/>
        <v>25.7</v>
      </c>
      <c r="X42" s="15">
        <f t="shared" si="30"/>
        <v>25.7</v>
      </c>
      <c r="Y42" s="15">
        <f t="shared" si="30"/>
        <v>25.7</v>
      </c>
      <c r="Z42" s="15">
        <f t="shared" si="30"/>
        <v>25.7</v>
      </c>
      <c r="AA42" s="15">
        <f t="shared" si="30"/>
        <v>0</v>
      </c>
      <c r="AB42" s="15">
        <f t="shared" si="30"/>
        <v>0</v>
      </c>
      <c r="AC42" s="15">
        <f t="shared" si="30"/>
        <v>0</v>
      </c>
      <c r="AD42" s="15">
        <f t="shared" si="30"/>
        <v>0</v>
      </c>
      <c r="AE42" s="15">
        <f t="shared" si="30"/>
        <v>0</v>
      </c>
      <c r="AF42" s="15">
        <f t="shared" si="30"/>
        <v>0</v>
      </c>
      <c r="AG42" s="15">
        <f t="shared" si="30"/>
        <v>0</v>
      </c>
      <c r="AH42" s="15">
        <f t="shared" ref="AH42:BM42" si="31">SUM(AH41)</f>
        <v>0</v>
      </c>
      <c r="AI42" s="15">
        <f t="shared" si="31"/>
        <v>0</v>
      </c>
      <c r="AJ42" s="15">
        <f t="shared" si="31"/>
        <v>0</v>
      </c>
      <c r="AK42" s="15">
        <f t="shared" si="31"/>
        <v>0</v>
      </c>
      <c r="AL42" s="15">
        <f t="shared" si="31"/>
        <v>0</v>
      </c>
      <c r="AM42" s="15">
        <f t="shared" si="31"/>
        <v>0</v>
      </c>
      <c r="AN42" s="15">
        <f t="shared" si="31"/>
        <v>0</v>
      </c>
      <c r="AO42" s="15">
        <f t="shared" si="31"/>
        <v>0</v>
      </c>
      <c r="AP42" s="15">
        <f t="shared" si="31"/>
        <v>0</v>
      </c>
      <c r="AQ42" s="15">
        <f t="shared" si="31"/>
        <v>0</v>
      </c>
      <c r="AR42" s="15">
        <f t="shared" si="31"/>
        <v>0</v>
      </c>
      <c r="AS42" s="15">
        <f t="shared" si="31"/>
        <v>0</v>
      </c>
      <c r="AT42" s="15">
        <f t="shared" si="31"/>
        <v>0</v>
      </c>
      <c r="AU42" s="15">
        <f t="shared" si="31"/>
        <v>0</v>
      </c>
      <c r="AV42" s="15">
        <f t="shared" si="31"/>
        <v>0</v>
      </c>
      <c r="AW42" s="15">
        <f t="shared" si="31"/>
        <v>0</v>
      </c>
      <c r="AX42" s="15">
        <f t="shared" si="31"/>
        <v>331.82</v>
      </c>
      <c r="AY42" s="15">
        <f t="shared" si="31"/>
        <v>0</v>
      </c>
      <c r="AZ42" s="15">
        <f t="shared" si="31"/>
        <v>0</v>
      </c>
      <c r="BA42" s="15">
        <f t="shared" si="31"/>
        <v>0</v>
      </c>
      <c r="BB42" s="15">
        <f t="shared" si="31"/>
        <v>0</v>
      </c>
      <c r="BC42" s="15">
        <f t="shared" si="31"/>
        <v>0</v>
      </c>
      <c r="BD42" s="15">
        <f t="shared" si="31"/>
        <v>0</v>
      </c>
      <c r="BE42" s="15">
        <f t="shared" si="31"/>
        <v>0</v>
      </c>
      <c r="BF42" s="15">
        <f t="shared" si="31"/>
        <v>0</v>
      </c>
      <c r="BG42" s="15">
        <f t="shared" si="31"/>
        <v>0</v>
      </c>
      <c r="BH42" s="15">
        <f t="shared" si="31"/>
        <v>0</v>
      </c>
      <c r="BI42" s="15">
        <f t="shared" si="31"/>
        <v>0</v>
      </c>
      <c r="BJ42" s="15">
        <f t="shared" si="31"/>
        <v>0</v>
      </c>
      <c r="BK42" s="15">
        <f t="shared" si="31"/>
        <v>0</v>
      </c>
      <c r="BL42" s="15">
        <f t="shared" si="31"/>
        <v>0</v>
      </c>
      <c r="BM42" s="15">
        <f t="shared" si="31"/>
        <v>0</v>
      </c>
      <c r="BN42" s="15">
        <f t="shared" ref="BN42:CS42" si="32">SUM(BN41)</f>
        <v>0</v>
      </c>
      <c r="BO42" s="15">
        <f t="shared" si="32"/>
        <v>0</v>
      </c>
      <c r="BP42" s="15">
        <f t="shared" si="32"/>
        <v>0</v>
      </c>
      <c r="BQ42" s="15">
        <f t="shared" si="32"/>
        <v>0</v>
      </c>
      <c r="BR42" s="15">
        <f t="shared" si="32"/>
        <v>0</v>
      </c>
      <c r="BS42" s="15">
        <f t="shared" si="32"/>
        <v>0</v>
      </c>
      <c r="BT42" s="15">
        <f t="shared" si="32"/>
        <v>0</v>
      </c>
      <c r="BU42" s="15">
        <f t="shared" si="32"/>
        <v>0</v>
      </c>
      <c r="BV42" s="15">
        <f t="shared" si="32"/>
        <v>0</v>
      </c>
      <c r="BW42" s="15">
        <f t="shared" si="32"/>
        <v>0</v>
      </c>
      <c r="BX42" s="15">
        <f t="shared" si="32"/>
        <v>0</v>
      </c>
      <c r="BY42" s="15">
        <f t="shared" si="32"/>
        <v>0</v>
      </c>
      <c r="BZ42" s="15">
        <f t="shared" si="32"/>
        <v>0</v>
      </c>
      <c r="CA42" s="15">
        <f t="shared" si="32"/>
        <v>0</v>
      </c>
      <c r="CB42" s="15">
        <f t="shared" si="32"/>
        <v>0</v>
      </c>
      <c r="CC42" s="15">
        <f t="shared" si="32"/>
        <v>0</v>
      </c>
    </row>
    <row r="43" spans="1:81" ht="12.75" thickTop="1" x14ac:dyDescent="0.2">
      <c r="A43" s="22" t="s">
        <v>120</v>
      </c>
      <c r="B43" s="23">
        <f t="shared" ref="B43:AG43" si="33">B14+B15+B38+B39+B42+0</f>
        <v>1042561.87</v>
      </c>
      <c r="C43" s="23">
        <f t="shared" si="33"/>
        <v>828534.94000000006</v>
      </c>
      <c r="D43" s="23">
        <f t="shared" si="33"/>
        <v>1162922.57</v>
      </c>
      <c r="E43" s="23">
        <f t="shared" si="33"/>
        <v>1438284.85</v>
      </c>
      <c r="F43" s="23">
        <f t="shared" si="33"/>
        <v>1537858.38</v>
      </c>
      <c r="G43" s="23">
        <f t="shared" si="33"/>
        <v>1646359.43</v>
      </c>
      <c r="H43" s="23">
        <f t="shared" si="33"/>
        <v>1578226.87</v>
      </c>
      <c r="I43" s="23">
        <f t="shared" si="33"/>
        <v>1711230.56</v>
      </c>
      <c r="J43" s="23">
        <f t="shared" si="33"/>
        <v>1955140.5500000003</v>
      </c>
      <c r="K43" s="23">
        <f t="shared" si="33"/>
        <v>1857413.5200000003</v>
      </c>
      <c r="L43" s="23">
        <f t="shared" si="33"/>
        <v>1836373.94</v>
      </c>
      <c r="M43" s="23">
        <f t="shared" si="33"/>
        <v>1642903.87</v>
      </c>
      <c r="N43" s="23">
        <f t="shared" si="33"/>
        <v>1581073.2</v>
      </c>
      <c r="O43" s="23">
        <f t="shared" si="33"/>
        <v>753038.57999999984</v>
      </c>
      <c r="P43" s="23">
        <f t="shared" si="33"/>
        <v>654543.03999999992</v>
      </c>
      <c r="Q43" s="23">
        <f t="shared" si="33"/>
        <v>765512.64999999991</v>
      </c>
      <c r="R43" s="23">
        <f t="shared" si="33"/>
        <v>746092.71999999986</v>
      </c>
      <c r="S43" s="23">
        <f t="shared" si="33"/>
        <v>820346.76999999979</v>
      </c>
      <c r="T43" s="23">
        <f t="shared" si="33"/>
        <v>898857.20999999985</v>
      </c>
      <c r="U43" s="23">
        <f t="shared" si="33"/>
        <v>868829.30999999982</v>
      </c>
      <c r="V43" s="23">
        <f t="shared" si="33"/>
        <v>986120.13999999978</v>
      </c>
      <c r="W43" s="23">
        <f t="shared" si="33"/>
        <v>1006406.3499999997</v>
      </c>
      <c r="X43" s="23">
        <f t="shared" si="33"/>
        <v>999528.34999999974</v>
      </c>
      <c r="Y43" s="23">
        <f t="shared" si="33"/>
        <v>355301.18999999983</v>
      </c>
      <c r="Z43" s="23">
        <f t="shared" si="33"/>
        <v>401397.95999999979</v>
      </c>
      <c r="AA43" s="23">
        <f t="shared" si="33"/>
        <v>429508.45999999985</v>
      </c>
      <c r="AB43" s="23">
        <f t="shared" si="33"/>
        <v>435216.01999999979</v>
      </c>
      <c r="AC43" s="23">
        <f t="shared" si="33"/>
        <v>343161.84999999974</v>
      </c>
      <c r="AD43" s="23">
        <f t="shared" si="33"/>
        <v>348704.10999999975</v>
      </c>
      <c r="AE43" s="23">
        <f t="shared" si="33"/>
        <v>383204.87999999977</v>
      </c>
      <c r="AF43" s="23">
        <f t="shared" si="33"/>
        <v>369034.72999999981</v>
      </c>
      <c r="AG43" s="23">
        <f t="shared" si="33"/>
        <v>358702.18999999983</v>
      </c>
      <c r="AH43" s="23">
        <f t="shared" ref="AH43:BM43" si="34">AH14+AH15+AH38+AH39+AH42+0</f>
        <v>313273.20999999979</v>
      </c>
      <c r="AI43" s="23">
        <f t="shared" si="34"/>
        <v>381453.55999999976</v>
      </c>
      <c r="AJ43" s="23">
        <f t="shared" si="34"/>
        <v>275126.48999999976</v>
      </c>
      <c r="AK43" s="23">
        <f t="shared" si="34"/>
        <v>260167.69999999978</v>
      </c>
      <c r="AL43" s="23">
        <f t="shared" si="34"/>
        <v>233529.78999999978</v>
      </c>
      <c r="AM43" s="23">
        <f t="shared" si="34"/>
        <v>229614.49999999977</v>
      </c>
      <c r="AN43" s="23">
        <f t="shared" si="34"/>
        <v>229660.56999999977</v>
      </c>
      <c r="AO43" s="23">
        <f t="shared" si="34"/>
        <v>246794.88999999978</v>
      </c>
      <c r="AP43" s="23">
        <f t="shared" si="34"/>
        <v>240387.74999999977</v>
      </c>
      <c r="AQ43" s="23">
        <f t="shared" si="34"/>
        <v>233853.19999999978</v>
      </c>
      <c r="AR43" s="23">
        <f t="shared" si="34"/>
        <v>341973.66999999981</v>
      </c>
      <c r="AS43" s="23">
        <f t="shared" si="34"/>
        <v>268123.2899999998</v>
      </c>
      <c r="AT43" s="23">
        <f t="shared" si="34"/>
        <v>314489.38999999978</v>
      </c>
      <c r="AU43" s="23">
        <f t="shared" si="34"/>
        <v>300212.32999999978</v>
      </c>
      <c r="AV43" s="23">
        <f t="shared" si="34"/>
        <v>278693.50999999978</v>
      </c>
      <c r="AW43" s="23">
        <f t="shared" si="34"/>
        <v>270285.12999999977</v>
      </c>
      <c r="AX43" s="23">
        <f t="shared" si="34"/>
        <v>505328.06999999977</v>
      </c>
      <c r="AY43" s="23">
        <f t="shared" si="34"/>
        <v>466459.85999999975</v>
      </c>
      <c r="AZ43" s="23">
        <f t="shared" si="34"/>
        <v>471203.59999999974</v>
      </c>
      <c r="BA43" s="23">
        <f t="shared" si="34"/>
        <v>289910.15999999974</v>
      </c>
      <c r="BB43" s="23">
        <f t="shared" si="34"/>
        <v>208898.08999999976</v>
      </c>
      <c r="BC43" s="23">
        <f t="shared" si="34"/>
        <v>209834.43999999977</v>
      </c>
      <c r="BD43" s="23">
        <f t="shared" si="34"/>
        <v>371509.39999999973</v>
      </c>
      <c r="BE43" s="23">
        <f t="shared" si="34"/>
        <v>265161.07999999973</v>
      </c>
      <c r="BF43" s="23">
        <f t="shared" si="34"/>
        <v>383900.77999999974</v>
      </c>
      <c r="BG43" s="23">
        <f t="shared" si="34"/>
        <v>324544.95999999979</v>
      </c>
      <c r="BH43" s="23">
        <f t="shared" si="34"/>
        <v>526994.70999999973</v>
      </c>
      <c r="BI43" s="23">
        <f t="shared" si="34"/>
        <v>419134.33999999979</v>
      </c>
      <c r="BJ43" s="23">
        <f t="shared" si="34"/>
        <v>397494.62999999977</v>
      </c>
      <c r="BK43" s="23">
        <f t="shared" si="34"/>
        <v>384754.32999999984</v>
      </c>
      <c r="BL43" s="23">
        <f t="shared" si="34"/>
        <v>532944.98999999976</v>
      </c>
      <c r="BM43" s="23">
        <f t="shared" si="34"/>
        <v>538156.62999999977</v>
      </c>
      <c r="BN43" s="23">
        <f t="shared" ref="BN43:CS43" si="35">BN14+BN15+BN38+BN39+BN42+0</f>
        <v>556305.46999999974</v>
      </c>
      <c r="BO43" s="23">
        <f t="shared" si="35"/>
        <v>491354.06999999977</v>
      </c>
      <c r="BP43" s="23">
        <f t="shared" si="35"/>
        <v>560211.37999999977</v>
      </c>
      <c r="BQ43" s="23">
        <f t="shared" si="35"/>
        <v>515685.91999999981</v>
      </c>
      <c r="BR43" s="23">
        <f t="shared" si="35"/>
        <v>596871.09999999974</v>
      </c>
      <c r="BS43" s="23">
        <f t="shared" si="35"/>
        <v>639336.94999999972</v>
      </c>
      <c r="BT43" s="23">
        <f t="shared" si="35"/>
        <v>523709.49999999977</v>
      </c>
      <c r="BU43" s="23">
        <f t="shared" si="35"/>
        <v>780548.99999999977</v>
      </c>
      <c r="BV43" s="23">
        <f t="shared" si="35"/>
        <v>474450.89999999979</v>
      </c>
      <c r="BW43" s="23">
        <f t="shared" si="35"/>
        <v>979378.61999999988</v>
      </c>
      <c r="BX43" s="23">
        <f t="shared" si="35"/>
        <v>974106.89999999979</v>
      </c>
      <c r="BY43" s="23">
        <f t="shared" si="35"/>
        <v>1088486.6499999997</v>
      </c>
      <c r="BZ43" s="23">
        <f t="shared" si="35"/>
        <v>1130600.3299999998</v>
      </c>
      <c r="CA43" s="23">
        <f t="shared" si="35"/>
        <v>1132444.43</v>
      </c>
      <c r="CB43" s="23">
        <f t="shared" si="35"/>
        <v>1070885.7899999998</v>
      </c>
      <c r="CC43" s="23">
        <f t="shared" si="35"/>
        <v>1070885.7899999998</v>
      </c>
    </row>
    <row r="44" spans="1:81" x14ac:dyDescent="0.2">
      <c r="A44" s="2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</row>
    <row r="45" spans="1:81" ht="12.75" x14ac:dyDescent="0.2">
      <c r="A45" s="3" t="s">
        <v>121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81" ht="12" x14ac:dyDescent="0.2">
      <c r="A46" s="5" t="s">
        <v>122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</row>
    <row r="47" spans="1:81" x14ac:dyDescent="0.2">
      <c r="A47" s="7" t="s">
        <v>123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</row>
    <row r="48" spans="1:81" x14ac:dyDescent="0.2">
      <c r="A48" s="25" t="s">
        <v>124</v>
      </c>
      <c r="B48" s="19">
        <v>35000</v>
      </c>
      <c r="C48" s="19">
        <v>35000</v>
      </c>
      <c r="D48" s="19">
        <v>35000</v>
      </c>
      <c r="E48" s="19">
        <v>35000</v>
      </c>
      <c r="F48" s="19">
        <v>35000</v>
      </c>
      <c r="G48" s="19">
        <v>35000</v>
      </c>
      <c r="H48" s="19">
        <v>35000</v>
      </c>
      <c r="I48" s="19">
        <v>35000</v>
      </c>
      <c r="J48" s="19">
        <v>35000</v>
      </c>
      <c r="K48" s="19">
        <v>35000</v>
      </c>
      <c r="L48" s="19">
        <v>35000</v>
      </c>
      <c r="M48" s="19">
        <v>35000</v>
      </c>
      <c r="N48" s="19">
        <v>35000</v>
      </c>
      <c r="O48" s="19">
        <v>35000</v>
      </c>
      <c r="P48" s="19">
        <v>35000</v>
      </c>
      <c r="Q48" s="19">
        <v>35000</v>
      </c>
      <c r="R48" s="19">
        <v>35000</v>
      </c>
      <c r="S48" s="19">
        <v>35000</v>
      </c>
      <c r="T48" s="19">
        <v>35000</v>
      </c>
      <c r="U48" s="19">
        <v>35000</v>
      </c>
      <c r="V48" s="19">
        <v>35000</v>
      </c>
      <c r="W48" s="19">
        <v>35000</v>
      </c>
      <c r="X48" s="19">
        <v>35000</v>
      </c>
      <c r="Y48" s="19">
        <v>35000</v>
      </c>
      <c r="Z48" s="19">
        <v>35000</v>
      </c>
      <c r="AA48" s="19">
        <v>35000</v>
      </c>
      <c r="AB48" s="19">
        <v>35000</v>
      </c>
      <c r="AC48" s="19">
        <v>35000</v>
      </c>
      <c r="AD48" s="19">
        <v>35000</v>
      </c>
      <c r="AE48" s="19">
        <v>35000</v>
      </c>
      <c r="AF48" s="19">
        <v>35000</v>
      </c>
      <c r="AG48" s="19">
        <v>35000</v>
      </c>
      <c r="AH48" s="19">
        <v>35000</v>
      </c>
      <c r="AI48" s="19">
        <v>35000</v>
      </c>
      <c r="AJ48" s="19">
        <v>35000</v>
      </c>
      <c r="AK48" s="19">
        <v>35000</v>
      </c>
      <c r="AL48" s="19">
        <v>35000</v>
      </c>
      <c r="AM48" s="19">
        <v>35000</v>
      </c>
      <c r="AN48" s="19">
        <v>35000</v>
      </c>
      <c r="AO48" s="19">
        <v>35000</v>
      </c>
      <c r="AP48" s="19">
        <v>35000</v>
      </c>
      <c r="AQ48" s="19">
        <v>35000</v>
      </c>
      <c r="AR48" s="19">
        <v>35000</v>
      </c>
      <c r="AS48" s="19">
        <v>35000</v>
      </c>
      <c r="AT48" s="19">
        <v>35000</v>
      </c>
      <c r="AU48" s="19">
        <v>35000</v>
      </c>
      <c r="AV48" s="19">
        <v>35000</v>
      </c>
      <c r="AW48" s="19">
        <v>35000</v>
      </c>
      <c r="AX48" s="19">
        <v>35000</v>
      </c>
      <c r="AY48" s="19">
        <v>35000</v>
      </c>
      <c r="AZ48" s="19">
        <v>35000</v>
      </c>
      <c r="BA48" s="19">
        <v>35000</v>
      </c>
      <c r="BB48" s="19">
        <v>35000</v>
      </c>
      <c r="BC48" s="19">
        <v>35000</v>
      </c>
      <c r="BD48" s="19">
        <v>35000</v>
      </c>
      <c r="BE48" s="19">
        <v>35000</v>
      </c>
      <c r="BF48" s="19">
        <v>35000</v>
      </c>
      <c r="BG48" s="19">
        <v>35000</v>
      </c>
      <c r="BH48" s="19">
        <v>35000</v>
      </c>
      <c r="BI48" s="19">
        <v>35000</v>
      </c>
      <c r="BJ48" s="19">
        <v>35000</v>
      </c>
      <c r="BK48" s="19">
        <v>35000</v>
      </c>
      <c r="BL48" s="19">
        <v>35000</v>
      </c>
      <c r="BM48" s="19">
        <v>35000</v>
      </c>
      <c r="BN48" s="19">
        <v>35000</v>
      </c>
      <c r="BO48" s="19">
        <v>35000</v>
      </c>
      <c r="BP48" s="19">
        <v>35000</v>
      </c>
      <c r="BQ48" s="19">
        <v>35000</v>
      </c>
      <c r="BR48" s="19">
        <v>35000</v>
      </c>
      <c r="BS48" s="19">
        <v>35000</v>
      </c>
      <c r="BT48" s="19">
        <v>35000</v>
      </c>
      <c r="BU48" s="19">
        <v>35000</v>
      </c>
      <c r="BV48" s="19">
        <v>35000</v>
      </c>
      <c r="BW48" s="19">
        <v>70000</v>
      </c>
      <c r="BX48" s="19">
        <v>70000</v>
      </c>
      <c r="BY48" s="19">
        <v>70000</v>
      </c>
      <c r="BZ48" s="19">
        <v>70000</v>
      </c>
      <c r="CA48" s="19">
        <v>70000</v>
      </c>
      <c r="CB48" s="19">
        <v>70000</v>
      </c>
      <c r="CC48" s="19">
        <v>70000</v>
      </c>
    </row>
    <row r="49" spans="1:81" x14ac:dyDescent="0.2">
      <c r="A49" s="14" t="s">
        <v>125</v>
      </c>
      <c r="B49" s="15">
        <f t="shared" ref="B49:AG49" si="36">SUM(B48)</f>
        <v>35000</v>
      </c>
      <c r="C49" s="15">
        <f t="shared" si="36"/>
        <v>35000</v>
      </c>
      <c r="D49" s="15">
        <f t="shared" si="36"/>
        <v>35000</v>
      </c>
      <c r="E49" s="15">
        <f t="shared" si="36"/>
        <v>35000</v>
      </c>
      <c r="F49" s="15">
        <f t="shared" si="36"/>
        <v>35000</v>
      </c>
      <c r="G49" s="15">
        <f t="shared" si="36"/>
        <v>35000</v>
      </c>
      <c r="H49" s="15">
        <f t="shared" si="36"/>
        <v>35000</v>
      </c>
      <c r="I49" s="15">
        <f t="shared" si="36"/>
        <v>35000</v>
      </c>
      <c r="J49" s="15">
        <f t="shared" si="36"/>
        <v>35000</v>
      </c>
      <c r="K49" s="15">
        <f t="shared" si="36"/>
        <v>35000</v>
      </c>
      <c r="L49" s="15">
        <f t="shared" si="36"/>
        <v>35000</v>
      </c>
      <c r="M49" s="15">
        <f t="shared" si="36"/>
        <v>35000</v>
      </c>
      <c r="N49" s="15">
        <f t="shared" si="36"/>
        <v>35000</v>
      </c>
      <c r="O49" s="15">
        <f t="shared" si="36"/>
        <v>35000</v>
      </c>
      <c r="P49" s="15">
        <f t="shared" si="36"/>
        <v>35000</v>
      </c>
      <c r="Q49" s="15">
        <f t="shared" si="36"/>
        <v>35000</v>
      </c>
      <c r="R49" s="15">
        <f t="shared" si="36"/>
        <v>35000</v>
      </c>
      <c r="S49" s="15">
        <f t="shared" si="36"/>
        <v>35000</v>
      </c>
      <c r="T49" s="15">
        <f t="shared" si="36"/>
        <v>35000</v>
      </c>
      <c r="U49" s="15">
        <f t="shared" si="36"/>
        <v>35000</v>
      </c>
      <c r="V49" s="15">
        <f t="shared" si="36"/>
        <v>35000</v>
      </c>
      <c r="W49" s="15">
        <f t="shared" si="36"/>
        <v>35000</v>
      </c>
      <c r="X49" s="15">
        <f t="shared" si="36"/>
        <v>35000</v>
      </c>
      <c r="Y49" s="15">
        <f t="shared" si="36"/>
        <v>35000</v>
      </c>
      <c r="Z49" s="15">
        <f t="shared" si="36"/>
        <v>35000</v>
      </c>
      <c r="AA49" s="15">
        <f t="shared" si="36"/>
        <v>35000</v>
      </c>
      <c r="AB49" s="15">
        <f t="shared" si="36"/>
        <v>35000</v>
      </c>
      <c r="AC49" s="15">
        <f t="shared" si="36"/>
        <v>35000</v>
      </c>
      <c r="AD49" s="15">
        <f t="shared" si="36"/>
        <v>35000</v>
      </c>
      <c r="AE49" s="15">
        <f t="shared" si="36"/>
        <v>35000</v>
      </c>
      <c r="AF49" s="15">
        <f t="shared" si="36"/>
        <v>35000</v>
      </c>
      <c r="AG49" s="15">
        <f t="shared" si="36"/>
        <v>35000</v>
      </c>
      <c r="AH49" s="15">
        <f t="shared" ref="AH49:BM49" si="37">SUM(AH48)</f>
        <v>35000</v>
      </c>
      <c r="AI49" s="15">
        <f t="shared" si="37"/>
        <v>35000</v>
      </c>
      <c r="AJ49" s="15">
        <f t="shared" si="37"/>
        <v>35000</v>
      </c>
      <c r="AK49" s="15">
        <f t="shared" si="37"/>
        <v>35000</v>
      </c>
      <c r="AL49" s="15">
        <f t="shared" si="37"/>
        <v>35000</v>
      </c>
      <c r="AM49" s="15">
        <f t="shared" si="37"/>
        <v>35000</v>
      </c>
      <c r="AN49" s="15">
        <f t="shared" si="37"/>
        <v>35000</v>
      </c>
      <c r="AO49" s="15">
        <f t="shared" si="37"/>
        <v>35000</v>
      </c>
      <c r="AP49" s="15">
        <f t="shared" si="37"/>
        <v>35000</v>
      </c>
      <c r="AQ49" s="15">
        <f t="shared" si="37"/>
        <v>35000</v>
      </c>
      <c r="AR49" s="15">
        <f t="shared" si="37"/>
        <v>35000</v>
      </c>
      <c r="AS49" s="15">
        <f t="shared" si="37"/>
        <v>35000</v>
      </c>
      <c r="AT49" s="15">
        <f t="shared" si="37"/>
        <v>35000</v>
      </c>
      <c r="AU49" s="15">
        <f t="shared" si="37"/>
        <v>35000</v>
      </c>
      <c r="AV49" s="15">
        <f t="shared" si="37"/>
        <v>35000</v>
      </c>
      <c r="AW49" s="15">
        <f t="shared" si="37"/>
        <v>35000</v>
      </c>
      <c r="AX49" s="15">
        <f t="shared" si="37"/>
        <v>35000</v>
      </c>
      <c r="AY49" s="15">
        <f t="shared" si="37"/>
        <v>35000</v>
      </c>
      <c r="AZ49" s="15">
        <f t="shared" si="37"/>
        <v>35000</v>
      </c>
      <c r="BA49" s="15">
        <f t="shared" si="37"/>
        <v>35000</v>
      </c>
      <c r="BB49" s="15">
        <f t="shared" si="37"/>
        <v>35000</v>
      </c>
      <c r="BC49" s="15">
        <f t="shared" si="37"/>
        <v>35000</v>
      </c>
      <c r="BD49" s="15">
        <f t="shared" si="37"/>
        <v>35000</v>
      </c>
      <c r="BE49" s="15">
        <f t="shared" si="37"/>
        <v>35000</v>
      </c>
      <c r="BF49" s="15">
        <f t="shared" si="37"/>
        <v>35000</v>
      </c>
      <c r="BG49" s="15">
        <f t="shared" si="37"/>
        <v>35000</v>
      </c>
      <c r="BH49" s="15">
        <f t="shared" si="37"/>
        <v>35000</v>
      </c>
      <c r="BI49" s="15">
        <f t="shared" si="37"/>
        <v>35000</v>
      </c>
      <c r="BJ49" s="15">
        <f t="shared" si="37"/>
        <v>35000</v>
      </c>
      <c r="BK49" s="15">
        <f t="shared" si="37"/>
        <v>35000</v>
      </c>
      <c r="BL49" s="15">
        <f t="shared" si="37"/>
        <v>35000</v>
      </c>
      <c r="BM49" s="15">
        <f t="shared" si="37"/>
        <v>35000</v>
      </c>
      <c r="BN49" s="15">
        <f t="shared" ref="BN49:CS49" si="38">SUM(BN48)</f>
        <v>35000</v>
      </c>
      <c r="BO49" s="15">
        <f t="shared" si="38"/>
        <v>35000</v>
      </c>
      <c r="BP49" s="15">
        <f t="shared" si="38"/>
        <v>35000</v>
      </c>
      <c r="BQ49" s="15">
        <f t="shared" si="38"/>
        <v>35000</v>
      </c>
      <c r="BR49" s="15">
        <f t="shared" si="38"/>
        <v>35000</v>
      </c>
      <c r="BS49" s="15">
        <f t="shared" si="38"/>
        <v>35000</v>
      </c>
      <c r="BT49" s="15">
        <f t="shared" si="38"/>
        <v>35000</v>
      </c>
      <c r="BU49" s="15">
        <f t="shared" si="38"/>
        <v>35000</v>
      </c>
      <c r="BV49" s="15">
        <f t="shared" si="38"/>
        <v>35000</v>
      </c>
      <c r="BW49" s="15">
        <f t="shared" si="38"/>
        <v>70000</v>
      </c>
      <c r="BX49" s="15">
        <f t="shared" si="38"/>
        <v>70000</v>
      </c>
      <c r="BY49" s="15">
        <f t="shared" si="38"/>
        <v>70000</v>
      </c>
      <c r="BZ49" s="15">
        <f t="shared" si="38"/>
        <v>70000</v>
      </c>
      <c r="CA49" s="15">
        <f t="shared" si="38"/>
        <v>70000</v>
      </c>
      <c r="CB49" s="15">
        <f t="shared" si="38"/>
        <v>70000</v>
      </c>
      <c r="CC49" s="15">
        <f t="shared" si="38"/>
        <v>70000</v>
      </c>
    </row>
    <row r="50" spans="1:81" x14ac:dyDescent="0.2">
      <c r="A50" s="14" t="s">
        <v>126</v>
      </c>
      <c r="B50" s="15">
        <f>98381.4500000001-B51</f>
        <v>98381.450000000099</v>
      </c>
      <c r="C50" s="15">
        <f>104132.59-C51</f>
        <v>104132.59</v>
      </c>
      <c r="D50" s="15">
        <f>108236.81-D51</f>
        <v>108236.81</v>
      </c>
      <c r="E50" s="15">
        <f>141302.46-E51</f>
        <v>141302.46</v>
      </c>
      <c r="F50" s="15">
        <f>161245.25-F51</f>
        <v>161245.25</v>
      </c>
      <c r="G50" s="15">
        <f>188503.79-G51</f>
        <v>188503.79</v>
      </c>
      <c r="H50" s="15">
        <f>184400.13-H51</f>
        <v>184400.13</v>
      </c>
      <c r="I50" s="15">
        <f>213762.59-I51</f>
        <v>213762.59</v>
      </c>
      <c r="J50" s="15">
        <f>293657.64-J51</f>
        <v>293657.64</v>
      </c>
      <c r="K50" s="15">
        <f>290207.17-K51</f>
        <v>290207.17</v>
      </c>
      <c r="L50" s="15">
        <f>302638.26-L51</f>
        <v>302638.26</v>
      </c>
      <c r="M50" s="15">
        <f>259074.54-M51</f>
        <v>259074.54</v>
      </c>
      <c r="N50" s="15">
        <f>256099.51-N51</f>
        <v>256099.51</v>
      </c>
      <c r="O50" s="15">
        <f>284232.45-O51</f>
        <v>284232.45</v>
      </c>
      <c r="P50" s="15">
        <f>282632.84-P51</f>
        <v>282632.84000000003</v>
      </c>
      <c r="Q50" s="15">
        <f>292848.17-Q51</f>
        <v>292848.17</v>
      </c>
      <c r="R50" s="15">
        <f>295959.08-R51</f>
        <v>295959.08</v>
      </c>
      <c r="S50" s="15">
        <f>291140.36-S51</f>
        <v>291140.36</v>
      </c>
      <c r="T50" s="15">
        <f>302024-T51</f>
        <v>302024</v>
      </c>
      <c r="U50" s="15">
        <f>291359.81-U51</f>
        <v>291359.81</v>
      </c>
      <c r="V50" s="15">
        <f>322035.240000001-V51</f>
        <v>322035.24000000098</v>
      </c>
      <c r="W50" s="15">
        <f>314143.96-W51</f>
        <v>314143.96000000002</v>
      </c>
      <c r="X50" s="15">
        <f>303154.49-X51</f>
        <v>303154.49</v>
      </c>
      <c r="Y50" s="15">
        <f>268338.87-Y51</f>
        <v>268338.87</v>
      </c>
      <c r="Z50" s="15">
        <f>285776.270000001-Z51</f>
        <v>285776.27000000101</v>
      </c>
      <c r="AA50" s="15">
        <f>278813.770000001-AA51</f>
        <v>278813.77000000101</v>
      </c>
      <c r="AB50" s="15">
        <f>254330.440000001-AB51</f>
        <v>254330.44000000099</v>
      </c>
      <c r="AC50" s="15">
        <f>244415.530000001-AC51</f>
        <v>244415.53000000099</v>
      </c>
      <c r="AD50" s="15">
        <f>247546.370000001-AD51</f>
        <v>247546.37000000101</v>
      </c>
      <c r="AE50" s="15">
        <f>250559.51-AE51</f>
        <v>250559.51</v>
      </c>
      <c r="AF50" s="15">
        <f>218146.34-AF51</f>
        <v>218146.34</v>
      </c>
      <c r="AG50" s="15">
        <f>195827.15-AG51</f>
        <v>195827.15</v>
      </c>
      <c r="AH50" s="15">
        <f>177760.08-AH51</f>
        <v>177760.08</v>
      </c>
      <c r="AI50" s="15">
        <f>191647.820000001-AI51</f>
        <v>191647.820000001</v>
      </c>
      <c r="AJ50" s="15">
        <f>199168.380000001-AJ51</f>
        <v>199168.38000000099</v>
      </c>
      <c r="AK50" s="15">
        <f>176974.290000001-AK51</f>
        <v>176974.290000001</v>
      </c>
      <c r="AL50" s="15">
        <f>159637.080000001-AL51</f>
        <v>159637.08000000101</v>
      </c>
      <c r="AM50" s="15">
        <f>157674.800000001-AM51</f>
        <v>157674.80000000101</v>
      </c>
      <c r="AN50" s="15">
        <f>121793.63-AN51</f>
        <v>121793.63</v>
      </c>
      <c r="AO50" s="15">
        <f>146188.86-AO51</f>
        <v>146188.85999999999</v>
      </c>
      <c r="AP50" s="15">
        <f>146411.67-AP51</f>
        <v>146411.67000000001</v>
      </c>
      <c r="AQ50" s="15">
        <f>144499.11-AQ51</f>
        <v>144499.10999999999</v>
      </c>
      <c r="AR50" s="15">
        <f>236705.44-AR51</f>
        <v>236705.44</v>
      </c>
      <c r="AS50" s="15">
        <f>189555.81-AS51</f>
        <v>189555.81</v>
      </c>
      <c r="AT50" s="15">
        <f>225647.99-AT51</f>
        <v>225647.99</v>
      </c>
      <c r="AU50" s="15">
        <f>202157.269999999-AU51</f>
        <v>202157.269999999</v>
      </c>
      <c r="AV50" s="15">
        <f>218507.26-AV51</f>
        <v>218507.26</v>
      </c>
      <c r="AW50" s="15">
        <f>107337.629999999-AW51</f>
        <v>107337.629999999</v>
      </c>
      <c r="AX50" s="15">
        <f>189885.789999999-AX51</f>
        <v>189885.78999999899</v>
      </c>
      <c r="AY50" s="15">
        <f>163949.519999999-AY51</f>
        <v>163949.519999999</v>
      </c>
      <c r="AZ50" s="15">
        <f>186029.379999998-AZ51</f>
        <v>186029.379999998</v>
      </c>
      <c r="BA50" s="15">
        <f>180161.209999999-BA51</f>
        <v>180161.209999999</v>
      </c>
      <c r="BB50" s="15">
        <f>149698.969999998-BB51</f>
        <v>149698.96999999799</v>
      </c>
      <c r="BC50" s="15">
        <f>157957.979999998-BC51</f>
        <v>157957.979999998</v>
      </c>
      <c r="BD50" s="15">
        <f>144596.239999998-BD51</f>
        <v>144596.23999999801</v>
      </c>
      <c r="BE50" s="15">
        <f>107125.189999999-BE51</f>
        <v>107125.189999999</v>
      </c>
      <c r="BF50" s="15">
        <f>185745.679999998-BF51</f>
        <v>185745.67999999801</v>
      </c>
      <c r="BG50" s="15">
        <f>186901.519999998-BG51</f>
        <v>186901.51999999801</v>
      </c>
      <c r="BH50" s="15">
        <f>272294.529999998-BH51</f>
        <v>272294.52999999799</v>
      </c>
      <c r="BI50" s="15">
        <f>255841.629999998-BI51</f>
        <v>255841.629999998</v>
      </c>
      <c r="BJ50" s="15">
        <f>209240.619999998-BJ51</f>
        <v>209240.61999999799</v>
      </c>
      <c r="BK50" s="15">
        <f>206173.719999998-BK51</f>
        <v>206173.71999999799</v>
      </c>
      <c r="BL50" s="15">
        <f>224439.769999997-BL51</f>
        <v>224439.76999999699</v>
      </c>
      <c r="BM50" s="15">
        <f>240026.479999997-BM51</f>
        <v>240026.47999999701</v>
      </c>
      <c r="BN50" s="15">
        <f>255885.379999997-BN51</f>
        <v>255885.37999999701</v>
      </c>
      <c r="BO50" s="15">
        <f>291664.059999996-BO51</f>
        <v>291664.05999999598</v>
      </c>
      <c r="BP50" s="15">
        <f>294051.529999996-BP51</f>
        <v>294051.52999999601</v>
      </c>
      <c r="BQ50" s="15">
        <f>334047.919999996-BQ51</f>
        <v>334047.91999999603</v>
      </c>
      <c r="BR50" s="15">
        <f>327639.449999997-BR51</f>
        <v>327639.44999999698</v>
      </c>
      <c r="BS50" s="15">
        <f>350275.169999997-BS51</f>
        <v>350275.16999999702</v>
      </c>
      <c r="BT50" s="15">
        <f>434281.509999997-BT51</f>
        <v>434281.50999999698</v>
      </c>
      <c r="BU50" s="15">
        <f>454324.289999996-BU51</f>
        <v>454324.28999999602</v>
      </c>
      <c r="BV50" s="15">
        <f>260600.119999997-BV51</f>
        <v>260600.119999997</v>
      </c>
      <c r="BW50" s="15">
        <f>521210.399999996-BW51</f>
        <v>521200.23999999603</v>
      </c>
      <c r="BX50" s="15">
        <f>520566.959999994-BX51</f>
        <v>521200.239999994</v>
      </c>
      <c r="BY50" s="15">
        <f>661101.649999994-BY51</f>
        <v>521200.23999999394</v>
      </c>
      <c r="BZ50" s="15">
        <f>712821.409999993-BZ51</f>
        <v>521200.23999999306</v>
      </c>
      <c r="CA50" s="15">
        <f>701373.749999992-CA51</f>
        <v>521200.23999999196</v>
      </c>
      <c r="CB50" s="15">
        <f>625874.359999993-CB51</f>
        <v>521200.23999999301</v>
      </c>
      <c r="CC50" s="15">
        <f>625874.359999993-CC51</f>
        <v>521200.23999999301</v>
      </c>
    </row>
    <row r="51" spans="1:81" x14ac:dyDescent="0.2">
      <c r="A51" s="7" t="s">
        <v>127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0</v>
      </c>
      <c r="BM51" s="19">
        <v>0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>
        <v>0</v>
      </c>
      <c r="BW51" s="19">
        <v>10.160000000003492</v>
      </c>
      <c r="BX51" s="19">
        <v>-633.27999999997701</v>
      </c>
      <c r="BY51" s="19">
        <v>139901.41</v>
      </c>
      <c r="BZ51" s="19">
        <v>191621.16999999998</v>
      </c>
      <c r="CA51" s="19">
        <v>180173.50999999998</v>
      </c>
      <c r="CB51" s="19">
        <v>104674.11999999997</v>
      </c>
      <c r="CC51" s="19">
        <v>104674.11999999997</v>
      </c>
    </row>
    <row r="52" spans="1:81" x14ac:dyDescent="0.2">
      <c r="A52" s="16" t="s">
        <v>128</v>
      </c>
      <c r="B52" s="17">
        <f t="shared" ref="B52:AG52" si="39">B49+0+0+B50+0+B51</f>
        <v>133381.4500000001</v>
      </c>
      <c r="C52" s="17">
        <f t="shared" si="39"/>
        <v>139132.59</v>
      </c>
      <c r="D52" s="17">
        <f t="shared" si="39"/>
        <v>143236.81</v>
      </c>
      <c r="E52" s="17">
        <f t="shared" si="39"/>
        <v>176302.46</v>
      </c>
      <c r="F52" s="17">
        <f t="shared" si="39"/>
        <v>196245.25</v>
      </c>
      <c r="G52" s="17">
        <f t="shared" si="39"/>
        <v>223503.79</v>
      </c>
      <c r="H52" s="17">
        <f t="shared" si="39"/>
        <v>219400.13</v>
      </c>
      <c r="I52" s="17">
        <f t="shared" si="39"/>
        <v>248762.59</v>
      </c>
      <c r="J52" s="17">
        <f t="shared" si="39"/>
        <v>328657.64</v>
      </c>
      <c r="K52" s="17">
        <f t="shared" si="39"/>
        <v>325207.17</v>
      </c>
      <c r="L52" s="17">
        <f t="shared" si="39"/>
        <v>337638.26</v>
      </c>
      <c r="M52" s="17">
        <f t="shared" si="39"/>
        <v>294074.54000000004</v>
      </c>
      <c r="N52" s="17">
        <f t="shared" si="39"/>
        <v>291099.51</v>
      </c>
      <c r="O52" s="17">
        <f t="shared" si="39"/>
        <v>319232.45</v>
      </c>
      <c r="P52" s="17">
        <f t="shared" si="39"/>
        <v>317632.84000000003</v>
      </c>
      <c r="Q52" s="17">
        <f t="shared" si="39"/>
        <v>327848.17</v>
      </c>
      <c r="R52" s="17">
        <f t="shared" si="39"/>
        <v>330959.08</v>
      </c>
      <c r="S52" s="17">
        <f t="shared" si="39"/>
        <v>326140.36</v>
      </c>
      <c r="T52" s="17">
        <f t="shared" si="39"/>
        <v>337024</v>
      </c>
      <c r="U52" s="17">
        <f t="shared" si="39"/>
        <v>326359.81</v>
      </c>
      <c r="V52" s="17">
        <f t="shared" si="39"/>
        <v>357035.24000000098</v>
      </c>
      <c r="W52" s="17">
        <f t="shared" si="39"/>
        <v>349143.96</v>
      </c>
      <c r="X52" s="17">
        <f t="shared" si="39"/>
        <v>338154.49</v>
      </c>
      <c r="Y52" s="17">
        <f t="shared" si="39"/>
        <v>303338.87</v>
      </c>
      <c r="Z52" s="17">
        <f t="shared" si="39"/>
        <v>320776.27000000101</v>
      </c>
      <c r="AA52" s="17">
        <f t="shared" si="39"/>
        <v>313813.77000000101</v>
      </c>
      <c r="AB52" s="17">
        <f t="shared" si="39"/>
        <v>289330.44000000099</v>
      </c>
      <c r="AC52" s="17">
        <f t="shared" si="39"/>
        <v>279415.53000000096</v>
      </c>
      <c r="AD52" s="17">
        <f t="shared" si="39"/>
        <v>282546.37000000104</v>
      </c>
      <c r="AE52" s="17">
        <f t="shared" si="39"/>
        <v>285559.51</v>
      </c>
      <c r="AF52" s="17">
        <f t="shared" si="39"/>
        <v>253146.34</v>
      </c>
      <c r="AG52" s="17">
        <f t="shared" si="39"/>
        <v>230827.15</v>
      </c>
      <c r="AH52" s="17">
        <f t="shared" ref="AH52:BM52" si="40">AH49+0+0+AH50+0+AH51</f>
        <v>212760.08</v>
      </c>
      <c r="AI52" s="17">
        <f t="shared" si="40"/>
        <v>226647.820000001</v>
      </c>
      <c r="AJ52" s="17">
        <f t="shared" si="40"/>
        <v>234168.38000000099</v>
      </c>
      <c r="AK52" s="17">
        <f t="shared" si="40"/>
        <v>211974.290000001</v>
      </c>
      <c r="AL52" s="17">
        <f t="shared" si="40"/>
        <v>194637.08000000101</v>
      </c>
      <c r="AM52" s="17">
        <f t="shared" si="40"/>
        <v>192674.80000000101</v>
      </c>
      <c r="AN52" s="17">
        <f t="shared" si="40"/>
        <v>156793.63</v>
      </c>
      <c r="AO52" s="17">
        <f t="shared" si="40"/>
        <v>181188.86</v>
      </c>
      <c r="AP52" s="17">
        <f t="shared" si="40"/>
        <v>181411.67</v>
      </c>
      <c r="AQ52" s="17">
        <f t="shared" si="40"/>
        <v>179499.11</v>
      </c>
      <c r="AR52" s="17">
        <f t="shared" si="40"/>
        <v>271705.44</v>
      </c>
      <c r="AS52" s="17">
        <f t="shared" si="40"/>
        <v>224555.81</v>
      </c>
      <c r="AT52" s="17">
        <f t="shared" si="40"/>
        <v>260647.99</v>
      </c>
      <c r="AU52" s="17">
        <f t="shared" si="40"/>
        <v>237157.269999999</v>
      </c>
      <c r="AV52" s="17">
        <f t="shared" si="40"/>
        <v>253507.26</v>
      </c>
      <c r="AW52" s="17">
        <f t="shared" si="40"/>
        <v>142337.62999999902</v>
      </c>
      <c r="AX52" s="17">
        <f t="shared" si="40"/>
        <v>224885.78999999899</v>
      </c>
      <c r="AY52" s="17">
        <f t="shared" si="40"/>
        <v>198949.519999999</v>
      </c>
      <c r="AZ52" s="17">
        <f t="shared" si="40"/>
        <v>221029.379999998</v>
      </c>
      <c r="BA52" s="17">
        <f t="shared" si="40"/>
        <v>215161.209999999</v>
      </c>
      <c r="BB52" s="17">
        <f t="shared" si="40"/>
        <v>184698.96999999799</v>
      </c>
      <c r="BC52" s="17">
        <f t="shared" si="40"/>
        <v>192957.979999998</v>
      </c>
      <c r="BD52" s="17">
        <f t="shared" si="40"/>
        <v>179596.23999999801</v>
      </c>
      <c r="BE52" s="17">
        <f t="shared" si="40"/>
        <v>142125.18999999901</v>
      </c>
      <c r="BF52" s="17">
        <f t="shared" si="40"/>
        <v>220745.67999999801</v>
      </c>
      <c r="BG52" s="17">
        <f t="shared" si="40"/>
        <v>221901.51999999801</v>
      </c>
      <c r="BH52" s="17">
        <f t="shared" si="40"/>
        <v>307294.52999999799</v>
      </c>
      <c r="BI52" s="17">
        <f t="shared" si="40"/>
        <v>290841.62999999803</v>
      </c>
      <c r="BJ52" s="17">
        <f t="shared" si="40"/>
        <v>244240.61999999799</v>
      </c>
      <c r="BK52" s="17">
        <f t="shared" si="40"/>
        <v>241173.71999999799</v>
      </c>
      <c r="BL52" s="17">
        <f t="shared" si="40"/>
        <v>259439.76999999699</v>
      </c>
      <c r="BM52" s="17">
        <f t="shared" si="40"/>
        <v>275026.47999999701</v>
      </c>
      <c r="BN52" s="17">
        <f t="shared" ref="BN52:CS52" si="41">BN49+0+0+BN50+0+BN51</f>
        <v>290885.37999999698</v>
      </c>
      <c r="BO52" s="17">
        <f t="shared" si="41"/>
        <v>326664.05999999598</v>
      </c>
      <c r="BP52" s="17">
        <f t="shared" si="41"/>
        <v>329051.52999999601</v>
      </c>
      <c r="BQ52" s="17">
        <f t="shared" si="41"/>
        <v>369047.91999999603</v>
      </c>
      <c r="BR52" s="17">
        <f t="shared" si="41"/>
        <v>362639.44999999698</v>
      </c>
      <c r="BS52" s="17">
        <f t="shared" si="41"/>
        <v>385275.16999999702</v>
      </c>
      <c r="BT52" s="17">
        <f t="shared" si="41"/>
        <v>469281.50999999698</v>
      </c>
      <c r="BU52" s="17">
        <f t="shared" si="41"/>
        <v>489324.28999999602</v>
      </c>
      <c r="BV52" s="17">
        <f t="shared" si="41"/>
        <v>295600.11999999697</v>
      </c>
      <c r="BW52" s="17">
        <f t="shared" si="41"/>
        <v>591210.39999999607</v>
      </c>
      <c r="BX52" s="17">
        <f t="shared" si="41"/>
        <v>590566.95999999391</v>
      </c>
      <c r="BY52" s="17">
        <f t="shared" si="41"/>
        <v>731101.64999999397</v>
      </c>
      <c r="BZ52" s="17">
        <f t="shared" si="41"/>
        <v>782821.40999999293</v>
      </c>
      <c r="CA52" s="17">
        <f t="shared" si="41"/>
        <v>771373.74999999197</v>
      </c>
      <c r="CB52" s="17">
        <f t="shared" si="41"/>
        <v>695874.359999993</v>
      </c>
      <c r="CC52" s="17">
        <f t="shared" si="41"/>
        <v>695874.359999993</v>
      </c>
    </row>
    <row r="53" spans="1:81" x14ac:dyDescent="0.2">
      <c r="A53" s="1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</row>
    <row r="54" spans="1:81" ht="12" x14ac:dyDescent="0.2">
      <c r="A54" s="5" t="s">
        <v>129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</row>
    <row r="55" spans="1:81" x14ac:dyDescent="0.2">
      <c r="A55" s="7" t="s">
        <v>130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</row>
    <row r="56" spans="1:81" x14ac:dyDescent="0.2">
      <c r="A56" s="25" t="s">
        <v>131</v>
      </c>
      <c r="B56" s="19">
        <v>32339</v>
      </c>
      <c r="C56" s="19">
        <v>32339</v>
      </c>
      <c r="D56" s="19">
        <v>32339</v>
      </c>
      <c r="E56" s="19">
        <v>32339</v>
      </c>
      <c r="F56" s="19">
        <v>32339</v>
      </c>
      <c r="G56" s="19">
        <v>32339</v>
      </c>
      <c r="H56" s="19">
        <v>32339</v>
      </c>
      <c r="I56" s="19">
        <v>32339</v>
      </c>
      <c r="J56" s="19">
        <v>32339</v>
      </c>
      <c r="K56" s="19">
        <v>0</v>
      </c>
      <c r="L56" s="19">
        <v>0</v>
      </c>
      <c r="M56" s="19">
        <v>0</v>
      </c>
      <c r="N56" s="19">
        <v>16513</v>
      </c>
      <c r="O56" s="19">
        <v>16513</v>
      </c>
      <c r="P56" s="19">
        <v>16513</v>
      </c>
      <c r="Q56" s="19">
        <v>16513</v>
      </c>
      <c r="R56" s="19">
        <v>16513</v>
      </c>
      <c r="S56" s="19">
        <v>16513</v>
      </c>
      <c r="T56" s="19">
        <v>16513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2081</v>
      </c>
      <c r="BX56" s="19">
        <v>2081</v>
      </c>
      <c r="BY56" s="19">
        <v>2081</v>
      </c>
      <c r="BZ56" s="19">
        <v>2081</v>
      </c>
      <c r="CA56" s="19">
        <v>2081</v>
      </c>
      <c r="CB56" s="19">
        <v>2081</v>
      </c>
      <c r="CC56" s="19">
        <v>2081</v>
      </c>
    </row>
    <row r="57" spans="1:81" x14ac:dyDescent="0.2">
      <c r="A57" s="14" t="s">
        <v>132</v>
      </c>
      <c r="B57" s="15">
        <f t="shared" ref="B57:AG57" si="42">SUM(B56)</f>
        <v>32339</v>
      </c>
      <c r="C57" s="15">
        <f t="shared" si="42"/>
        <v>32339</v>
      </c>
      <c r="D57" s="15">
        <f t="shared" si="42"/>
        <v>32339</v>
      </c>
      <c r="E57" s="15">
        <f t="shared" si="42"/>
        <v>32339</v>
      </c>
      <c r="F57" s="15">
        <f t="shared" si="42"/>
        <v>32339</v>
      </c>
      <c r="G57" s="15">
        <f t="shared" si="42"/>
        <v>32339</v>
      </c>
      <c r="H57" s="15">
        <f t="shared" si="42"/>
        <v>32339</v>
      </c>
      <c r="I57" s="15">
        <f t="shared" si="42"/>
        <v>32339</v>
      </c>
      <c r="J57" s="15">
        <f t="shared" si="42"/>
        <v>32339</v>
      </c>
      <c r="K57" s="15">
        <f t="shared" si="42"/>
        <v>0</v>
      </c>
      <c r="L57" s="15">
        <f t="shared" si="42"/>
        <v>0</v>
      </c>
      <c r="M57" s="15">
        <f t="shared" si="42"/>
        <v>0</v>
      </c>
      <c r="N57" s="15">
        <f t="shared" si="42"/>
        <v>16513</v>
      </c>
      <c r="O57" s="15">
        <f t="shared" si="42"/>
        <v>16513</v>
      </c>
      <c r="P57" s="15">
        <f t="shared" si="42"/>
        <v>16513</v>
      </c>
      <c r="Q57" s="15">
        <f t="shared" si="42"/>
        <v>16513</v>
      </c>
      <c r="R57" s="15">
        <f t="shared" si="42"/>
        <v>16513</v>
      </c>
      <c r="S57" s="15">
        <f t="shared" si="42"/>
        <v>16513</v>
      </c>
      <c r="T57" s="15">
        <f t="shared" si="42"/>
        <v>16513</v>
      </c>
      <c r="U57" s="15">
        <f t="shared" si="42"/>
        <v>0</v>
      </c>
      <c r="V57" s="15">
        <f t="shared" si="42"/>
        <v>0</v>
      </c>
      <c r="W57" s="15">
        <f t="shared" si="42"/>
        <v>0</v>
      </c>
      <c r="X57" s="15">
        <f t="shared" si="42"/>
        <v>0</v>
      </c>
      <c r="Y57" s="15">
        <f t="shared" si="42"/>
        <v>0</v>
      </c>
      <c r="Z57" s="15">
        <f t="shared" si="42"/>
        <v>0</v>
      </c>
      <c r="AA57" s="15">
        <f t="shared" si="42"/>
        <v>0</v>
      </c>
      <c r="AB57" s="15">
        <f t="shared" si="42"/>
        <v>0</v>
      </c>
      <c r="AC57" s="15">
        <f t="shared" si="42"/>
        <v>0</v>
      </c>
      <c r="AD57" s="15">
        <f t="shared" si="42"/>
        <v>0</v>
      </c>
      <c r="AE57" s="15">
        <f t="shared" si="42"/>
        <v>0</v>
      </c>
      <c r="AF57" s="15">
        <f t="shared" si="42"/>
        <v>0</v>
      </c>
      <c r="AG57" s="15">
        <f t="shared" si="42"/>
        <v>0</v>
      </c>
      <c r="AH57" s="15">
        <f t="shared" ref="AH57:BM57" si="43">SUM(AH56)</f>
        <v>0</v>
      </c>
      <c r="AI57" s="15">
        <f t="shared" si="43"/>
        <v>0</v>
      </c>
      <c r="AJ57" s="15">
        <f t="shared" si="43"/>
        <v>0</v>
      </c>
      <c r="AK57" s="15">
        <f t="shared" si="43"/>
        <v>0</v>
      </c>
      <c r="AL57" s="15">
        <f t="shared" si="43"/>
        <v>0</v>
      </c>
      <c r="AM57" s="15">
        <f t="shared" si="43"/>
        <v>0</v>
      </c>
      <c r="AN57" s="15">
        <f t="shared" si="43"/>
        <v>0</v>
      </c>
      <c r="AO57" s="15">
        <f t="shared" si="43"/>
        <v>0</v>
      </c>
      <c r="AP57" s="15">
        <f t="shared" si="43"/>
        <v>0</v>
      </c>
      <c r="AQ57" s="15">
        <f t="shared" si="43"/>
        <v>0</v>
      </c>
      <c r="AR57" s="15">
        <f t="shared" si="43"/>
        <v>0</v>
      </c>
      <c r="AS57" s="15">
        <f t="shared" si="43"/>
        <v>0</v>
      </c>
      <c r="AT57" s="15">
        <f t="shared" si="43"/>
        <v>0</v>
      </c>
      <c r="AU57" s="15">
        <f t="shared" si="43"/>
        <v>0</v>
      </c>
      <c r="AV57" s="15">
        <f t="shared" si="43"/>
        <v>0</v>
      </c>
      <c r="AW57" s="15">
        <f t="shared" si="43"/>
        <v>0</v>
      </c>
      <c r="AX57" s="15">
        <f t="shared" si="43"/>
        <v>0</v>
      </c>
      <c r="AY57" s="15">
        <f t="shared" si="43"/>
        <v>0</v>
      </c>
      <c r="AZ57" s="15">
        <f t="shared" si="43"/>
        <v>0</v>
      </c>
      <c r="BA57" s="15">
        <f t="shared" si="43"/>
        <v>0</v>
      </c>
      <c r="BB57" s="15">
        <f t="shared" si="43"/>
        <v>0</v>
      </c>
      <c r="BC57" s="15">
        <f t="shared" si="43"/>
        <v>0</v>
      </c>
      <c r="BD57" s="15">
        <f t="shared" si="43"/>
        <v>0</v>
      </c>
      <c r="BE57" s="15">
        <f t="shared" si="43"/>
        <v>0</v>
      </c>
      <c r="BF57" s="15">
        <f t="shared" si="43"/>
        <v>0</v>
      </c>
      <c r="BG57" s="15">
        <f t="shared" si="43"/>
        <v>0</v>
      </c>
      <c r="BH57" s="15">
        <f t="shared" si="43"/>
        <v>0</v>
      </c>
      <c r="BI57" s="15">
        <f t="shared" si="43"/>
        <v>0</v>
      </c>
      <c r="BJ57" s="15">
        <f t="shared" si="43"/>
        <v>0</v>
      </c>
      <c r="BK57" s="15">
        <f t="shared" si="43"/>
        <v>0</v>
      </c>
      <c r="BL57" s="15">
        <f t="shared" si="43"/>
        <v>0</v>
      </c>
      <c r="BM57" s="15">
        <f t="shared" si="43"/>
        <v>0</v>
      </c>
      <c r="BN57" s="15">
        <f t="shared" ref="BN57:CS57" si="44">SUM(BN56)</f>
        <v>0</v>
      </c>
      <c r="BO57" s="15">
        <f t="shared" si="44"/>
        <v>0</v>
      </c>
      <c r="BP57" s="15">
        <f t="shared" si="44"/>
        <v>0</v>
      </c>
      <c r="BQ57" s="15">
        <f t="shared" si="44"/>
        <v>0</v>
      </c>
      <c r="BR57" s="15">
        <f t="shared" si="44"/>
        <v>0</v>
      </c>
      <c r="BS57" s="15">
        <f t="shared" si="44"/>
        <v>0</v>
      </c>
      <c r="BT57" s="15">
        <f t="shared" si="44"/>
        <v>0</v>
      </c>
      <c r="BU57" s="15">
        <f t="shared" si="44"/>
        <v>0</v>
      </c>
      <c r="BV57" s="15">
        <f t="shared" si="44"/>
        <v>0</v>
      </c>
      <c r="BW57" s="15">
        <f t="shared" si="44"/>
        <v>2081</v>
      </c>
      <c r="BX57" s="15">
        <f t="shared" si="44"/>
        <v>2081</v>
      </c>
      <c r="BY57" s="15">
        <f t="shared" si="44"/>
        <v>2081</v>
      </c>
      <c r="BZ57" s="15">
        <f t="shared" si="44"/>
        <v>2081</v>
      </c>
      <c r="CA57" s="15">
        <f t="shared" si="44"/>
        <v>2081</v>
      </c>
      <c r="CB57" s="15">
        <f t="shared" si="44"/>
        <v>2081</v>
      </c>
      <c r="CC57" s="15">
        <f t="shared" si="44"/>
        <v>2081</v>
      </c>
    </row>
    <row r="58" spans="1:81" x14ac:dyDescent="0.2">
      <c r="A58" s="7" t="s">
        <v>133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</row>
    <row r="59" spans="1:81" x14ac:dyDescent="0.2">
      <c r="A59" s="25" t="s">
        <v>134</v>
      </c>
      <c r="B59" s="19">
        <v>10480.27</v>
      </c>
      <c r="C59" s="19">
        <v>10480.27</v>
      </c>
      <c r="D59" s="19">
        <v>10480.27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40776.32</v>
      </c>
      <c r="O59" s="19">
        <v>40776.32</v>
      </c>
      <c r="P59" s="19">
        <v>40776.32</v>
      </c>
      <c r="Q59" s="19">
        <v>40776.32</v>
      </c>
      <c r="R59" s="19">
        <v>40776.32</v>
      </c>
      <c r="S59" s="19">
        <v>40776.32</v>
      </c>
      <c r="T59" s="19">
        <v>40776.32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12700</v>
      </c>
      <c r="AA59" s="19">
        <v>12700</v>
      </c>
      <c r="AB59" s="19">
        <v>12700</v>
      </c>
      <c r="AC59" s="19">
        <v>12700</v>
      </c>
      <c r="AD59" s="19">
        <v>169.29999999999927</v>
      </c>
      <c r="AE59" s="19">
        <v>169.29999999999927</v>
      </c>
      <c r="AF59" s="19">
        <v>-7.3896444519050419E-13</v>
      </c>
      <c r="AG59" s="19">
        <v>-7.3896444519050419E-13</v>
      </c>
      <c r="AH59" s="19">
        <v>-7.3896444519050419E-13</v>
      </c>
      <c r="AI59" s="19">
        <v>-7.3896444519050419E-13</v>
      </c>
      <c r="AJ59" s="19">
        <v>-7.3896444519050419E-13</v>
      </c>
      <c r="AK59" s="19">
        <v>-7.3896444519050419E-13</v>
      </c>
      <c r="AL59" s="19">
        <v>17671</v>
      </c>
      <c r="AM59" s="19">
        <v>17671</v>
      </c>
      <c r="AN59" s="19">
        <v>17671</v>
      </c>
      <c r="AO59" s="19">
        <v>-654.70999999999913</v>
      </c>
      <c r="AP59" s="19">
        <v>9.0949470177292824E-13</v>
      </c>
      <c r="AQ59" s="19">
        <v>9.0949470177292824E-13</v>
      </c>
      <c r="AR59" s="19">
        <v>9.0949470177292824E-13</v>
      </c>
      <c r="AS59" s="19">
        <v>9.0949470177292824E-13</v>
      </c>
      <c r="AT59" s="19">
        <v>9.0949470177292824E-13</v>
      </c>
      <c r="AU59" s="19">
        <v>9.0949470177292824E-13</v>
      </c>
      <c r="AV59" s="19">
        <v>9.0949470177292824E-13</v>
      </c>
      <c r="AW59" s="19">
        <v>9.0949470177292824E-13</v>
      </c>
      <c r="AX59" s="19">
        <v>28400</v>
      </c>
      <c r="AY59" s="19">
        <v>28400</v>
      </c>
      <c r="AZ59" s="19">
        <v>28400</v>
      </c>
      <c r="BA59" s="19">
        <v>91.720000000001164</v>
      </c>
      <c r="BB59" s="19">
        <v>1.1652900866465643E-12</v>
      </c>
      <c r="BC59" s="19">
        <v>1.1652900866465643E-12</v>
      </c>
      <c r="BD59" s="19">
        <v>1.1652900866465643E-12</v>
      </c>
      <c r="BE59" s="19">
        <v>1.1652900866465643E-12</v>
      </c>
      <c r="BF59" s="19">
        <v>1.1652900866465643E-12</v>
      </c>
      <c r="BG59" s="19">
        <v>1.1652900866465643E-12</v>
      </c>
      <c r="BH59" s="19">
        <v>1.1652900866465643E-12</v>
      </c>
      <c r="BI59" s="19">
        <v>1.1652900866465643E-12</v>
      </c>
      <c r="BJ59" s="19">
        <v>23600</v>
      </c>
      <c r="BK59" s="19">
        <v>23600</v>
      </c>
      <c r="BL59" s="19">
        <v>23600</v>
      </c>
      <c r="BM59" s="19">
        <v>23600</v>
      </c>
      <c r="BN59" s="19">
        <v>0</v>
      </c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>
        <v>2081</v>
      </c>
      <c r="BW59" s="19">
        <v>2081</v>
      </c>
      <c r="BX59" s="19">
        <v>2081</v>
      </c>
      <c r="BY59" s="19">
        <v>2081</v>
      </c>
      <c r="BZ59" s="19">
        <v>2081</v>
      </c>
      <c r="CA59" s="19">
        <v>2081</v>
      </c>
      <c r="CB59" s="19">
        <v>2081</v>
      </c>
      <c r="CC59" s="19">
        <v>2081</v>
      </c>
    </row>
    <row r="60" spans="1:81" x14ac:dyDescent="0.2">
      <c r="A60" s="25" t="s">
        <v>135</v>
      </c>
      <c r="B60" s="19">
        <v>2500</v>
      </c>
      <c r="C60" s="19">
        <v>2500</v>
      </c>
      <c r="D60" s="19">
        <v>2500</v>
      </c>
      <c r="E60" s="19">
        <v>2500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3850</v>
      </c>
      <c r="O60" s="19">
        <v>3850</v>
      </c>
      <c r="P60" s="19">
        <v>3850</v>
      </c>
      <c r="Q60" s="19">
        <v>3850</v>
      </c>
      <c r="R60" s="19">
        <v>3850</v>
      </c>
      <c r="S60" s="19">
        <v>3850</v>
      </c>
      <c r="T60" s="19">
        <v>3850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4500</v>
      </c>
      <c r="AA60" s="19">
        <v>4500</v>
      </c>
      <c r="AB60" s="19">
        <v>4500</v>
      </c>
      <c r="AC60" s="19">
        <v>4500</v>
      </c>
      <c r="AD60" s="19">
        <v>4500</v>
      </c>
      <c r="AE60" s="19">
        <v>4500</v>
      </c>
      <c r="AF60" s="19">
        <v>4500</v>
      </c>
      <c r="AG60" s="19">
        <v>4500</v>
      </c>
      <c r="AH60" s="19">
        <v>4500</v>
      </c>
      <c r="AI60" s="19">
        <v>4500</v>
      </c>
      <c r="AJ60" s="19">
        <v>4500</v>
      </c>
      <c r="AK60" s="19">
        <v>4500</v>
      </c>
      <c r="AL60" s="19">
        <v>4300</v>
      </c>
      <c r="AM60" s="19">
        <v>4300</v>
      </c>
      <c r="AN60" s="19">
        <v>4300</v>
      </c>
      <c r="AO60" s="19">
        <v>4300</v>
      </c>
      <c r="AP60" s="19">
        <v>4300</v>
      </c>
      <c r="AQ60" s="19">
        <v>4300</v>
      </c>
      <c r="AR60" s="19">
        <v>4300</v>
      </c>
      <c r="AS60" s="19">
        <v>325</v>
      </c>
      <c r="AT60" s="19">
        <v>325</v>
      </c>
      <c r="AU60" s="19">
        <v>325</v>
      </c>
      <c r="AV60" s="19">
        <v>325</v>
      </c>
      <c r="AW60" s="19">
        <v>325</v>
      </c>
      <c r="AX60" s="19">
        <v>4200</v>
      </c>
      <c r="AY60" s="19">
        <v>4200</v>
      </c>
      <c r="AZ60" s="19">
        <v>4200</v>
      </c>
      <c r="BA60" s="19">
        <v>4200</v>
      </c>
      <c r="BB60" s="19">
        <v>4200</v>
      </c>
      <c r="BC60" s="19">
        <v>4200</v>
      </c>
      <c r="BD60" s="19">
        <v>4200</v>
      </c>
      <c r="BE60" s="19">
        <v>4200</v>
      </c>
      <c r="BF60" s="19">
        <v>4200</v>
      </c>
      <c r="BG60" s="19">
        <v>4200</v>
      </c>
      <c r="BH60" s="19">
        <v>0</v>
      </c>
      <c r="BI60" s="19">
        <v>0</v>
      </c>
      <c r="BJ60" s="19">
        <v>4500</v>
      </c>
      <c r="BK60" s="19">
        <v>4500</v>
      </c>
      <c r="BL60" s="19">
        <v>4500</v>
      </c>
      <c r="BM60" s="19">
        <v>4500</v>
      </c>
      <c r="BN60" s="19">
        <v>4500</v>
      </c>
      <c r="BO60" s="19">
        <v>4500</v>
      </c>
      <c r="BP60" s="19">
        <v>4500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>
        <v>4900</v>
      </c>
      <c r="BW60" s="19">
        <v>9800</v>
      </c>
      <c r="BX60" s="19">
        <v>9800</v>
      </c>
      <c r="BY60" s="19">
        <v>9800</v>
      </c>
      <c r="BZ60" s="19">
        <v>9800</v>
      </c>
      <c r="CA60" s="19">
        <v>9800</v>
      </c>
      <c r="CB60" s="19">
        <v>9800</v>
      </c>
      <c r="CC60" s="19">
        <v>9800</v>
      </c>
    </row>
    <row r="61" spans="1:81" x14ac:dyDescent="0.2">
      <c r="A61" s="14" t="s">
        <v>136</v>
      </c>
      <c r="B61" s="15">
        <f t="shared" ref="B61:AG61" si="45">SUM(B59:B60)</f>
        <v>12980.27</v>
      </c>
      <c r="C61" s="15">
        <f t="shared" si="45"/>
        <v>12980.27</v>
      </c>
      <c r="D61" s="15">
        <f t="shared" si="45"/>
        <v>12980.27</v>
      </c>
      <c r="E61" s="15">
        <f t="shared" si="45"/>
        <v>2500</v>
      </c>
      <c r="F61" s="15">
        <f t="shared" si="45"/>
        <v>0</v>
      </c>
      <c r="G61" s="15">
        <f t="shared" si="45"/>
        <v>0</v>
      </c>
      <c r="H61" s="15">
        <f t="shared" si="45"/>
        <v>0</v>
      </c>
      <c r="I61" s="15">
        <f t="shared" si="45"/>
        <v>0</v>
      </c>
      <c r="J61" s="15">
        <f t="shared" si="45"/>
        <v>0</v>
      </c>
      <c r="K61" s="15">
        <f t="shared" si="45"/>
        <v>0</v>
      </c>
      <c r="L61" s="15">
        <f t="shared" si="45"/>
        <v>0</v>
      </c>
      <c r="M61" s="15">
        <f t="shared" si="45"/>
        <v>0</v>
      </c>
      <c r="N61" s="15">
        <f t="shared" si="45"/>
        <v>44626.32</v>
      </c>
      <c r="O61" s="15">
        <f t="shared" si="45"/>
        <v>44626.32</v>
      </c>
      <c r="P61" s="15">
        <f t="shared" si="45"/>
        <v>44626.32</v>
      </c>
      <c r="Q61" s="15">
        <f t="shared" si="45"/>
        <v>44626.32</v>
      </c>
      <c r="R61" s="15">
        <f t="shared" si="45"/>
        <v>44626.32</v>
      </c>
      <c r="S61" s="15">
        <f t="shared" si="45"/>
        <v>44626.32</v>
      </c>
      <c r="T61" s="15">
        <f t="shared" si="45"/>
        <v>44626.32</v>
      </c>
      <c r="U61" s="15">
        <f t="shared" si="45"/>
        <v>0</v>
      </c>
      <c r="V61" s="15">
        <f t="shared" si="45"/>
        <v>0</v>
      </c>
      <c r="W61" s="15">
        <f t="shared" si="45"/>
        <v>0</v>
      </c>
      <c r="X61" s="15">
        <f t="shared" si="45"/>
        <v>0</v>
      </c>
      <c r="Y61" s="15">
        <f t="shared" si="45"/>
        <v>0</v>
      </c>
      <c r="Z61" s="15">
        <f t="shared" si="45"/>
        <v>17200</v>
      </c>
      <c r="AA61" s="15">
        <f t="shared" si="45"/>
        <v>17200</v>
      </c>
      <c r="AB61" s="15">
        <f t="shared" si="45"/>
        <v>17200</v>
      </c>
      <c r="AC61" s="15">
        <f t="shared" si="45"/>
        <v>17200</v>
      </c>
      <c r="AD61" s="15">
        <f t="shared" si="45"/>
        <v>4669.2999999999993</v>
      </c>
      <c r="AE61" s="15">
        <f t="shared" si="45"/>
        <v>4669.2999999999993</v>
      </c>
      <c r="AF61" s="15">
        <f t="shared" si="45"/>
        <v>4499.9999999999991</v>
      </c>
      <c r="AG61" s="15">
        <f t="shared" si="45"/>
        <v>4499.9999999999991</v>
      </c>
      <c r="AH61" s="15">
        <f t="shared" ref="AH61:BM61" si="46">SUM(AH59:AH60)</f>
        <v>4499.9999999999991</v>
      </c>
      <c r="AI61" s="15">
        <f t="shared" si="46"/>
        <v>4499.9999999999991</v>
      </c>
      <c r="AJ61" s="15">
        <f t="shared" si="46"/>
        <v>4499.9999999999991</v>
      </c>
      <c r="AK61" s="15">
        <f t="shared" si="46"/>
        <v>4499.9999999999991</v>
      </c>
      <c r="AL61" s="15">
        <f t="shared" si="46"/>
        <v>21971</v>
      </c>
      <c r="AM61" s="15">
        <f t="shared" si="46"/>
        <v>21971</v>
      </c>
      <c r="AN61" s="15">
        <f t="shared" si="46"/>
        <v>21971</v>
      </c>
      <c r="AO61" s="15">
        <f t="shared" si="46"/>
        <v>3645.2900000000009</v>
      </c>
      <c r="AP61" s="15">
        <f t="shared" si="46"/>
        <v>4300.0000000000009</v>
      </c>
      <c r="AQ61" s="15">
        <f t="shared" si="46"/>
        <v>4300.0000000000009</v>
      </c>
      <c r="AR61" s="15">
        <f t="shared" si="46"/>
        <v>4300.0000000000009</v>
      </c>
      <c r="AS61" s="15">
        <f t="shared" si="46"/>
        <v>325.00000000000091</v>
      </c>
      <c r="AT61" s="15">
        <f t="shared" si="46"/>
        <v>325.00000000000091</v>
      </c>
      <c r="AU61" s="15">
        <f t="shared" si="46"/>
        <v>325.00000000000091</v>
      </c>
      <c r="AV61" s="15">
        <f t="shared" si="46"/>
        <v>325.00000000000091</v>
      </c>
      <c r="AW61" s="15">
        <f t="shared" si="46"/>
        <v>325.00000000000091</v>
      </c>
      <c r="AX61" s="15">
        <f t="shared" si="46"/>
        <v>32600</v>
      </c>
      <c r="AY61" s="15">
        <f t="shared" si="46"/>
        <v>32600</v>
      </c>
      <c r="AZ61" s="15">
        <f t="shared" si="46"/>
        <v>32600</v>
      </c>
      <c r="BA61" s="15">
        <f t="shared" si="46"/>
        <v>4291.7200000000012</v>
      </c>
      <c r="BB61" s="15">
        <f t="shared" si="46"/>
        <v>4200.0000000000009</v>
      </c>
      <c r="BC61" s="15">
        <f t="shared" si="46"/>
        <v>4200.0000000000009</v>
      </c>
      <c r="BD61" s="15">
        <f t="shared" si="46"/>
        <v>4200.0000000000009</v>
      </c>
      <c r="BE61" s="15">
        <f t="shared" si="46"/>
        <v>4200.0000000000009</v>
      </c>
      <c r="BF61" s="15">
        <f t="shared" si="46"/>
        <v>4200.0000000000009</v>
      </c>
      <c r="BG61" s="15">
        <f t="shared" si="46"/>
        <v>4200.0000000000009</v>
      </c>
      <c r="BH61" s="15">
        <f t="shared" si="46"/>
        <v>1.1652900866465643E-12</v>
      </c>
      <c r="BI61" s="15">
        <f t="shared" si="46"/>
        <v>1.1652900866465643E-12</v>
      </c>
      <c r="BJ61" s="15">
        <f t="shared" si="46"/>
        <v>28100</v>
      </c>
      <c r="BK61" s="15">
        <f t="shared" si="46"/>
        <v>28100</v>
      </c>
      <c r="BL61" s="15">
        <f t="shared" si="46"/>
        <v>28100</v>
      </c>
      <c r="BM61" s="15">
        <f t="shared" si="46"/>
        <v>28100</v>
      </c>
      <c r="BN61" s="15">
        <f t="shared" ref="BN61:CS61" si="47">SUM(BN59:BN60)</f>
        <v>4500</v>
      </c>
      <c r="BO61" s="15">
        <f t="shared" si="47"/>
        <v>4500</v>
      </c>
      <c r="BP61" s="15">
        <f t="shared" si="47"/>
        <v>4500</v>
      </c>
      <c r="BQ61" s="15">
        <f t="shared" si="47"/>
        <v>0</v>
      </c>
      <c r="BR61" s="15">
        <f t="shared" si="47"/>
        <v>0</v>
      </c>
      <c r="BS61" s="15">
        <f t="shared" si="47"/>
        <v>0</v>
      </c>
      <c r="BT61" s="15">
        <f t="shared" si="47"/>
        <v>0</v>
      </c>
      <c r="BU61" s="15">
        <f t="shared" si="47"/>
        <v>0</v>
      </c>
      <c r="BV61" s="15">
        <f t="shared" si="47"/>
        <v>6981</v>
      </c>
      <c r="BW61" s="15">
        <f t="shared" si="47"/>
        <v>11881</v>
      </c>
      <c r="BX61" s="15">
        <f t="shared" si="47"/>
        <v>11881</v>
      </c>
      <c r="BY61" s="15">
        <f t="shared" si="47"/>
        <v>11881</v>
      </c>
      <c r="BZ61" s="15">
        <f t="shared" si="47"/>
        <v>11881</v>
      </c>
      <c r="CA61" s="15">
        <f t="shared" si="47"/>
        <v>11881</v>
      </c>
      <c r="CB61" s="15">
        <f t="shared" si="47"/>
        <v>11881</v>
      </c>
      <c r="CC61" s="15">
        <f t="shared" si="47"/>
        <v>11881</v>
      </c>
    </row>
    <row r="62" spans="1:81" x14ac:dyDescent="0.2">
      <c r="A62" s="16" t="s">
        <v>137</v>
      </c>
      <c r="B62" s="17">
        <f t="shared" ref="B62:AG62" si="48">0+B57+B61</f>
        <v>45319.270000000004</v>
      </c>
      <c r="C62" s="17">
        <f t="shared" si="48"/>
        <v>45319.270000000004</v>
      </c>
      <c r="D62" s="17">
        <f t="shared" si="48"/>
        <v>45319.270000000004</v>
      </c>
      <c r="E62" s="17">
        <f t="shared" si="48"/>
        <v>34839</v>
      </c>
      <c r="F62" s="17">
        <f t="shared" si="48"/>
        <v>32339</v>
      </c>
      <c r="G62" s="17">
        <f t="shared" si="48"/>
        <v>32339</v>
      </c>
      <c r="H62" s="17">
        <f t="shared" si="48"/>
        <v>32339</v>
      </c>
      <c r="I62" s="17">
        <f t="shared" si="48"/>
        <v>32339</v>
      </c>
      <c r="J62" s="17">
        <f t="shared" si="48"/>
        <v>32339</v>
      </c>
      <c r="K62" s="17">
        <f t="shared" si="48"/>
        <v>0</v>
      </c>
      <c r="L62" s="17">
        <f t="shared" si="48"/>
        <v>0</v>
      </c>
      <c r="M62" s="17">
        <f t="shared" si="48"/>
        <v>0</v>
      </c>
      <c r="N62" s="17">
        <f t="shared" si="48"/>
        <v>61139.32</v>
      </c>
      <c r="O62" s="17">
        <f t="shared" si="48"/>
        <v>61139.32</v>
      </c>
      <c r="P62" s="17">
        <f t="shared" si="48"/>
        <v>61139.32</v>
      </c>
      <c r="Q62" s="17">
        <f t="shared" si="48"/>
        <v>61139.32</v>
      </c>
      <c r="R62" s="17">
        <f t="shared" si="48"/>
        <v>61139.32</v>
      </c>
      <c r="S62" s="17">
        <f t="shared" si="48"/>
        <v>61139.32</v>
      </c>
      <c r="T62" s="17">
        <f t="shared" si="48"/>
        <v>61139.32</v>
      </c>
      <c r="U62" s="17">
        <f t="shared" si="48"/>
        <v>0</v>
      </c>
      <c r="V62" s="17">
        <f t="shared" si="48"/>
        <v>0</v>
      </c>
      <c r="W62" s="17">
        <f t="shared" si="48"/>
        <v>0</v>
      </c>
      <c r="X62" s="17">
        <f t="shared" si="48"/>
        <v>0</v>
      </c>
      <c r="Y62" s="17">
        <f t="shared" si="48"/>
        <v>0</v>
      </c>
      <c r="Z62" s="17">
        <f t="shared" si="48"/>
        <v>17200</v>
      </c>
      <c r="AA62" s="17">
        <f t="shared" si="48"/>
        <v>17200</v>
      </c>
      <c r="AB62" s="17">
        <f t="shared" si="48"/>
        <v>17200</v>
      </c>
      <c r="AC62" s="17">
        <f t="shared" si="48"/>
        <v>17200</v>
      </c>
      <c r="AD62" s="17">
        <f t="shared" si="48"/>
        <v>4669.2999999999993</v>
      </c>
      <c r="AE62" s="17">
        <f t="shared" si="48"/>
        <v>4669.2999999999993</v>
      </c>
      <c r="AF62" s="17">
        <f t="shared" si="48"/>
        <v>4499.9999999999991</v>
      </c>
      <c r="AG62" s="17">
        <f t="shared" si="48"/>
        <v>4499.9999999999991</v>
      </c>
      <c r="AH62" s="17">
        <f t="shared" ref="AH62:BM62" si="49">0+AH57+AH61</f>
        <v>4499.9999999999991</v>
      </c>
      <c r="AI62" s="17">
        <f t="shared" si="49"/>
        <v>4499.9999999999991</v>
      </c>
      <c r="AJ62" s="17">
        <f t="shared" si="49"/>
        <v>4499.9999999999991</v>
      </c>
      <c r="AK62" s="17">
        <f t="shared" si="49"/>
        <v>4499.9999999999991</v>
      </c>
      <c r="AL62" s="17">
        <f t="shared" si="49"/>
        <v>21971</v>
      </c>
      <c r="AM62" s="17">
        <f t="shared" si="49"/>
        <v>21971</v>
      </c>
      <c r="AN62" s="17">
        <f t="shared" si="49"/>
        <v>21971</v>
      </c>
      <c r="AO62" s="17">
        <f t="shared" si="49"/>
        <v>3645.2900000000009</v>
      </c>
      <c r="AP62" s="17">
        <f t="shared" si="49"/>
        <v>4300.0000000000009</v>
      </c>
      <c r="AQ62" s="17">
        <f t="shared" si="49"/>
        <v>4300.0000000000009</v>
      </c>
      <c r="AR62" s="17">
        <f t="shared" si="49"/>
        <v>4300.0000000000009</v>
      </c>
      <c r="AS62" s="17">
        <f t="shared" si="49"/>
        <v>325.00000000000091</v>
      </c>
      <c r="AT62" s="17">
        <f t="shared" si="49"/>
        <v>325.00000000000091</v>
      </c>
      <c r="AU62" s="17">
        <f t="shared" si="49"/>
        <v>325.00000000000091</v>
      </c>
      <c r="AV62" s="17">
        <f t="shared" si="49"/>
        <v>325.00000000000091</v>
      </c>
      <c r="AW62" s="17">
        <f t="shared" si="49"/>
        <v>325.00000000000091</v>
      </c>
      <c r="AX62" s="17">
        <f t="shared" si="49"/>
        <v>32600</v>
      </c>
      <c r="AY62" s="17">
        <f t="shared" si="49"/>
        <v>32600</v>
      </c>
      <c r="AZ62" s="17">
        <f t="shared" si="49"/>
        <v>32600</v>
      </c>
      <c r="BA62" s="17">
        <f t="shared" si="49"/>
        <v>4291.7200000000012</v>
      </c>
      <c r="BB62" s="17">
        <f t="shared" si="49"/>
        <v>4200.0000000000009</v>
      </c>
      <c r="BC62" s="17">
        <f t="shared" si="49"/>
        <v>4200.0000000000009</v>
      </c>
      <c r="BD62" s="17">
        <f t="shared" si="49"/>
        <v>4200.0000000000009</v>
      </c>
      <c r="BE62" s="17">
        <f t="shared" si="49"/>
        <v>4200.0000000000009</v>
      </c>
      <c r="BF62" s="17">
        <f t="shared" si="49"/>
        <v>4200.0000000000009</v>
      </c>
      <c r="BG62" s="17">
        <f t="shared" si="49"/>
        <v>4200.0000000000009</v>
      </c>
      <c r="BH62" s="17">
        <f t="shared" si="49"/>
        <v>1.1652900866465643E-12</v>
      </c>
      <c r="BI62" s="17">
        <f t="shared" si="49"/>
        <v>1.1652900866465643E-12</v>
      </c>
      <c r="BJ62" s="17">
        <f t="shared" si="49"/>
        <v>28100</v>
      </c>
      <c r="BK62" s="17">
        <f t="shared" si="49"/>
        <v>28100</v>
      </c>
      <c r="BL62" s="17">
        <f t="shared" si="49"/>
        <v>28100</v>
      </c>
      <c r="BM62" s="17">
        <f t="shared" si="49"/>
        <v>28100</v>
      </c>
      <c r="BN62" s="17">
        <f t="shared" ref="BN62:CS62" si="50">0+BN57+BN61</f>
        <v>4500</v>
      </c>
      <c r="BO62" s="17">
        <f t="shared" si="50"/>
        <v>4500</v>
      </c>
      <c r="BP62" s="17">
        <f t="shared" si="50"/>
        <v>4500</v>
      </c>
      <c r="BQ62" s="17">
        <f t="shared" si="50"/>
        <v>0</v>
      </c>
      <c r="BR62" s="17">
        <f t="shared" si="50"/>
        <v>0</v>
      </c>
      <c r="BS62" s="17">
        <f t="shared" si="50"/>
        <v>0</v>
      </c>
      <c r="BT62" s="17">
        <f t="shared" si="50"/>
        <v>0</v>
      </c>
      <c r="BU62" s="17">
        <f t="shared" si="50"/>
        <v>0</v>
      </c>
      <c r="BV62" s="17">
        <f t="shared" si="50"/>
        <v>6981</v>
      </c>
      <c r="BW62" s="17">
        <f t="shared" si="50"/>
        <v>13962</v>
      </c>
      <c r="BX62" s="17">
        <f t="shared" si="50"/>
        <v>13962</v>
      </c>
      <c r="BY62" s="17">
        <f t="shared" si="50"/>
        <v>13962</v>
      </c>
      <c r="BZ62" s="17">
        <f t="shared" si="50"/>
        <v>13962</v>
      </c>
      <c r="CA62" s="17">
        <f t="shared" si="50"/>
        <v>13962</v>
      </c>
      <c r="CB62" s="17">
        <f t="shared" si="50"/>
        <v>13962</v>
      </c>
      <c r="CC62" s="17">
        <f t="shared" si="50"/>
        <v>13962</v>
      </c>
    </row>
    <row r="63" spans="1:81" x14ac:dyDescent="0.2">
      <c r="A63" s="1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</row>
    <row r="64" spans="1:81" ht="12" x14ac:dyDescent="0.2">
      <c r="A64" s="5" t="s">
        <v>138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</row>
    <row r="65" spans="1:81" x14ac:dyDescent="0.2">
      <c r="A65" s="7" t="s">
        <v>139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</row>
    <row r="66" spans="1:81" x14ac:dyDescent="0.2">
      <c r="A66" s="25" t="s">
        <v>140</v>
      </c>
      <c r="B66" s="19">
        <v>776410.54</v>
      </c>
      <c r="C66" s="19">
        <v>841159.43</v>
      </c>
      <c r="D66" s="19">
        <v>933059.5</v>
      </c>
      <c r="E66" s="19">
        <v>1142467.47</v>
      </c>
      <c r="F66" s="19">
        <v>1220425.81</v>
      </c>
      <c r="G66" s="19">
        <v>1311187.3400000001</v>
      </c>
      <c r="H66" s="19">
        <v>1262735.99</v>
      </c>
      <c r="I66" s="19">
        <v>1354226.01</v>
      </c>
      <c r="J66" s="19">
        <v>1476709.87</v>
      </c>
      <c r="K66" s="19">
        <v>1421297.79</v>
      </c>
      <c r="L66" s="19">
        <v>1444466.06</v>
      </c>
      <c r="M66" s="19">
        <v>1281576.8800000001</v>
      </c>
      <c r="N66" s="19">
        <v>1162933.1500000001</v>
      </c>
      <c r="O66" s="19">
        <v>296999.69000000018</v>
      </c>
      <c r="P66" s="19">
        <v>212556.56000000017</v>
      </c>
      <c r="Q66" s="19">
        <v>320237.41000000015</v>
      </c>
      <c r="R66" s="19">
        <v>297302.84000000014</v>
      </c>
      <c r="S66" s="19">
        <v>375842.64000000013</v>
      </c>
      <c r="T66" s="19">
        <v>437189.84000000014</v>
      </c>
      <c r="U66" s="19">
        <v>480081.44000000012</v>
      </c>
      <c r="V66" s="19">
        <v>574997.29000000015</v>
      </c>
      <c r="W66" s="19">
        <v>606118.4800000001</v>
      </c>
      <c r="X66" s="19">
        <v>636821.4800000001</v>
      </c>
      <c r="Y66" s="19">
        <v>28308.000000000116</v>
      </c>
      <c r="Z66" s="19">
        <v>47282.480000000112</v>
      </c>
      <c r="AA66" s="19">
        <v>79999.080000000104</v>
      </c>
      <c r="AB66" s="19">
        <v>105657.0000000001</v>
      </c>
      <c r="AC66" s="19">
        <v>26252.000000000102</v>
      </c>
      <c r="AD66" s="19">
        <v>44960.6000000001</v>
      </c>
      <c r="AE66" s="19">
        <v>71547.000000000102</v>
      </c>
      <c r="AF66" s="19">
        <v>87080.000000000102</v>
      </c>
      <c r="AG66" s="19">
        <v>106038.8300000001</v>
      </c>
      <c r="AH66" s="19">
        <v>125475.7300000001</v>
      </c>
      <c r="AI66" s="19">
        <v>133292.7300000001</v>
      </c>
      <c r="AJ66" s="19">
        <v>20763.000000000102</v>
      </c>
      <c r="AK66" s="19">
        <v>21015.130000000103</v>
      </c>
      <c r="AL66" s="19">
        <v>2718.970000000103</v>
      </c>
      <c r="AM66" s="19">
        <v>148.45000000010305</v>
      </c>
      <c r="AN66" s="19">
        <v>34795.580000000104</v>
      </c>
      <c r="AO66" s="19">
        <v>32395.580000000104</v>
      </c>
      <c r="AP66" s="19">
        <v>33142.250000000102</v>
      </c>
      <c r="AQ66" s="19">
        <v>33194.340000000098</v>
      </c>
      <c r="AR66" s="19">
        <v>22108.940000000097</v>
      </c>
      <c r="AS66" s="19">
        <v>13.190000000096916</v>
      </c>
      <c r="AT66" s="19">
        <v>28509.390000000098</v>
      </c>
      <c r="AU66" s="19">
        <v>9.822542779147625E-11</v>
      </c>
      <c r="AV66" s="19">
        <v>76.920000000098227</v>
      </c>
      <c r="AW66" s="19">
        <v>9900.8400000000984</v>
      </c>
      <c r="AX66" s="19">
        <v>3086.7600000000984</v>
      </c>
      <c r="AY66" s="19">
        <v>9.822542779147625E-11</v>
      </c>
      <c r="AZ66" s="19">
        <v>28526.020000000099</v>
      </c>
      <c r="BA66" s="19">
        <v>0.90000000009968062</v>
      </c>
      <c r="BB66" s="19">
        <v>326.0000000000997</v>
      </c>
      <c r="BC66" s="19">
        <v>48.000000000099703</v>
      </c>
      <c r="BD66" s="19">
        <v>9.9703356681857258E-11</v>
      </c>
      <c r="BE66" s="19">
        <v>74.240000000099698</v>
      </c>
      <c r="BF66" s="19">
        <v>28448.200000000099</v>
      </c>
      <c r="BG66" s="19">
        <v>100.44000000010055</v>
      </c>
      <c r="BH66" s="19">
        <v>84.530000000100557</v>
      </c>
      <c r="BI66" s="19">
        <v>106.00000000010056</v>
      </c>
      <c r="BJ66" s="19">
        <v>3186.9200000001006</v>
      </c>
      <c r="BK66" s="19">
        <v>58.000000000100499</v>
      </c>
      <c r="BL66" s="19">
        <v>28580.640000000101</v>
      </c>
      <c r="BM66" s="19">
        <v>206.7800000001007</v>
      </c>
      <c r="BN66" s="19">
        <v>-378.49999999989927</v>
      </c>
      <c r="BO66" s="19">
        <v>28069.700000000103</v>
      </c>
      <c r="BP66" s="19">
        <v>58.000000000101863</v>
      </c>
      <c r="BQ66" s="19">
        <v>9987.2400000001016</v>
      </c>
      <c r="BR66" s="19">
        <v>34713.820000000102</v>
      </c>
      <c r="BS66" s="19">
        <v>74.780000000100699</v>
      </c>
      <c r="BT66" s="19">
        <v>1.006981165119214E-10</v>
      </c>
      <c r="BU66" s="19">
        <v>34815.6000000001</v>
      </c>
      <c r="BV66" s="19">
        <v>3657.0000000001019</v>
      </c>
      <c r="BW66" s="19">
        <v>53340.9900000001</v>
      </c>
      <c r="BX66" s="19">
        <v>87052.480000000098</v>
      </c>
      <c r="BY66" s="19">
        <v>52664.780000000101</v>
      </c>
      <c r="BZ66" s="19">
        <v>55918.150000000103</v>
      </c>
      <c r="CA66" s="19">
        <v>87204.140000000101</v>
      </c>
      <c r="CB66" s="19">
        <v>52705.000000000102</v>
      </c>
      <c r="CC66" s="19">
        <v>52705.000000000102</v>
      </c>
    </row>
    <row r="67" spans="1:81" x14ac:dyDescent="0.2">
      <c r="A67" s="14" t="s">
        <v>141</v>
      </c>
      <c r="B67" s="15">
        <f t="shared" ref="B67:AG67" si="51">SUM(B66)</f>
        <v>776410.54</v>
      </c>
      <c r="C67" s="15">
        <f t="shared" si="51"/>
        <v>841159.43</v>
      </c>
      <c r="D67" s="15">
        <f t="shared" si="51"/>
        <v>933059.5</v>
      </c>
      <c r="E67" s="15">
        <f t="shared" si="51"/>
        <v>1142467.47</v>
      </c>
      <c r="F67" s="15">
        <f t="shared" si="51"/>
        <v>1220425.81</v>
      </c>
      <c r="G67" s="15">
        <f t="shared" si="51"/>
        <v>1311187.3400000001</v>
      </c>
      <c r="H67" s="15">
        <f t="shared" si="51"/>
        <v>1262735.99</v>
      </c>
      <c r="I67" s="15">
        <f t="shared" si="51"/>
        <v>1354226.01</v>
      </c>
      <c r="J67" s="15">
        <f t="shared" si="51"/>
        <v>1476709.87</v>
      </c>
      <c r="K67" s="15">
        <f t="shared" si="51"/>
        <v>1421297.79</v>
      </c>
      <c r="L67" s="15">
        <f t="shared" si="51"/>
        <v>1444466.06</v>
      </c>
      <c r="M67" s="15">
        <f t="shared" si="51"/>
        <v>1281576.8800000001</v>
      </c>
      <c r="N67" s="15">
        <f t="shared" si="51"/>
        <v>1162933.1500000001</v>
      </c>
      <c r="O67" s="15">
        <f t="shared" si="51"/>
        <v>296999.69000000018</v>
      </c>
      <c r="P67" s="15">
        <f t="shared" si="51"/>
        <v>212556.56000000017</v>
      </c>
      <c r="Q67" s="15">
        <f t="shared" si="51"/>
        <v>320237.41000000015</v>
      </c>
      <c r="R67" s="15">
        <f t="shared" si="51"/>
        <v>297302.84000000014</v>
      </c>
      <c r="S67" s="15">
        <f t="shared" si="51"/>
        <v>375842.64000000013</v>
      </c>
      <c r="T67" s="15">
        <f t="shared" si="51"/>
        <v>437189.84000000014</v>
      </c>
      <c r="U67" s="15">
        <f t="shared" si="51"/>
        <v>480081.44000000012</v>
      </c>
      <c r="V67" s="15">
        <f t="shared" si="51"/>
        <v>574997.29000000015</v>
      </c>
      <c r="W67" s="15">
        <f t="shared" si="51"/>
        <v>606118.4800000001</v>
      </c>
      <c r="X67" s="15">
        <f t="shared" si="51"/>
        <v>636821.4800000001</v>
      </c>
      <c r="Y67" s="15">
        <f t="shared" si="51"/>
        <v>28308.000000000116</v>
      </c>
      <c r="Z67" s="15">
        <f t="shared" si="51"/>
        <v>47282.480000000112</v>
      </c>
      <c r="AA67" s="15">
        <f t="shared" si="51"/>
        <v>79999.080000000104</v>
      </c>
      <c r="AB67" s="15">
        <f t="shared" si="51"/>
        <v>105657.0000000001</v>
      </c>
      <c r="AC67" s="15">
        <f t="shared" si="51"/>
        <v>26252.000000000102</v>
      </c>
      <c r="AD67" s="15">
        <f t="shared" si="51"/>
        <v>44960.6000000001</v>
      </c>
      <c r="AE67" s="15">
        <f t="shared" si="51"/>
        <v>71547.000000000102</v>
      </c>
      <c r="AF67" s="15">
        <f t="shared" si="51"/>
        <v>87080.000000000102</v>
      </c>
      <c r="AG67" s="15">
        <f t="shared" si="51"/>
        <v>106038.8300000001</v>
      </c>
      <c r="AH67" s="15">
        <f t="shared" ref="AH67:BM67" si="52">SUM(AH66)</f>
        <v>125475.7300000001</v>
      </c>
      <c r="AI67" s="15">
        <f t="shared" si="52"/>
        <v>133292.7300000001</v>
      </c>
      <c r="AJ67" s="15">
        <f t="shared" si="52"/>
        <v>20763.000000000102</v>
      </c>
      <c r="AK67" s="15">
        <f t="shared" si="52"/>
        <v>21015.130000000103</v>
      </c>
      <c r="AL67" s="15">
        <f t="shared" si="52"/>
        <v>2718.970000000103</v>
      </c>
      <c r="AM67" s="15">
        <f t="shared" si="52"/>
        <v>148.45000000010305</v>
      </c>
      <c r="AN67" s="15">
        <f t="shared" si="52"/>
        <v>34795.580000000104</v>
      </c>
      <c r="AO67" s="15">
        <f t="shared" si="52"/>
        <v>32395.580000000104</v>
      </c>
      <c r="AP67" s="15">
        <f t="shared" si="52"/>
        <v>33142.250000000102</v>
      </c>
      <c r="AQ67" s="15">
        <f t="shared" si="52"/>
        <v>33194.340000000098</v>
      </c>
      <c r="AR67" s="15">
        <f t="shared" si="52"/>
        <v>22108.940000000097</v>
      </c>
      <c r="AS67" s="15">
        <f t="shared" si="52"/>
        <v>13.190000000096916</v>
      </c>
      <c r="AT67" s="15">
        <f t="shared" si="52"/>
        <v>28509.390000000098</v>
      </c>
      <c r="AU67" s="15">
        <f t="shared" si="52"/>
        <v>9.822542779147625E-11</v>
      </c>
      <c r="AV67" s="15">
        <f t="shared" si="52"/>
        <v>76.920000000098227</v>
      </c>
      <c r="AW67" s="15">
        <f t="shared" si="52"/>
        <v>9900.8400000000984</v>
      </c>
      <c r="AX67" s="15">
        <f t="shared" si="52"/>
        <v>3086.7600000000984</v>
      </c>
      <c r="AY67" s="15">
        <f t="shared" si="52"/>
        <v>9.822542779147625E-11</v>
      </c>
      <c r="AZ67" s="15">
        <f t="shared" si="52"/>
        <v>28526.020000000099</v>
      </c>
      <c r="BA67" s="15">
        <f t="shared" si="52"/>
        <v>0.90000000009968062</v>
      </c>
      <c r="BB67" s="15">
        <f t="shared" si="52"/>
        <v>326.0000000000997</v>
      </c>
      <c r="BC67" s="15">
        <f t="shared" si="52"/>
        <v>48.000000000099703</v>
      </c>
      <c r="BD67" s="15">
        <f t="shared" si="52"/>
        <v>9.9703356681857258E-11</v>
      </c>
      <c r="BE67" s="15">
        <f t="shared" si="52"/>
        <v>74.240000000099698</v>
      </c>
      <c r="BF67" s="15">
        <f t="shared" si="52"/>
        <v>28448.200000000099</v>
      </c>
      <c r="BG67" s="15">
        <f t="shared" si="52"/>
        <v>100.44000000010055</v>
      </c>
      <c r="BH67" s="15">
        <f t="shared" si="52"/>
        <v>84.530000000100557</v>
      </c>
      <c r="BI67" s="15">
        <f t="shared" si="52"/>
        <v>106.00000000010056</v>
      </c>
      <c r="BJ67" s="15">
        <f t="shared" si="52"/>
        <v>3186.9200000001006</v>
      </c>
      <c r="BK67" s="15">
        <f t="shared" si="52"/>
        <v>58.000000000100499</v>
      </c>
      <c r="BL67" s="15">
        <f t="shared" si="52"/>
        <v>28580.640000000101</v>
      </c>
      <c r="BM67" s="15">
        <f t="shared" si="52"/>
        <v>206.7800000001007</v>
      </c>
      <c r="BN67" s="15">
        <f t="shared" ref="BN67:CS67" si="53">SUM(BN66)</f>
        <v>-378.49999999989927</v>
      </c>
      <c r="BO67" s="15">
        <f t="shared" si="53"/>
        <v>28069.700000000103</v>
      </c>
      <c r="BP67" s="15">
        <f t="shared" si="53"/>
        <v>58.000000000101863</v>
      </c>
      <c r="BQ67" s="15">
        <f t="shared" si="53"/>
        <v>9987.2400000001016</v>
      </c>
      <c r="BR67" s="15">
        <f t="shared" si="53"/>
        <v>34713.820000000102</v>
      </c>
      <c r="BS67" s="15">
        <f t="shared" si="53"/>
        <v>74.780000000100699</v>
      </c>
      <c r="BT67" s="15">
        <f t="shared" si="53"/>
        <v>1.006981165119214E-10</v>
      </c>
      <c r="BU67" s="15">
        <f t="shared" si="53"/>
        <v>34815.6000000001</v>
      </c>
      <c r="BV67" s="15">
        <f t="shared" si="53"/>
        <v>3657.0000000001019</v>
      </c>
      <c r="BW67" s="15">
        <f t="shared" si="53"/>
        <v>53340.9900000001</v>
      </c>
      <c r="BX67" s="15">
        <f t="shared" si="53"/>
        <v>87052.480000000098</v>
      </c>
      <c r="BY67" s="15">
        <f t="shared" si="53"/>
        <v>52664.780000000101</v>
      </c>
      <c r="BZ67" s="15">
        <f t="shared" si="53"/>
        <v>55918.150000000103</v>
      </c>
      <c r="CA67" s="15">
        <f t="shared" si="53"/>
        <v>87204.140000000101</v>
      </c>
      <c r="CB67" s="15">
        <f t="shared" si="53"/>
        <v>52705.000000000102</v>
      </c>
      <c r="CC67" s="15">
        <f t="shared" si="53"/>
        <v>52705.000000000102</v>
      </c>
    </row>
    <row r="68" spans="1:81" x14ac:dyDescent="0.2">
      <c r="A68" s="7" t="s">
        <v>142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</row>
    <row r="69" spans="1:81" x14ac:dyDescent="0.2">
      <c r="A69" s="25" t="s">
        <v>143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9">
        <v>0</v>
      </c>
      <c r="AU69" s="19">
        <v>34946</v>
      </c>
      <c r="AV69" s="19">
        <v>0</v>
      </c>
      <c r="AW69" s="19">
        <v>80048</v>
      </c>
      <c r="AX69" s="19">
        <v>159527</v>
      </c>
      <c r="AY69" s="19">
        <v>159572</v>
      </c>
      <c r="AZ69" s="19">
        <v>157884</v>
      </c>
      <c r="BA69" s="19">
        <v>20705</v>
      </c>
      <c r="BB69" s="19">
        <v>94178.2</v>
      </c>
      <c r="BC69" s="19">
        <v>86720</v>
      </c>
      <c r="BD69" s="19">
        <v>131177</v>
      </c>
      <c r="BE69" s="19">
        <v>71604</v>
      </c>
      <c r="BF69" s="19">
        <v>89086</v>
      </c>
      <c r="BG69" s="19">
        <v>47338</v>
      </c>
      <c r="BH69" s="19">
        <v>148556.5</v>
      </c>
      <c r="BI69" s="19">
        <v>44266</v>
      </c>
      <c r="BJ69" s="19">
        <v>70104</v>
      </c>
      <c r="BK69" s="19">
        <v>64127</v>
      </c>
      <c r="BL69" s="19">
        <v>154588</v>
      </c>
      <c r="BM69" s="19">
        <v>177523</v>
      </c>
      <c r="BN69" s="19">
        <v>195661.19</v>
      </c>
      <c r="BO69" s="19">
        <v>69396</v>
      </c>
      <c r="BP69" s="19">
        <v>146512</v>
      </c>
      <c r="BQ69" s="19">
        <v>77116</v>
      </c>
      <c r="BR69" s="19">
        <v>141566</v>
      </c>
      <c r="BS69" s="19">
        <v>198258</v>
      </c>
      <c r="BT69" s="19">
        <v>152.79999999998836</v>
      </c>
      <c r="BU69" s="19">
        <v>161340</v>
      </c>
      <c r="BV69" s="19">
        <v>48425</v>
      </c>
      <c r="BW69" s="19">
        <v>112271</v>
      </c>
      <c r="BX69" s="19">
        <v>50879</v>
      </c>
      <c r="BY69" s="19">
        <v>49224</v>
      </c>
      <c r="BZ69" s="19">
        <v>43022</v>
      </c>
      <c r="CA69" s="19">
        <v>52588</v>
      </c>
      <c r="CB69" s="19">
        <v>94350.65</v>
      </c>
      <c r="CC69" s="19">
        <v>94350.65</v>
      </c>
    </row>
    <row r="70" spans="1:81" x14ac:dyDescent="0.2">
      <c r="A70" s="14" t="s">
        <v>144</v>
      </c>
      <c r="B70" s="15">
        <f t="shared" ref="B70:AG70" si="54">SUM(B69)</f>
        <v>0</v>
      </c>
      <c r="C70" s="15">
        <f t="shared" si="54"/>
        <v>0</v>
      </c>
      <c r="D70" s="15">
        <f t="shared" si="54"/>
        <v>0</v>
      </c>
      <c r="E70" s="15">
        <f t="shared" si="54"/>
        <v>0</v>
      </c>
      <c r="F70" s="15">
        <f t="shared" si="54"/>
        <v>0</v>
      </c>
      <c r="G70" s="15">
        <f t="shared" si="54"/>
        <v>0</v>
      </c>
      <c r="H70" s="15">
        <f t="shared" si="54"/>
        <v>0</v>
      </c>
      <c r="I70" s="15">
        <f t="shared" si="54"/>
        <v>0</v>
      </c>
      <c r="J70" s="15">
        <f t="shared" si="54"/>
        <v>0</v>
      </c>
      <c r="K70" s="15">
        <f t="shared" si="54"/>
        <v>0</v>
      </c>
      <c r="L70" s="15">
        <f t="shared" si="54"/>
        <v>0</v>
      </c>
      <c r="M70" s="15">
        <f t="shared" si="54"/>
        <v>0</v>
      </c>
      <c r="N70" s="15">
        <f t="shared" si="54"/>
        <v>0</v>
      </c>
      <c r="O70" s="15">
        <f t="shared" si="54"/>
        <v>0</v>
      </c>
      <c r="P70" s="15">
        <f t="shared" si="54"/>
        <v>0</v>
      </c>
      <c r="Q70" s="15">
        <f t="shared" si="54"/>
        <v>0</v>
      </c>
      <c r="R70" s="15">
        <f t="shared" si="54"/>
        <v>0</v>
      </c>
      <c r="S70" s="15">
        <f t="shared" si="54"/>
        <v>0</v>
      </c>
      <c r="T70" s="15">
        <f t="shared" si="54"/>
        <v>0</v>
      </c>
      <c r="U70" s="15">
        <f t="shared" si="54"/>
        <v>0</v>
      </c>
      <c r="V70" s="15">
        <f t="shared" si="54"/>
        <v>0</v>
      </c>
      <c r="W70" s="15">
        <f t="shared" si="54"/>
        <v>0</v>
      </c>
      <c r="X70" s="15">
        <f t="shared" si="54"/>
        <v>0</v>
      </c>
      <c r="Y70" s="15">
        <f t="shared" si="54"/>
        <v>0</v>
      </c>
      <c r="Z70" s="15">
        <f t="shared" si="54"/>
        <v>0</v>
      </c>
      <c r="AA70" s="15">
        <f t="shared" si="54"/>
        <v>0</v>
      </c>
      <c r="AB70" s="15">
        <f t="shared" si="54"/>
        <v>0</v>
      </c>
      <c r="AC70" s="15">
        <f t="shared" si="54"/>
        <v>0</v>
      </c>
      <c r="AD70" s="15">
        <f t="shared" si="54"/>
        <v>0</v>
      </c>
      <c r="AE70" s="15">
        <f t="shared" si="54"/>
        <v>0</v>
      </c>
      <c r="AF70" s="15">
        <f t="shared" si="54"/>
        <v>0</v>
      </c>
      <c r="AG70" s="15">
        <f t="shared" si="54"/>
        <v>0</v>
      </c>
      <c r="AH70" s="15">
        <f t="shared" ref="AH70:BM70" si="55">SUM(AH69)</f>
        <v>0</v>
      </c>
      <c r="AI70" s="15">
        <f t="shared" si="55"/>
        <v>0</v>
      </c>
      <c r="AJ70" s="15">
        <f t="shared" si="55"/>
        <v>0</v>
      </c>
      <c r="AK70" s="15">
        <f t="shared" si="55"/>
        <v>0</v>
      </c>
      <c r="AL70" s="15">
        <f t="shared" si="55"/>
        <v>0</v>
      </c>
      <c r="AM70" s="15">
        <f t="shared" si="55"/>
        <v>0</v>
      </c>
      <c r="AN70" s="15">
        <f t="shared" si="55"/>
        <v>0</v>
      </c>
      <c r="AO70" s="15">
        <f t="shared" si="55"/>
        <v>0</v>
      </c>
      <c r="AP70" s="15">
        <f t="shared" si="55"/>
        <v>0</v>
      </c>
      <c r="AQ70" s="15">
        <f t="shared" si="55"/>
        <v>0</v>
      </c>
      <c r="AR70" s="15">
        <f t="shared" si="55"/>
        <v>0</v>
      </c>
      <c r="AS70" s="15">
        <f t="shared" si="55"/>
        <v>0</v>
      </c>
      <c r="AT70" s="15">
        <f t="shared" si="55"/>
        <v>0</v>
      </c>
      <c r="AU70" s="15">
        <f t="shared" si="55"/>
        <v>34946</v>
      </c>
      <c r="AV70" s="15">
        <f t="shared" si="55"/>
        <v>0</v>
      </c>
      <c r="AW70" s="15">
        <f t="shared" si="55"/>
        <v>80048</v>
      </c>
      <c r="AX70" s="15">
        <f t="shared" si="55"/>
        <v>159527</v>
      </c>
      <c r="AY70" s="15">
        <f t="shared" si="55"/>
        <v>159572</v>
      </c>
      <c r="AZ70" s="15">
        <f t="shared" si="55"/>
        <v>157884</v>
      </c>
      <c r="BA70" s="15">
        <f t="shared" si="55"/>
        <v>20705</v>
      </c>
      <c r="BB70" s="15">
        <f t="shared" si="55"/>
        <v>94178.2</v>
      </c>
      <c r="BC70" s="15">
        <f t="shared" si="55"/>
        <v>86720</v>
      </c>
      <c r="BD70" s="15">
        <f t="shared" si="55"/>
        <v>131177</v>
      </c>
      <c r="BE70" s="15">
        <f t="shared" si="55"/>
        <v>71604</v>
      </c>
      <c r="BF70" s="15">
        <f t="shared" si="55"/>
        <v>89086</v>
      </c>
      <c r="BG70" s="15">
        <f t="shared" si="55"/>
        <v>47338</v>
      </c>
      <c r="BH70" s="15">
        <f t="shared" si="55"/>
        <v>148556.5</v>
      </c>
      <c r="BI70" s="15">
        <f t="shared" si="55"/>
        <v>44266</v>
      </c>
      <c r="BJ70" s="15">
        <f t="shared" si="55"/>
        <v>70104</v>
      </c>
      <c r="BK70" s="15">
        <f t="shared" si="55"/>
        <v>64127</v>
      </c>
      <c r="BL70" s="15">
        <f t="shared" si="55"/>
        <v>154588</v>
      </c>
      <c r="BM70" s="15">
        <f t="shared" si="55"/>
        <v>177523</v>
      </c>
      <c r="BN70" s="15">
        <f t="shared" ref="BN70:CS70" si="56">SUM(BN69)</f>
        <v>195661.19</v>
      </c>
      <c r="BO70" s="15">
        <f t="shared" si="56"/>
        <v>69396</v>
      </c>
      <c r="BP70" s="15">
        <f t="shared" si="56"/>
        <v>146512</v>
      </c>
      <c r="BQ70" s="15">
        <f t="shared" si="56"/>
        <v>77116</v>
      </c>
      <c r="BR70" s="15">
        <f t="shared" si="56"/>
        <v>141566</v>
      </c>
      <c r="BS70" s="15">
        <f t="shared" si="56"/>
        <v>198258</v>
      </c>
      <c r="BT70" s="15">
        <f t="shared" si="56"/>
        <v>152.79999999998836</v>
      </c>
      <c r="BU70" s="15">
        <f t="shared" si="56"/>
        <v>161340</v>
      </c>
      <c r="BV70" s="15">
        <f t="shared" si="56"/>
        <v>48425</v>
      </c>
      <c r="BW70" s="15">
        <f t="shared" si="56"/>
        <v>112271</v>
      </c>
      <c r="BX70" s="15">
        <f t="shared" si="56"/>
        <v>50879</v>
      </c>
      <c r="BY70" s="15">
        <f t="shared" si="56"/>
        <v>49224</v>
      </c>
      <c r="BZ70" s="15">
        <f t="shared" si="56"/>
        <v>43022</v>
      </c>
      <c r="CA70" s="15">
        <f t="shared" si="56"/>
        <v>52588</v>
      </c>
      <c r="CB70" s="15">
        <f t="shared" si="56"/>
        <v>94350.65</v>
      </c>
      <c r="CC70" s="15">
        <f t="shared" si="56"/>
        <v>94350.65</v>
      </c>
    </row>
    <row r="71" spans="1:81" x14ac:dyDescent="0.2">
      <c r="A71" s="7" t="s">
        <v>145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</row>
    <row r="72" spans="1:81" x14ac:dyDescent="0.2">
      <c r="A72" s="25" t="s">
        <v>146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-38.380000000000003</v>
      </c>
      <c r="AE72" s="19">
        <v>-38.380000000000003</v>
      </c>
      <c r="AF72" s="19">
        <v>-38.380000000000003</v>
      </c>
      <c r="AG72" s="19">
        <v>-38.380000000000003</v>
      </c>
      <c r="AH72" s="19">
        <v>-38.380000000000003</v>
      </c>
      <c r="AI72" s="19">
        <v>-38.380000000000003</v>
      </c>
      <c r="AJ72" s="19">
        <v>-38.380000000000003</v>
      </c>
      <c r="AK72" s="19">
        <v>-38.380000000000003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0</v>
      </c>
      <c r="BM72" s="19">
        <v>0</v>
      </c>
      <c r="BN72" s="19">
        <v>0</v>
      </c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>
        <v>0</v>
      </c>
      <c r="BW72" s="19">
        <v>-129</v>
      </c>
      <c r="BX72" s="19">
        <v>-129</v>
      </c>
      <c r="BY72" s="19">
        <v>-129</v>
      </c>
      <c r="BZ72" s="19">
        <v>-157</v>
      </c>
      <c r="CA72" s="19">
        <v>-157</v>
      </c>
      <c r="CB72" s="19">
        <v>-157</v>
      </c>
      <c r="CC72" s="19">
        <v>-157</v>
      </c>
    </row>
    <row r="73" spans="1:81" x14ac:dyDescent="0.2">
      <c r="A73" s="25" t="s">
        <v>147</v>
      </c>
      <c r="B73" s="19">
        <v>0</v>
      </c>
      <c r="C73" s="19">
        <v>-50.82</v>
      </c>
      <c r="D73" s="19">
        <v>-667.17000000000007</v>
      </c>
      <c r="E73" s="19">
        <v>-1524.3600000000001</v>
      </c>
      <c r="F73" s="19">
        <v>-2868.5600000000004</v>
      </c>
      <c r="G73" s="19">
        <v>-3353.59</v>
      </c>
      <c r="H73" s="19">
        <v>-3498.79</v>
      </c>
      <c r="I73" s="19">
        <v>-4478.74</v>
      </c>
      <c r="J73" s="19">
        <v>-4608.8099999999995</v>
      </c>
      <c r="K73" s="19">
        <v>-4612.6699999999992</v>
      </c>
      <c r="L73" s="19">
        <v>-6154.6799999999994</v>
      </c>
      <c r="M73" s="19">
        <v>-6766.829999999999</v>
      </c>
      <c r="N73" s="19">
        <v>9.0949470177292824E-13</v>
      </c>
      <c r="O73" s="19">
        <v>-605.34999999999911</v>
      </c>
      <c r="P73" s="19">
        <v>-639.34999999999911</v>
      </c>
      <c r="Q73" s="19">
        <v>-4526.329999999999</v>
      </c>
      <c r="R73" s="19">
        <v>-7797.5699999999988</v>
      </c>
      <c r="S73" s="19">
        <v>-10453.719999999999</v>
      </c>
      <c r="T73" s="19">
        <v>-12994.5</v>
      </c>
      <c r="U73" s="19">
        <v>-14597.59</v>
      </c>
      <c r="V73" s="19">
        <v>-14753.25</v>
      </c>
      <c r="W73" s="19">
        <v>-14632.82</v>
      </c>
      <c r="X73" s="19">
        <v>-15131.08</v>
      </c>
      <c r="Y73" s="19">
        <v>-15280.46</v>
      </c>
      <c r="Z73" s="19">
        <v>0</v>
      </c>
      <c r="AA73" s="19">
        <v>-131.69</v>
      </c>
      <c r="AB73" s="19">
        <v>-197.28</v>
      </c>
      <c r="AC73" s="19">
        <v>-248.53</v>
      </c>
      <c r="AD73" s="19">
        <v>-733.83</v>
      </c>
      <c r="AE73" s="19">
        <v>-770.98</v>
      </c>
      <c r="AF73" s="19">
        <v>-818.75</v>
      </c>
      <c r="AG73" s="19">
        <v>-2265.87</v>
      </c>
      <c r="AH73" s="19">
        <v>-2353.16</v>
      </c>
      <c r="AI73" s="19">
        <v>-2394.6099999999997</v>
      </c>
      <c r="AJ73" s="19">
        <v>-3081.8199999999997</v>
      </c>
      <c r="AK73" s="19">
        <v>-3146.4799999999996</v>
      </c>
      <c r="AL73" s="19">
        <v>4.5474735088646412E-13</v>
      </c>
      <c r="AM73" s="19">
        <v>-83.319999999999538</v>
      </c>
      <c r="AN73" s="19">
        <v>-540.90999999999951</v>
      </c>
      <c r="AO73" s="19">
        <v>-650.84999999999945</v>
      </c>
      <c r="AP73" s="19">
        <v>-1232.6399999999994</v>
      </c>
      <c r="AQ73" s="19">
        <v>-1354.1499999999994</v>
      </c>
      <c r="AR73" s="19">
        <v>-5048.0599999999995</v>
      </c>
      <c r="AS73" s="19">
        <v>-6568.5999999999995</v>
      </c>
      <c r="AT73" s="19">
        <v>-11419.759999999998</v>
      </c>
      <c r="AU73" s="19">
        <v>-11566.169999999998</v>
      </c>
      <c r="AV73" s="19">
        <v>-12259.789999999999</v>
      </c>
      <c r="AW73" s="19">
        <v>-17060.489999999998</v>
      </c>
      <c r="AX73" s="19">
        <v>3.637978807091713E-12</v>
      </c>
      <c r="AY73" s="19">
        <v>-44.019999999996365</v>
      </c>
      <c r="AZ73" s="19">
        <v>-5004.7099999999964</v>
      </c>
      <c r="BA73" s="19">
        <v>-6349.2999999999965</v>
      </c>
      <c r="BB73" s="19">
        <v>-7384.4199999999964</v>
      </c>
      <c r="BC73" s="19">
        <v>-8009.0399999999963</v>
      </c>
      <c r="BD73" s="19">
        <v>-13180.459999999995</v>
      </c>
      <c r="BE73" s="19">
        <v>-15575.639999999996</v>
      </c>
      <c r="BF73" s="19">
        <v>-20797.269999999997</v>
      </c>
      <c r="BG73" s="19">
        <v>-21331.26</v>
      </c>
      <c r="BH73" s="19">
        <v>-22316.399999999998</v>
      </c>
      <c r="BI73" s="19">
        <v>-22748.01</v>
      </c>
      <c r="BJ73" s="19">
        <v>0</v>
      </c>
      <c r="BK73" s="19">
        <v>-522.4</v>
      </c>
      <c r="BL73" s="19">
        <v>-5737.11</v>
      </c>
      <c r="BM73" s="19">
        <v>-6223.16</v>
      </c>
      <c r="BN73" s="19">
        <v>-7379.61</v>
      </c>
      <c r="BO73" s="19">
        <v>-12649.58</v>
      </c>
      <c r="BP73" s="19">
        <v>-13353.03</v>
      </c>
      <c r="BQ73" s="19">
        <v>-15500.18</v>
      </c>
      <c r="BR73" s="19">
        <v>-21847.05</v>
      </c>
      <c r="BS73" s="19">
        <v>-22384.21</v>
      </c>
      <c r="BT73" s="19">
        <v>-23441.82</v>
      </c>
      <c r="BU73" s="19">
        <v>-29945.66</v>
      </c>
      <c r="BV73" s="19">
        <v>0</v>
      </c>
      <c r="BW73" s="19">
        <v>-647.39</v>
      </c>
      <c r="BX73" s="19">
        <v>-7069.5700000000006</v>
      </c>
      <c r="BY73" s="19">
        <v>-7885.34</v>
      </c>
      <c r="BZ73" s="19">
        <v>-9951.65</v>
      </c>
      <c r="CA73" s="19">
        <v>-16538.169999999998</v>
      </c>
      <c r="CB73" s="19">
        <v>-17309.91</v>
      </c>
      <c r="CC73" s="19">
        <v>-17309.91</v>
      </c>
    </row>
    <row r="74" spans="1:81" x14ac:dyDescent="0.2">
      <c r="A74" s="25" t="s">
        <v>148</v>
      </c>
      <c r="B74" s="19">
        <v>0</v>
      </c>
      <c r="C74" s="19">
        <v>13402.36</v>
      </c>
      <c r="D74" s="19">
        <v>31080.940000000002</v>
      </c>
      <c r="E74" s="19">
        <v>73663.97</v>
      </c>
      <c r="F74" s="19">
        <v>102593.34</v>
      </c>
      <c r="G74" s="19">
        <v>136740.4</v>
      </c>
      <c r="H74" s="19">
        <v>150528.38</v>
      </c>
      <c r="I74" s="19">
        <v>191086.57</v>
      </c>
      <c r="J74" s="19">
        <v>231114.85</v>
      </c>
      <c r="K74" s="19">
        <v>240590.04</v>
      </c>
      <c r="L74" s="19">
        <v>268615.93</v>
      </c>
      <c r="M74" s="19">
        <v>283628.39</v>
      </c>
      <c r="N74" s="19">
        <v>0</v>
      </c>
      <c r="O74" s="19">
        <v>21826.720000000001</v>
      </c>
      <c r="P74" s="19">
        <v>39235.31</v>
      </c>
      <c r="Q74" s="19">
        <v>58037.599999999999</v>
      </c>
      <c r="R74" s="19">
        <v>74308.399999999994</v>
      </c>
      <c r="S74" s="19">
        <v>92019.599999999991</v>
      </c>
      <c r="T74" s="19">
        <v>107006.99999999999</v>
      </c>
      <c r="U74" s="19">
        <v>117826.39999999998</v>
      </c>
      <c r="V74" s="19">
        <v>136146.80999999997</v>
      </c>
      <c r="W74" s="19">
        <v>143050.40999999997</v>
      </c>
      <c r="X74" s="19">
        <v>149191.00999999998</v>
      </c>
      <c r="Y74" s="19">
        <v>153078.00999999998</v>
      </c>
      <c r="Z74" s="19">
        <v>-2.9103830456733704E-11</v>
      </c>
      <c r="AA74" s="19">
        <v>6489.5999999999713</v>
      </c>
      <c r="AB74" s="19">
        <v>12061.79999999997</v>
      </c>
      <c r="AC74" s="19">
        <v>17312.199999999968</v>
      </c>
      <c r="AD74" s="19">
        <v>20993.999999999967</v>
      </c>
      <c r="AE74" s="19">
        <v>26371.199999999968</v>
      </c>
      <c r="AF74" s="19">
        <v>29477.799999999967</v>
      </c>
      <c r="AG74" s="19">
        <v>33230.399999999965</v>
      </c>
      <c r="AH74" s="19">
        <v>37099.199999999968</v>
      </c>
      <c r="AI74" s="19">
        <v>38673.599999999969</v>
      </c>
      <c r="AJ74" s="19">
        <v>42865.199999999968</v>
      </c>
      <c r="AK74" s="19">
        <v>42865.199999999968</v>
      </c>
      <c r="AL74" s="19">
        <v>-2.9103830456733704E-11</v>
      </c>
      <c r="AM74" s="19">
        <v>-2.9103830456733704E-11</v>
      </c>
      <c r="AN74" s="19">
        <v>6466.7999999999711</v>
      </c>
      <c r="AO74" s="19">
        <v>6466.7999999999711</v>
      </c>
      <c r="AP74" s="19">
        <v>6466.7999999999711</v>
      </c>
      <c r="AQ74" s="19">
        <v>6466.7999999999711</v>
      </c>
      <c r="AR74" s="19">
        <v>6466.7999999999711</v>
      </c>
      <c r="AS74" s="19">
        <v>18552.399999999972</v>
      </c>
      <c r="AT74" s="19">
        <v>18552.399999999972</v>
      </c>
      <c r="AU74" s="19">
        <v>25541.599999999973</v>
      </c>
      <c r="AV74" s="19">
        <v>25541.599999999973</v>
      </c>
      <c r="AW74" s="19">
        <v>54774.399999999972</v>
      </c>
      <c r="AX74" s="19">
        <v>-2.9103830456733704E-11</v>
      </c>
      <c r="AY74" s="19">
        <v>3514.399999999971</v>
      </c>
      <c r="AZ74" s="19">
        <v>6742.2499999999709</v>
      </c>
      <c r="BA74" s="19">
        <v>10883.249999999971</v>
      </c>
      <c r="BB74" s="19">
        <v>25577.88999999997</v>
      </c>
      <c r="BC74" s="19">
        <v>29056.68999999997</v>
      </c>
      <c r="BD74" s="19">
        <v>51813.289999999964</v>
      </c>
      <c r="BE74" s="19">
        <v>57562.689999999966</v>
      </c>
      <c r="BF74" s="19">
        <v>61059.089999999967</v>
      </c>
      <c r="BG74" s="19">
        <v>70526.689999999973</v>
      </c>
      <c r="BH74" s="19">
        <v>90770.38999999997</v>
      </c>
      <c r="BI74" s="19">
        <v>99623.589999999967</v>
      </c>
      <c r="BJ74" s="19">
        <v>-2.9103830456733704E-11</v>
      </c>
      <c r="BK74" s="19">
        <v>12825.399999999971</v>
      </c>
      <c r="BL74" s="19">
        <v>30981.38999999997</v>
      </c>
      <c r="BM74" s="19">
        <v>48393.789999999972</v>
      </c>
      <c r="BN74" s="19">
        <v>62691.379999999976</v>
      </c>
      <c r="BO74" s="19">
        <v>76570.579999999973</v>
      </c>
      <c r="BP74" s="19">
        <v>91993.77999999997</v>
      </c>
      <c r="BQ74" s="19">
        <v>91993.77999999997</v>
      </c>
      <c r="BR74" s="19">
        <v>120306.97999999997</v>
      </c>
      <c r="BS74" s="19">
        <v>131665.37999999998</v>
      </c>
      <c r="BT74" s="19">
        <v>131695.93999999997</v>
      </c>
      <c r="BU74" s="19">
        <v>163963.93999999997</v>
      </c>
      <c r="BV74" s="19">
        <v>-2.5300000000279397</v>
      </c>
      <c r="BW74" s="19">
        <v>12798.559999999972</v>
      </c>
      <c r="BX74" s="19">
        <v>22974.359999999971</v>
      </c>
      <c r="BY74" s="19">
        <v>32869.159999999974</v>
      </c>
      <c r="BZ74" s="19">
        <v>41695.219999999972</v>
      </c>
      <c r="CA74" s="19">
        <v>52232.819999999971</v>
      </c>
      <c r="CB74" s="19">
        <v>70890.219999999972</v>
      </c>
      <c r="CC74" s="19">
        <v>70890.219999999972</v>
      </c>
    </row>
    <row r="75" spans="1:81" x14ac:dyDescent="0.2">
      <c r="A75" s="25" t="s">
        <v>149</v>
      </c>
      <c r="B75" s="19">
        <v>0</v>
      </c>
      <c r="C75" s="19">
        <v>-300000</v>
      </c>
      <c r="D75" s="19">
        <v>0</v>
      </c>
      <c r="E75" s="19">
        <v>-699.79</v>
      </c>
      <c r="F75" s="19">
        <v>-910.48</v>
      </c>
      <c r="G75" s="19">
        <v>0</v>
      </c>
      <c r="H75" s="19">
        <v>332.43</v>
      </c>
      <c r="I75" s="19">
        <v>3029.52</v>
      </c>
      <c r="J75" s="19">
        <v>221.19999999999982</v>
      </c>
      <c r="K75" s="19">
        <v>-1.7053025658242404E-13</v>
      </c>
      <c r="L75" s="19">
        <v>489.85999999999984</v>
      </c>
      <c r="M75" s="19">
        <v>599.99999999999989</v>
      </c>
      <c r="N75" s="19">
        <v>759.16999999999985</v>
      </c>
      <c r="O75" s="19">
        <v>-1.1368683772161603E-13</v>
      </c>
      <c r="P75" s="19">
        <v>-641.72000000000014</v>
      </c>
      <c r="Q75" s="19">
        <v>-1566.8000000000002</v>
      </c>
      <c r="R75" s="19">
        <v>301.52999999999975</v>
      </c>
      <c r="S75" s="19">
        <v>540.92999999999972</v>
      </c>
      <c r="T75" s="19">
        <v>511.22999999999973</v>
      </c>
      <c r="U75" s="19">
        <v>1155.0299999999997</v>
      </c>
      <c r="V75" s="19">
        <v>594.68999999999971</v>
      </c>
      <c r="W75" s="19">
        <v>-3.4106051316484809E-13</v>
      </c>
      <c r="X75" s="19">
        <v>-106.10000000000034</v>
      </c>
      <c r="Y75" s="19">
        <v>509.0599999999996</v>
      </c>
      <c r="Z75" s="19">
        <v>340.15999999999963</v>
      </c>
      <c r="AA75" s="19">
        <v>-3.979039320256561E-13</v>
      </c>
      <c r="AB75" s="19">
        <v>146.39999999999961</v>
      </c>
      <c r="AC75" s="19">
        <v>-241.1500000000004</v>
      </c>
      <c r="AD75" s="19">
        <v>90.999999999999574</v>
      </c>
      <c r="AE75" s="19">
        <v>-4.2632564145606011E-13</v>
      </c>
      <c r="AF75" s="19">
        <v>-508.99000000000046</v>
      </c>
      <c r="AG75" s="19">
        <v>134.68999999999949</v>
      </c>
      <c r="AH75" s="19">
        <v>333.5499999999995</v>
      </c>
      <c r="AI75" s="19">
        <v>-79.000000000000512</v>
      </c>
      <c r="AJ75" s="19">
        <v>-23.020000000000515</v>
      </c>
      <c r="AK75" s="19">
        <v>-24.000000000000515</v>
      </c>
      <c r="AL75" s="19">
        <v>-5.1514348342607263E-13</v>
      </c>
      <c r="AM75" s="19">
        <v>-61.58000000000051</v>
      </c>
      <c r="AN75" s="19">
        <v>-61.58000000000051</v>
      </c>
      <c r="AO75" s="19">
        <v>-500.78000000000048</v>
      </c>
      <c r="AP75" s="19">
        <v>-5.1159076974727213E-13</v>
      </c>
      <c r="AQ75" s="19">
        <v>-5.1159076974727213E-13</v>
      </c>
      <c r="AR75" s="19">
        <v>-5.1159076974727213E-13</v>
      </c>
      <c r="AS75" s="19">
        <v>105.99999999999949</v>
      </c>
      <c r="AT75" s="19">
        <v>399.99999999999949</v>
      </c>
      <c r="AU75" s="19">
        <v>419.99999999999949</v>
      </c>
      <c r="AV75" s="19">
        <v>-5.1159076974727213E-13</v>
      </c>
      <c r="AW75" s="19">
        <v>-5.1159076974727213E-13</v>
      </c>
      <c r="AX75" s="19">
        <v>799.99999999999955</v>
      </c>
      <c r="AY75" s="19">
        <v>-26.400000000000432</v>
      </c>
      <c r="AZ75" s="19">
        <v>68.499999999999574</v>
      </c>
      <c r="BA75" s="19">
        <v>-26.400000000000432</v>
      </c>
      <c r="BB75" s="19">
        <v>-99026.4</v>
      </c>
      <c r="BC75" s="19">
        <v>-102565.04999999999</v>
      </c>
      <c r="BD75" s="19">
        <v>-2391.9499999999825</v>
      </c>
      <c r="BE75" s="19">
        <v>1273.2000000000176</v>
      </c>
      <c r="BF75" s="19">
        <v>11.830000000017662</v>
      </c>
      <c r="BG75" s="19">
        <v>11.830000000017662</v>
      </c>
      <c r="BH75" s="19">
        <v>-396.82999999998236</v>
      </c>
      <c r="BI75" s="19">
        <v>-1353.1099999999824</v>
      </c>
      <c r="BJ75" s="19">
        <v>348.57000000001767</v>
      </c>
      <c r="BK75" s="19">
        <v>413.20000000001767</v>
      </c>
      <c r="BL75" s="19">
        <v>1.7678303265711293E-11</v>
      </c>
      <c r="BM75" s="19">
        <v>-534.01999999998225</v>
      </c>
      <c r="BN75" s="19">
        <v>-234.01999999998225</v>
      </c>
      <c r="BO75" s="19">
        <v>-748.68999999998221</v>
      </c>
      <c r="BP75" s="19">
        <v>1.7848833522293717E-11</v>
      </c>
      <c r="BQ75" s="19">
        <v>-83.999999999982151</v>
      </c>
      <c r="BR75" s="19">
        <v>1062.3600000000179</v>
      </c>
      <c r="BS75" s="19">
        <v>1.7962520360015333E-11</v>
      </c>
      <c r="BT75" s="19">
        <v>-71.799999999982035</v>
      </c>
      <c r="BU75" s="19">
        <v>69.970000000017976</v>
      </c>
      <c r="BV75" s="19">
        <v>1.7976731214730535E-11</v>
      </c>
      <c r="BW75" s="19">
        <v>1.7976731214730535E-11</v>
      </c>
      <c r="BX75" s="19">
        <v>927.97000000001799</v>
      </c>
      <c r="BY75" s="19">
        <v>400.00000000001796</v>
      </c>
      <c r="BZ75" s="19">
        <v>698.22000000001799</v>
      </c>
      <c r="CA75" s="19">
        <v>571.57000000001801</v>
      </c>
      <c r="CB75" s="19">
        <v>396.60000000001799</v>
      </c>
      <c r="CC75" s="19">
        <v>396.60000000001799</v>
      </c>
    </row>
    <row r="76" spans="1:81" x14ac:dyDescent="0.2">
      <c r="A76" s="25" t="s">
        <v>150</v>
      </c>
      <c r="B76" s="19">
        <v>3619.03</v>
      </c>
      <c r="C76" s="19">
        <v>3411.78</v>
      </c>
      <c r="D76" s="19">
        <v>215.45000000000027</v>
      </c>
      <c r="E76" s="19">
        <v>507.95000000000027</v>
      </c>
      <c r="F76" s="19">
        <v>440.95000000000027</v>
      </c>
      <c r="G76" s="19">
        <v>208.39000000000027</v>
      </c>
      <c r="H76" s="19">
        <v>637.91000000000031</v>
      </c>
      <c r="I76" s="19">
        <v>596.98000000000036</v>
      </c>
      <c r="J76" s="19">
        <v>415.87000000000035</v>
      </c>
      <c r="K76" s="19">
        <v>580.3100000000004</v>
      </c>
      <c r="L76" s="19">
        <v>584.3100000000004</v>
      </c>
      <c r="M76" s="19">
        <v>308.96000000000038</v>
      </c>
      <c r="N76" s="19">
        <v>514.66000000000031</v>
      </c>
      <c r="O76" s="19">
        <v>508.38000000000034</v>
      </c>
      <c r="P76" s="19">
        <v>320.15000000000032</v>
      </c>
      <c r="Q76" s="19">
        <v>320.15000000000032</v>
      </c>
      <c r="R76" s="19">
        <v>326.10000000000031</v>
      </c>
      <c r="S76" s="19">
        <v>435.57000000000028</v>
      </c>
      <c r="T76" s="19">
        <v>915.51000000000022</v>
      </c>
      <c r="U76" s="19">
        <v>1678.5800000000004</v>
      </c>
      <c r="V76" s="19">
        <v>432.12000000000035</v>
      </c>
      <c r="W76" s="19">
        <v>551.1700000000003</v>
      </c>
      <c r="X76" s="19">
        <v>541.2900000000003</v>
      </c>
      <c r="Y76" s="19">
        <v>599.40000000000032</v>
      </c>
      <c r="Z76" s="19">
        <v>366.22000000000031</v>
      </c>
      <c r="AA76" s="19">
        <v>364.41000000000031</v>
      </c>
      <c r="AB76" s="19">
        <v>395.96000000000032</v>
      </c>
      <c r="AC76" s="19">
        <v>354.96000000000032</v>
      </c>
      <c r="AD76" s="19">
        <v>784.70000000000027</v>
      </c>
      <c r="AE76" s="19">
        <v>433.70000000000027</v>
      </c>
      <c r="AF76" s="19">
        <v>877.0500000000003</v>
      </c>
      <c r="AG76" s="19">
        <v>524.19000000000028</v>
      </c>
      <c r="AH76" s="19">
        <v>436.22000000000025</v>
      </c>
      <c r="AI76" s="19">
        <v>523.46000000000026</v>
      </c>
      <c r="AJ76" s="19">
        <v>475.46000000000026</v>
      </c>
      <c r="AK76" s="19">
        <v>834.60000000000025</v>
      </c>
      <c r="AL76" s="19">
        <v>465.87000000000023</v>
      </c>
      <c r="AM76" s="19">
        <v>461.78000000000026</v>
      </c>
      <c r="AN76" s="19">
        <v>445.37000000000023</v>
      </c>
      <c r="AO76" s="19">
        <v>1011.4300000000002</v>
      </c>
      <c r="AP76" s="19">
        <v>456.04000000000019</v>
      </c>
      <c r="AQ76" s="19">
        <v>462.04000000000019</v>
      </c>
      <c r="AR76" s="19">
        <v>858.42000000000019</v>
      </c>
      <c r="AS76" s="19">
        <v>587.10000000000014</v>
      </c>
      <c r="AT76" s="19">
        <v>160.56000000000012</v>
      </c>
      <c r="AU76" s="19">
        <v>587.32000000000016</v>
      </c>
      <c r="AV76" s="19">
        <v>587.32000000000016</v>
      </c>
      <c r="AW76" s="19">
        <v>969.80000000000018</v>
      </c>
      <c r="AX76" s="19">
        <v>806.52000000000021</v>
      </c>
      <c r="AY76" s="19">
        <v>879.67000000000019</v>
      </c>
      <c r="AZ76" s="19">
        <v>719.35000000000014</v>
      </c>
      <c r="BA76" s="19">
        <v>1517.64</v>
      </c>
      <c r="BB76" s="19">
        <v>730.49000000000012</v>
      </c>
      <c r="BC76" s="19">
        <v>747.49000000000012</v>
      </c>
      <c r="BD76" s="19">
        <v>1554.88</v>
      </c>
      <c r="BE76" s="19">
        <v>1041.4700000000003</v>
      </c>
      <c r="BF76" s="19">
        <v>892.2800000000002</v>
      </c>
      <c r="BG76" s="19">
        <v>960.19000000000017</v>
      </c>
      <c r="BH76" s="19">
        <v>970.19000000000017</v>
      </c>
      <c r="BI76" s="19">
        <v>1621.5100000000002</v>
      </c>
      <c r="BJ76" s="19">
        <v>1008.2400000000002</v>
      </c>
      <c r="BK76" s="19">
        <v>1021.4700000000003</v>
      </c>
      <c r="BL76" s="19">
        <v>929.46000000000026</v>
      </c>
      <c r="BM76" s="19">
        <v>-22211.89</v>
      </c>
      <c r="BN76" s="19">
        <v>1151.9500000000007</v>
      </c>
      <c r="BO76" s="19">
        <v>1001.5600000000007</v>
      </c>
      <c r="BP76" s="19">
        <v>1977.3100000000009</v>
      </c>
      <c r="BQ76" s="19">
        <v>1148.6800000000007</v>
      </c>
      <c r="BR76" s="19">
        <v>993.56000000000074</v>
      </c>
      <c r="BS76" s="19">
        <v>1134.8000000000006</v>
      </c>
      <c r="BT76" s="19">
        <v>1142.8000000000006</v>
      </c>
      <c r="BU76" s="19">
        <v>1808.5600000000006</v>
      </c>
      <c r="BV76" s="19">
        <v>41809.729999999996</v>
      </c>
      <c r="BW76" s="19">
        <v>83627.459999999992</v>
      </c>
      <c r="BX76" s="19">
        <v>83616.28</v>
      </c>
      <c r="BY76" s="19">
        <v>44259.409999999996</v>
      </c>
      <c r="BZ76" s="19">
        <v>43333.829999999994</v>
      </c>
      <c r="CA76" s="19">
        <v>43240.669999999991</v>
      </c>
      <c r="CB76" s="19">
        <v>44185.659999999989</v>
      </c>
      <c r="CC76" s="19">
        <v>44185.659999999989</v>
      </c>
    </row>
    <row r="77" spans="1:81" x14ac:dyDescent="0.2">
      <c r="A77" s="25" t="s">
        <v>151</v>
      </c>
      <c r="B77" s="19">
        <v>417.61</v>
      </c>
      <c r="C77" s="19">
        <v>311.69</v>
      </c>
      <c r="D77" s="19">
        <v>297.67</v>
      </c>
      <c r="E77" s="19">
        <v>736.42000000000007</v>
      </c>
      <c r="F77" s="19">
        <v>297.67000000000007</v>
      </c>
      <c r="G77" s="19">
        <v>297.67000000000007</v>
      </c>
      <c r="H77" s="19">
        <v>590.17000000000007</v>
      </c>
      <c r="I77" s="19">
        <v>498.78000000000009</v>
      </c>
      <c r="J77" s="19">
        <v>590.90000000000009</v>
      </c>
      <c r="K77" s="19">
        <v>436.2600000000001</v>
      </c>
      <c r="L77" s="19">
        <v>436.2600000000001</v>
      </c>
      <c r="M77" s="19">
        <v>849.82000000000016</v>
      </c>
      <c r="N77" s="19">
        <v>451.69000000000017</v>
      </c>
      <c r="O77" s="19">
        <v>416.87000000000018</v>
      </c>
      <c r="P77" s="19">
        <v>435.6500000000002</v>
      </c>
      <c r="Q77" s="19">
        <v>435.6500000000002</v>
      </c>
      <c r="R77" s="19">
        <v>435.6500000000002</v>
      </c>
      <c r="S77" s="19">
        <v>586.82000000000016</v>
      </c>
      <c r="T77" s="19">
        <v>1027.7500000000002</v>
      </c>
      <c r="U77" s="19">
        <v>2112.8900000000003</v>
      </c>
      <c r="V77" s="19">
        <v>581.88000000000034</v>
      </c>
      <c r="W77" s="19">
        <v>581.88000000000034</v>
      </c>
      <c r="X77" s="19">
        <v>579.19000000000028</v>
      </c>
      <c r="Y77" s="19">
        <v>833.12000000000035</v>
      </c>
      <c r="Z77" s="19">
        <v>433.35000000000036</v>
      </c>
      <c r="AA77" s="19">
        <v>434.55000000000035</v>
      </c>
      <c r="AB77" s="19">
        <v>541.53000000000031</v>
      </c>
      <c r="AC77" s="19">
        <v>477.33000000000033</v>
      </c>
      <c r="AD77" s="19">
        <v>1096.1300000000003</v>
      </c>
      <c r="AE77" s="19">
        <v>595.37000000000035</v>
      </c>
      <c r="AF77" s="19">
        <v>1096.6800000000003</v>
      </c>
      <c r="AG77" s="19">
        <v>598.97000000000025</v>
      </c>
      <c r="AH77" s="19">
        <v>598.97000000000025</v>
      </c>
      <c r="AI77" s="19">
        <v>598.97000000000025</v>
      </c>
      <c r="AJ77" s="19">
        <v>598.97000000000025</v>
      </c>
      <c r="AK77" s="19">
        <v>1155.9200000000003</v>
      </c>
      <c r="AL77" s="19">
        <v>598.97000000000025</v>
      </c>
      <c r="AM77" s="19">
        <v>601.70000000000027</v>
      </c>
      <c r="AN77" s="19">
        <v>601.70000000000027</v>
      </c>
      <c r="AO77" s="19">
        <v>1400.7100000000003</v>
      </c>
      <c r="AP77" s="19">
        <v>616.38000000000022</v>
      </c>
      <c r="AQ77" s="19">
        <v>616.38000000000022</v>
      </c>
      <c r="AR77" s="19">
        <v>1190.4300000000003</v>
      </c>
      <c r="AS77" s="19">
        <v>750.02000000000021</v>
      </c>
      <c r="AT77" s="19">
        <v>541.9100000000002</v>
      </c>
      <c r="AU77" s="19">
        <v>697.77000000000021</v>
      </c>
      <c r="AV77" s="19">
        <v>697.77000000000021</v>
      </c>
      <c r="AW77" s="19">
        <v>1340.7700000000002</v>
      </c>
      <c r="AX77" s="19">
        <v>829.1600000000002</v>
      </c>
      <c r="AY77" s="19">
        <v>924.96000000000015</v>
      </c>
      <c r="AZ77" s="19">
        <v>972.04000000000019</v>
      </c>
      <c r="BA77" s="19">
        <v>2119.5</v>
      </c>
      <c r="BB77" s="19">
        <v>996.5</v>
      </c>
      <c r="BC77" s="19">
        <v>1009.33</v>
      </c>
      <c r="BD77" s="19">
        <v>1903.72</v>
      </c>
      <c r="BE77" s="19">
        <v>1159.8600000000001</v>
      </c>
      <c r="BF77" s="19">
        <v>1201.6600000000001</v>
      </c>
      <c r="BG77" s="19">
        <v>1201.6600000000001</v>
      </c>
      <c r="BH77" s="19">
        <v>1201.6600000000001</v>
      </c>
      <c r="BI77" s="19">
        <v>2256.2799999999997</v>
      </c>
      <c r="BJ77" s="19">
        <v>1201.6599999999999</v>
      </c>
      <c r="BK77" s="19">
        <v>1206.2599999999998</v>
      </c>
      <c r="BL77" s="19">
        <v>1268.9699999999998</v>
      </c>
      <c r="BM77" s="19">
        <v>2228.1799999999998</v>
      </c>
      <c r="BN77" s="19">
        <v>1371.83</v>
      </c>
      <c r="BO77" s="19">
        <v>1371.83</v>
      </c>
      <c r="BP77" s="19">
        <v>2565.42</v>
      </c>
      <c r="BQ77" s="19">
        <v>1371.8300000000002</v>
      </c>
      <c r="BR77" s="19">
        <v>1371.8300000000002</v>
      </c>
      <c r="BS77" s="19">
        <v>1371.8300000000002</v>
      </c>
      <c r="BT77" s="19">
        <v>1383.5300000000002</v>
      </c>
      <c r="BU77" s="19">
        <v>2534.5500000000002</v>
      </c>
      <c r="BV77" s="19">
        <v>1196.2800000000002</v>
      </c>
      <c r="BW77" s="19">
        <v>2336.65</v>
      </c>
      <c r="BX77" s="19">
        <v>2537.54</v>
      </c>
      <c r="BY77" s="19">
        <v>4312.1900000000005</v>
      </c>
      <c r="BZ77" s="19">
        <v>3001.7200000000003</v>
      </c>
      <c r="CA77" s="19">
        <v>3063.4800000000005</v>
      </c>
      <c r="CB77" s="19">
        <v>4175.0300000000007</v>
      </c>
      <c r="CC77" s="19">
        <v>4175.0300000000007</v>
      </c>
    </row>
    <row r="78" spans="1:81" x14ac:dyDescent="0.2">
      <c r="A78" s="25" t="s">
        <v>152</v>
      </c>
      <c r="B78" s="19">
        <v>-34.619999999999997</v>
      </c>
      <c r="C78" s="19">
        <v>-34.619999999999997</v>
      </c>
      <c r="D78" s="19">
        <v>-34.619999999999997</v>
      </c>
      <c r="E78" s="19">
        <v>-34.619999999999997</v>
      </c>
      <c r="F78" s="19">
        <v>-34.619999999999997</v>
      </c>
      <c r="G78" s="19">
        <v>-34.619999999999997</v>
      </c>
      <c r="H78" s="19">
        <v>-34.619999999999997</v>
      </c>
      <c r="I78" s="19">
        <v>-34.619999999999997</v>
      </c>
      <c r="J78" s="19">
        <v>-34.619999999999997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0.01</v>
      </c>
      <c r="AA78" s="19">
        <v>0.01</v>
      </c>
      <c r="AB78" s="19">
        <v>0.01</v>
      </c>
      <c r="AC78" s="19">
        <v>0.01</v>
      </c>
      <c r="AD78" s="19">
        <v>0.01</v>
      </c>
      <c r="AE78" s="19">
        <v>0.01</v>
      </c>
      <c r="AF78" s="19">
        <v>0.01</v>
      </c>
      <c r="AG78" s="19">
        <v>0.01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19">
        <v>0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</row>
    <row r="79" spans="1:81" x14ac:dyDescent="0.2">
      <c r="A79" s="25" t="s">
        <v>153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99.52</v>
      </c>
      <c r="J79" s="19">
        <v>0</v>
      </c>
      <c r="K79" s="19">
        <v>919.99</v>
      </c>
      <c r="L79" s="19">
        <v>784.69</v>
      </c>
      <c r="M79" s="19">
        <v>1589.4</v>
      </c>
      <c r="N79" s="19">
        <v>-80</v>
      </c>
      <c r="O79" s="19">
        <v>-80</v>
      </c>
      <c r="P79" s="19">
        <v>-80</v>
      </c>
      <c r="Q79" s="19">
        <v>-80</v>
      </c>
      <c r="R79" s="19">
        <v>-80</v>
      </c>
      <c r="S79" s="19">
        <v>-80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856.06</v>
      </c>
      <c r="AA79" s="19">
        <v>215.15999999999997</v>
      </c>
      <c r="AB79" s="19">
        <v>215.15999999999997</v>
      </c>
      <c r="AC79" s="19">
        <v>215.15999999999997</v>
      </c>
      <c r="AD79" s="19">
        <v>722.06999999999994</v>
      </c>
      <c r="AE79" s="19">
        <v>215.15999999999991</v>
      </c>
      <c r="AF79" s="19">
        <v>-8.5265128291212022E-14</v>
      </c>
      <c r="AG79" s="19">
        <v>694.34999999999991</v>
      </c>
      <c r="AH79" s="19">
        <v>-1.1368683772161603E-13</v>
      </c>
      <c r="AI79" s="19">
        <v>1133.19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957.71</v>
      </c>
      <c r="AQ79" s="19">
        <v>1915.42</v>
      </c>
      <c r="AR79" s="19">
        <v>1915.42</v>
      </c>
      <c r="AS79" s="19">
        <v>1915.42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>
        <v>1000</v>
      </c>
      <c r="BW79" s="19">
        <v>1000</v>
      </c>
      <c r="BX79" s="19">
        <v>1000</v>
      </c>
      <c r="BY79" s="19">
        <v>1000</v>
      </c>
      <c r="BZ79" s="19">
        <v>1000</v>
      </c>
      <c r="CA79" s="19">
        <v>1000</v>
      </c>
      <c r="CB79" s="19">
        <v>1000</v>
      </c>
      <c r="CC79" s="19">
        <v>1000</v>
      </c>
    </row>
    <row r="80" spans="1:81" x14ac:dyDescent="0.2">
      <c r="A80" s="25" t="s">
        <v>154</v>
      </c>
      <c r="B80" s="19">
        <v>0</v>
      </c>
      <c r="C80" s="19">
        <v>0</v>
      </c>
      <c r="D80" s="19">
        <v>-280</v>
      </c>
      <c r="E80" s="19">
        <v>-90</v>
      </c>
      <c r="F80" s="19">
        <v>-90</v>
      </c>
      <c r="G80" s="19">
        <v>-100.64</v>
      </c>
      <c r="H80" s="19">
        <v>-49.660000000000004</v>
      </c>
      <c r="I80" s="19">
        <v>-18.090000000000003</v>
      </c>
      <c r="J80" s="19">
        <v>93.009999999999991</v>
      </c>
      <c r="K80" s="19">
        <v>93.009999999999991</v>
      </c>
      <c r="L80" s="19">
        <v>432.23</v>
      </c>
      <c r="M80" s="19">
        <v>-122.87</v>
      </c>
      <c r="N80" s="19">
        <v>-109.73</v>
      </c>
      <c r="O80" s="19">
        <v>-109.73</v>
      </c>
      <c r="P80" s="19">
        <v>-109.73</v>
      </c>
      <c r="Q80" s="19">
        <v>-109.73</v>
      </c>
      <c r="R80" s="19">
        <v>-8.8299999999999983</v>
      </c>
      <c r="S80" s="19">
        <v>139.07</v>
      </c>
      <c r="T80" s="19">
        <v>291.95</v>
      </c>
      <c r="U80" s="19">
        <v>-49.150000000000034</v>
      </c>
      <c r="V80" s="19">
        <v>-31.550000000000033</v>
      </c>
      <c r="W80" s="19">
        <v>-31.550000000000033</v>
      </c>
      <c r="X80" s="19">
        <v>-31.550000000000033</v>
      </c>
      <c r="Y80" s="19">
        <v>64.109999999999957</v>
      </c>
      <c r="Z80" s="19">
        <v>164.04999999999995</v>
      </c>
      <c r="AA80" s="19">
        <v>220.16999999999996</v>
      </c>
      <c r="AB80" s="19">
        <v>220.16999999999996</v>
      </c>
      <c r="AC80" s="19">
        <v>220.16999999999996</v>
      </c>
      <c r="AD80" s="19">
        <v>318.48999999999995</v>
      </c>
      <c r="AE80" s="19">
        <v>318.48999999999995</v>
      </c>
      <c r="AF80" s="19">
        <v>318.48999999999995</v>
      </c>
      <c r="AG80" s="19">
        <v>422.21999999999997</v>
      </c>
      <c r="AH80" s="19">
        <v>464.89</v>
      </c>
      <c r="AI80" s="19">
        <v>504.71</v>
      </c>
      <c r="AJ80" s="19">
        <v>587.18999999999994</v>
      </c>
      <c r="AK80" s="19">
        <v>619.20999999999992</v>
      </c>
      <c r="AL80" s="19">
        <v>-1.1368683772161603E-13</v>
      </c>
      <c r="AM80" s="19">
        <v>-1.1368683772161603E-13</v>
      </c>
      <c r="AN80" s="19">
        <v>-1.1368683772161603E-13</v>
      </c>
      <c r="AO80" s="19">
        <v>83.889999999999887</v>
      </c>
      <c r="AP80" s="19">
        <v>-316.11000000000013</v>
      </c>
      <c r="AQ80" s="19">
        <v>-316.11000000000013</v>
      </c>
      <c r="AR80" s="19">
        <v>-316.11000000000013</v>
      </c>
      <c r="AS80" s="19">
        <v>-132.24000000000012</v>
      </c>
      <c r="AT80" s="19">
        <v>-244.46000000000012</v>
      </c>
      <c r="AU80" s="19">
        <v>-224.23000000000013</v>
      </c>
      <c r="AV80" s="19">
        <v>-224.23000000000013</v>
      </c>
      <c r="AW80" s="19">
        <v>-84.250000000000142</v>
      </c>
      <c r="AX80" s="19">
        <v>-1.4210854715202004E-13</v>
      </c>
      <c r="AY80" s="19">
        <v>64.289999999999864</v>
      </c>
      <c r="AZ80" s="19">
        <v>93.269999999999868</v>
      </c>
      <c r="BA80" s="19">
        <v>143.25999999999988</v>
      </c>
      <c r="BB80" s="19">
        <v>143.25999999999988</v>
      </c>
      <c r="BC80" s="19">
        <v>971.50999999999988</v>
      </c>
      <c r="BD80" s="19">
        <v>-84.470000000000141</v>
      </c>
      <c r="BE80" s="19">
        <v>258.75999999999988</v>
      </c>
      <c r="BF80" s="19">
        <v>258.75999999999988</v>
      </c>
      <c r="BG80" s="19">
        <v>258.75999999999988</v>
      </c>
      <c r="BH80" s="19">
        <v>258.75999999999988</v>
      </c>
      <c r="BI80" s="19">
        <v>294.20999999999987</v>
      </c>
      <c r="BJ80" s="19">
        <v>-1.1368683772161603E-13</v>
      </c>
      <c r="BK80" s="19">
        <v>-151.00000000000011</v>
      </c>
      <c r="BL80" s="19">
        <v>-137.36000000000013</v>
      </c>
      <c r="BM80" s="19">
        <v>-137.36000000000013</v>
      </c>
      <c r="BN80" s="19">
        <v>496.26999999999987</v>
      </c>
      <c r="BO80" s="19">
        <v>496.26999999999987</v>
      </c>
      <c r="BP80" s="19">
        <v>528.4799999999999</v>
      </c>
      <c r="BQ80" s="19">
        <v>528.4799999999999</v>
      </c>
      <c r="BR80" s="19">
        <v>460.75999999999988</v>
      </c>
      <c r="BS80" s="19">
        <v>474.25999999999988</v>
      </c>
      <c r="BT80" s="19">
        <v>474.25999999999988</v>
      </c>
      <c r="BU80" s="19">
        <v>279.04999999999984</v>
      </c>
      <c r="BV80" s="19">
        <v>429.99999999999983</v>
      </c>
      <c r="BW80" s="19">
        <v>288.27999999999986</v>
      </c>
      <c r="BX80" s="19">
        <v>424.53999999999985</v>
      </c>
      <c r="BY80" s="19">
        <v>69.519999999999868</v>
      </c>
      <c r="BZ80" s="19">
        <v>-22.480000000000132</v>
      </c>
      <c r="CA80" s="19">
        <v>101.45999999999987</v>
      </c>
      <c r="CB80" s="19">
        <v>371.42999999999989</v>
      </c>
      <c r="CC80" s="19">
        <v>371.42999999999989</v>
      </c>
    </row>
    <row r="81" spans="1:81" x14ac:dyDescent="0.2">
      <c r="A81" s="25" t="s">
        <v>155</v>
      </c>
      <c r="B81" s="19">
        <v>2088</v>
      </c>
      <c r="C81" s="19">
        <v>1997.03</v>
      </c>
      <c r="D81" s="19">
        <v>1852.93</v>
      </c>
      <c r="E81" s="19">
        <v>5857.76</v>
      </c>
      <c r="F81" s="19">
        <v>1852.9300000000003</v>
      </c>
      <c r="G81" s="19">
        <v>1852.9300000000003</v>
      </c>
      <c r="H81" s="19">
        <v>2203.5700000000002</v>
      </c>
      <c r="I81" s="19">
        <v>2398.2200000000003</v>
      </c>
      <c r="J81" s="19">
        <v>2446.0700000000002</v>
      </c>
      <c r="K81" s="19">
        <v>2244.8000000000002</v>
      </c>
      <c r="L81" s="19">
        <v>2244.8000000000002</v>
      </c>
      <c r="M81" s="19">
        <v>2698.58</v>
      </c>
      <c r="N81" s="19">
        <v>2244.8000000000002</v>
      </c>
      <c r="O81" s="19">
        <v>2232.1200000000003</v>
      </c>
      <c r="P81" s="19">
        <v>2232.1200000000003</v>
      </c>
      <c r="Q81" s="19">
        <v>2232.1200000000003</v>
      </c>
      <c r="R81" s="19">
        <v>2232.1200000000003</v>
      </c>
      <c r="S81" s="19">
        <v>2804.9800000000005</v>
      </c>
      <c r="T81" s="19">
        <v>3186.9500000000007</v>
      </c>
      <c r="U81" s="19">
        <v>15283.37</v>
      </c>
      <c r="V81" s="19">
        <v>2749.84</v>
      </c>
      <c r="W81" s="19">
        <v>2749.84</v>
      </c>
      <c r="X81" s="19">
        <v>2546.4500000000003</v>
      </c>
      <c r="Y81" s="19">
        <v>5499.07</v>
      </c>
      <c r="Z81" s="19">
        <v>2176.9799999999996</v>
      </c>
      <c r="AA81" s="19">
        <v>2189.7999999999997</v>
      </c>
      <c r="AB81" s="19">
        <v>3504.21</v>
      </c>
      <c r="AC81" s="19">
        <v>2784.21</v>
      </c>
      <c r="AD81" s="19">
        <v>6296.38</v>
      </c>
      <c r="AE81" s="19">
        <v>3126.38</v>
      </c>
      <c r="AF81" s="19">
        <v>3797.26</v>
      </c>
      <c r="AG81" s="19">
        <v>3276.0600000000004</v>
      </c>
      <c r="AH81" s="19">
        <v>3276.0600000000004</v>
      </c>
      <c r="AI81" s="19">
        <v>3276.0600000000004</v>
      </c>
      <c r="AJ81" s="19">
        <v>3276.0600000000004</v>
      </c>
      <c r="AK81" s="19">
        <v>6088.27</v>
      </c>
      <c r="AL81" s="19">
        <v>3276.0600000000004</v>
      </c>
      <c r="AM81" s="19">
        <v>3281.6600000000003</v>
      </c>
      <c r="AN81" s="19">
        <v>3281.6600000000003</v>
      </c>
      <c r="AO81" s="19">
        <v>9527.5400000000009</v>
      </c>
      <c r="AP81" s="19">
        <v>3404.9500000000007</v>
      </c>
      <c r="AQ81" s="19">
        <v>3404.9500000000007</v>
      </c>
      <c r="AR81" s="19">
        <v>4041.3300000000008</v>
      </c>
      <c r="AS81" s="19">
        <v>4205.7000000000007</v>
      </c>
      <c r="AT81" s="19">
        <v>2273.7000000000007</v>
      </c>
      <c r="AU81" s="19">
        <v>3234.2200000000007</v>
      </c>
      <c r="AV81" s="19">
        <v>3934.170000000001</v>
      </c>
      <c r="AW81" s="19">
        <v>5900.5500000000011</v>
      </c>
      <c r="AX81" s="19">
        <v>4287.2100000000009</v>
      </c>
      <c r="AY81" s="19">
        <v>4660.6000000000013</v>
      </c>
      <c r="AZ81" s="19">
        <v>4850.7500000000009</v>
      </c>
      <c r="BA81" s="19">
        <v>16526</v>
      </c>
      <c r="BB81" s="19">
        <v>5131.82</v>
      </c>
      <c r="BC81" s="19">
        <v>5131.82</v>
      </c>
      <c r="BD81" s="19">
        <v>6045.6799999999994</v>
      </c>
      <c r="BE81" s="19">
        <v>5729.5399999999991</v>
      </c>
      <c r="BF81" s="19">
        <v>6017.4999999999991</v>
      </c>
      <c r="BG81" s="19">
        <v>6017.4999999999991</v>
      </c>
      <c r="BH81" s="19">
        <v>6017.4999999999991</v>
      </c>
      <c r="BI81" s="19">
        <v>7264.1699999999992</v>
      </c>
      <c r="BJ81" s="19">
        <v>6101.3099999999995</v>
      </c>
      <c r="BK81" s="19">
        <v>5881.4199999999992</v>
      </c>
      <c r="BL81" s="19">
        <v>6399.6999999999989</v>
      </c>
      <c r="BM81" s="19">
        <v>16163.359999999999</v>
      </c>
      <c r="BN81" s="19">
        <v>7315.3599999999988</v>
      </c>
      <c r="BO81" s="19">
        <v>6822.8599999999988</v>
      </c>
      <c r="BP81" s="19">
        <v>8211.6699999999983</v>
      </c>
      <c r="BQ81" s="19">
        <v>6997.8599999999988</v>
      </c>
      <c r="BR81" s="19">
        <v>6997.8599999999988</v>
      </c>
      <c r="BS81" s="19">
        <v>6997.8599999999988</v>
      </c>
      <c r="BT81" s="19">
        <v>6997.8599999999988</v>
      </c>
      <c r="BU81" s="19">
        <v>8372.32</v>
      </c>
      <c r="BV81" s="19">
        <v>6361.1299999999992</v>
      </c>
      <c r="BW81" s="19">
        <v>12227.73</v>
      </c>
      <c r="BX81" s="19">
        <v>13157.449999999999</v>
      </c>
      <c r="BY81" s="19">
        <v>30772.229999999996</v>
      </c>
      <c r="BZ81" s="19">
        <v>15653.989999999996</v>
      </c>
      <c r="CA81" s="19">
        <v>15694.779999999997</v>
      </c>
      <c r="CB81" s="19">
        <v>16576.159999999996</v>
      </c>
      <c r="CC81" s="19">
        <v>16576.159999999996</v>
      </c>
    </row>
    <row r="82" spans="1:81" x14ac:dyDescent="0.2">
      <c r="A82" s="25" t="s">
        <v>156</v>
      </c>
      <c r="B82" s="19">
        <v>2645.46</v>
      </c>
      <c r="C82" s="19">
        <v>2048.39</v>
      </c>
      <c r="D82" s="19">
        <v>2048.39</v>
      </c>
      <c r="E82" s="19">
        <v>5912.32</v>
      </c>
      <c r="F82" s="19">
        <v>2048.39</v>
      </c>
      <c r="G82" s="19">
        <v>2048.39</v>
      </c>
      <c r="H82" s="19">
        <v>2227.8599999999997</v>
      </c>
      <c r="I82" s="19">
        <v>3703.6299999999997</v>
      </c>
      <c r="J82" s="19">
        <v>4675.79</v>
      </c>
      <c r="K82" s="19">
        <v>3259.5699999999997</v>
      </c>
      <c r="L82" s="19">
        <v>3261.5199999999995</v>
      </c>
      <c r="M82" s="19">
        <v>4274.4799999999996</v>
      </c>
      <c r="N82" s="19">
        <v>3281.2499999999995</v>
      </c>
      <c r="O82" s="19">
        <v>3313.2999999999997</v>
      </c>
      <c r="P82" s="19">
        <v>3320.93</v>
      </c>
      <c r="Q82" s="19">
        <v>3335.24</v>
      </c>
      <c r="R82" s="19">
        <v>3340.9199999999996</v>
      </c>
      <c r="S82" s="19">
        <v>4740.75</v>
      </c>
      <c r="T82" s="19">
        <v>8705.94</v>
      </c>
      <c r="U82" s="19">
        <v>6793.06</v>
      </c>
      <c r="V82" s="19">
        <v>4823.38</v>
      </c>
      <c r="W82" s="19">
        <v>4831.01</v>
      </c>
      <c r="X82" s="19">
        <v>4846.38</v>
      </c>
      <c r="Y82" s="19">
        <v>4495.1900000000005</v>
      </c>
      <c r="Z82" s="19">
        <v>3517.5600000000004</v>
      </c>
      <c r="AA82" s="19">
        <v>3485.7500000000005</v>
      </c>
      <c r="AB82" s="19">
        <v>3327.6700000000005</v>
      </c>
      <c r="AC82" s="19">
        <v>3304.7200000000007</v>
      </c>
      <c r="AD82" s="19">
        <v>6796.1100000000006</v>
      </c>
      <c r="AE82" s="19">
        <v>4436.3000000000011</v>
      </c>
      <c r="AF82" s="19">
        <v>7823.2000000000007</v>
      </c>
      <c r="AG82" s="19">
        <v>4560.3600000000006</v>
      </c>
      <c r="AH82" s="19">
        <v>4560.3600000000006</v>
      </c>
      <c r="AI82" s="19">
        <v>4560.3600000000006</v>
      </c>
      <c r="AJ82" s="19">
        <v>4560.3600000000006</v>
      </c>
      <c r="AK82" s="19">
        <v>6700.1500000000005</v>
      </c>
      <c r="AL82" s="19">
        <v>4560.3600000000006</v>
      </c>
      <c r="AM82" s="19">
        <v>4628.1200000000008</v>
      </c>
      <c r="AN82" s="19">
        <v>4628.1200000000008</v>
      </c>
      <c r="AO82" s="19">
        <v>7434.68</v>
      </c>
      <c r="AP82" s="19">
        <v>4633.3700000000008</v>
      </c>
      <c r="AQ82" s="19">
        <v>4633.3700000000008</v>
      </c>
      <c r="AR82" s="19">
        <v>8301.6400000000012</v>
      </c>
      <c r="AS82" s="19">
        <v>5852.1600000000017</v>
      </c>
      <c r="AT82" s="19">
        <v>5457.5300000000016</v>
      </c>
      <c r="AU82" s="19">
        <v>5410.8300000000017</v>
      </c>
      <c r="AV82" s="19">
        <v>5410.8300000000017</v>
      </c>
      <c r="AW82" s="19">
        <v>8206.1400000000012</v>
      </c>
      <c r="AX82" s="19">
        <v>6599.8900000000012</v>
      </c>
      <c r="AY82" s="19">
        <v>7611.5200000000013</v>
      </c>
      <c r="AZ82" s="19">
        <v>8078.0300000000016</v>
      </c>
      <c r="BA82" s="19">
        <v>9929.3900000000012</v>
      </c>
      <c r="BB82" s="19">
        <v>8109.2100000000009</v>
      </c>
      <c r="BC82" s="19">
        <v>8117.380000000001</v>
      </c>
      <c r="BD82" s="19">
        <v>15810.080000000002</v>
      </c>
      <c r="BE82" s="19">
        <v>9556.130000000001</v>
      </c>
      <c r="BF82" s="19">
        <v>10011.460000000001</v>
      </c>
      <c r="BG82" s="19">
        <v>10011.460000000001</v>
      </c>
      <c r="BH82" s="19">
        <v>10011.460000000001</v>
      </c>
      <c r="BI82" s="19">
        <v>16417.14</v>
      </c>
      <c r="BJ82" s="19">
        <v>10011.459999999999</v>
      </c>
      <c r="BK82" s="19">
        <v>10077.419999999998</v>
      </c>
      <c r="BL82" s="19">
        <v>10600.449999999999</v>
      </c>
      <c r="BM82" s="19">
        <v>12121.14</v>
      </c>
      <c r="BN82" s="19">
        <v>11356.26</v>
      </c>
      <c r="BO82" s="19">
        <v>11356.26</v>
      </c>
      <c r="BP82" s="19">
        <v>21832.75</v>
      </c>
      <c r="BQ82" s="19">
        <v>11356.26</v>
      </c>
      <c r="BR82" s="19">
        <v>11356.26</v>
      </c>
      <c r="BS82" s="19">
        <v>11356.26</v>
      </c>
      <c r="BT82" s="19">
        <v>11356.26</v>
      </c>
      <c r="BU82" s="19">
        <v>18524.39</v>
      </c>
      <c r="BV82" s="19">
        <v>9756.7999999999993</v>
      </c>
      <c r="BW82" s="19">
        <v>19629.669999999998</v>
      </c>
      <c r="BX82" s="19">
        <v>21559.69</v>
      </c>
      <c r="BY82" s="19">
        <v>26339.360000000001</v>
      </c>
      <c r="BZ82" s="19">
        <v>25618.58</v>
      </c>
      <c r="CA82" s="19">
        <v>26209.100000000002</v>
      </c>
      <c r="CB82" s="19">
        <v>35494.600000000006</v>
      </c>
      <c r="CC82" s="19">
        <v>35494.600000000006</v>
      </c>
    </row>
    <row r="83" spans="1:81" x14ac:dyDescent="0.2">
      <c r="A83" s="25" t="s">
        <v>157</v>
      </c>
      <c r="B83" s="19">
        <v>0</v>
      </c>
      <c r="C83" s="19">
        <v>16317.41</v>
      </c>
      <c r="D83" s="19">
        <v>37874.339999999997</v>
      </c>
      <c r="E83" s="19">
        <v>90276.829999999987</v>
      </c>
      <c r="F83" s="19">
        <v>125319.19999999998</v>
      </c>
      <c r="G83" s="19">
        <v>167163.24</v>
      </c>
      <c r="H83" s="19">
        <v>183793.52</v>
      </c>
      <c r="I83" s="19">
        <v>233917.40999999997</v>
      </c>
      <c r="J83" s="19">
        <v>293692.83999999997</v>
      </c>
      <c r="K83" s="19">
        <v>305250.57999999996</v>
      </c>
      <c r="L83" s="19">
        <v>341274.66999999993</v>
      </c>
      <c r="M83" s="19">
        <v>364458.8299999999</v>
      </c>
      <c r="N83" s="19">
        <v>-1.1641532182693481E-10</v>
      </c>
      <c r="O83" s="19">
        <v>33724.159999999887</v>
      </c>
      <c r="P83" s="19">
        <v>58649.799999999886</v>
      </c>
      <c r="Q83" s="19">
        <v>89639.789999999892</v>
      </c>
      <c r="R83" s="19">
        <v>116225.53999999989</v>
      </c>
      <c r="S83" s="19">
        <v>143897.03999999989</v>
      </c>
      <c r="T83" s="19">
        <v>170287.18999999989</v>
      </c>
      <c r="U83" s="19">
        <v>183455.18999999989</v>
      </c>
      <c r="V83" s="19">
        <v>216983.18999999989</v>
      </c>
      <c r="W83" s="19">
        <v>225951.97999999989</v>
      </c>
      <c r="X83" s="19">
        <v>233537.72999999989</v>
      </c>
      <c r="Y83" s="19">
        <v>238253.97999999989</v>
      </c>
      <c r="Z83" s="19">
        <v>-1.1641532182693481E-10</v>
      </c>
      <c r="AA83" s="19">
        <v>7999.4999999998836</v>
      </c>
      <c r="AB83" s="19">
        <v>14874.749999999884</v>
      </c>
      <c r="AC83" s="19">
        <v>21295.249999999884</v>
      </c>
      <c r="AD83" s="19">
        <v>26961.249999999884</v>
      </c>
      <c r="AE83" s="19">
        <v>34121.359999999884</v>
      </c>
      <c r="AF83" s="19">
        <v>37950.859999999884</v>
      </c>
      <c r="AG83" s="19">
        <v>42741.609999999884</v>
      </c>
      <c r="AH83" s="19">
        <v>47397.609999999884</v>
      </c>
      <c r="AI83" s="19">
        <v>49365.609999999884</v>
      </c>
      <c r="AJ83" s="19">
        <v>54346.359999999884</v>
      </c>
      <c r="AK83" s="19">
        <v>57421.609999999884</v>
      </c>
      <c r="AL83" s="19">
        <v>-1.1641532182693481E-10</v>
      </c>
      <c r="AM83" s="19">
        <v>3700.9999999998836</v>
      </c>
      <c r="AN83" s="19">
        <v>7745.9999999998836</v>
      </c>
      <c r="AO83" s="19">
        <v>16939.219999999885</v>
      </c>
      <c r="AP83" s="19">
        <v>20219.219999999885</v>
      </c>
      <c r="AQ83" s="19">
        <v>23786.219999999885</v>
      </c>
      <c r="AR83" s="19">
        <v>51902.799999999886</v>
      </c>
      <c r="AS83" s="19">
        <v>58945.799999999886</v>
      </c>
      <c r="AT83" s="19">
        <v>74692.269999999888</v>
      </c>
      <c r="AU83" s="19">
        <v>81601.519999999888</v>
      </c>
      <c r="AV83" s="19">
        <v>89910.769999999888</v>
      </c>
      <c r="AW83" s="19">
        <v>108436.48999999989</v>
      </c>
      <c r="AX83" s="19">
        <v>-1.1641532182693481E-10</v>
      </c>
      <c r="AY83" s="19">
        <v>3086.9999999998836</v>
      </c>
      <c r="AZ83" s="19">
        <v>21386.969999999885</v>
      </c>
      <c r="BA83" s="19">
        <v>28934.219999999885</v>
      </c>
      <c r="BB83" s="19">
        <v>33176.719999999885</v>
      </c>
      <c r="BC83" s="19">
        <v>43089.939999999886</v>
      </c>
      <c r="BD83" s="19">
        <v>72670.979999999894</v>
      </c>
      <c r="BE83" s="19">
        <v>78795.229999999894</v>
      </c>
      <c r="BF83" s="19">
        <v>103315.1999999999</v>
      </c>
      <c r="BG83" s="19">
        <v>117094.4499999999</v>
      </c>
      <c r="BH83" s="19">
        <v>157830.7399999999</v>
      </c>
      <c r="BI83" s="19">
        <v>175931.7099999999</v>
      </c>
      <c r="BJ83" s="19">
        <v>-8.7311491370201111E-11</v>
      </c>
      <c r="BK83" s="19">
        <v>17846.749999999913</v>
      </c>
      <c r="BL83" s="19">
        <v>48912.469999999914</v>
      </c>
      <c r="BM83" s="19">
        <v>73218.469999999914</v>
      </c>
      <c r="BN83" s="19">
        <v>94734.719999999914</v>
      </c>
      <c r="BO83" s="19">
        <v>122539.10999999991</v>
      </c>
      <c r="BP83" s="19">
        <v>145682.35999999993</v>
      </c>
      <c r="BQ83" s="19">
        <v>163605.35999999993</v>
      </c>
      <c r="BR83" s="19">
        <v>189885.57999999993</v>
      </c>
      <c r="BS83" s="19">
        <v>204883.37999999992</v>
      </c>
      <c r="BT83" s="19">
        <v>224472.62999999992</v>
      </c>
      <c r="BU83" s="19">
        <v>275925.09999999992</v>
      </c>
      <c r="BV83" s="19">
        <v>-5.8207660913467407E-11</v>
      </c>
      <c r="BW83" s="19">
        <v>16610.249999999942</v>
      </c>
      <c r="BX83" s="19">
        <v>35994.719999999943</v>
      </c>
      <c r="BY83" s="19">
        <v>78731.869999999937</v>
      </c>
      <c r="BZ83" s="19">
        <v>104971.86999999994</v>
      </c>
      <c r="CA83" s="19">
        <v>125322.33999999994</v>
      </c>
      <c r="CB83" s="19">
        <v>144626.58999999994</v>
      </c>
      <c r="CC83" s="19">
        <v>144626.58999999994</v>
      </c>
    </row>
    <row r="84" spans="1:81" x14ac:dyDescent="0.2">
      <c r="A84" s="25" t="s">
        <v>158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38.380000000000003</v>
      </c>
      <c r="AE84" s="19">
        <v>38.380000000000003</v>
      </c>
      <c r="AF84" s="19">
        <v>38.380000000000003</v>
      </c>
      <c r="AG84" s="19">
        <v>38.380000000000003</v>
      </c>
      <c r="AH84" s="19">
        <v>38.380000000000003</v>
      </c>
      <c r="AI84" s="19">
        <v>38.380000000000003</v>
      </c>
      <c r="AJ84" s="19">
        <v>38.380000000000003</v>
      </c>
      <c r="AK84" s="19">
        <v>38.380000000000003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129</v>
      </c>
      <c r="BX84" s="19">
        <v>129</v>
      </c>
      <c r="BY84" s="19">
        <v>129</v>
      </c>
      <c r="BZ84" s="19">
        <v>157</v>
      </c>
      <c r="CA84" s="19">
        <v>157</v>
      </c>
      <c r="CB84" s="19">
        <v>157</v>
      </c>
      <c r="CC84" s="19">
        <v>157</v>
      </c>
    </row>
    <row r="85" spans="1:81" x14ac:dyDescent="0.2">
      <c r="A85" s="25" t="s">
        <v>159</v>
      </c>
      <c r="B85" s="19">
        <v>78922.789999999994</v>
      </c>
      <c r="C85" s="19">
        <v>78922.789999999994</v>
      </c>
      <c r="D85" s="19">
        <v>0</v>
      </c>
      <c r="E85" s="19">
        <v>-16266.59</v>
      </c>
      <c r="F85" s="19">
        <v>-37207.160000000003</v>
      </c>
      <c r="G85" s="19">
        <v>-88752.47</v>
      </c>
      <c r="H85" s="19">
        <v>-122450.64</v>
      </c>
      <c r="I85" s="19">
        <v>-163809.65</v>
      </c>
      <c r="J85" s="19">
        <v>-180294.72999999998</v>
      </c>
      <c r="K85" s="19">
        <v>-229438.66999999998</v>
      </c>
      <c r="L85" s="19">
        <v>-289084.03999999998</v>
      </c>
      <c r="M85" s="19">
        <v>-300911.44999999995</v>
      </c>
      <c r="N85" s="19">
        <v>59112.910000000033</v>
      </c>
      <c r="O85" s="19">
        <v>36540.900000000038</v>
      </c>
      <c r="P85" s="19">
        <v>3.637978807091713E-11</v>
      </c>
      <c r="Q85" s="19">
        <v>-33118.809999999961</v>
      </c>
      <c r="R85" s="19">
        <v>-58010.449999999961</v>
      </c>
      <c r="S85" s="19">
        <v>-85113.459999999963</v>
      </c>
      <c r="T85" s="19">
        <v>-108427.96999999996</v>
      </c>
      <c r="U85" s="19">
        <v>-133443.31999999995</v>
      </c>
      <c r="V85" s="19">
        <v>-157292.68999999994</v>
      </c>
      <c r="W85" s="19">
        <v>-168857.59999999995</v>
      </c>
      <c r="X85" s="19">
        <v>-202229.92999999993</v>
      </c>
      <c r="Y85" s="19">
        <v>-211319.14999999994</v>
      </c>
      <c r="Z85" s="19">
        <v>8284.8200000000652</v>
      </c>
      <c r="AA85" s="19">
        <v>3717.9500000000653</v>
      </c>
      <c r="AB85" s="19">
        <v>6.5483618527650833E-11</v>
      </c>
      <c r="AC85" s="19">
        <v>-7867.8099999999349</v>
      </c>
      <c r="AD85" s="19">
        <v>-14677.469999999936</v>
      </c>
      <c r="AE85" s="19">
        <v>-21046.719999999936</v>
      </c>
      <c r="AF85" s="19">
        <v>-26227.419999999936</v>
      </c>
      <c r="AG85" s="19">
        <v>-40473.339999999938</v>
      </c>
      <c r="AH85" s="19">
        <v>-37132.109999999935</v>
      </c>
      <c r="AI85" s="19">
        <v>-40475.739999999932</v>
      </c>
      <c r="AJ85" s="19">
        <v>-45044.449999999932</v>
      </c>
      <c r="AK85" s="19">
        <v>-46970.999999999935</v>
      </c>
      <c r="AL85" s="19">
        <v>5301.4800000000687</v>
      </c>
      <c r="AM85" s="19">
        <v>2290.8900000000685</v>
      </c>
      <c r="AN85" s="19">
        <v>6.8666849983856082E-11</v>
      </c>
      <c r="AO85" s="19">
        <v>-3617.6799999999312</v>
      </c>
      <c r="AP85" s="19">
        <v>-7205.089999999931</v>
      </c>
      <c r="AQ85" s="19">
        <v>-16288.369999999932</v>
      </c>
      <c r="AR85" s="19">
        <v>-18986.579999999933</v>
      </c>
      <c r="AS85" s="19">
        <v>-22432.069999999934</v>
      </c>
      <c r="AT85" s="19">
        <v>-46854.739999999932</v>
      </c>
      <c r="AU85" s="19">
        <v>-52377.199999999932</v>
      </c>
      <c r="AV85" s="19">
        <v>-63272.509999999929</v>
      </c>
      <c r="AW85" s="19">
        <v>-70035.349999999933</v>
      </c>
      <c r="AX85" s="19">
        <v>71905.740000000063</v>
      </c>
      <c r="AY85" s="19">
        <v>58180.720000000059</v>
      </c>
      <c r="AZ85" s="19">
        <v>5.8207660913467407E-11</v>
      </c>
      <c r="BA85" s="19">
        <v>-3042.9799999999418</v>
      </c>
      <c r="BB85" s="19">
        <v>-16382.259999999942</v>
      </c>
      <c r="BC85" s="19">
        <v>-22584.91999999994</v>
      </c>
      <c r="BD85" s="19">
        <v>-25792.299999999941</v>
      </c>
      <c r="BE85" s="19">
        <v>-35080.899999999943</v>
      </c>
      <c r="BF85" s="19">
        <v>-59490.519999999946</v>
      </c>
      <c r="BG85" s="19">
        <v>-63219.589999999946</v>
      </c>
      <c r="BH85" s="19">
        <v>-82517.929999999949</v>
      </c>
      <c r="BI85" s="19">
        <v>-95763.189999999944</v>
      </c>
      <c r="BJ85" s="19">
        <v>33191.850000000049</v>
      </c>
      <c r="BK85" s="19">
        <v>15522.490000000049</v>
      </c>
      <c r="BL85" s="19">
        <v>4.9112713895738125E-11</v>
      </c>
      <c r="BM85" s="19">
        <v>-17324.349999999948</v>
      </c>
      <c r="BN85" s="19">
        <v>-43175.359999999942</v>
      </c>
      <c r="BO85" s="19">
        <v>-66995.309999999939</v>
      </c>
      <c r="BP85" s="19">
        <v>-87355.109999999942</v>
      </c>
      <c r="BQ85" s="19">
        <v>-109889.52999999994</v>
      </c>
      <c r="BR85" s="19">
        <v>-132329.32999999993</v>
      </c>
      <c r="BS85" s="19">
        <v>-148105.17999999993</v>
      </c>
      <c r="BT85" s="19">
        <v>-168038.52999999994</v>
      </c>
      <c r="BU85" s="19">
        <v>-182499.16999999993</v>
      </c>
      <c r="BV85" s="19">
        <v>38972.370000000083</v>
      </c>
      <c r="BW85" s="19">
        <v>32996.110000000081</v>
      </c>
      <c r="BX85" s="19">
        <v>38972.370000000083</v>
      </c>
      <c r="BY85" s="19">
        <v>23009.510000000082</v>
      </c>
      <c r="BZ85" s="19">
        <v>10047.220000000081</v>
      </c>
      <c r="CA85" s="19">
        <v>-31874.159999999916</v>
      </c>
      <c r="CB85" s="19">
        <v>-56047.849999999919</v>
      </c>
      <c r="CC85" s="19">
        <v>-56047.849999999919</v>
      </c>
    </row>
    <row r="86" spans="1:81" x14ac:dyDescent="0.2">
      <c r="A86" s="25" t="s">
        <v>160</v>
      </c>
      <c r="B86" s="19">
        <v>0</v>
      </c>
      <c r="C86" s="19">
        <v>-13402.36</v>
      </c>
      <c r="D86" s="19">
        <v>-31080.940000000002</v>
      </c>
      <c r="E86" s="19">
        <v>-73663.97</v>
      </c>
      <c r="F86" s="19">
        <v>-102593.34</v>
      </c>
      <c r="G86" s="19">
        <v>-136740.4</v>
      </c>
      <c r="H86" s="19">
        <v>-150528.38</v>
      </c>
      <c r="I86" s="19">
        <v>-191086.57</v>
      </c>
      <c r="J86" s="19">
        <v>-231114.85</v>
      </c>
      <c r="K86" s="19">
        <v>-240590.04</v>
      </c>
      <c r="L86" s="19">
        <v>-268615.93</v>
      </c>
      <c r="M86" s="19">
        <v>-283628.39</v>
      </c>
      <c r="N86" s="19">
        <v>0</v>
      </c>
      <c r="O86" s="19">
        <v>-21826.720000000001</v>
      </c>
      <c r="P86" s="19">
        <v>-39235.31</v>
      </c>
      <c r="Q86" s="19">
        <v>-58037.599999999999</v>
      </c>
      <c r="R86" s="19">
        <v>-74308.399999999994</v>
      </c>
      <c r="S86" s="19">
        <v>-92019.599999999991</v>
      </c>
      <c r="T86" s="19">
        <v>-107006.99999999999</v>
      </c>
      <c r="U86" s="19">
        <v>-117826.39999999998</v>
      </c>
      <c r="V86" s="19">
        <v>-136146.80999999997</v>
      </c>
      <c r="W86" s="19">
        <v>-143050.40999999997</v>
      </c>
      <c r="X86" s="19">
        <v>-149191.00999999998</v>
      </c>
      <c r="Y86" s="19">
        <v>-153078.00999999998</v>
      </c>
      <c r="Z86" s="19">
        <v>2.9103830456733704E-11</v>
      </c>
      <c r="AA86" s="19">
        <v>-6489.5999999999713</v>
      </c>
      <c r="AB86" s="19">
        <v>-12061.79999999997</v>
      </c>
      <c r="AC86" s="19">
        <v>-17312.199999999968</v>
      </c>
      <c r="AD86" s="19">
        <v>-20993.999999999967</v>
      </c>
      <c r="AE86" s="19">
        <v>-26371.199999999968</v>
      </c>
      <c r="AF86" s="19">
        <v>-29477.799999999967</v>
      </c>
      <c r="AG86" s="19">
        <v>-33230.399999999965</v>
      </c>
      <c r="AH86" s="19">
        <v>-37099.199999999968</v>
      </c>
      <c r="AI86" s="19">
        <v>-38673.599999999969</v>
      </c>
      <c r="AJ86" s="19">
        <v>-42865.199999999968</v>
      </c>
      <c r="AK86" s="19">
        <v>-42865.199999999968</v>
      </c>
      <c r="AL86" s="19">
        <v>2.9103830456733704E-11</v>
      </c>
      <c r="AM86" s="19">
        <v>2.9103830456733704E-11</v>
      </c>
      <c r="AN86" s="19">
        <v>-6466.7999999999711</v>
      </c>
      <c r="AO86" s="19">
        <v>-6466.7999999999711</v>
      </c>
      <c r="AP86" s="19">
        <v>-6466.7999999999711</v>
      </c>
      <c r="AQ86" s="19">
        <v>-6466.7999999999711</v>
      </c>
      <c r="AR86" s="19">
        <v>-6466.7999999999711</v>
      </c>
      <c r="AS86" s="19">
        <v>-18552.399999999972</v>
      </c>
      <c r="AT86" s="19">
        <v>-18552.399999999972</v>
      </c>
      <c r="AU86" s="19">
        <v>-25541.599999999973</v>
      </c>
      <c r="AV86" s="19">
        <v>-25541.599999999973</v>
      </c>
      <c r="AW86" s="19">
        <v>-54774.399999999972</v>
      </c>
      <c r="AX86" s="19">
        <v>2.9103830456733704E-11</v>
      </c>
      <c r="AY86" s="19">
        <v>-3514.399999999971</v>
      </c>
      <c r="AZ86" s="19">
        <v>-6742.2499999999709</v>
      </c>
      <c r="BA86" s="19">
        <v>-10883.249999999971</v>
      </c>
      <c r="BB86" s="19">
        <v>-25577.88999999997</v>
      </c>
      <c r="BC86" s="19">
        <v>-29056.68999999997</v>
      </c>
      <c r="BD86" s="19">
        <v>-51813.289999999964</v>
      </c>
      <c r="BE86" s="19">
        <v>-57562.689999999966</v>
      </c>
      <c r="BF86" s="19">
        <v>-61059.089999999967</v>
      </c>
      <c r="BG86" s="19">
        <v>-70526.689999999973</v>
      </c>
      <c r="BH86" s="19">
        <v>-90770.38999999997</v>
      </c>
      <c r="BI86" s="19">
        <v>-99623.589999999967</v>
      </c>
      <c r="BJ86" s="19">
        <v>2.9103830456733704E-11</v>
      </c>
      <c r="BK86" s="19">
        <v>-12825.399999999971</v>
      </c>
      <c r="BL86" s="19">
        <v>-30981.38999999997</v>
      </c>
      <c r="BM86" s="19">
        <v>-48393.789999999972</v>
      </c>
      <c r="BN86" s="19">
        <v>-62691.379999999976</v>
      </c>
      <c r="BO86" s="19">
        <v>-76570.579999999973</v>
      </c>
      <c r="BP86" s="19">
        <v>-91993.77999999997</v>
      </c>
      <c r="BQ86" s="19">
        <v>-91993.77999999997</v>
      </c>
      <c r="BR86" s="19">
        <v>-120306.97999999997</v>
      </c>
      <c r="BS86" s="19">
        <v>-131665.37999999998</v>
      </c>
      <c r="BT86" s="19">
        <v>-131695.93999999997</v>
      </c>
      <c r="BU86" s="19">
        <v>-163963.93999999997</v>
      </c>
      <c r="BV86" s="19">
        <v>2.9103830456733704E-11</v>
      </c>
      <c r="BW86" s="19">
        <v>-12801.089999999971</v>
      </c>
      <c r="BX86" s="19">
        <v>-22976.88999999997</v>
      </c>
      <c r="BY86" s="19">
        <v>-32871.689999999973</v>
      </c>
      <c r="BZ86" s="19">
        <v>-41697.749999999971</v>
      </c>
      <c r="CA86" s="19">
        <v>-52235.349999999969</v>
      </c>
      <c r="CB86" s="19">
        <v>-70892.749999999971</v>
      </c>
      <c r="CC86" s="19">
        <v>-70892.749999999971</v>
      </c>
    </row>
    <row r="87" spans="1:81" x14ac:dyDescent="0.2">
      <c r="A87" s="25" t="s">
        <v>161</v>
      </c>
      <c r="B87" s="19">
        <v>-207.66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236.52</v>
      </c>
      <c r="K87" s="19">
        <v>32175.38</v>
      </c>
      <c r="L87" s="19">
        <v>0</v>
      </c>
      <c r="M87" s="19">
        <v>273.52999999999997</v>
      </c>
      <c r="N87" s="19">
        <v>-273.52999999999997</v>
      </c>
      <c r="O87" s="19">
        <v>-273.52999999999997</v>
      </c>
      <c r="P87" s="19">
        <v>-273.52999999999997</v>
      </c>
      <c r="Q87" s="19">
        <v>-273.52999999999997</v>
      </c>
      <c r="R87" s="19">
        <v>-273.52999999999997</v>
      </c>
      <c r="S87" s="19">
        <v>-273.52999999999997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-11127</v>
      </c>
      <c r="AE87" s="19">
        <v>0</v>
      </c>
      <c r="AF87" s="19">
        <v>0</v>
      </c>
      <c r="AG87" s="19">
        <v>7122.96</v>
      </c>
      <c r="AH87" s="19">
        <v>-47044.99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-2063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-470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>
        <v>0</v>
      </c>
      <c r="BW87" s="19">
        <v>0</v>
      </c>
      <c r="BX87" s="19">
        <v>0</v>
      </c>
      <c r="BY87" s="19">
        <v>0</v>
      </c>
      <c r="BZ87" s="19">
        <v>0</v>
      </c>
      <c r="CA87" s="19">
        <v>0</v>
      </c>
      <c r="CB87" s="19">
        <v>0</v>
      </c>
      <c r="CC87" s="19">
        <v>0</v>
      </c>
    </row>
    <row r="88" spans="1:81" x14ac:dyDescent="0.2">
      <c r="A88" s="14" t="s">
        <v>162</v>
      </c>
      <c r="B88" s="15">
        <f t="shared" ref="B88:AG88" si="57">SUM(B72:B87)</f>
        <v>87450.609999999986</v>
      </c>
      <c r="C88" s="15">
        <f t="shared" si="57"/>
        <v>-197076.34999999998</v>
      </c>
      <c r="D88" s="15">
        <f t="shared" si="57"/>
        <v>41306.989999999991</v>
      </c>
      <c r="E88" s="15">
        <f t="shared" si="57"/>
        <v>84675.919999999984</v>
      </c>
      <c r="F88" s="15">
        <f t="shared" si="57"/>
        <v>88848.320000000007</v>
      </c>
      <c r="G88" s="15">
        <f t="shared" si="57"/>
        <v>79329.300000000047</v>
      </c>
      <c r="H88" s="15">
        <f t="shared" si="57"/>
        <v>63751.75</v>
      </c>
      <c r="I88" s="15">
        <f t="shared" si="57"/>
        <v>75902.960000000021</v>
      </c>
      <c r="J88" s="15">
        <f t="shared" si="57"/>
        <v>117434.04</v>
      </c>
      <c r="K88" s="15">
        <f t="shared" si="57"/>
        <v>110908.55999999991</v>
      </c>
      <c r="L88" s="15">
        <f t="shared" si="57"/>
        <v>54269.619999999879</v>
      </c>
      <c r="M88" s="15">
        <f t="shared" si="57"/>
        <v>67252.450000000041</v>
      </c>
      <c r="N88" s="15">
        <f t="shared" si="57"/>
        <v>65901.219999999914</v>
      </c>
      <c r="O88" s="15">
        <f t="shared" si="57"/>
        <v>75667.119999999923</v>
      </c>
      <c r="P88" s="15">
        <f t="shared" si="57"/>
        <v>63214.31999999992</v>
      </c>
      <c r="Q88" s="15">
        <f t="shared" si="57"/>
        <v>56287.74999999992</v>
      </c>
      <c r="R88" s="15">
        <f t="shared" si="57"/>
        <v>56691.479999999923</v>
      </c>
      <c r="S88" s="15">
        <f t="shared" si="57"/>
        <v>57224.449999999939</v>
      </c>
      <c r="T88" s="15">
        <f t="shared" si="57"/>
        <v>63504.049999999886</v>
      </c>
      <c r="U88" s="15">
        <f t="shared" si="57"/>
        <v>62388.059999999925</v>
      </c>
      <c r="V88" s="15">
        <f t="shared" si="57"/>
        <v>54087.609999999957</v>
      </c>
      <c r="W88" s="15">
        <f t="shared" si="57"/>
        <v>51143.909999999945</v>
      </c>
      <c r="X88" s="15">
        <f t="shared" si="57"/>
        <v>24552.380000000034</v>
      </c>
      <c r="Y88" s="15">
        <f t="shared" si="57"/>
        <v>23654.319999999949</v>
      </c>
      <c r="Z88" s="15">
        <f t="shared" si="57"/>
        <v>16139.209999999948</v>
      </c>
      <c r="AA88" s="15">
        <f t="shared" si="57"/>
        <v>18495.60999999995</v>
      </c>
      <c r="AB88" s="15">
        <f t="shared" si="57"/>
        <v>23028.579999999954</v>
      </c>
      <c r="AC88" s="15">
        <f t="shared" si="57"/>
        <v>20294.319999999949</v>
      </c>
      <c r="AD88" s="15">
        <f t="shared" si="57"/>
        <v>16527.839999999949</v>
      </c>
      <c r="AE88" s="15">
        <f t="shared" si="57"/>
        <v>21429.069999999956</v>
      </c>
      <c r="AF88" s="15">
        <f t="shared" si="57"/>
        <v>24308.389999999948</v>
      </c>
      <c r="AG88" s="15">
        <f t="shared" si="57"/>
        <v>17336.209999999941</v>
      </c>
      <c r="AH88" s="15">
        <f t="shared" ref="AH88:BM88" si="58">SUM(AH72:AH87)</f>
        <v>-29462.600000000035</v>
      </c>
      <c r="AI88" s="15">
        <f t="shared" si="58"/>
        <v>17013.009999999958</v>
      </c>
      <c r="AJ88" s="15">
        <f t="shared" si="58"/>
        <v>15695.109999999964</v>
      </c>
      <c r="AK88" s="15">
        <f t="shared" si="58"/>
        <v>22678.279999999955</v>
      </c>
      <c r="AL88" s="15">
        <f t="shared" si="58"/>
        <v>14202.739999999954</v>
      </c>
      <c r="AM88" s="15">
        <f t="shared" si="58"/>
        <v>14820.249999999953</v>
      </c>
      <c r="AN88" s="15">
        <f t="shared" si="58"/>
        <v>16100.359999999953</v>
      </c>
      <c r="AO88" s="15">
        <f t="shared" si="58"/>
        <v>29565.159999999949</v>
      </c>
      <c r="AP88" s="15">
        <f t="shared" si="58"/>
        <v>21533.829999999954</v>
      </c>
      <c r="AQ88" s="15">
        <f t="shared" si="58"/>
        <v>16859.749999999953</v>
      </c>
      <c r="AR88" s="15">
        <f t="shared" si="58"/>
        <v>43859.289999999964</v>
      </c>
      <c r="AS88" s="15">
        <f t="shared" si="58"/>
        <v>43229.289999999957</v>
      </c>
      <c r="AT88" s="15">
        <f t="shared" si="58"/>
        <v>25007.009999999958</v>
      </c>
      <c r="AU88" s="15">
        <f t="shared" si="58"/>
        <v>27784.059999999965</v>
      </c>
      <c r="AV88" s="15">
        <f t="shared" si="58"/>
        <v>24784.329999999954</v>
      </c>
      <c r="AW88" s="15">
        <f t="shared" si="58"/>
        <v>37673.659999999953</v>
      </c>
      <c r="AX88" s="15">
        <f t="shared" si="58"/>
        <v>85228.51999999996</v>
      </c>
      <c r="AY88" s="15">
        <f t="shared" si="58"/>
        <v>75338.339999999953</v>
      </c>
      <c r="AZ88" s="15">
        <f t="shared" si="58"/>
        <v>31164.199999999953</v>
      </c>
      <c r="BA88" s="15">
        <f t="shared" si="58"/>
        <v>49751.329999999944</v>
      </c>
      <c r="BB88" s="15">
        <f t="shared" si="58"/>
        <v>-74505.080000000045</v>
      </c>
      <c r="BC88" s="15">
        <f t="shared" si="58"/>
        <v>-74091.540000000052</v>
      </c>
      <c r="BD88" s="15">
        <f t="shared" si="58"/>
        <v>56536.159999999974</v>
      </c>
      <c r="BE88" s="15">
        <f t="shared" si="58"/>
        <v>47157.649999999972</v>
      </c>
      <c r="BF88" s="15">
        <f t="shared" si="58"/>
        <v>41420.89999999998</v>
      </c>
      <c r="BG88" s="15">
        <f t="shared" si="58"/>
        <v>51005</v>
      </c>
      <c r="BH88" s="15">
        <f t="shared" si="58"/>
        <v>71059.150000000009</v>
      </c>
      <c r="BI88" s="15">
        <f t="shared" si="58"/>
        <v>83920.709999999963</v>
      </c>
      <c r="BJ88" s="15">
        <f t="shared" si="58"/>
        <v>51863.089999999982</v>
      </c>
      <c r="BK88" s="15">
        <f t="shared" si="58"/>
        <v>51295.609999999979</v>
      </c>
      <c r="BL88" s="15">
        <f t="shared" si="58"/>
        <v>62236.579999999973</v>
      </c>
      <c r="BM88" s="15">
        <f t="shared" si="58"/>
        <v>57300.369999999988</v>
      </c>
      <c r="BN88" s="15">
        <f t="shared" ref="BN88:CS88" si="59">SUM(BN72:BN87)</f>
        <v>65637.39999999998</v>
      </c>
      <c r="BO88" s="15">
        <f t="shared" si="59"/>
        <v>62724.309999999983</v>
      </c>
      <c r="BP88" s="15">
        <f t="shared" si="59"/>
        <v>80089.849999999977</v>
      </c>
      <c r="BQ88" s="15">
        <f t="shared" si="59"/>
        <v>59534.760000000009</v>
      </c>
      <c r="BR88" s="15">
        <f t="shared" si="59"/>
        <v>57951.83</v>
      </c>
      <c r="BS88" s="15">
        <f t="shared" si="59"/>
        <v>55729.000000000029</v>
      </c>
      <c r="BT88" s="15">
        <f t="shared" si="59"/>
        <v>54275.19</v>
      </c>
      <c r="BU88" s="15">
        <f t="shared" si="59"/>
        <v>95069.110000000015</v>
      </c>
      <c r="BV88" s="15">
        <f t="shared" si="59"/>
        <v>99523.780000000028</v>
      </c>
      <c r="BW88" s="15">
        <f t="shared" si="59"/>
        <v>168066.23</v>
      </c>
      <c r="BX88" s="15">
        <f t="shared" si="59"/>
        <v>191118.46000000002</v>
      </c>
      <c r="BY88" s="15">
        <f t="shared" si="59"/>
        <v>201006.22</v>
      </c>
      <c r="BZ88" s="15">
        <f t="shared" si="59"/>
        <v>194348.77000000005</v>
      </c>
      <c r="CA88" s="15">
        <f t="shared" si="59"/>
        <v>166788.54000000004</v>
      </c>
      <c r="CB88" s="15">
        <f t="shared" si="59"/>
        <v>173465.78</v>
      </c>
      <c r="CC88" s="15">
        <f t="shared" si="59"/>
        <v>173465.78</v>
      </c>
    </row>
    <row r="89" spans="1:81" x14ac:dyDescent="0.2">
      <c r="A89" s="16" t="s">
        <v>163</v>
      </c>
      <c r="B89" s="17">
        <f t="shared" ref="B89:AG89" si="60">0+0+0+B67+0+B70+0+B88</f>
        <v>863861.15</v>
      </c>
      <c r="C89" s="17">
        <f t="shared" si="60"/>
        <v>644083.08000000007</v>
      </c>
      <c r="D89" s="17">
        <f t="shared" si="60"/>
        <v>974366.49</v>
      </c>
      <c r="E89" s="17">
        <f t="shared" si="60"/>
        <v>1227143.3899999999</v>
      </c>
      <c r="F89" s="17">
        <f t="shared" si="60"/>
        <v>1309274.1300000001</v>
      </c>
      <c r="G89" s="17">
        <f t="shared" si="60"/>
        <v>1390516.6400000001</v>
      </c>
      <c r="H89" s="17">
        <f t="shared" si="60"/>
        <v>1326487.74</v>
      </c>
      <c r="I89" s="17">
        <f t="shared" si="60"/>
        <v>1430128.97</v>
      </c>
      <c r="J89" s="17">
        <f t="shared" si="60"/>
        <v>1594143.9100000001</v>
      </c>
      <c r="K89" s="17">
        <f t="shared" si="60"/>
        <v>1532206.3499999999</v>
      </c>
      <c r="L89" s="17">
        <f t="shared" si="60"/>
        <v>1498735.68</v>
      </c>
      <c r="M89" s="17">
        <f t="shared" si="60"/>
        <v>1348829.33</v>
      </c>
      <c r="N89" s="17">
        <f t="shared" si="60"/>
        <v>1228834.3700000001</v>
      </c>
      <c r="O89" s="17">
        <f t="shared" si="60"/>
        <v>372666.81000000011</v>
      </c>
      <c r="P89" s="17">
        <f t="shared" si="60"/>
        <v>275770.88000000012</v>
      </c>
      <c r="Q89" s="17">
        <f t="shared" si="60"/>
        <v>376525.16000000009</v>
      </c>
      <c r="R89" s="17">
        <f t="shared" si="60"/>
        <v>353994.32000000007</v>
      </c>
      <c r="S89" s="17">
        <f t="shared" si="60"/>
        <v>433067.09000000008</v>
      </c>
      <c r="T89" s="17">
        <f t="shared" si="60"/>
        <v>500693.89</v>
      </c>
      <c r="U89" s="17">
        <f t="shared" si="60"/>
        <v>542469.5</v>
      </c>
      <c r="V89" s="17">
        <f t="shared" si="60"/>
        <v>629084.90000000014</v>
      </c>
      <c r="W89" s="17">
        <f t="shared" si="60"/>
        <v>657262.39</v>
      </c>
      <c r="X89" s="17">
        <f t="shared" si="60"/>
        <v>661373.8600000001</v>
      </c>
      <c r="Y89" s="17">
        <f t="shared" si="60"/>
        <v>51962.320000000065</v>
      </c>
      <c r="Z89" s="17">
        <f t="shared" si="60"/>
        <v>63421.690000000061</v>
      </c>
      <c r="AA89" s="17">
        <f t="shared" si="60"/>
        <v>98494.690000000061</v>
      </c>
      <c r="AB89" s="17">
        <f t="shared" si="60"/>
        <v>128685.58000000006</v>
      </c>
      <c r="AC89" s="17">
        <f t="shared" si="60"/>
        <v>46546.320000000051</v>
      </c>
      <c r="AD89" s="17">
        <f t="shared" si="60"/>
        <v>61488.440000000046</v>
      </c>
      <c r="AE89" s="17">
        <f t="shared" si="60"/>
        <v>92976.070000000065</v>
      </c>
      <c r="AF89" s="17">
        <f t="shared" si="60"/>
        <v>111388.39000000004</v>
      </c>
      <c r="AG89" s="17">
        <f t="shared" si="60"/>
        <v>123375.04000000004</v>
      </c>
      <c r="AH89" s="17">
        <f t="shared" ref="AH89:BM89" si="61">0+0+0+AH67+0+AH70+0+AH88</f>
        <v>96013.130000000063</v>
      </c>
      <c r="AI89" s="17">
        <f t="shared" si="61"/>
        <v>150305.74000000005</v>
      </c>
      <c r="AJ89" s="17">
        <f t="shared" si="61"/>
        <v>36458.110000000066</v>
      </c>
      <c r="AK89" s="17">
        <f t="shared" si="61"/>
        <v>43693.410000000062</v>
      </c>
      <c r="AL89" s="17">
        <f t="shared" si="61"/>
        <v>16921.710000000057</v>
      </c>
      <c r="AM89" s="17">
        <f t="shared" si="61"/>
        <v>14968.700000000055</v>
      </c>
      <c r="AN89" s="17">
        <f t="shared" si="61"/>
        <v>50895.940000000061</v>
      </c>
      <c r="AO89" s="17">
        <f t="shared" si="61"/>
        <v>61960.740000000049</v>
      </c>
      <c r="AP89" s="17">
        <f t="shared" si="61"/>
        <v>54676.08000000006</v>
      </c>
      <c r="AQ89" s="17">
        <f t="shared" si="61"/>
        <v>50054.090000000055</v>
      </c>
      <c r="AR89" s="17">
        <f t="shared" si="61"/>
        <v>65968.230000000069</v>
      </c>
      <c r="AS89" s="17">
        <f t="shared" si="61"/>
        <v>43242.480000000054</v>
      </c>
      <c r="AT89" s="17">
        <f t="shared" si="61"/>
        <v>53516.400000000052</v>
      </c>
      <c r="AU89" s="17">
        <f t="shared" si="61"/>
        <v>62730.06000000007</v>
      </c>
      <c r="AV89" s="17">
        <f t="shared" si="61"/>
        <v>24861.250000000051</v>
      </c>
      <c r="AW89" s="17">
        <f t="shared" si="61"/>
        <v>127622.50000000006</v>
      </c>
      <c r="AX89" s="17">
        <f t="shared" si="61"/>
        <v>247842.28000000006</v>
      </c>
      <c r="AY89" s="17">
        <f t="shared" si="61"/>
        <v>234910.34000000003</v>
      </c>
      <c r="AZ89" s="17">
        <f t="shared" si="61"/>
        <v>217574.22000000006</v>
      </c>
      <c r="BA89" s="17">
        <f t="shared" si="61"/>
        <v>70457.23000000004</v>
      </c>
      <c r="BB89" s="17">
        <f t="shared" si="61"/>
        <v>19999.120000000054</v>
      </c>
      <c r="BC89" s="17">
        <f t="shared" si="61"/>
        <v>12676.46000000005</v>
      </c>
      <c r="BD89" s="17">
        <f t="shared" si="61"/>
        <v>187713.16000000006</v>
      </c>
      <c r="BE89" s="17">
        <f t="shared" si="61"/>
        <v>118835.89000000007</v>
      </c>
      <c r="BF89" s="17">
        <f t="shared" si="61"/>
        <v>158955.10000000009</v>
      </c>
      <c r="BG89" s="17">
        <f t="shared" si="61"/>
        <v>98443.440000000104</v>
      </c>
      <c r="BH89" s="17">
        <f t="shared" si="61"/>
        <v>219700.18000000011</v>
      </c>
      <c r="BI89" s="17">
        <f t="shared" si="61"/>
        <v>128292.71000000006</v>
      </c>
      <c r="BJ89" s="17">
        <f t="shared" si="61"/>
        <v>125154.01000000008</v>
      </c>
      <c r="BK89" s="17">
        <f t="shared" si="61"/>
        <v>115480.61000000007</v>
      </c>
      <c r="BL89" s="17">
        <f t="shared" si="61"/>
        <v>245405.22000000009</v>
      </c>
      <c r="BM89" s="17">
        <f t="shared" si="61"/>
        <v>235030.15000000008</v>
      </c>
      <c r="BN89" s="17">
        <f t="shared" ref="BN89:CS89" si="62">0+0+0+BN67+0+BN70+0+BN88</f>
        <v>260920.09000000008</v>
      </c>
      <c r="BO89" s="17">
        <f t="shared" si="62"/>
        <v>160190.01000000007</v>
      </c>
      <c r="BP89" s="17">
        <f t="shared" si="62"/>
        <v>226659.85000000009</v>
      </c>
      <c r="BQ89" s="17">
        <f t="shared" si="62"/>
        <v>146638.00000000012</v>
      </c>
      <c r="BR89" s="17">
        <f t="shared" si="62"/>
        <v>234231.65000000008</v>
      </c>
      <c r="BS89" s="17">
        <f t="shared" si="62"/>
        <v>254061.78000000012</v>
      </c>
      <c r="BT89" s="17">
        <f t="shared" si="62"/>
        <v>54427.990000000093</v>
      </c>
      <c r="BU89" s="17">
        <f t="shared" si="62"/>
        <v>291224.71000000008</v>
      </c>
      <c r="BV89" s="17">
        <f t="shared" si="62"/>
        <v>151605.78000000014</v>
      </c>
      <c r="BW89" s="17">
        <f t="shared" si="62"/>
        <v>333678.22000000009</v>
      </c>
      <c r="BX89" s="17">
        <f t="shared" si="62"/>
        <v>329049.94000000012</v>
      </c>
      <c r="BY89" s="17">
        <f t="shared" si="62"/>
        <v>302895.00000000012</v>
      </c>
      <c r="BZ89" s="17">
        <f t="shared" si="62"/>
        <v>293288.92000000016</v>
      </c>
      <c r="CA89" s="17">
        <f t="shared" si="62"/>
        <v>306580.68000000017</v>
      </c>
      <c r="CB89" s="17">
        <f t="shared" si="62"/>
        <v>320521.43000000005</v>
      </c>
      <c r="CC89" s="17">
        <f t="shared" si="62"/>
        <v>320521.43000000005</v>
      </c>
    </row>
    <row r="90" spans="1:81" x14ac:dyDescent="0.2">
      <c r="A90" s="1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</row>
    <row r="91" spans="1:81" ht="12" x14ac:dyDescent="0.2">
      <c r="A91" s="5" t="s">
        <v>164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</row>
    <row r="92" spans="1:81" x14ac:dyDescent="0.2">
      <c r="A92" s="20" t="s">
        <v>165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0</v>
      </c>
      <c r="BM92" s="19">
        <v>0</v>
      </c>
      <c r="BN92" s="19">
        <v>0</v>
      </c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>
        <v>20264</v>
      </c>
      <c r="BW92" s="19">
        <v>20264</v>
      </c>
      <c r="BX92" s="19">
        <v>20264</v>
      </c>
      <c r="BY92" s="19">
        <v>20264</v>
      </c>
      <c r="BZ92" s="19">
        <v>20264</v>
      </c>
      <c r="CA92" s="19">
        <v>20264</v>
      </c>
      <c r="CB92" s="19">
        <v>20264</v>
      </c>
      <c r="CC92" s="19">
        <v>20264</v>
      </c>
    </row>
    <row r="93" spans="1:81" x14ac:dyDescent="0.2">
      <c r="A93" s="20" t="s">
        <v>166</v>
      </c>
      <c r="B93" s="19">
        <v>0</v>
      </c>
      <c r="C93" s="19">
        <v>0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0</v>
      </c>
      <c r="BM93" s="19">
        <v>0</v>
      </c>
      <c r="BN93" s="19">
        <v>0</v>
      </c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>
        <v>0</v>
      </c>
      <c r="BW93" s="19">
        <v>20264</v>
      </c>
      <c r="BX93" s="19">
        <v>20264</v>
      </c>
      <c r="BY93" s="19">
        <v>20264</v>
      </c>
      <c r="BZ93" s="19">
        <v>20264</v>
      </c>
      <c r="CA93" s="19">
        <v>20264</v>
      </c>
      <c r="CB93" s="19">
        <v>20264</v>
      </c>
      <c r="CC93" s="19">
        <v>20264</v>
      </c>
    </row>
    <row r="94" spans="1:81" x14ac:dyDescent="0.2">
      <c r="A94" s="21" t="s">
        <v>167</v>
      </c>
      <c r="B94" s="15">
        <f t="shared" ref="B94:AG94" si="63">SUM(B92:B93)</f>
        <v>0</v>
      </c>
      <c r="C94" s="15">
        <f t="shared" si="63"/>
        <v>0</v>
      </c>
      <c r="D94" s="15">
        <f t="shared" si="63"/>
        <v>0</v>
      </c>
      <c r="E94" s="15">
        <f t="shared" si="63"/>
        <v>0</v>
      </c>
      <c r="F94" s="15">
        <f t="shared" si="63"/>
        <v>0</v>
      </c>
      <c r="G94" s="15">
        <f t="shared" si="63"/>
        <v>0</v>
      </c>
      <c r="H94" s="15">
        <f t="shared" si="63"/>
        <v>0</v>
      </c>
      <c r="I94" s="15">
        <f t="shared" si="63"/>
        <v>0</v>
      </c>
      <c r="J94" s="15">
        <f t="shared" si="63"/>
        <v>0</v>
      </c>
      <c r="K94" s="15">
        <f t="shared" si="63"/>
        <v>0</v>
      </c>
      <c r="L94" s="15">
        <f t="shared" si="63"/>
        <v>0</v>
      </c>
      <c r="M94" s="15">
        <f t="shared" si="63"/>
        <v>0</v>
      </c>
      <c r="N94" s="15">
        <f t="shared" si="63"/>
        <v>0</v>
      </c>
      <c r="O94" s="15">
        <f t="shared" si="63"/>
        <v>0</v>
      </c>
      <c r="P94" s="15">
        <f t="shared" si="63"/>
        <v>0</v>
      </c>
      <c r="Q94" s="15">
        <f t="shared" si="63"/>
        <v>0</v>
      </c>
      <c r="R94" s="15">
        <f t="shared" si="63"/>
        <v>0</v>
      </c>
      <c r="S94" s="15">
        <f t="shared" si="63"/>
        <v>0</v>
      </c>
      <c r="T94" s="15">
        <f t="shared" si="63"/>
        <v>0</v>
      </c>
      <c r="U94" s="15">
        <f t="shared" si="63"/>
        <v>0</v>
      </c>
      <c r="V94" s="15">
        <f t="shared" si="63"/>
        <v>0</v>
      </c>
      <c r="W94" s="15">
        <f t="shared" si="63"/>
        <v>0</v>
      </c>
      <c r="X94" s="15">
        <f t="shared" si="63"/>
        <v>0</v>
      </c>
      <c r="Y94" s="15">
        <f t="shared" si="63"/>
        <v>0</v>
      </c>
      <c r="Z94" s="15">
        <f t="shared" si="63"/>
        <v>0</v>
      </c>
      <c r="AA94" s="15">
        <f t="shared" si="63"/>
        <v>0</v>
      </c>
      <c r="AB94" s="15">
        <f t="shared" si="63"/>
        <v>0</v>
      </c>
      <c r="AC94" s="15">
        <f t="shared" si="63"/>
        <v>0</v>
      </c>
      <c r="AD94" s="15">
        <f t="shared" si="63"/>
        <v>0</v>
      </c>
      <c r="AE94" s="15">
        <f t="shared" si="63"/>
        <v>0</v>
      </c>
      <c r="AF94" s="15">
        <f t="shared" si="63"/>
        <v>0</v>
      </c>
      <c r="AG94" s="15">
        <f t="shared" si="63"/>
        <v>0</v>
      </c>
      <c r="AH94" s="15">
        <f t="shared" ref="AH94:BM94" si="64">SUM(AH92:AH93)</f>
        <v>0</v>
      </c>
      <c r="AI94" s="15">
        <f t="shared" si="64"/>
        <v>0</v>
      </c>
      <c r="AJ94" s="15">
        <f t="shared" si="64"/>
        <v>0</v>
      </c>
      <c r="AK94" s="15">
        <f t="shared" si="64"/>
        <v>0</v>
      </c>
      <c r="AL94" s="15">
        <f t="shared" si="64"/>
        <v>0</v>
      </c>
      <c r="AM94" s="15">
        <f t="shared" si="64"/>
        <v>0</v>
      </c>
      <c r="AN94" s="15">
        <f t="shared" si="64"/>
        <v>0</v>
      </c>
      <c r="AO94" s="15">
        <f t="shared" si="64"/>
        <v>0</v>
      </c>
      <c r="AP94" s="15">
        <f t="shared" si="64"/>
        <v>0</v>
      </c>
      <c r="AQ94" s="15">
        <f t="shared" si="64"/>
        <v>0</v>
      </c>
      <c r="AR94" s="15">
        <f t="shared" si="64"/>
        <v>0</v>
      </c>
      <c r="AS94" s="15">
        <f t="shared" si="64"/>
        <v>0</v>
      </c>
      <c r="AT94" s="15">
        <f t="shared" si="64"/>
        <v>0</v>
      </c>
      <c r="AU94" s="15">
        <f t="shared" si="64"/>
        <v>0</v>
      </c>
      <c r="AV94" s="15">
        <f t="shared" si="64"/>
        <v>0</v>
      </c>
      <c r="AW94" s="15">
        <f t="shared" si="64"/>
        <v>0</v>
      </c>
      <c r="AX94" s="15">
        <f t="shared" si="64"/>
        <v>0</v>
      </c>
      <c r="AY94" s="15">
        <f t="shared" si="64"/>
        <v>0</v>
      </c>
      <c r="AZ94" s="15">
        <f t="shared" si="64"/>
        <v>0</v>
      </c>
      <c r="BA94" s="15">
        <f t="shared" si="64"/>
        <v>0</v>
      </c>
      <c r="BB94" s="15">
        <f t="shared" si="64"/>
        <v>0</v>
      </c>
      <c r="BC94" s="15">
        <f t="shared" si="64"/>
        <v>0</v>
      </c>
      <c r="BD94" s="15">
        <f t="shared" si="64"/>
        <v>0</v>
      </c>
      <c r="BE94" s="15">
        <f t="shared" si="64"/>
        <v>0</v>
      </c>
      <c r="BF94" s="15">
        <f t="shared" si="64"/>
        <v>0</v>
      </c>
      <c r="BG94" s="15">
        <f t="shared" si="64"/>
        <v>0</v>
      </c>
      <c r="BH94" s="15">
        <f t="shared" si="64"/>
        <v>0</v>
      </c>
      <c r="BI94" s="15">
        <f t="shared" si="64"/>
        <v>0</v>
      </c>
      <c r="BJ94" s="15">
        <f t="shared" si="64"/>
        <v>0</v>
      </c>
      <c r="BK94" s="15">
        <f t="shared" si="64"/>
        <v>0</v>
      </c>
      <c r="BL94" s="15">
        <f t="shared" si="64"/>
        <v>0</v>
      </c>
      <c r="BM94" s="15">
        <f t="shared" si="64"/>
        <v>0</v>
      </c>
      <c r="BN94" s="15">
        <f t="shared" ref="BN94:CS94" si="65">SUM(BN92:BN93)</f>
        <v>0</v>
      </c>
      <c r="BO94" s="15">
        <f t="shared" si="65"/>
        <v>0</v>
      </c>
      <c r="BP94" s="15">
        <f t="shared" si="65"/>
        <v>0</v>
      </c>
      <c r="BQ94" s="15">
        <f t="shared" si="65"/>
        <v>0</v>
      </c>
      <c r="BR94" s="15">
        <f t="shared" si="65"/>
        <v>0</v>
      </c>
      <c r="BS94" s="15">
        <f t="shared" si="65"/>
        <v>0</v>
      </c>
      <c r="BT94" s="15">
        <f t="shared" si="65"/>
        <v>0</v>
      </c>
      <c r="BU94" s="15">
        <f t="shared" si="65"/>
        <v>0</v>
      </c>
      <c r="BV94" s="15">
        <f t="shared" si="65"/>
        <v>20264</v>
      </c>
      <c r="BW94" s="15">
        <f t="shared" si="65"/>
        <v>40528</v>
      </c>
      <c r="BX94" s="15">
        <f t="shared" si="65"/>
        <v>40528</v>
      </c>
      <c r="BY94" s="15">
        <f t="shared" si="65"/>
        <v>40528</v>
      </c>
      <c r="BZ94" s="15">
        <f t="shared" si="65"/>
        <v>40528</v>
      </c>
      <c r="CA94" s="15">
        <f t="shared" si="65"/>
        <v>40528</v>
      </c>
      <c r="CB94" s="15">
        <f t="shared" si="65"/>
        <v>40528</v>
      </c>
      <c r="CC94" s="15">
        <f t="shared" si="65"/>
        <v>40528</v>
      </c>
    </row>
    <row r="95" spans="1:81" ht="12" thickBot="1" x14ac:dyDescent="0.25">
      <c r="A95" s="1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</row>
    <row r="96" spans="1:81" ht="12.75" thickTop="1" x14ac:dyDescent="0.2">
      <c r="A96" s="22" t="s">
        <v>168</v>
      </c>
      <c r="B96" s="23">
        <f t="shared" ref="B96:AG96" si="66">B52+B53+B62+B63+B89+B90+B94+B95+0</f>
        <v>1042561.8700000001</v>
      </c>
      <c r="C96" s="23">
        <f t="shared" si="66"/>
        <v>828534.94000000006</v>
      </c>
      <c r="D96" s="23">
        <f t="shared" si="66"/>
        <v>1162922.57</v>
      </c>
      <c r="E96" s="23">
        <f t="shared" si="66"/>
        <v>1438284.8499999999</v>
      </c>
      <c r="F96" s="23">
        <f t="shared" si="66"/>
        <v>1537858.3800000001</v>
      </c>
      <c r="G96" s="23">
        <f t="shared" si="66"/>
        <v>1646359.4300000002</v>
      </c>
      <c r="H96" s="23">
        <f t="shared" si="66"/>
        <v>1578226.87</v>
      </c>
      <c r="I96" s="23">
        <f t="shared" si="66"/>
        <v>1711230.56</v>
      </c>
      <c r="J96" s="23">
        <f t="shared" si="66"/>
        <v>1955140.5500000003</v>
      </c>
      <c r="K96" s="23">
        <f t="shared" si="66"/>
        <v>1857413.5199999998</v>
      </c>
      <c r="L96" s="23">
        <f t="shared" si="66"/>
        <v>1836373.94</v>
      </c>
      <c r="M96" s="23">
        <f t="shared" si="66"/>
        <v>1642903.87</v>
      </c>
      <c r="N96" s="23">
        <f t="shared" si="66"/>
        <v>1581073.2000000002</v>
      </c>
      <c r="O96" s="23">
        <f t="shared" si="66"/>
        <v>753038.58000000007</v>
      </c>
      <c r="P96" s="23">
        <f t="shared" si="66"/>
        <v>654543.04000000015</v>
      </c>
      <c r="Q96" s="23">
        <f t="shared" si="66"/>
        <v>765512.65000000014</v>
      </c>
      <c r="R96" s="23">
        <f t="shared" si="66"/>
        <v>746092.72000000009</v>
      </c>
      <c r="S96" s="23">
        <f t="shared" si="66"/>
        <v>820346.77</v>
      </c>
      <c r="T96" s="23">
        <f t="shared" si="66"/>
        <v>898857.21</v>
      </c>
      <c r="U96" s="23">
        <f t="shared" si="66"/>
        <v>868829.31</v>
      </c>
      <c r="V96" s="23">
        <f t="shared" si="66"/>
        <v>986120.14000000106</v>
      </c>
      <c r="W96" s="23">
        <f t="shared" si="66"/>
        <v>1006406.3500000001</v>
      </c>
      <c r="X96" s="23">
        <f t="shared" si="66"/>
        <v>999528.35000000009</v>
      </c>
      <c r="Y96" s="23">
        <f t="shared" si="66"/>
        <v>355301.19000000006</v>
      </c>
      <c r="Z96" s="23">
        <f t="shared" si="66"/>
        <v>401397.96000000107</v>
      </c>
      <c r="AA96" s="23">
        <f t="shared" si="66"/>
        <v>429508.46000000107</v>
      </c>
      <c r="AB96" s="23">
        <f t="shared" si="66"/>
        <v>435216.02000000107</v>
      </c>
      <c r="AC96" s="23">
        <f t="shared" si="66"/>
        <v>343161.85000000102</v>
      </c>
      <c r="AD96" s="23">
        <f t="shared" si="66"/>
        <v>348704.11000000109</v>
      </c>
      <c r="AE96" s="23">
        <f t="shared" si="66"/>
        <v>383204.88000000006</v>
      </c>
      <c r="AF96" s="23">
        <f t="shared" si="66"/>
        <v>369034.73000000004</v>
      </c>
      <c r="AG96" s="23">
        <f t="shared" si="66"/>
        <v>358702.19000000006</v>
      </c>
      <c r="AH96" s="23">
        <f t="shared" ref="AH96:BM96" si="67">AH52+AH53+AH62+AH63+AH89+AH90+AH94+AH95+0</f>
        <v>313273.21000000008</v>
      </c>
      <c r="AI96" s="23">
        <f t="shared" si="67"/>
        <v>381453.56000000105</v>
      </c>
      <c r="AJ96" s="23">
        <f t="shared" si="67"/>
        <v>275126.49000000104</v>
      </c>
      <c r="AK96" s="23">
        <f t="shared" si="67"/>
        <v>260167.70000000106</v>
      </c>
      <c r="AL96" s="23">
        <f t="shared" si="67"/>
        <v>233529.79000000106</v>
      </c>
      <c r="AM96" s="23">
        <f t="shared" si="67"/>
        <v>229614.50000000105</v>
      </c>
      <c r="AN96" s="23">
        <f t="shared" si="67"/>
        <v>229660.57000000007</v>
      </c>
      <c r="AO96" s="23">
        <f t="shared" si="67"/>
        <v>246794.89000000004</v>
      </c>
      <c r="AP96" s="23">
        <f t="shared" si="67"/>
        <v>240387.75000000006</v>
      </c>
      <c r="AQ96" s="23">
        <f t="shared" si="67"/>
        <v>233853.20000000004</v>
      </c>
      <c r="AR96" s="23">
        <f t="shared" si="67"/>
        <v>341973.67000000004</v>
      </c>
      <c r="AS96" s="23">
        <f t="shared" si="67"/>
        <v>268123.29000000004</v>
      </c>
      <c r="AT96" s="23">
        <f t="shared" si="67"/>
        <v>314489.39</v>
      </c>
      <c r="AU96" s="23">
        <f t="shared" si="67"/>
        <v>300212.32999999908</v>
      </c>
      <c r="AV96" s="23">
        <f t="shared" si="67"/>
        <v>278693.51000000007</v>
      </c>
      <c r="AW96" s="23">
        <f t="shared" si="67"/>
        <v>270285.12999999907</v>
      </c>
      <c r="AX96" s="23">
        <f t="shared" si="67"/>
        <v>505328.06999999902</v>
      </c>
      <c r="AY96" s="23">
        <f t="shared" si="67"/>
        <v>466459.85999999905</v>
      </c>
      <c r="AZ96" s="23">
        <f t="shared" si="67"/>
        <v>471203.59999999806</v>
      </c>
      <c r="BA96" s="23">
        <f t="shared" si="67"/>
        <v>289910.15999999904</v>
      </c>
      <c r="BB96" s="23">
        <f t="shared" si="67"/>
        <v>208898.08999999805</v>
      </c>
      <c r="BC96" s="23">
        <f t="shared" si="67"/>
        <v>209834.43999999805</v>
      </c>
      <c r="BD96" s="23">
        <f t="shared" si="67"/>
        <v>371509.39999999804</v>
      </c>
      <c r="BE96" s="23">
        <f t="shared" si="67"/>
        <v>265161.07999999908</v>
      </c>
      <c r="BF96" s="23">
        <f t="shared" si="67"/>
        <v>383900.77999999811</v>
      </c>
      <c r="BG96" s="23">
        <f t="shared" si="67"/>
        <v>324544.9599999981</v>
      </c>
      <c r="BH96" s="23">
        <f t="shared" si="67"/>
        <v>526994.7099999981</v>
      </c>
      <c r="BI96" s="23">
        <f t="shared" si="67"/>
        <v>419134.3399999981</v>
      </c>
      <c r="BJ96" s="23">
        <f t="shared" si="67"/>
        <v>397494.62999999808</v>
      </c>
      <c r="BK96" s="23">
        <f t="shared" si="67"/>
        <v>384754.3299999981</v>
      </c>
      <c r="BL96" s="23">
        <f t="shared" si="67"/>
        <v>532944.98999999708</v>
      </c>
      <c r="BM96" s="23">
        <f t="shared" si="67"/>
        <v>538156.62999999709</v>
      </c>
      <c r="BN96" s="23">
        <f t="shared" ref="BN96:CS96" si="68">BN52+BN53+BN62+BN63+BN89+BN90+BN94+BN95+0</f>
        <v>556305.46999999706</v>
      </c>
      <c r="BO96" s="23">
        <f t="shared" si="68"/>
        <v>491354.06999999605</v>
      </c>
      <c r="BP96" s="23">
        <f t="shared" si="68"/>
        <v>560211.37999999616</v>
      </c>
      <c r="BQ96" s="23">
        <f t="shared" si="68"/>
        <v>515685.91999999614</v>
      </c>
      <c r="BR96" s="23">
        <f t="shared" si="68"/>
        <v>596871.09999999707</v>
      </c>
      <c r="BS96" s="23">
        <f t="shared" si="68"/>
        <v>639336.94999999716</v>
      </c>
      <c r="BT96" s="23">
        <f t="shared" si="68"/>
        <v>523709.49999999709</v>
      </c>
      <c r="BU96" s="23">
        <f t="shared" si="68"/>
        <v>780548.99999999604</v>
      </c>
      <c r="BV96" s="23">
        <f t="shared" si="68"/>
        <v>474450.89999999711</v>
      </c>
      <c r="BW96" s="23">
        <f t="shared" si="68"/>
        <v>979378.61999999615</v>
      </c>
      <c r="BX96" s="23">
        <f t="shared" si="68"/>
        <v>974106.89999999409</v>
      </c>
      <c r="BY96" s="23">
        <f t="shared" si="68"/>
        <v>1088486.6499999941</v>
      </c>
      <c r="BZ96" s="23">
        <f t="shared" si="68"/>
        <v>1130600.3299999931</v>
      </c>
      <c r="CA96" s="23">
        <f t="shared" si="68"/>
        <v>1132444.4299999923</v>
      </c>
      <c r="CB96" s="23">
        <f t="shared" si="68"/>
        <v>1070885.7899999931</v>
      </c>
      <c r="CC96" s="23">
        <f t="shared" si="68"/>
        <v>1070885.7899999931</v>
      </c>
    </row>
  </sheetData>
  <mergeCells count="3">
    <mergeCell ref="A1:CC1"/>
    <mergeCell ref="A2:CC2"/>
    <mergeCell ref="A3:CC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PGBalanceSheetbyEntityand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2023-08-08T19:07:24Z</dcterms:created>
  <dcterms:modified xsi:type="dcterms:W3CDTF">2023-08-08T19:09:19Z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