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AT\"/>
    </mc:Choice>
  </mc:AlternateContent>
  <xr:revisionPtr revIDLastSave="0" documentId="8_{E19032D7-BF36-45F9-BE60-5712892FD416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H92" i="1"/>
  <c r="G92" i="1"/>
  <c r="F92" i="1"/>
  <c r="E92" i="1"/>
  <c r="D92" i="1"/>
  <c r="C92" i="1"/>
  <c r="B92" i="1"/>
  <c r="I86" i="1"/>
  <c r="H86" i="1"/>
  <c r="G86" i="1"/>
  <c r="F86" i="1"/>
  <c r="E86" i="1"/>
  <c r="D86" i="1"/>
  <c r="C86" i="1"/>
  <c r="B86" i="1"/>
  <c r="I68" i="1"/>
  <c r="H68" i="1"/>
  <c r="G68" i="1"/>
  <c r="F68" i="1"/>
  <c r="E68" i="1"/>
  <c r="D68" i="1"/>
  <c r="C68" i="1"/>
  <c r="B68" i="1"/>
  <c r="I65" i="1"/>
  <c r="I87" i="1" s="1"/>
  <c r="H65" i="1"/>
  <c r="H87" i="1" s="1"/>
  <c r="G65" i="1"/>
  <c r="G87" i="1" s="1"/>
  <c r="F65" i="1"/>
  <c r="F87" i="1" s="1"/>
  <c r="E65" i="1"/>
  <c r="D65" i="1"/>
  <c r="D87" i="1" s="1"/>
  <c r="C65" i="1"/>
  <c r="C87" i="1" s="1"/>
  <c r="B65" i="1"/>
  <c r="B87" i="1" s="1"/>
  <c r="I59" i="1"/>
  <c r="H59" i="1"/>
  <c r="G59" i="1"/>
  <c r="F59" i="1"/>
  <c r="E59" i="1"/>
  <c r="D59" i="1"/>
  <c r="C59" i="1"/>
  <c r="B59" i="1"/>
  <c r="I55" i="1"/>
  <c r="I60" i="1" s="1"/>
  <c r="H55" i="1"/>
  <c r="H60" i="1" s="1"/>
  <c r="G55" i="1"/>
  <c r="G60" i="1" s="1"/>
  <c r="F55" i="1"/>
  <c r="F60" i="1" s="1"/>
  <c r="E55" i="1"/>
  <c r="E60" i="1" s="1"/>
  <c r="D55" i="1"/>
  <c r="C55" i="1"/>
  <c r="C60" i="1" s="1"/>
  <c r="B55" i="1"/>
  <c r="B60" i="1" s="1"/>
  <c r="I48" i="1"/>
  <c r="H48" i="1"/>
  <c r="G48" i="1"/>
  <c r="F48" i="1"/>
  <c r="E48" i="1"/>
  <c r="D48" i="1"/>
  <c r="C48" i="1"/>
  <c r="B48" i="1"/>
  <c r="I47" i="1"/>
  <c r="I50" i="1" s="1"/>
  <c r="I94" i="1" s="1"/>
  <c r="H47" i="1"/>
  <c r="H50" i="1" s="1"/>
  <c r="H94" i="1" s="1"/>
  <c r="G47" i="1"/>
  <c r="G50" i="1" s="1"/>
  <c r="G94" i="1" s="1"/>
  <c r="F47" i="1"/>
  <c r="F50" i="1" s="1"/>
  <c r="F94" i="1" s="1"/>
  <c r="E47" i="1"/>
  <c r="E50" i="1" s="1"/>
  <c r="D47" i="1"/>
  <c r="D50" i="1" s="1"/>
  <c r="C47" i="1"/>
  <c r="C50" i="1" s="1"/>
  <c r="C94" i="1" s="1"/>
  <c r="B47" i="1"/>
  <c r="I40" i="1"/>
  <c r="H40" i="1"/>
  <c r="G40" i="1"/>
  <c r="F40" i="1"/>
  <c r="E40" i="1"/>
  <c r="D40" i="1"/>
  <c r="C40" i="1"/>
  <c r="B40" i="1"/>
  <c r="I34" i="1"/>
  <c r="I35" i="1" s="1"/>
  <c r="H34" i="1"/>
  <c r="H35" i="1" s="1"/>
  <c r="G34" i="1"/>
  <c r="G35" i="1" s="1"/>
  <c r="F34" i="1"/>
  <c r="F35" i="1" s="1"/>
  <c r="E34" i="1"/>
  <c r="E35" i="1" s="1"/>
  <c r="D34" i="1"/>
  <c r="D35" i="1" s="1"/>
  <c r="C34" i="1"/>
  <c r="C35" i="1" s="1"/>
  <c r="B34" i="1"/>
  <c r="B35" i="1" s="1"/>
  <c r="I28" i="1"/>
  <c r="H28" i="1"/>
  <c r="G28" i="1"/>
  <c r="F28" i="1"/>
  <c r="E28" i="1"/>
  <c r="D28" i="1"/>
  <c r="C28" i="1"/>
  <c r="B28" i="1"/>
  <c r="I22" i="1"/>
  <c r="H22" i="1"/>
  <c r="G22" i="1"/>
  <c r="F22" i="1"/>
  <c r="E22" i="1"/>
  <c r="D22" i="1"/>
  <c r="C22" i="1"/>
  <c r="B22" i="1"/>
  <c r="I19" i="1"/>
  <c r="I29" i="1" s="1"/>
  <c r="I36" i="1" s="1"/>
  <c r="H19" i="1"/>
  <c r="H29" i="1" s="1"/>
  <c r="H36" i="1" s="1"/>
  <c r="G19" i="1"/>
  <c r="G29" i="1" s="1"/>
  <c r="G36" i="1" s="1"/>
  <c r="F19" i="1"/>
  <c r="F29" i="1" s="1"/>
  <c r="F36" i="1" s="1"/>
  <c r="E19" i="1"/>
  <c r="E29" i="1" s="1"/>
  <c r="E36" i="1" s="1"/>
  <c r="D19" i="1"/>
  <c r="D29" i="1" s="1"/>
  <c r="D36" i="1" s="1"/>
  <c r="C19" i="1"/>
  <c r="C29" i="1" s="1"/>
  <c r="C36" i="1" s="1"/>
  <c r="B19" i="1"/>
  <c r="B29" i="1" s="1"/>
  <c r="B36" i="1" s="1"/>
  <c r="I11" i="1"/>
  <c r="I12" i="1" s="1"/>
  <c r="I13" i="1" s="1"/>
  <c r="I41" i="1" s="1"/>
  <c r="H11" i="1"/>
  <c r="H12" i="1" s="1"/>
  <c r="H13" i="1" s="1"/>
  <c r="H41" i="1" s="1"/>
  <c r="G11" i="1"/>
  <c r="G12" i="1" s="1"/>
  <c r="G13" i="1" s="1"/>
  <c r="G41" i="1" s="1"/>
  <c r="F11" i="1"/>
  <c r="F12" i="1" s="1"/>
  <c r="F13" i="1" s="1"/>
  <c r="F41" i="1" s="1"/>
  <c r="E11" i="1"/>
  <c r="E12" i="1" s="1"/>
  <c r="E13" i="1" s="1"/>
  <c r="E41" i="1" s="1"/>
  <c r="D11" i="1"/>
  <c r="D12" i="1" s="1"/>
  <c r="D13" i="1" s="1"/>
  <c r="C11" i="1"/>
  <c r="C12" i="1" s="1"/>
  <c r="C13" i="1" s="1"/>
  <c r="C41" i="1" s="1"/>
  <c r="B11" i="1"/>
  <c r="B12" i="1" s="1"/>
  <c r="B13" i="1" s="1"/>
  <c r="E87" i="1" l="1"/>
  <c r="E94" i="1" s="1"/>
  <c r="D60" i="1"/>
  <c r="B50" i="1"/>
  <c r="B94" i="1" s="1"/>
  <c r="D41" i="1"/>
  <c r="D94" i="1"/>
  <c r="B41" i="1"/>
</calcChain>
</file>

<file path=xl/sharedStrings.xml><?xml version="1.0" encoding="utf-8"?>
<sst xmlns="http://schemas.openxmlformats.org/spreadsheetml/2006/main" count="103" uniqueCount="95">
  <si>
    <t>Firma : PROMATIS GmbH</t>
  </si>
  <si>
    <t>PG Balance Sheet by Entity and Month/Quarter/Year</t>
  </si>
  <si>
    <t>End of Dez 2023</t>
  </si>
  <si>
    <t> 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</si>
  <si>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</si>
  <si>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</si>
  <si>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</si>
  <si>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</si>
  <si>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</si>
  <si>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</si>
  <si>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</si>
  <si>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</si>
  <si>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As of Dez 2023</t>
  </si>
  <si>
    <t>ASSETS</t>
  </si>
  <si>
    <t>A. Fixed assets</t>
  </si>
  <si>
    <t>II. Tangible assets</t>
  </si>
  <si>
    <t>3. Other equipment, operating and office equipment</t>
  </si>
  <si>
    <t>063000 - Operating equipment</t>
  </si>
  <si>
    <t>Total Other equipment, operating and office equipment</t>
  </si>
  <si>
    <t>Total Tangible assets</t>
  </si>
  <si>
    <t>Total Fixed assets</t>
  </si>
  <si>
    <t>B. Current assets</t>
  </si>
  <si>
    <t>II. Trade receivables and other receivables</t>
  </si>
  <si>
    <t>1. Trade receivables</t>
  </si>
  <si>
    <t>120100 - Trade receivables</t>
  </si>
  <si>
    <t>Total Trade receivables</t>
  </si>
  <si>
    <t>2. Receivables from affiliated companies</t>
  </si>
  <si>
    <t>127101 - Receivables from PROMATIS software GmbH</t>
  </si>
  <si>
    <t>Total Receivables from affiliated companies</t>
  </si>
  <si>
    <t>6. Other receivables and other assets</t>
  </si>
  <si>
    <t>134100 - Receivables from employees (payroll) - due within 1 year</t>
  </si>
  <si>
    <t>135000 - Security deposits</t>
  </si>
  <si>
    <t>137000 - Items in transit</t>
  </si>
  <si>
    <t>145000 - Reclaimed corporate income tax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</si>
  <si>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</si>
  <si>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</si>
  <si>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</si>
  <si>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</si>
  <si>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180090 - VoBa Steiermark Girokonto -AT394477012579000000- PROMATIS AT</t>
  </si>
  <si>
    <t>180092 - VoBa Steiermark Tagesgeld -AT094477012579001122- PROMATIS AT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</si>
  <si>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</si>
  <si>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</si>
  <si>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</si>
  <si>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</si>
  <si>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</si>
  <si>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</si>
  <si>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</si>
  <si>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</si>
  <si>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</si>
  <si>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</si>
  <si>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</si>
  <si>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</si>
  <si>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</si>
  <si>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</si>
  <si>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</si>
  <si>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</si>
  <si>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</si>
  <si>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304000 - Provision for corporate income tax</t>
  </si>
  <si>
    <t>Total Provision for taxes</t>
  </si>
  <si>
    <t>3. Other provisions</t>
  </si>
  <si>
    <t>307000 - Other provisions</t>
  </si>
  <si>
    <t>309500 - Provisions for period-end closing and audit costs</t>
  </si>
  <si>
    <t>Total Other provisions</t>
  </si>
  <si>
    <t>Total Provisions</t>
  </si>
  <si>
    <t>C. Liabilities</t>
  </si>
  <si>
    <t>4. Trade payables</t>
  </si>
  <si>
    <t>330000 - Trade payables</t>
  </si>
  <si>
    <t>Total Trade payables</t>
  </si>
  <si>
    <t>6. Liabilities to affiliated companies</t>
  </si>
  <si>
    <t>340101 - Liabilities ag. PROMATIS software GmbH</t>
  </si>
  <si>
    <t>Total Liabilities to affiliated companies</t>
  </si>
  <si>
    <t>8. Other liabilities</t>
  </si>
  <si>
    <t>140400 - Deductible input tax on intra-EU acquisitions - standard</t>
  </si>
  <si>
    <t>140600 - VAT on Purchases</t>
  </si>
  <si>
    <t>140700 - Deductible input tax under section 13b UStG - standard</t>
  </si>
  <si>
    <t>146000 - Cash in Transit</t>
  </si>
  <si>
    <t>350000 - Other liabilities</t>
  </si>
  <si>
    <t>352100 - Loans by typical silent partners - due within 1 year</t>
  </si>
  <si>
    <t>370000 - Liabilities from taxes and levies</t>
  </si>
  <si>
    <t>372000 - Payroll liabilities</t>
  </si>
  <si>
    <t>372500 - Liabilities for amounts withheld from employees</t>
  </si>
  <si>
    <t>373000 - Wage and church tax payables</t>
  </si>
  <si>
    <t>374000 - Social security liabilities</t>
  </si>
  <si>
    <t>380600 - VAT - standard rate</t>
  </si>
  <si>
    <t>381700 - VAT on supplies of goods and serv. tax. in anoth. EU country</t>
  </si>
  <si>
    <t>382000 - VAT prepayments</t>
  </si>
  <si>
    <t>383800 - VAT under section 13b UStG - from EU</t>
  </si>
  <si>
    <t>384100 - VAT, previous year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</si>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</sst>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4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3" fillId="0" borderId="0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abSelected="1" zoomScale="115" zoomScaleNormal="115" workbookViewId="0">
      <selection activeCell="D15" sqref="D15"/>
    </sheetView>
  </sheetViews>
  <sheetFormatPr baseColWidth="10" defaultRowHeight="11.25" x14ac:dyDescent="0.2"/>
  <cols>
    <col min="1" max="1" width="73.33203125" bestFit="1" customWidth="1"/>
    <col min="2" max="9" width="19.1640625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ht="12.75" x14ac:dyDescent="0.2">
      <c r="A6" s="5" t="s">
        <v>13</v>
      </c>
      <c r="B6" s="6"/>
      <c r="C6" s="6"/>
      <c r="D6" s="6"/>
      <c r="E6" s="6"/>
      <c r="F6" s="6"/>
      <c r="G6" s="6"/>
      <c r="H6" s="6"/>
      <c r="I6" s="6"/>
    </row>
    <row r="7" spans="1:9" ht="12" x14ac:dyDescent="0.2">
      <c r="A7" s="7" t="s">
        <v>14</v>
      </c>
      <c r="B7" s="8"/>
      <c r="C7" s="8"/>
      <c r="D7" s="8"/>
      <c r="E7" s="8"/>
      <c r="F7" s="8"/>
      <c r="G7" s="8"/>
      <c r="H7" s="8"/>
      <c r="I7" s="8"/>
    </row>
    <row r="8" spans="1:9" x14ac:dyDescent="0.2">
      <c r="A8" s="9" t="s">
        <v>15</v>
      </c>
      <c r="B8" s="10">
        <v>0</v>
      </c>
      <c r="C8" s="10">
        <v>2413.81</v>
      </c>
      <c r="D8" s="10">
        <v>2082.85</v>
      </c>
      <c r="E8" s="10">
        <v>1266.9899999999998</v>
      </c>
      <c r="F8" s="10">
        <v>451.15999999999974</v>
      </c>
      <c r="G8" s="10">
        <v>132.27999999999975</v>
      </c>
      <c r="H8" s="10">
        <v>44.119999999999749</v>
      </c>
      <c r="I8" s="10">
        <v>88.239999999999753</v>
      </c>
    </row>
    <row r="9" spans="1:9" hidden="1" x14ac:dyDescent="0.2">
      <c r="A9" s="11" t="s">
        <v>16</v>
      </c>
      <c r="B9" s="10"/>
      <c r="C9" s="10"/>
      <c r="D9" s="10"/>
      <c r="E9" s="10"/>
      <c r="F9" s="10"/>
      <c r="G9" s="10"/>
      <c r="H9" s="10"/>
      <c r="I9" s="10"/>
    </row>
    <row r="10" spans="1:9" hidden="1" x14ac:dyDescent="0.2">
      <c r="A10" s="12" t="s">
        <v>17</v>
      </c>
      <c r="B10" s="13">
        <v>0</v>
      </c>
      <c r="C10" s="13">
        <v>2413.81</v>
      </c>
      <c r="D10" s="13">
        <v>2082.85</v>
      </c>
      <c r="E10" s="13">
        <v>1266.9899999999998</v>
      </c>
      <c r="F10" s="13">
        <v>451.15999999999974</v>
      </c>
      <c r="G10" s="13">
        <v>132.27999999999975</v>
      </c>
      <c r="H10" s="13">
        <v>44.119999999999749</v>
      </c>
      <c r="I10" s="13">
        <v>88.239999999999753</v>
      </c>
    </row>
    <row r="11" spans="1:9" hidden="1" x14ac:dyDescent="0.2">
      <c r="A11" s="14" t="s">
        <v>18</v>
      </c>
      <c r="B11" s="15">
        <f t="shared" ref="B11:I11" si="0">SUM(B10)</f>
        <v>0</v>
      </c>
      <c r="C11" s="15">
        <f t="shared" si="0"/>
        <v>2413.81</v>
      </c>
      <c r="D11" s="15">
        <f t="shared" si="0"/>
        <v>2082.85</v>
      </c>
      <c r="E11" s="15">
        <f t="shared" si="0"/>
        <v>1266.9899999999998</v>
      </c>
      <c r="F11" s="15">
        <f t="shared" si="0"/>
        <v>451.15999999999974</v>
      </c>
      <c r="G11" s="15">
        <f t="shared" si="0"/>
        <v>132.27999999999975</v>
      </c>
      <c r="H11" s="15">
        <f t="shared" si="0"/>
        <v>44.119999999999749</v>
      </c>
      <c r="I11" s="15">
        <f t="shared" si="0"/>
        <v>88.239999999999753</v>
      </c>
    </row>
    <row r="12" spans="1:9" hidden="1" x14ac:dyDescent="0.2">
      <c r="A12" s="16" t="s">
        <v>19</v>
      </c>
      <c r="B12" s="17">
        <f t="shared" ref="B12:I12" si="1">0+0+B11+0</f>
        <v>0</v>
      </c>
      <c r="C12" s="17">
        <f t="shared" si="1"/>
        <v>2413.81</v>
      </c>
      <c r="D12" s="17">
        <f t="shared" si="1"/>
        <v>2082.85</v>
      </c>
      <c r="E12" s="17">
        <f t="shared" si="1"/>
        <v>1266.9899999999998</v>
      </c>
      <c r="F12" s="17">
        <f t="shared" si="1"/>
        <v>451.15999999999974</v>
      </c>
      <c r="G12" s="17">
        <f t="shared" si="1"/>
        <v>132.27999999999975</v>
      </c>
      <c r="H12" s="17">
        <f t="shared" si="1"/>
        <v>44.119999999999749</v>
      </c>
      <c r="I12" s="17">
        <f t="shared" si="1"/>
        <v>88.239999999999753</v>
      </c>
    </row>
    <row r="13" spans="1:9" x14ac:dyDescent="0.2">
      <c r="A13" s="18" t="s">
        <v>20</v>
      </c>
      <c r="B13" s="19">
        <f t="shared" ref="B13:I13" si="2">0+B12+0</f>
        <v>0</v>
      </c>
      <c r="C13" s="19">
        <f t="shared" si="2"/>
        <v>2413.81</v>
      </c>
      <c r="D13" s="19">
        <f t="shared" si="2"/>
        <v>2082.85</v>
      </c>
      <c r="E13" s="19">
        <f t="shared" si="2"/>
        <v>1266.9899999999998</v>
      </c>
      <c r="F13" s="19">
        <f t="shared" si="2"/>
        <v>451.15999999999974</v>
      </c>
      <c r="G13" s="19">
        <f t="shared" si="2"/>
        <v>132.27999999999975</v>
      </c>
      <c r="H13" s="19">
        <f t="shared" si="2"/>
        <v>44.119999999999749</v>
      </c>
      <c r="I13" s="19">
        <f t="shared" si="2"/>
        <v>88.239999999999753</v>
      </c>
    </row>
    <row r="14" spans="1:9" x14ac:dyDescent="0.2">
      <c r="A14" s="20"/>
      <c r="B14" s="10"/>
      <c r="C14" s="10"/>
      <c r="D14" s="10"/>
      <c r="E14" s="10"/>
      <c r="F14" s="10"/>
      <c r="G14" s="10"/>
      <c r="H14" s="10"/>
      <c r="I14" s="10"/>
    </row>
    <row r="15" spans="1:9" ht="12" x14ac:dyDescent="0.2">
      <c r="A15" s="7" t="s">
        <v>21</v>
      </c>
      <c r="B15" s="8"/>
      <c r="C15" s="8"/>
      <c r="D15" s="8"/>
      <c r="E15" s="8"/>
      <c r="F15" s="8"/>
      <c r="G15" s="8"/>
      <c r="H15" s="8"/>
      <c r="I15" s="8"/>
    </row>
    <row r="16" spans="1:9" x14ac:dyDescent="0.2">
      <c r="A16" s="9" t="s">
        <v>22</v>
      </c>
      <c r="B16" s="10">
        <v>299709.37</v>
      </c>
      <c r="C16" s="10">
        <v>361922.99000000005</v>
      </c>
      <c r="D16" s="10">
        <v>82831.910000000047</v>
      </c>
      <c r="E16" s="10">
        <v>26312.000000000044</v>
      </c>
      <c r="F16" s="10">
        <v>98473.190000000046</v>
      </c>
      <c r="G16" s="10">
        <v>279981.85000000003</v>
      </c>
      <c r="H16" s="10">
        <v>124903.08000000007</v>
      </c>
      <c r="I16" s="10">
        <v>358293.65000000008</v>
      </c>
    </row>
    <row r="17" spans="1:9" hidden="1" x14ac:dyDescent="0.2">
      <c r="A17" s="11" t="s">
        <v>23</v>
      </c>
      <c r="B17" s="10"/>
      <c r="C17" s="10"/>
      <c r="D17" s="10"/>
      <c r="E17" s="10"/>
      <c r="F17" s="10"/>
      <c r="G17" s="10"/>
      <c r="H17" s="10"/>
      <c r="I17" s="10"/>
    </row>
    <row r="18" spans="1:9" hidden="1" x14ac:dyDescent="0.2">
      <c r="A18" s="12" t="s">
        <v>24</v>
      </c>
      <c r="B18" s="21">
        <v>297908.52</v>
      </c>
      <c r="C18" s="21">
        <v>359889.03</v>
      </c>
      <c r="D18" s="21">
        <v>33386.860000000044</v>
      </c>
      <c r="E18" s="21">
        <v>18006.000000000044</v>
      </c>
      <c r="F18" s="21">
        <v>78858.000000000044</v>
      </c>
      <c r="G18" s="21">
        <v>259659.50000000006</v>
      </c>
      <c r="H18" s="21">
        <v>105106.20000000007</v>
      </c>
      <c r="I18" s="21">
        <v>320464.71000000008</v>
      </c>
    </row>
    <row r="19" spans="1:9" hidden="1" x14ac:dyDescent="0.2">
      <c r="A19" s="14" t="s">
        <v>25</v>
      </c>
      <c r="B19" s="15">
        <f t="shared" ref="B19:I19" si="3">SUM(B18)</f>
        <v>297908.52</v>
      </c>
      <c r="C19" s="15">
        <f t="shared" si="3"/>
        <v>359889.03</v>
      </c>
      <c r="D19" s="15">
        <f t="shared" si="3"/>
        <v>33386.860000000044</v>
      </c>
      <c r="E19" s="15">
        <f t="shared" si="3"/>
        <v>18006.000000000044</v>
      </c>
      <c r="F19" s="15">
        <f t="shared" si="3"/>
        <v>78858.000000000044</v>
      </c>
      <c r="G19" s="15">
        <f t="shared" si="3"/>
        <v>259659.50000000006</v>
      </c>
      <c r="H19" s="15">
        <f t="shared" si="3"/>
        <v>105106.20000000007</v>
      </c>
      <c r="I19" s="15">
        <f t="shared" si="3"/>
        <v>320464.71000000008</v>
      </c>
    </row>
    <row r="20" spans="1:9" hidden="1" x14ac:dyDescent="0.2">
      <c r="A20" s="11" t="s">
        <v>26</v>
      </c>
      <c r="B20" s="10"/>
      <c r="C20" s="10"/>
      <c r="D20" s="10"/>
      <c r="E20" s="10"/>
      <c r="F20" s="10"/>
      <c r="G20" s="10"/>
      <c r="H20" s="10"/>
      <c r="I20" s="10"/>
    </row>
    <row r="21" spans="1:9" hidden="1" x14ac:dyDescent="0.2">
      <c r="A21" s="12" t="s">
        <v>27</v>
      </c>
      <c r="B21" s="21">
        <v>0</v>
      </c>
      <c r="C21" s="21">
        <v>0</v>
      </c>
      <c r="D21" s="21">
        <v>0</v>
      </c>
      <c r="E21" s="21">
        <v>0</v>
      </c>
      <c r="F21" s="21">
        <v>19251</v>
      </c>
      <c r="G21" s="21">
        <v>12281.5</v>
      </c>
      <c r="H21" s="21">
        <v>12344.31</v>
      </c>
      <c r="I21" s="21">
        <v>23177</v>
      </c>
    </row>
    <row r="22" spans="1:9" hidden="1" x14ac:dyDescent="0.2">
      <c r="A22" s="14" t="s">
        <v>28</v>
      </c>
      <c r="B22" s="15">
        <f t="shared" ref="B22:I22" si="4">SUM(B21)</f>
        <v>0</v>
      </c>
      <c r="C22" s="15">
        <f t="shared" si="4"/>
        <v>0</v>
      </c>
      <c r="D22" s="15">
        <f t="shared" si="4"/>
        <v>0</v>
      </c>
      <c r="E22" s="15">
        <f t="shared" si="4"/>
        <v>0</v>
      </c>
      <c r="F22" s="15">
        <f t="shared" si="4"/>
        <v>19251</v>
      </c>
      <c r="G22" s="15">
        <f t="shared" si="4"/>
        <v>12281.5</v>
      </c>
      <c r="H22" s="15">
        <f t="shared" si="4"/>
        <v>12344.31</v>
      </c>
      <c r="I22" s="15">
        <f t="shared" si="4"/>
        <v>23177</v>
      </c>
    </row>
    <row r="23" spans="1:9" hidden="1" x14ac:dyDescent="0.2">
      <c r="A23" s="11" t="s">
        <v>29</v>
      </c>
      <c r="B23" s="10"/>
      <c r="C23" s="10"/>
      <c r="D23" s="10"/>
      <c r="E23" s="10"/>
      <c r="F23" s="10"/>
      <c r="G23" s="10"/>
      <c r="H23" s="10"/>
      <c r="I23" s="10"/>
    </row>
    <row r="24" spans="1:9" hidden="1" x14ac:dyDescent="0.2">
      <c r="A24" s="12" t="s">
        <v>30</v>
      </c>
      <c r="B24" s="21">
        <v>0</v>
      </c>
      <c r="C24" s="21">
        <v>0</v>
      </c>
      <c r="D24" s="21">
        <v>0</v>
      </c>
      <c r="E24" s="21">
        <v>49.16</v>
      </c>
      <c r="F24" s="21">
        <v>359.24</v>
      </c>
      <c r="G24" s="21">
        <v>551.94000000000005</v>
      </c>
      <c r="H24" s="21">
        <v>293.66000000000008</v>
      </c>
      <c r="I24" s="21">
        <v>293.66000000000008</v>
      </c>
    </row>
    <row r="25" spans="1:9" hidden="1" x14ac:dyDescent="0.2">
      <c r="A25" s="12" t="s">
        <v>31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7158.91</v>
      </c>
      <c r="H25" s="21">
        <v>7158.91</v>
      </c>
      <c r="I25" s="21">
        <v>14317.82</v>
      </c>
    </row>
    <row r="26" spans="1:9" hidden="1" x14ac:dyDescent="0.2">
      <c r="A26" s="12" t="s">
        <v>32</v>
      </c>
      <c r="B26" s="21">
        <v>1800.85</v>
      </c>
      <c r="C26" s="21">
        <v>2033.96</v>
      </c>
      <c r="D26" s="21">
        <v>2414.0500000000002</v>
      </c>
      <c r="E26" s="21">
        <v>6.8400000000001455</v>
      </c>
      <c r="F26" s="21">
        <v>4.9500000000001458</v>
      </c>
      <c r="G26" s="21">
        <v>1.4566126083082054E-13</v>
      </c>
      <c r="H26" s="21">
        <v>1.4566126083082054E-13</v>
      </c>
      <c r="I26" s="21">
        <v>40.46000000000015</v>
      </c>
    </row>
    <row r="27" spans="1:9" hidden="1" x14ac:dyDescent="0.2">
      <c r="A27" s="12" t="s">
        <v>33</v>
      </c>
      <c r="B27" s="21">
        <v>0</v>
      </c>
      <c r="C27" s="21">
        <v>0</v>
      </c>
      <c r="D27" s="21">
        <v>47031</v>
      </c>
      <c r="E27" s="21">
        <v>8250</v>
      </c>
      <c r="F27" s="21">
        <v>0</v>
      </c>
      <c r="G27" s="21">
        <v>330</v>
      </c>
      <c r="H27" s="21">
        <v>0</v>
      </c>
      <c r="I27" s="21">
        <v>0</v>
      </c>
    </row>
    <row r="28" spans="1:9" hidden="1" x14ac:dyDescent="0.2">
      <c r="A28" s="14" t="s">
        <v>34</v>
      </c>
      <c r="B28" s="15">
        <f t="shared" ref="B28:I28" si="5">SUM(B24:B27)</f>
        <v>1800.85</v>
      </c>
      <c r="C28" s="15">
        <f t="shared" si="5"/>
        <v>2033.96</v>
      </c>
      <c r="D28" s="15">
        <f t="shared" si="5"/>
        <v>49445.05</v>
      </c>
      <c r="E28" s="15">
        <f t="shared" si="5"/>
        <v>8306</v>
      </c>
      <c r="F28" s="15">
        <f t="shared" si="5"/>
        <v>364.19000000000017</v>
      </c>
      <c r="G28" s="15">
        <f t="shared" si="5"/>
        <v>8040.85</v>
      </c>
      <c r="H28" s="15">
        <f t="shared" si="5"/>
        <v>7452.57</v>
      </c>
      <c r="I28" s="15">
        <f t="shared" si="5"/>
        <v>14651.94</v>
      </c>
    </row>
    <row r="29" spans="1:9" hidden="1" x14ac:dyDescent="0.2">
      <c r="A29" s="16" t="s">
        <v>35</v>
      </c>
      <c r="B29" s="17">
        <f t="shared" ref="B29:I29" si="6">B19+B22+0+0+0+B28</f>
        <v>299709.37</v>
      </c>
      <c r="C29" s="17">
        <f t="shared" si="6"/>
        <v>361922.99000000005</v>
      </c>
      <c r="D29" s="17">
        <f t="shared" si="6"/>
        <v>82831.910000000047</v>
      </c>
      <c r="E29" s="17">
        <f t="shared" si="6"/>
        <v>26312.000000000044</v>
      </c>
      <c r="F29" s="17">
        <f t="shared" si="6"/>
        <v>98473.190000000046</v>
      </c>
      <c r="G29" s="17">
        <f t="shared" si="6"/>
        <v>279981.85000000003</v>
      </c>
      <c r="H29" s="17">
        <f t="shared" si="6"/>
        <v>124903.08000000007</v>
      </c>
      <c r="I29" s="17">
        <f t="shared" si="6"/>
        <v>358293.65000000008</v>
      </c>
    </row>
    <row r="30" spans="1:9" x14ac:dyDescent="0.2">
      <c r="A30" s="9" t="s">
        <v>36</v>
      </c>
      <c r="B30" s="10">
        <v>742852.5</v>
      </c>
      <c r="C30" s="10">
        <v>1216736.4000000001</v>
      </c>
      <c r="D30" s="10">
        <v>316457.5</v>
      </c>
      <c r="E30" s="10">
        <v>205950.8</v>
      </c>
      <c r="F30" s="10">
        <v>406071.9</v>
      </c>
      <c r="G30" s="10">
        <v>117380.50000000001</v>
      </c>
      <c r="H30" s="10">
        <v>349503.7</v>
      </c>
      <c r="I30" s="10">
        <v>712503.9</v>
      </c>
    </row>
    <row r="31" spans="1:9" hidden="1" x14ac:dyDescent="0.2">
      <c r="A31" s="11" t="s">
        <v>37</v>
      </c>
      <c r="B31" s="10"/>
      <c r="C31" s="10"/>
      <c r="D31" s="10"/>
      <c r="E31" s="10"/>
      <c r="F31" s="10"/>
      <c r="G31" s="10"/>
      <c r="H31" s="10"/>
      <c r="I31" s="10"/>
    </row>
    <row r="32" spans="1:9" hidden="1" x14ac:dyDescent="0.2">
      <c r="A32" s="12" t="s">
        <v>38</v>
      </c>
      <c r="B32" s="21">
        <v>242487.9</v>
      </c>
      <c r="C32" s="21">
        <v>215345.6</v>
      </c>
      <c r="D32" s="21">
        <v>316457.5</v>
      </c>
      <c r="E32" s="21">
        <v>205950.8</v>
      </c>
      <c r="F32" s="21">
        <v>406071.9</v>
      </c>
      <c r="G32" s="21">
        <v>17376.700000000012</v>
      </c>
      <c r="H32" s="21">
        <v>249546.1</v>
      </c>
      <c r="I32" s="21">
        <v>362588.7</v>
      </c>
    </row>
    <row r="33" spans="1:9" hidden="1" x14ac:dyDescent="0.2">
      <c r="A33" s="12" t="s">
        <v>39</v>
      </c>
      <c r="B33" s="21">
        <v>500364.6</v>
      </c>
      <c r="C33" s="21">
        <v>1001390.8</v>
      </c>
      <c r="D33" s="21">
        <v>0</v>
      </c>
      <c r="E33" s="21">
        <v>0</v>
      </c>
      <c r="F33" s="21">
        <v>0</v>
      </c>
      <c r="G33" s="21">
        <v>100003.8</v>
      </c>
      <c r="H33" s="21">
        <v>99957.6</v>
      </c>
      <c r="I33" s="21">
        <v>349915.2</v>
      </c>
    </row>
    <row r="34" spans="1:9" hidden="1" x14ac:dyDescent="0.2">
      <c r="A34" s="14" t="s">
        <v>40</v>
      </c>
      <c r="B34" s="17">
        <f t="shared" ref="B34:I34" si="7">SUM(B32:B33)</f>
        <v>742852.5</v>
      </c>
      <c r="C34" s="17">
        <f t="shared" si="7"/>
        <v>1216736.4000000001</v>
      </c>
      <c r="D34" s="17">
        <f t="shared" si="7"/>
        <v>316457.5</v>
      </c>
      <c r="E34" s="17">
        <f t="shared" si="7"/>
        <v>205950.8</v>
      </c>
      <c r="F34" s="17">
        <f t="shared" si="7"/>
        <v>406071.9</v>
      </c>
      <c r="G34" s="17">
        <f t="shared" si="7"/>
        <v>117380.50000000001</v>
      </c>
      <c r="H34" s="17">
        <f t="shared" si="7"/>
        <v>349503.7</v>
      </c>
      <c r="I34" s="17">
        <f t="shared" si="7"/>
        <v>712503.9</v>
      </c>
    </row>
    <row r="35" spans="1:9" hidden="1" x14ac:dyDescent="0.2">
      <c r="A35" s="16" t="s">
        <v>41</v>
      </c>
      <c r="B35" s="17">
        <f t="shared" ref="B35:I35" si="8">0+0+B34</f>
        <v>742852.5</v>
      </c>
      <c r="C35" s="17">
        <f t="shared" si="8"/>
        <v>1216736.4000000001</v>
      </c>
      <c r="D35" s="17">
        <f t="shared" si="8"/>
        <v>316457.5</v>
      </c>
      <c r="E35" s="17">
        <f t="shared" si="8"/>
        <v>205950.8</v>
      </c>
      <c r="F35" s="17">
        <f t="shared" si="8"/>
        <v>406071.9</v>
      </c>
      <c r="G35" s="17">
        <f t="shared" si="8"/>
        <v>117380.50000000001</v>
      </c>
      <c r="H35" s="17">
        <f t="shared" si="8"/>
        <v>349503.7</v>
      </c>
      <c r="I35" s="17">
        <f t="shared" si="8"/>
        <v>712503.9</v>
      </c>
    </row>
    <row r="36" spans="1:9" x14ac:dyDescent="0.2">
      <c r="A36" s="18" t="s">
        <v>42</v>
      </c>
      <c r="B36" s="19">
        <f t="shared" ref="B36:I36" si="9">0+B29+0+B35</f>
        <v>1042561.87</v>
      </c>
      <c r="C36" s="19">
        <f t="shared" si="9"/>
        <v>1578659.3900000001</v>
      </c>
      <c r="D36" s="19">
        <f t="shared" si="9"/>
        <v>399289.41000000003</v>
      </c>
      <c r="E36" s="19">
        <f t="shared" si="9"/>
        <v>232262.80000000005</v>
      </c>
      <c r="F36" s="19">
        <f t="shared" si="9"/>
        <v>504545.09000000008</v>
      </c>
      <c r="G36" s="19">
        <f t="shared" si="9"/>
        <v>397362.35000000003</v>
      </c>
      <c r="H36" s="19">
        <f t="shared" si="9"/>
        <v>474406.78000000009</v>
      </c>
      <c r="I36" s="19">
        <f t="shared" si="9"/>
        <v>1070797.55</v>
      </c>
    </row>
    <row r="37" spans="1:9" x14ac:dyDescent="0.2">
      <c r="A37" s="20"/>
      <c r="B37" s="10"/>
      <c r="C37" s="10"/>
      <c r="D37" s="10"/>
      <c r="E37" s="10"/>
      <c r="F37" s="10"/>
      <c r="G37" s="10"/>
      <c r="H37" s="10"/>
      <c r="I37" s="10"/>
    </row>
    <row r="38" spans="1:9" ht="12.75" thickBot="1" x14ac:dyDescent="0.25">
      <c r="A38" s="7" t="s">
        <v>43</v>
      </c>
      <c r="B38" s="8">
        <v>0</v>
      </c>
      <c r="C38" s="8">
        <v>0</v>
      </c>
      <c r="D38" s="8">
        <v>25.7</v>
      </c>
      <c r="E38" s="8">
        <v>0</v>
      </c>
      <c r="F38" s="8">
        <v>331.82</v>
      </c>
      <c r="G38" s="8">
        <v>0</v>
      </c>
      <c r="H38" s="8">
        <v>0</v>
      </c>
      <c r="I38" s="8">
        <v>0</v>
      </c>
    </row>
    <row r="39" spans="1:9" ht="12" hidden="1" thickBot="1" x14ac:dyDescent="0.25">
      <c r="A39" s="22" t="s">
        <v>44</v>
      </c>
      <c r="B39" s="21">
        <v>0</v>
      </c>
      <c r="C39" s="21">
        <v>0</v>
      </c>
      <c r="D39" s="21">
        <v>25.7</v>
      </c>
      <c r="E39" s="21">
        <v>0</v>
      </c>
      <c r="F39" s="21">
        <v>331.82</v>
      </c>
      <c r="G39" s="21">
        <v>0</v>
      </c>
      <c r="H39" s="21">
        <v>0</v>
      </c>
      <c r="I39" s="21">
        <v>0</v>
      </c>
    </row>
    <row r="40" spans="1:9" ht="12" hidden="1" thickBot="1" x14ac:dyDescent="0.25">
      <c r="A40" s="23" t="s">
        <v>45</v>
      </c>
      <c r="B40" s="17">
        <f t="shared" ref="B40:I40" si="10">SUM(B39)</f>
        <v>0</v>
      </c>
      <c r="C40" s="17">
        <f t="shared" si="10"/>
        <v>0</v>
      </c>
      <c r="D40" s="17">
        <f t="shared" si="10"/>
        <v>25.7</v>
      </c>
      <c r="E40" s="17">
        <f t="shared" si="10"/>
        <v>0</v>
      </c>
      <c r="F40" s="17">
        <f t="shared" si="10"/>
        <v>331.82</v>
      </c>
      <c r="G40" s="17">
        <f t="shared" si="10"/>
        <v>0</v>
      </c>
      <c r="H40" s="17">
        <f t="shared" si="10"/>
        <v>0</v>
      </c>
      <c r="I40" s="17">
        <f t="shared" si="10"/>
        <v>0</v>
      </c>
    </row>
    <row r="41" spans="1:9" ht="12.75" thickTop="1" x14ac:dyDescent="0.2">
      <c r="A41" s="24" t="s">
        <v>46</v>
      </c>
      <c r="B41" s="25">
        <f t="shared" ref="B41:I41" si="11">B13+B14+B36+B37+B40+0</f>
        <v>1042561.87</v>
      </c>
      <c r="C41" s="25">
        <f t="shared" si="11"/>
        <v>1581073.2000000002</v>
      </c>
      <c r="D41" s="25">
        <f t="shared" si="11"/>
        <v>401397.96</v>
      </c>
      <c r="E41" s="25">
        <f t="shared" si="11"/>
        <v>233529.79000000004</v>
      </c>
      <c r="F41" s="25">
        <f t="shared" si="11"/>
        <v>505328.07000000007</v>
      </c>
      <c r="G41" s="25">
        <f t="shared" si="11"/>
        <v>397494.63000000006</v>
      </c>
      <c r="H41" s="25">
        <f t="shared" si="11"/>
        <v>474450.90000000008</v>
      </c>
      <c r="I41" s="25">
        <f t="shared" si="11"/>
        <v>1070885.79</v>
      </c>
    </row>
    <row r="42" spans="1:9" x14ac:dyDescent="0.2">
      <c r="A42" s="26"/>
      <c r="B42" s="10"/>
      <c r="C42" s="10"/>
      <c r="D42" s="10"/>
      <c r="E42" s="10"/>
      <c r="F42" s="10"/>
      <c r="G42" s="10"/>
      <c r="H42" s="10"/>
      <c r="I42" s="10"/>
    </row>
    <row r="43" spans="1:9" ht="12.75" x14ac:dyDescent="0.2">
      <c r="A43" s="5" t="s">
        <v>47</v>
      </c>
      <c r="B43" s="6"/>
      <c r="C43" s="6"/>
      <c r="D43" s="6"/>
      <c r="E43" s="6"/>
      <c r="F43" s="6"/>
      <c r="G43" s="6"/>
      <c r="H43" s="6"/>
      <c r="I43" s="6"/>
    </row>
    <row r="44" spans="1:9" ht="12" x14ac:dyDescent="0.2">
      <c r="A44" s="7" t="s">
        <v>48</v>
      </c>
      <c r="B44" s="8"/>
      <c r="C44" s="8"/>
      <c r="D44" s="8"/>
      <c r="E44" s="8"/>
      <c r="F44" s="8"/>
      <c r="G44" s="8"/>
      <c r="H44" s="8"/>
      <c r="I44" s="8"/>
    </row>
    <row r="45" spans="1:9" x14ac:dyDescent="0.2">
      <c r="A45" s="9" t="s">
        <v>49</v>
      </c>
      <c r="B45" s="10">
        <v>35000</v>
      </c>
      <c r="C45" s="10">
        <v>35000</v>
      </c>
      <c r="D45" s="10">
        <v>35000</v>
      </c>
      <c r="E45" s="10">
        <v>35000</v>
      </c>
      <c r="F45" s="10">
        <v>35000</v>
      </c>
      <c r="G45" s="10">
        <v>35000</v>
      </c>
      <c r="H45" s="10">
        <v>35000</v>
      </c>
      <c r="I45" s="10">
        <v>70000</v>
      </c>
    </row>
    <row r="46" spans="1:9" hidden="1" x14ac:dyDescent="0.2">
      <c r="A46" s="27" t="s">
        <v>50</v>
      </c>
      <c r="B46" s="21">
        <v>35000</v>
      </c>
      <c r="C46" s="21">
        <v>35000</v>
      </c>
      <c r="D46" s="21">
        <v>35000</v>
      </c>
      <c r="E46" s="21">
        <v>35000</v>
      </c>
      <c r="F46" s="21">
        <v>35000</v>
      </c>
      <c r="G46" s="21">
        <v>35000</v>
      </c>
      <c r="H46" s="21">
        <v>35000</v>
      </c>
      <c r="I46" s="21">
        <v>70000</v>
      </c>
    </row>
    <row r="47" spans="1:9" hidden="1" x14ac:dyDescent="0.2">
      <c r="A47" s="16" t="s">
        <v>51</v>
      </c>
      <c r="B47" s="17">
        <f t="shared" ref="B47:I47" si="12">SUM(B46)</f>
        <v>35000</v>
      </c>
      <c r="C47" s="17">
        <f t="shared" si="12"/>
        <v>35000</v>
      </c>
      <c r="D47" s="17">
        <f t="shared" si="12"/>
        <v>35000</v>
      </c>
      <c r="E47" s="17">
        <f t="shared" si="12"/>
        <v>35000</v>
      </c>
      <c r="F47" s="17">
        <f t="shared" si="12"/>
        <v>35000</v>
      </c>
      <c r="G47" s="17">
        <f t="shared" si="12"/>
        <v>35000</v>
      </c>
      <c r="H47" s="17">
        <f t="shared" si="12"/>
        <v>35000</v>
      </c>
      <c r="I47" s="17">
        <f t="shared" si="12"/>
        <v>70000</v>
      </c>
    </row>
    <row r="48" spans="1:9" x14ac:dyDescent="0.2">
      <c r="A48" s="16" t="s">
        <v>52</v>
      </c>
      <c r="B48" s="17">
        <f>98381.4500000001-B49</f>
        <v>98381.450000000099</v>
      </c>
      <c r="C48" s="17">
        <f>256099.509999999-C49</f>
        <v>256099.50999999899</v>
      </c>
      <c r="D48" s="17">
        <f>285776.269999999-D49</f>
        <v>285776.26999999897</v>
      </c>
      <c r="E48" s="17">
        <f>159637.079999999-E49</f>
        <v>159637.079999999</v>
      </c>
      <c r="F48" s="17">
        <f>189885.789999998-F49</f>
        <v>189885.789999998</v>
      </c>
      <c r="G48" s="17">
        <f>209240.619999999-G49</f>
        <v>209240.61999999901</v>
      </c>
      <c r="H48" s="17">
        <f>260600.119999998-H49</f>
        <v>260600.11999999799</v>
      </c>
      <c r="I48" s="17">
        <f>625874.359999997-I49</f>
        <v>521200.23999999702</v>
      </c>
    </row>
    <row r="49" spans="1:9" x14ac:dyDescent="0.2">
      <c r="A49" s="9" t="s">
        <v>53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104674.11999999992</v>
      </c>
    </row>
    <row r="50" spans="1:9" x14ac:dyDescent="0.2">
      <c r="A50" s="18" t="s">
        <v>54</v>
      </c>
      <c r="B50" s="19">
        <f t="shared" ref="B50:I50" si="13">B47+0+0+B48+0+B49</f>
        <v>133381.4500000001</v>
      </c>
      <c r="C50" s="19">
        <f t="shared" si="13"/>
        <v>291099.50999999896</v>
      </c>
      <c r="D50" s="19">
        <f t="shared" si="13"/>
        <v>320776.26999999897</v>
      </c>
      <c r="E50" s="19">
        <f t="shared" si="13"/>
        <v>194637.079999999</v>
      </c>
      <c r="F50" s="19">
        <f t="shared" si="13"/>
        <v>224885.789999998</v>
      </c>
      <c r="G50" s="19">
        <f t="shared" si="13"/>
        <v>244240.61999999901</v>
      </c>
      <c r="H50" s="19">
        <f t="shared" si="13"/>
        <v>295600.11999999802</v>
      </c>
      <c r="I50" s="19">
        <f t="shared" si="13"/>
        <v>695874.35999999684</v>
      </c>
    </row>
    <row r="51" spans="1:9" x14ac:dyDescent="0.2">
      <c r="A51" s="20"/>
      <c r="B51" s="10"/>
      <c r="C51" s="10"/>
      <c r="D51" s="10"/>
      <c r="E51" s="10"/>
      <c r="F51" s="10"/>
      <c r="G51" s="10"/>
      <c r="H51" s="10"/>
      <c r="I51" s="10"/>
    </row>
    <row r="52" spans="1:9" ht="12" x14ac:dyDescent="0.2">
      <c r="A52" s="7" t="s">
        <v>55</v>
      </c>
      <c r="B52" s="8"/>
      <c r="C52" s="8"/>
      <c r="D52" s="8"/>
      <c r="E52" s="8"/>
      <c r="F52" s="8"/>
      <c r="G52" s="8"/>
      <c r="H52" s="8"/>
      <c r="I52" s="8"/>
    </row>
    <row r="53" spans="1:9" x14ac:dyDescent="0.2">
      <c r="A53" s="9" t="s">
        <v>56</v>
      </c>
      <c r="B53" s="10">
        <v>32339</v>
      </c>
      <c r="C53" s="10">
        <v>16513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2081</v>
      </c>
    </row>
    <row r="54" spans="1:9" hidden="1" x14ac:dyDescent="0.2">
      <c r="A54" s="27" t="s">
        <v>57</v>
      </c>
      <c r="B54" s="21">
        <v>32339</v>
      </c>
      <c r="C54" s="21">
        <v>16513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2081</v>
      </c>
    </row>
    <row r="55" spans="1:9" hidden="1" x14ac:dyDescent="0.2">
      <c r="A55" s="16" t="s">
        <v>58</v>
      </c>
      <c r="B55" s="17">
        <f t="shared" ref="B55:I55" si="14">SUM(B54)</f>
        <v>32339</v>
      </c>
      <c r="C55" s="17">
        <f t="shared" si="14"/>
        <v>16513</v>
      </c>
      <c r="D55" s="17">
        <f t="shared" si="14"/>
        <v>0</v>
      </c>
      <c r="E55" s="17">
        <f t="shared" si="14"/>
        <v>0</v>
      </c>
      <c r="F55" s="17">
        <f t="shared" si="14"/>
        <v>0</v>
      </c>
      <c r="G55" s="17">
        <f t="shared" si="14"/>
        <v>0</v>
      </c>
      <c r="H55" s="17">
        <f t="shared" si="14"/>
        <v>0</v>
      </c>
      <c r="I55" s="17">
        <f t="shared" si="14"/>
        <v>2081</v>
      </c>
    </row>
    <row r="56" spans="1:9" x14ac:dyDescent="0.2">
      <c r="A56" s="9" t="s">
        <v>59</v>
      </c>
      <c r="B56" s="10">
        <v>12980.27</v>
      </c>
      <c r="C56" s="10">
        <v>44626.32</v>
      </c>
      <c r="D56" s="10">
        <v>17200</v>
      </c>
      <c r="E56" s="10">
        <v>21971</v>
      </c>
      <c r="F56" s="10">
        <v>32600</v>
      </c>
      <c r="G56" s="10">
        <v>28100</v>
      </c>
      <c r="H56" s="10">
        <v>6981</v>
      </c>
      <c r="I56" s="10">
        <v>11881</v>
      </c>
    </row>
    <row r="57" spans="1:9" hidden="1" x14ac:dyDescent="0.2">
      <c r="A57" s="27" t="s">
        <v>60</v>
      </c>
      <c r="B57" s="21">
        <v>10480.27</v>
      </c>
      <c r="C57" s="21">
        <v>40776.32</v>
      </c>
      <c r="D57" s="21">
        <v>12700</v>
      </c>
      <c r="E57" s="21">
        <v>17671</v>
      </c>
      <c r="F57" s="21">
        <v>28400</v>
      </c>
      <c r="G57" s="21">
        <v>23600</v>
      </c>
      <c r="H57" s="21">
        <v>2081</v>
      </c>
      <c r="I57" s="21">
        <v>2081</v>
      </c>
    </row>
    <row r="58" spans="1:9" hidden="1" x14ac:dyDescent="0.2">
      <c r="A58" s="27" t="s">
        <v>61</v>
      </c>
      <c r="B58" s="21">
        <v>2500</v>
      </c>
      <c r="C58" s="21">
        <v>3850</v>
      </c>
      <c r="D58" s="21">
        <v>4500</v>
      </c>
      <c r="E58" s="21">
        <v>4300</v>
      </c>
      <c r="F58" s="21">
        <v>4200</v>
      </c>
      <c r="G58" s="21">
        <v>4500</v>
      </c>
      <c r="H58" s="21">
        <v>4900</v>
      </c>
      <c r="I58" s="21">
        <v>9800</v>
      </c>
    </row>
    <row r="59" spans="1:9" hidden="1" x14ac:dyDescent="0.2">
      <c r="A59" s="16" t="s">
        <v>62</v>
      </c>
      <c r="B59" s="17">
        <f t="shared" ref="B59:I59" si="15">SUM(B57:B58)</f>
        <v>12980.27</v>
      </c>
      <c r="C59" s="17">
        <f t="shared" si="15"/>
        <v>44626.32</v>
      </c>
      <c r="D59" s="17">
        <f t="shared" si="15"/>
        <v>17200</v>
      </c>
      <c r="E59" s="17">
        <f t="shared" si="15"/>
        <v>21971</v>
      </c>
      <c r="F59" s="17">
        <f t="shared" si="15"/>
        <v>32600</v>
      </c>
      <c r="G59" s="17">
        <f t="shared" si="15"/>
        <v>28100</v>
      </c>
      <c r="H59" s="17">
        <f t="shared" si="15"/>
        <v>6981</v>
      </c>
      <c r="I59" s="17">
        <f t="shared" si="15"/>
        <v>11881</v>
      </c>
    </row>
    <row r="60" spans="1:9" x14ac:dyDescent="0.2">
      <c r="A60" s="18" t="s">
        <v>63</v>
      </c>
      <c r="B60" s="19">
        <f t="shared" ref="B60:I60" si="16">0+B55+B59</f>
        <v>45319.270000000004</v>
      </c>
      <c r="C60" s="19">
        <f t="shared" si="16"/>
        <v>61139.32</v>
      </c>
      <c r="D60" s="19">
        <f t="shared" si="16"/>
        <v>17200</v>
      </c>
      <c r="E60" s="19">
        <f t="shared" si="16"/>
        <v>21971</v>
      </c>
      <c r="F60" s="19">
        <f t="shared" si="16"/>
        <v>32600</v>
      </c>
      <c r="G60" s="19">
        <f t="shared" si="16"/>
        <v>28100</v>
      </c>
      <c r="H60" s="19">
        <f t="shared" si="16"/>
        <v>6981</v>
      </c>
      <c r="I60" s="19">
        <f t="shared" si="16"/>
        <v>13962</v>
      </c>
    </row>
    <row r="61" spans="1:9" x14ac:dyDescent="0.2">
      <c r="A61" s="20"/>
      <c r="B61" s="10"/>
      <c r="C61" s="10"/>
      <c r="D61" s="10"/>
      <c r="E61" s="10"/>
      <c r="F61" s="10"/>
      <c r="G61" s="10"/>
      <c r="H61" s="10"/>
      <c r="I61" s="10"/>
    </row>
    <row r="62" spans="1:9" ht="12" x14ac:dyDescent="0.2">
      <c r="A62" s="7" t="s">
        <v>64</v>
      </c>
      <c r="B62" s="8"/>
      <c r="C62" s="8"/>
      <c r="D62" s="8"/>
      <c r="E62" s="8"/>
      <c r="F62" s="8"/>
      <c r="G62" s="8"/>
      <c r="H62" s="8"/>
      <c r="I62" s="8"/>
    </row>
    <row r="63" spans="1:9" x14ac:dyDescent="0.2">
      <c r="A63" s="9" t="s">
        <v>65</v>
      </c>
      <c r="B63" s="10">
        <v>776410.54</v>
      </c>
      <c r="C63" s="10">
        <v>1162933.1499999999</v>
      </c>
      <c r="D63" s="10">
        <v>47282.479999999981</v>
      </c>
      <c r="E63" s="10">
        <v>2718.9699999999793</v>
      </c>
      <c r="F63" s="10">
        <v>3086.7599999999793</v>
      </c>
      <c r="G63" s="10">
        <v>3186.9199999999792</v>
      </c>
      <c r="H63" s="10">
        <v>3656.9999999999791</v>
      </c>
      <c r="I63" s="10">
        <v>52704.999999999978</v>
      </c>
    </row>
    <row r="64" spans="1:9" hidden="1" x14ac:dyDescent="0.2">
      <c r="A64" s="27" t="s">
        <v>66</v>
      </c>
      <c r="B64" s="21">
        <v>776410.54</v>
      </c>
      <c r="C64" s="21">
        <v>1162933.1499999999</v>
      </c>
      <c r="D64" s="21">
        <v>47282.479999999981</v>
      </c>
      <c r="E64" s="21">
        <v>2718.9699999999793</v>
      </c>
      <c r="F64" s="21">
        <v>3086.7599999999793</v>
      </c>
      <c r="G64" s="21">
        <v>3186.9199999999792</v>
      </c>
      <c r="H64" s="21">
        <v>3656.9999999999791</v>
      </c>
      <c r="I64" s="21">
        <v>52704.999999999978</v>
      </c>
    </row>
    <row r="65" spans="1:9" hidden="1" x14ac:dyDescent="0.2">
      <c r="A65" s="16" t="s">
        <v>67</v>
      </c>
      <c r="B65" s="17">
        <f t="shared" ref="B65:I65" si="17">SUM(B64)</f>
        <v>776410.54</v>
      </c>
      <c r="C65" s="17">
        <f t="shared" si="17"/>
        <v>1162933.1499999999</v>
      </c>
      <c r="D65" s="17">
        <f t="shared" si="17"/>
        <v>47282.479999999981</v>
      </c>
      <c r="E65" s="17">
        <f t="shared" si="17"/>
        <v>2718.9699999999793</v>
      </c>
      <c r="F65" s="17">
        <f t="shared" si="17"/>
        <v>3086.7599999999793</v>
      </c>
      <c r="G65" s="17">
        <f t="shared" si="17"/>
        <v>3186.9199999999792</v>
      </c>
      <c r="H65" s="17">
        <f t="shared" si="17"/>
        <v>3656.9999999999791</v>
      </c>
      <c r="I65" s="17">
        <f t="shared" si="17"/>
        <v>52704.999999999978</v>
      </c>
    </row>
    <row r="66" spans="1:9" x14ac:dyDescent="0.2">
      <c r="A66" s="9" t="s">
        <v>68</v>
      </c>
      <c r="B66" s="10">
        <v>0</v>
      </c>
      <c r="C66" s="10">
        <v>0</v>
      </c>
      <c r="D66" s="10">
        <v>0</v>
      </c>
      <c r="E66" s="10">
        <v>0</v>
      </c>
      <c r="F66" s="10">
        <v>159527</v>
      </c>
      <c r="G66" s="10">
        <v>70104</v>
      </c>
      <c r="H66" s="10">
        <v>48425</v>
      </c>
      <c r="I66" s="10">
        <v>94350.65</v>
      </c>
    </row>
    <row r="67" spans="1:9" hidden="1" x14ac:dyDescent="0.2">
      <c r="A67" s="27" t="s">
        <v>69</v>
      </c>
      <c r="B67" s="21">
        <v>0</v>
      </c>
      <c r="C67" s="21">
        <v>0</v>
      </c>
      <c r="D67" s="21">
        <v>0</v>
      </c>
      <c r="E67" s="21">
        <v>0</v>
      </c>
      <c r="F67" s="21">
        <v>159527</v>
      </c>
      <c r="G67" s="21">
        <v>70104</v>
      </c>
      <c r="H67" s="21">
        <v>48425</v>
      </c>
      <c r="I67" s="21">
        <v>94350.65</v>
      </c>
    </row>
    <row r="68" spans="1:9" hidden="1" x14ac:dyDescent="0.2">
      <c r="A68" s="16" t="s">
        <v>70</v>
      </c>
      <c r="B68" s="17">
        <f t="shared" ref="B68:I68" si="18">SUM(B67)</f>
        <v>0</v>
      </c>
      <c r="C68" s="17">
        <f t="shared" si="18"/>
        <v>0</v>
      </c>
      <c r="D68" s="17">
        <f t="shared" si="18"/>
        <v>0</v>
      </c>
      <c r="E68" s="17">
        <f t="shared" si="18"/>
        <v>0</v>
      </c>
      <c r="F68" s="17">
        <f t="shared" si="18"/>
        <v>159527</v>
      </c>
      <c r="G68" s="17">
        <f t="shared" si="18"/>
        <v>70104</v>
      </c>
      <c r="H68" s="17">
        <f t="shared" si="18"/>
        <v>48425</v>
      </c>
      <c r="I68" s="17">
        <f t="shared" si="18"/>
        <v>94350.65</v>
      </c>
    </row>
    <row r="69" spans="1:9" x14ac:dyDescent="0.2">
      <c r="A69" s="9" t="s">
        <v>71</v>
      </c>
      <c r="B69" s="10">
        <v>87450.609999999986</v>
      </c>
      <c r="C69" s="10">
        <v>65901.219999999987</v>
      </c>
      <c r="D69" s="10">
        <v>16139.209999999992</v>
      </c>
      <c r="E69" s="10">
        <v>14202.739999999993</v>
      </c>
      <c r="F69" s="10">
        <v>85228.51999999999</v>
      </c>
      <c r="G69" s="10">
        <v>51863.089999999989</v>
      </c>
      <c r="H69" s="10">
        <v>99523.779999999984</v>
      </c>
      <c r="I69" s="10">
        <v>173465.78</v>
      </c>
    </row>
    <row r="70" spans="1:9" hidden="1" x14ac:dyDescent="0.2">
      <c r="A70" s="27" t="s">
        <v>72</v>
      </c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-157</v>
      </c>
    </row>
    <row r="71" spans="1:9" hidden="1" x14ac:dyDescent="0.2">
      <c r="A71" s="27" t="s">
        <v>73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-17309.91</v>
      </c>
    </row>
    <row r="72" spans="1:9" hidden="1" x14ac:dyDescent="0.2">
      <c r="A72" s="27" t="s">
        <v>74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-2.5299999999999998</v>
      </c>
      <c r="I72" s="21">
        <v>70890.22</v>
      </c>
    </row>
    <row r="73" spans="1:9" hidden="1" x14ac:dyDescent="0.2">
      <c r="A73" s="27" t="s">
        <v>75</v>
      </c>
      <c r="B73" s="21">
        <v>0</v>
      </c>
      <c r="C73" s="21">
        <v>759.17</v>
      </c>
      <c r="D73" s="21">
        <v>340.15999999999997</v>
      </c>
      <c r="E73" s="21">
        <v>-5.6843418860808015E-14</v>
      </c>
      <c r="F73" s="21">
        <v>800</v>
      </c>
      <c r="G73" s="21">
        <v>348.57</v>
      </c>
      <c r="H73" s="21">
        <v>0</v>
      </c>
      <c r="I73" s="21">
        <v>396.6</v>
      </c>
    </row>
    <row r="74" spans="1:9" hidden="1" x14ac:dyDescent="0.2">
      <c r="A74" s="27" t="s">
        <v>76</v>
      </c>
      <c r="B74" s="21">
        <v>3619.03</v>
      </c>
      <c r="C74" s="21">
        <v>514.66000000000031</v>
      </c>
      <c r="D74" s="21">
        <v>366.22000000000031</v>
      </c>
      <c r="E74" s="21">
        <v>465.87000000000035</v>
      </c>
      <c r="F74" s="21">
        <v>806.52000000000032</v>
      </c>
      <c r="G74" s="21">
        <v>1008.2400000000004</v>
      </c>
      <c r="H74" s="21">
        <v>41809.729999999996</v>
      </c>
      <c r="I74" s="21">
        <v>44185.659999999996</v>
      </c>
    </row>
    <row r="75" spans="1:9" hidden="1" x14ac:dyDescent="0.2">
      <c r="A75" s="27" t="s">
        <v>77</v>
      </c>
      <c r="B75" s="21">
        <v>417.61</v>
      </c>
      <c r="C75" s="21">
        <v>451.69</v>
      </c>
      <c r="D75" s="21">
        <v>433.35</v>
      </c>
      <c r="E75" s="21">
        <v>598.97</v>
      </c>
      <c r="F75" s="21">
        <v>829.16000000000008</v>
      </c>
      <c r="G75" s="21">
        <v>1201.6600000000001</v>
      </c>
      <c r="H75" s="21">
        <v>1196.28</v>
      </c>
      <c r="I75" s="21">
        <v>4175.03</v>
      </c>
    </row>
    <row r="76" spans="1:9" hidden="1" x14ac:dyDescent="0.2">
      <c r="A76" s="27" t="s">
        <v>78</v>
      </c>
      <c r="B76" s="21">
        <v>-34.619999999999997</v>
      </c>
      <c r="C76" s="21">
        <v>0</v>
      </c>
      <c r="D76" s="21">
        <v>0.01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</row>
    <row r="77" spans="1:9" hidden="1" x14ac:dyDescent="0.2">
      <c r="A77" s="27" t="s">
        <v>79</v>
      </c>
      <c r="B77" s="21">
        <v>0</v>
      </c>
      <c r="C77" s="21">
        <v>-80</v>
      </c>
      <c r="D77" s="21">
        <v>856.06</v>
      </c>
      <c r="E77" s="21">
        <v>0</v>
      </c>
      <c r="F77" s="21">
        <v>0</v>
      </c>
      <c r="G77" s="21">
        <v>0</v>
      </c>
      <c r="H77" s="21">
        <v>1000</v>
      </c>
      <c r="I77" s="21">
        <v>1000</v>
      </c>
    </row>
    <row r="78" spans="1:9" hidden="1" x14ac:dyDescent="0.2">
      <c r="A78" s="27" t="s">
        <v>80</v>
      </c>
      <c r="B78" s="21">
        <v>0</v>
      </c>
      <c r="C78" s="21">
        <v>-109.73</v>
      </c>
      <c r="D78" s="21">
        <v>164.04999999999995</v>
      </c>
      <c r="E78" s="21">
        <v>-5.6843418860808015E-14</v>
      </c>
      <c r="F78" s="21">
        <v>-5.6843418860808015E-14</v>
      </c>
      <c r="G78" s="21">
        <v>-5.6843418860808015E-14</v>
      </c>
      <c r="H78" s="21">
        <v>429.99999999999994</v>
      </c>
      <c r="I78" s="21">
        <v>371.42999999999995</v>
      </c>
    </row>
    <row r="79" spans="1:9" hidden="1" x14ac:dyDescent="0.2">
      <c r="A79" s="27" t="s">
        <v>81</v>
      </c>
      <c r="B79" s="21">
        <v>2088</v>
      </c>
      <c r="C79" s="21">
        <v>2244.8000000000002</v>
      </c>
      <c r="D79" s="21">
        <v>2176.98</v>
      </c>
      <c r="E79" s="21">
        <v>3276.06</v>
      </c>
      <c r="F79" s="21">
        <v>4287.21</v>
      </c>
      <c r="G79" s="21">
        <v>6101.3099999999995</v>
      </c>
      <c r="H79" s="21">
        <v>6361.1299999999992</v>
      </c>
      <c r="I79" s="21">
        <v>16576.16</v>
      </c>
    </row>
    <row r="80" spans="1:9" hidden="1" x14ac:dyDescent="0.2">
      <c r="A80" s="27" t="s">
        <v>82</v>
      </c>
      <c r="B80" s="21">
        <v>2645.46</v>
      </c>
      <c r="C80" s="21">
        <v>3281.25</v>
      </c>
      <c r="D80" s="21">
        <v>3517.56</v>
      </c>
      <c r="E80" s="21">
        <v>4560.3599999999997</v>
      </c>
      <c r="F80" s="21">
        <v>6599.8899999999994</v>
      </c>
      <c r="G80" s="21">
        <v>10011.459999999999</v>
      </c>
      <c r="H80" s="21">
        <v>9756.7999999999993</v>
      </c>
      <c r="I80" s="21">
        <v>35494.6</v>
      </c>
    </row>
    <row r="81" spans="1:9" hidden="1" x14ac:dyDescent="0.2">
      <c r="A81" s="27" t="s">
        <v>83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144626.59</v>
      </c>
    </row>
    <row r="82" spans="1:9" hidden="1" x14ac:dyDescent="0.2">
      <c r="A82" s="27" t="s">
        <v>84</v>
      </c>
      <c r="B82" s="21">
        <v>0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157</v>
      </c>
    </row>
    <row r="83" spans="1:9" hidden="1" x14ac:dyDescent="0.2">
      <c r="A83" s="27" t="s">
        <v>85</v>
      </c>
      <c r="B83" s="21">
        <v>78922.789999999994</v>
      </c>
      <c r="C83" s="21">
        <v>59112.909999999989</v>
      </c>
      <c r="D83" s="21">
        <v>8284.8199999999924</v>
      </c>
      <c r="E83" s="21">
        <v>5301.4799999999923</v>
      </c>
      <c r="F83" s="21">
        <v>71905.739999999991</v>
      </c>
      <c r="G83" s="21">
        <v>33191.849999999991</v>
      </c>
      <c r="H83" s="21">
        <v>38972.369999999995</v>
      </c>
      <c r="I83" s="21">
        <v>-56047.850000000006</v>
      </c>
    </row>
    <row r="84" spans="1:9" hidden="1" x14ac:dyDescent="0.2">
      <c r="A84" s="27" t="s">
        <v>86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-70892.75</v>
      </c>
    </row>
    <row r="85" spans="1:9" hidden="1" x14ac:dyDescent="0.2">
      <c r="A85" s="27" t="s">
        <v>87</v>
      </c>
      <c r="B85" s="21">
        <v>-207.66</v>
      </c>
      <c r="C85" s="21">
        <v>-273.52999999999997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</row>
    <row r="86" spans="1:9" hidden="1" x14ac:dyDescent="0.2">
      <c r="A86" s="16" t="s">
        <v>88</v>
      </c>
      <c r="B86" s="17">
        <f t="shared" ref="B86:I86" si="19">SUM(B70:B85)</f>
        <v>87450.609999999986</v>
      </c>
      <c r="C86" s="17">
        <f t="shared" si="19"/>
        <v>65901.219999999987</v>
      </c>
      <c r="D86" s="17">
        <f t="shared" si="19"/>
        <v>16139.209999999992</v>
      </c>
      <c r="E86" s="17">
        <f t="shared" si="19"/>
        <v>14202.739999999993</v>
      </c>
      <c r="F86" s="17">
        <f t="shared" si="19"/>
        <v>85228.51999999999</v>
      </c>
      <c r="G86" s="17">
        <f t="shared" si="19"/>
        <v>51863.089999999989</v>
      </c>
      <c r="H86" s="17">
        <f t="shared" si="19"/>
        <v>99523.779999999984</v>
      </c>
      <c r="I86" s="17">
        <f t="shared" si="19"/>
        <v>173465.78</v>
      </c>
    </row>
    <row r="87" spans="1:9" x14ac:dyDescent="0.2">
      <c r="A87" s="18" t="s">
        <v>89</v>
      </c>
      <c r="B87" s="19">
        <f t="shared" ref="B87:I87" si="20">0+0+0+B65+0+B68+0+B86</f>
        <v>863861.15</v>
      </c>
      <c r="C87" s="19">
        <f t="shared" si="20"/>
        <v>1228834.3699999999</v>
      </c>
      <c r="D87" s="19">
        <f t="shared" si="20"/>
        <v>63421.689999999973</v>
      </c>
      <c r="E87" s="19">
        <f t="shared" si="20"/>
        <v>16921.70999999997</v>
      </c>
      <c r="F87" s="19">
        <f t="shared" si="20"/>
        <v>247842.27999999997</v>
      </c>
      <c r="G87" s="19">
        <f t="shared" si="20"/>
        <v>125154.00999999998</v>
      </c>
      <c r="H87" s="19">
        <f t="shared" si="20"/>
        <v>151605.77999999997</v>
      </c>
      <c r="I87" s="19">
        <f t="shared" si="20"/>
        <v>320521.42999999993</v>
      </c>
    </row>
    <row r="88" spans="1:9" x14ac:dyDescent="0.2">
      <c r="A88" s="20"/>
      <c r="B88" s="10"/>
      <c r="C88" s="10"/>
      <c r="D88" s="10"/>
      <c r="E88" s="10"/>
      <c r="F88" s="10"/>
      <c r="G88" s="10"/>
      <c r="H88" s="10"/>
      <c r="I88" s="10"/>
    </row>
    <row r="89" spans="1:9" ht="12" x14ac:dyDescent="0.2">
      <c r="A89" s="7" t="s">
        <v>90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20264</v>
      </c>
      <c r="I89" s="8">
        <v>40528</v>
      </c>
    </row>
    <row r="90" spans="1:9" hidden="1" x14ac:dyDescent="0.2">
      <c r="A90" s="22" t="s">
        <v>91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20264</v>
      </c>
      <c r="I90" s="21">
        <v>20264</v>
      </c>
    </row>
    <row r="91" spans="1:9" hidden="1" x14ac:dyDescent="0.2">
      <c r="A91" s="22" t="s">
        <v>92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20264</v>
      </c>
    </row>
    <row r="92" spans="1:9" hidden="1" x14ac:dyDescent="0.2">
      <c r="A92" s="23" t="s">
        <v>93</v>
      </c>
      <c r="B92" s="17">
        <f t="shared" ref="B92:I92" si="21">SUM(B90:B91)</f>
        <v>0</v>
      </c>
      <c r="C92" s="17">
        <f t="shared" si="21"/>
        <v>0</v>
      </c>
      <c r="D92" s="17">
        <f t="shared" si="21"/>
        <v>0</v>
      </c>
      <c r="E92" s="17">
        <f t="shared" si="21"/>
        <v>0</v>
      </c>
      <c r="F92" s="17">
        <f t="shared" si="21"/>
        <v>0</v>
      </c>
      <c r="G92" s="17">
        <f t="shared" si="21"/>
        <v>0</v>
      </c>
      <c r="H92" s="17">
        <f t="shared" si="21"/>
        <v>20264</v>
      </c>
      <c r="I92" s="17">
        <f t="shared" si="21"/>
        <v>40528</v>
      </c>
    </row>
    <row r="93" spans="1:9" ht="12" thickBot="1" x14ac:dyDescent="0.25">
      <c r="A93" s="20"/>
      <c r="B93" s="10"/>
      <c r="C93" s="10"/>
      <c r="D93" s="10"/>
      <c r="E93" s="10"/>
      <c r="F93" s="10"/>
      <c r="G93" s="10"/>
      <c r="H93" s="10"/>
      <c r="I93" s="10"/>
    </row>
    <row r="94" spans="1:9" ht="12.75" thickTop="1" x14ac:dyDescent="0.2">
      <c r="A94" s="24" t="s">
        <v>94</v>
      </c>
      <c r="B94" s="25">
        <f t="shared" ref="B94:I94" si="22">B50+B51+B60+B61+B87+B88+B92+B93+0</f>
        <v>1042561.8700000001</v>
      </c>
      <c r="C94" s="25">
        <f t="shared" si="22"/>
        <v>1581073.1999999988</v>
      </c>
      <c r="D94" s="25">
        <f t="shared" si="22"/>
        <v>401397.95999999892</v>
      </c>
      <c r="E94" s="25">
        <f t="shared" si="22"/>
        <v>233529.78999999896</v>
      </c>
      <c r="F94" s="25">
        <f t="shared" si="22"/>
        <v>505328.06999999797</v>
      </c>
      <c r="G94" s="25">
        <f t="shared" si="22"/>
        <v>397494.62999999896</v>
      </c>
      <c r="H94" s="25">
        <f t="shared" si="22"/>
        <v>474450.89999999799</v>
      </c>
      <c r="I94" s="25">
        <f t="shared" si="22"/>
        <v>1070885.7899999968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2023-08-08T19:06:12Z</dcterms:created>
  <dcterms:modified xsi:type="dcterms:W3CDTF">2023-08-08T19:06:12Z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