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HR\"/>
    </mc:Choice>
  </mc:AlternateContent>
  <xr:revisionPtr revIDLastSave="0" documentId="13_ncr:40009_{3CE31F28-E3F2-4EEC-9DED-64CB4A228BF5}" xr6:coauthVersionLast="47" xr6:coauthVersionMax="47" xr10:uidLastSave="{00000000-0000-0000-0000-000000000000}"/>
  <bookViews>
    <workbookView xWindow="-1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1" i="1"/>
  <c r="B23" i="1"/>
  <c r="B19" i="1"/>
  <c r="B12" i="1"/>
  <c r="B13" i="1" s="1"/>
  <c r="B14" i="1" s="1"/>
  <c r="B24" i="1" l="1"/>
  <c r="B32" i="1" s="1"/>
  <c r="B33" i="1" s="1"/>
  <c r="B37" i="1" s="1"/>
</calcChain>
</file>

<file path=xl/sharedStrings.xml><?xml version="1.0" encoding="utf-8"?>
<sst xmlns="http://schemas.openxmlformats.org/spreadsheetml/2006/main" count="39" uniqueCount="38">
  <si>
    <t>Firma : PROMATIS software d.o.o.</t>
  </si>
  <si>
    <t>PG P+L by Entity and Month/Quarter/Year</t>
  </si>
  <si>
    <t>From Jan 2020 to Dez 2023</t>
  </si>
  <si>
    <t> </t>
  </si>
  <si>
    <t>FY 2023</t>
  </si>
  <si>
    <t>Saldo</t>
  </si>
  <si>
    <t>Net profit/loss for the year</t>
  </si>
  <si>
    <t>EBIT</t>
  </si>
  <si>
    <t>Gross profit</t>
  </si>
  <si>
    <t>Operating income</t>
  </si>
  <si>
    <t>1. Revenue</t>
  </si>
  <si>
    <t>433700 - Revenue from services, recipient bears the tax liability</t>
  </si>
  <si>
    <t>Total Revenue</t>
  </si>
  <si>
    <t>Total Operating income</t>
  </si>
  <si>
    <t>Total Gross profit</t>
  </si>
  <si>
    <t>Operating expenses (except cost of materials)</t>
  </si>
  <si>
    <t>6. Personnel expenses</t>
  </si>
  <si>
    <t>a) Wages and salaries</t>
  </si>
  <si>
    <t>602000 - Salaries</t>
  </si>
  <si>
    <t>Total Wages and salaries</t>
  </si>
  <si>
    <t>b) Social security, post-employ, and other employee benft costs</t>
  </si>
  <si>
    <t>610000 - Social security, post-employ. and oth employee benefit costs</t>
  </si>
  <si>
    <t>611000 - Statutory social security expenses</t>
  </si>
  <si>
    <t>Total Social security, post-employ, and other employee benft costs</t>
  </si>
  <si>
    <t>Total Personnel expenses</t>
  </si>
  <si>
    <t>8. Other operating expenses</t>
  </si>
  <si>
    <t>631000 - Rent (immovable property)</t>
  </si>
  <si>
    <t>663000 - Corporate hospitality expenses</t>
  </si>
  <si>
    <t>666400 - Employee travel expenses, additional subsistence costs</t>
  </si>
  <si>
    <t>683000 - Bookkeeping costs</t>
  </si>
  <si>
    <t>685500 - Incidental monetary transaction costs</t>
  </si>
  <si>
    <t>Total Other operating expenses</t>
  </si>
  <si>
    <t>Total Operating expenses (except cost of materials)</t>
  </si>
  <si>
    <t>Total EBIT</t>
  </si>
  <si>
    <t>14. Taxes on income</t>
  </si>
  <si>
    <t>760000 - Corporate income tax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</si>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</sst>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2"/>
    </xf>
    <xf numFmtId="0" fontId="21" fillId="0" borderId="11" xfId="0" applyFont="1" applyBorder="1" applyAlignment="1">
      <alignment horizontal="left" indent="4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zoomScale="145" zoomScaleNormal="145" workbookViewId="0">
      <selection activeCell="A4" sqref="A4:XFD4"/>
    </sheetView>
  </sheetViews>
  <sheetFormatPr baseColWidth="10" defaultRowHeight="11.25" x14ac:dyDescent="0.2"/>
  <cols>
    <col min="1" max="1" width="70.5" bestFit="1" customWidth="1"/>
    <col min="2" max="2" width="16" customWidth="1"/>
  </cols>
  <sheetData>
    <row r="1" spans="1:2" ht="15.75" x14ac:dyDescent="0.25">
      <c r="A1" s="1" t="s">
        <v>0</v>
      </c>
      <c r="B1" s="1"/>
    </row>
    <row r="2" spans="1:2" ht="18" x14ac:dyDescent="0.25">
      <c r="A2" s="2" t="s">
        <v>1</v>
      </c>
      <c r="B2" s="2"/>
    </row>
    <row r="3" spans="1:2" ht="18" x14ac:dyDescent="0.25">
      <c r="A3" s="2" t="s">
        <v>2</v>
      </c>
      <c r="B3" s="2"/>
    </row>
    <row r="4" spans="1:2" x14ac:dyDescent="0.2">
      <c r="A4" s="3" t="s">
        <v>3</v>
      </c>
      <c r="B4" s="4" t="s">
        <v>4</v>
      </c>
    </row>
    <row r="5" spans="1:2" x14ac:dyDescent="0.2">
      <c r="A5" s="3" t="s">
        <v>3</v>
      </c>
      <c r="B5" s="4" t="s">
        <v>5</v>
      </c>
    </row>
    <row r="6" spans="1:2" x14ac:dyDescent="0.2">
      <c r="A6" s="5" t="s">
        <v>6</v>
      </c>
      <c r="B6" s="6"/>
    </row>
    <row r="7" spans="1:2" x14ac:dyDescent="0.2">
      <c r="A7" s="7" t="s">
        <v>7</v>
      </c>
      <c r="B7" s="6"/>
    </row>
    <row r="8" spans="1:2" x14ac:dyDescent="0.2">
      <c r="A8" s="8" t="s">
        <v>8</v>
      </c>
      <c r="B8" s="6"/>
    </row>
    <row r="9" spans="1:2" x14ac:dyDescent="0.2">
      <c r="A9" s="9" t="s">
        <v>9</v>
      </c>
      <c r="B9" s="6"/>
    </row>
    <row r="10" spans="1:2" x14ac:dyDescent="0.2">
      <c r="A10" s="10" t="s">
        <v>10</v>
      </c>
      <c r="B10" s="6">
        <v>50000</v>
      </c>
    </row>
    <row r="11" spans="1:2" hidden="1" x14ac:dyDescent="0.2">
      <c r="A11" s="11" t="s">
        <v>11</v>
      </c>
      <c r="B11" s="12">
        <v>50000</v>
      </c>
    </row>
    <row r="12" spans="1:2" hidden="1" x14ac:dyDescent="0.2">
      <c r="A12" s="13" t="s">
        <v>12</v>
      </c>
      <c r="B12" s="14">
        <f>SUM(B11)</f>
        <v>50000</v>
      </c>
    </row>
    <row r="13" spans="1:2" x14ac:dyDescent="0.2">
      <c r="A13" s="15" t="s">
        <v>13</v>
      </c>
      <c r="B13" s="16">
        <f>B12+0+0+0</f>
        <v>50000</v>
      </c>
    </row>
    <row r="14" spans="1:2" x14ac:dyDescent="0.2">
      <c r="A14" s="17" t="s">
        <v>14</v>
      </c>
      <c r="B14" s="16">
        <f>B13+0</f>
        <v>50000</v>
      </c>
    </row>
    <row r="15" spans="1:2" x14ac:dyDescent="0.2">
      <c r="A15" s="8" t="s">
        <v>15</v>
      </c>
      <c r="B15" s="6"/>
    </row>
    <row r="16" spans="1:2" x14ac:dyDescent="0.2">
      <c r="A16" s="9" t="s">
        <v>16</v>
      </c>
      <c r="B16" s="6"/>
    </row>
    <row r="17" spans="1:2" x14ac:dyDescent="0.2">
      <c r="A17" s="10" t="s">
        <v>17</v>
      </c>
      <c r="B17" s="6">
        <v>-3424.04</v>
      </c>
    </row>
    <row r="18" spans="1:2" hidden="1" x14ac:dyDescent="0.2">
      <c r="A18" s="11" t="s">
        <v>18</v>
      </c>
      <c r="B18" s="12">
        <v>-3424.04</v>
      </c>
    </row>
    <row r="19" spans="1:2" hidden="1" x14ac:dyDescent="0.2">
      <c r="A19" s="18" t="s">
        <v>19</v>
      </c>
      <c r="B19" s="16">
        <f>SUM(B18)</f>
        <v>-3424.04</v>
      </c>
    </row>
    <row r="20" spans="1:2" x14ac:dyDescent="0.2">
      <c r="A20" s="10" t="s">
        <v>20</v>
      </c>
      <c r="B20" s="6">
        <v>-1825</v>
      </c>
    </row>
    <row r="21" spans="1:2" hidden="1" x14ac:dyDescent="0.2">
      <c r="A21" s="11" t="s">
        <v>21</v>
      </c>
      <c r="B21" s="12">
        <v>-1000</v>
      </c>
    </row>
    <row r="22" spans="1:2" hidden="1" x14ac:dyDescent="0.2">
      <c r="A22" s="11" t="s">
        <v>22</v>
      </c>
      <c r="B22" s="12">
        <v>-825</v>
      </c>
    </row>
    <row r="23" spans="1:2" hidden="1" x14ac:dyDescent="0.2">
      <c r="A23" s="18" t="s">
        <v>23</v>
      </c>
      <c r="B23" s="16">
        <f>SUM(B21:B22)</f>
        <v>-1825</v>
      </c>
    </row>
    <row r="24" spans="1:2" x14ac:dyDescent="0.2">
      <c r="A24" s="15" t="s">
        <v>24</v>
      </c>
      <c r="B24" s="16">
        <f>B19+B23</f>
        <v>-5249.04</v>
      </c>
    </row>
    <row r="25" spans="1:2" x14ac:dyDescent="0.2">
      <c r="A25" s="9" t="s">
        <v>25</v>
      </c>
      <c r="B25" s="6">
        <v>-2217.1299999999997</v>
      </c>
    </row>
    <row r="26" spans="1:2" hidden="1" x14ac:dyDescent="0.2">
      <c r="A26" s="19" t="s">
        <v>26</v>
      </c>
      <c r="B26" s="12">
        <v>-1512</v>
      </c>
    </row>
    <row r="27" spans="1:2" hidden="1" x14ac:dyDescent="0.2">
      <c r="A27" s="19" t="s">
        <v>27</v>
      </c>
      <c r="B27" s="12">
        <v>-35.74</v>
      </c>
    </row>
    <row r="28" spans="1:2" hidden="1" x14ac:dyDescent="0.2">
      <c r="A28" s="19" t="s">
        <v>28</v>
      </c>
      <c r="B28" s="12">
        <v>-350</v>
      </c>
    </row>
    <row r="29" spans="1:2" hidden="1" x14ac:dyDescent="0.2">
      <c r="A29" s="19" t="s">
        <v>29</v>
      </c>
      <c r="B29" s="12">
        <v>-307.64999999999998</v>
      </c>
    </row>
    <row r="30" spans="1:2" hidden="1" x14ac:dyDescent="0.2">
      <c r="A30" s="19" t="s">
        <v>30</v>
      </c>
      <c r="B30" s="12">
        <v>-11.74</v>
      </c>
    </row>
    <row r="31" spans="1:2" hidden="1" x14ac:dyDescent="0.2">
      <c r="A31" s="15" t="s">
        <v>31</v>
      </c>
      <c r="B31" s="16">
        <f>SUM(B26:B30)</f>
        <v>-2217.1299999999997</v>
      </c>
    </row>
    <row r="32" spans="1:2" x14ac:dyDescent="0.2">
      <c r="A32" s="17" t="s">
        <v>32</v>
      </c>
      <c r="B32" s="16">
        <f>B24+0+B31</f>
        <v>-7466.17</v>
      </c>
    </row>
    <row r="33" spans="1:2" x14ac:dyDescent="0.2">
      <c r="A33" s="20" t="s">
        <v>33</v>
      </c>
      <c r="B33" s="16">
        <f>B14+B32</f>
        <v>42533.83</v>
      </c>
    </row>
    <row r="34" spans="1:2" x14ac:dyDescent="0.2">
      <c r="A34" s="7" t="s">
        <v>34</v>
      </c>
      <c r="B34" s="6">
        <v>-575.96</v>
      </c>
    </row>
    <row r="35" spans="1:2" hidden="1" x14ac:dyDescent="0.2">
      <c r="A35" s="21" t="s">
        <v>35</v>
      </c>
      <c r="B35" s="12">
        <v>-575.96</v>
      </c>
    </row>
    <row r="36" spans="1:2" hidden="1" x14ac:dyDescent="0.2">
      <c r="A36" s="20" t="s">
        <v>36</v>
      </c>
      <c r="B36" s="16">
        <f>SUM(B35)</f>
        <v>-575.96</v>
      </c>
    </row>
    <row r="37" spans="1:2" x14ac:dyDescent="0.2">
      <c r="A37" s="22" t="s">
        <v>37</v>
      </c>
      <c r="B37" s="16">
        <f>B33+0+B36+0</f>
        <v>41957.87</v>
      </c>
    </row>
  </sheetData>
  <mergeCells count="3">
    <mergeCell ref="A1:B1"/>
    <mergeCell ref="A2:B2"/>
    <mergeCell ref="A3:B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2023-08-08T18:38:16Z</dcterms:created>
  <dcterms:modified xsi:type="dcterms:W3CDTF">2023-08-08T18:38:33Z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