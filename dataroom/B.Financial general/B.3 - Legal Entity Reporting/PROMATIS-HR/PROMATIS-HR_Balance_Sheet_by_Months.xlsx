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PROMATIS-HR\"/>
    </mc:Choice>
  </mc:AlternateContent>
  <xr:revisionPtr revIDLastSave="0" documentId="13_ncr:40009_{D30A5D74-A51A-40E9-95C3-7471B65865D3}" xr6:coauthVersionLast="47" xr6:coauthVersionMax="47" xr10:uidLastSave="{00000000-0000-0000-0000-000000000000}"/>
  <bookViews>
    <workbookView xWindow="-28920" yWindow="-120" windowWidth="29040" windowHeight="15840"/>
  </bookViews>
  <sheets>
    <sheet name="PGBalanceSheetbyEntity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" l="1"/>
  <c r="B46" i="1"/>
  <c r="B40" i="1"/>
  <c r="B41" i="1" s="1"/>
  <c r="B33" i="1"/>
  <c r="B35" i="1" s="1"/>
  <c r="B32" i="1"/>
  <c r="B22" i="1"/>
  <c r="B23" i="1" s="1"/>
  <c r="B17" i="1"/>
  <c r="B18" i="1" s="1"/>
  <c r="B12" i="1"/>
  <c r="B13" i="1" s="1"/>
  <c r="B54" i="1" l="1"/>
  <c r="B57" i="1" s="1"/>
  <c r="B24" i="1"/>
  <c r="B26" i="1" s="1"/>
</calcChain>
</file>

<file path=xl/sharedStrings.xml><?xml version="1.0" encoding="utf-8"?>
<sst xmlns="http://schemas.openxmlformats.org/spreadsheetml/2006/main" count="52" uniqueCount="51">
  <si>
    <t>Firma : PROMATIS software d.o.o.</t>
  </si>
  <si>
    <t>PG Balance Sheet by Entity and Month/Quarter/Year</t>
  </si>
  <si>
    <t>End of Dez 2023</t>
  </si>
  <si>
    <t> </t>
  </si>
  <si>
    <t>Jun 2023</t>
  </si>
  <si>
    <t>As of Dez 2023</t>
  </si>
  <si>
    <t>ASSETS</t>
  </si>
  <si>
    <t>B. Current assets</t>
  </si>
  <si>
    <t>I. Inventories</t>
  </si>
  <si>
    <t>6. Prepayments</t>
  </si>
  <si>
    <t>118000 - Prepayments for inventories</t>
  </si>
  <si>
    <t>Total Prepayments</t>
  </si>
  <si>
    <t>Total Inventories</t>
  </si>
  <si>
    <t>II. Trade receivables and other receivables</t>
  </si>
  <si>
    <t>6. Other receivables and other assets</t>
  </si>
  <si>
    <t>134100 - Receivables from employees (payroll) - due within 1 year</t>
  </si>
  <si>
    <t>Total Other receivables and other assets</t>
  </si>
  <si>
    <t>Total Trade receivables and other receivables</t>
  </si>
  <si>
    <t>IV. Cash-in-hand, central / bank balances and cheques</t>
  </si>
  <si>
    <t>Bank</t>
  </si>
  <si>
    <t>180083 - Bankkonto Kroatien</t>
  </si>
  <si>
    <t>Gesamt Bank</t>
  </si>
  <si>
    <t>Total Cash-in-hand, central / bank balances and cheques</t>
  </si>
  <si>
    <t>Total Current assets</t>
  </si>
  <si>
    <t>TOTAL ASSETS</t>
  </si>
  <si>
    <t>EQUITY &amp; LIABILITIES</t>
  </si>
  <si>
    <t>A. Equity</t>
  </si>
  <si>
    <t>I. Issued capital</t>
  </si>
  <si>
    <t>290000 - Subscribed capital</t>
  </si>
  <si>
    <t>Total Issued capital</t>
  </si>
  <si>
    <t>IV. Profit Brought Forward</t>
  </si>
  <si>
    <t>VI. Net profit/loss for the year</t>
  </si>
  <si>
    <t>Total Equity</t>
  </si>
  <si>
    <t>B. Provisions</t>
  </si>
  <si>
    <t>3. Other provisions</t>
  </si>
  <si>
    <t>307020 - Expense AP Accrual</t>
  </si>
  <si>
    <t>Total Other provisions</t>
  </si>
  <si>
    <t>Total Provisions</t>
  </si>
  <si>
    <t>C. Liabilities</t>
  </si>
  <si>
    <t>4. Trade payables</t>
  </si>
  <si>
    <t>330100 - Trade payables starting with 2016</t>
  </si>
  <si>
    <t>Total Trade payables</t>
  </si>
  <si>
    <t>8. Other liabilities</t>
  </si>
  <si>
    <t>140600 - VAT on Purchases</t>
  </si>
  <si>
    <t>370000 - Liabilities from taxes and levies</t>
  </si>
  <si>
    <t>370100 - Liabilities from taxes and levies - due within 1 year</t>
  </si>
  <si>
    <t>373000 - Wage and church tax payables</t>
  </si>
  <si>
    <t>374000 - Social security liabilities</t>
  </si>
  <si>
    <t>Total Other liabilities</t>
  </si>
  <si>
    <t>Total Liabilities</t>
  </si>
  <si>
    <t>TOTAL EQUITY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</si>
</sst>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6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b/>
      <sz val="10"/>
      <color indexed="16"/>
      <name val="Arial"/>
    </font>
    <font>
      <sz val="8"/>
      <color indexed="8"/>
      <name val="Arial"/>
    </font>
    <font>
      <b/>
      <sz val="9"/>
      <color indexed="8"/>
      <name val="Arial"/>
    </font>
    <font>
      <b/>
      <sz val="9"/>
      <color indexed="56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800000"/>
      </bottom>
      <diagonal/>
    </border>
    <border>
      <left/>
      <right/>
      <top style="dotted">
        <color rgb="FF969696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2" fillId="0" borderId="10" xfId="0" applyFont="1" applyBorder="1" applyAlignment="1">
      <alignment horizontal="left" vertical="center"/>
    </xf>
    <xf numFmtId="168" fontId="22" fillId="0" borderId="1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168" fontId="21" fillId="0" borderId="0" xfId="0" applyNumberFormat="1" applyFont="1" applyBorder="1" applyAlignment="1">
      <alignment horizontal="right" vertical="center"/>
    </xf>
    <xf numFmtId="0" fontId="25" fillId="0" borderId="0" xfId="0" applyFont="1" applyBorder="1" applyAlignment="1">
      <alignment horizontal="left" indent="1"/>
    </xf>
    <xf numFmtId="168" fontId="25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3" fillId="0" borderId="0" xfId="0" applyFont="1" applyBorder="1" applyAlignment="1">
      <alignment horizontal="left" indent="4"/>
    </xf>
    <xf numFmtId="168" fontId="23" fillId="0" borderId="0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3"/>
    </xf>
    <xf numFmtId="4" fontId="21" fillId="0" borderId="11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2"/>
    </xf>
    <xf numFmtId="168" fontId="21" fillId="0" borderId="11" xfId="0" applyNumberFormat="1" applyFont="1" applyBorder="1" applyAlignment="1">
      <alignment horizontal="right" vertical="center"/>
    </xf>
    <xf numFmtId="0" fontId="21" fillId="0" borderId="12" xfId="0" applyFont="1" applyBorder="1" applyAlignment="1">
      <alignment horizontal="left" indent="1"/>
    </xf>
    <xf numFmtId="168" fontId="21" fillId="0" borderId="12" xfId="0" applyNumberFormat="1" applyFont="1" applyBorder="1" applyAlignment="1">
      <alignment horizontal="right" vertical="center"/>
    </xf>
    <xf numFmtId="0" fontId="24" fillId="0" borderId="13" xfId="0" applyFont="1" applyBorder="1" applyAlignment="1">
      <alignment horizontal="left" vertical="center"/>
    </xf>
    <xf numFmtId="168" fontId="24" fillId="0" borderId="13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indent="3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workbookViewId="0">
      <pane ySplit="5" topLeftCell="A6" activePane="bottomLeft" state="frozen"/>
      <selection pane="bottomLeft" activeCell="G16" sqref="G16"/>
    </sheetView>
  </sheetViews>
  <sheetFormatPr baseColWidth="10" defaultRowHeight="11.25" x14ac:dyDescent="0.2"/>
  <cols>
    <col min="1" max="1" width="78.83203125" customWidth="1"/>
    <col min="2" max="2" width="21.1640625" customWidth="1"/>
  </cols>
  <sheetData>
    <row r="1" spans="1:2" ht="15.75" x14ac:dyDescent="0.25">
      <c r="A1" s="1" t="s">
        <v>0</v>
      </c>
      <c r="B1" s="1"/>
    </row>
    <row r="2" spans="1:2" ht="18" x14ac:dyDescent="0.25">
      <c r="A2" s="2" t="s">
        <v>1</v>
      </c>
      <c r="B2" s="2"/>
    </row>
    <row r="3" spans="1:2" ht="18" x14ac:dyDescent="0.25">
      <c r="A3" s="2" t="s">
        <v>2</v>
      </c>
      <c r="B3" s="2"/>
    </row>
    <row r="4" spans="1:2" x14ac:dyDescent="0.2">
      <c r="A4" s="3" t="s">
        <v>3</v>
      </c>
      <c r="B4" s="4" t="s">
        <v>4</v>
      </c>
    </row>
    <row r="5" spans="1:2" x14ac:dyDescent="0.2">
      <c r="A5" s="3" t="s">
        <v>3</v>
      </c>
      <c r="B5" s="4" t="s">
        <v>5</v>
      </c>
    </row>
    <row r="6" spans="1:2" ht="12.75" x14ac:dyDescent="0.2">
      <c r="A6" s="5" t="s">
        <v>6</v>
      </c>
      <c r="B6" s="6"/>
    </row>
    <row r="7" spans="1:2" x14ac:dyDescent="0.2">
      <c r="A7" s="7"/>
      <c r="B7" s="8"/>
    </row>
    <row r="8" spans="1:2" ht="12" x14ac:dyDescent="0.2">
      <c r="A8" s="9" t="s">
        <v>7</v>
      </c>
      <c r="B8" s="10"/>
    </row>
    <row r="9" spans="1:2" x14ac:dyDescent="0.2">
      <c r="A9" s="11" t="s">
        <v>8</v>
      </c>
      <c r="B9" s="8"/>
    </row>
    <row r="10" spans="1:2" x14ac:dyDescent="0.2">
      <c r="A10" s="12" t="s">
        <v>9</v>
      </c>
      <c r="B10" s="8"/>
    </row>
    <row r="11" spans="1:2" x14ac:dyDescent="0.2">
      <c r="A11" s="13" t="s">
        <v>10</v>
      </c>
      <c r="B11" s="14">
        <v>2361.5</v>
      </c>
    </row>
    <row r="12" spans="1:2" x14ac:dyDescent="0.2">
      <c r="A12" s="15" t="s">
        <v>11</v>
      </c>
      <c r="B12" s="16">
        <f>SUM(B11)</f>
        <v>2361.5</v>
      </c>
    </row>
    <row r="13" spans="1:2" x14ac:dyDescent="0.2">
      <c r="A13" s="17" t="s">
        <v>12</v>
      </c>
      <c r="B13" s="18">
        <f>0+0+0+0+0+B12+0</f>
        <v>2361.5</v>
      </c>
    </row>
    <row r="14" spans="1:2" x14ac:dyDescent="0.2">
      <c r="A14" s="11" t="s">
        <v>13</v>
      </c>
      <c r="B14" s="8"/>
    </row>
    <row r="15" spans="1:2" x14ac:dyDescent="0.2">
      <c r="A15" s="12" t="s">
        <v>14</v>
      </c>
      <c r="B15" s="8"/>
    </row>
    <row r="16" spans="1:2" x14ac:dyDescent="0.2">
      <c r="A16" s="13" t="s">
        <v>15</v>
      </c>
      <c r="B16" s="14">
        <v>-385.74</v>
      </c>
    </row>
    <row r="17" spans="1:2" x14ac:dyDescent="0.2">
      <c r="A17" s="15" t="s">
        <v>16</v>
      </c>
      <c r="B17" s="16">
        <f>SUM(B16)</f>
        <v>-385.74</v>
      </c>
    </row>
    <row r="18" spans="1:2" x14ac:dyDescent="0.2">
      <c r="A18" s="17" t="s">
        <v>17</v>
      </c>
      <c r="B18" s="18">
        <f>0+0+0+0+0+B17</f>
        <v>-385.74</v>
      </c>
    </row>
    <row r="19" spans="1:2" x14ac:dyDescent="0.2">
      <c r="A19" s="11" t="s">
        <v>18</v>
      </c>
      <c r="B19" s="8"/>
    </row>
    <row r="20" spans="1:2" x14ac:dyDescent="0.2">
      <c r="A20" s="12" t="s">
        <v>19</v>
      </c>
      <c r="B20" s="8"/>
    </row>
    <row r="21" spans="1:2" x14ac:dyDescent="0.2">
      <c r="A21" s="13" t="s">
        <v>20</v>
      </c>
      <c r="B21" s="14">
        <v>46702.720000000001</v>
      </c>
    </row>
    <row r="22" spans="1:2" x14ac:dyDescent="0.2">
      <c r="A22" s="15" t="s">
        <v>21</v>
      </c>
      <c r="B22" s="18">
        <f>SUM(B21)</f>
        <v>46702.720000000001</v>
      </c>
    </row>
    <row r="23" spans="1:2" x14ac:dyDescent="0.2">
      <c r="A23" s="17" t="s">
        <v>22</v>
      </c>
      <c r="B23" s="18">
        <f>0+0+B22</f>
        <v>46702.720000000001</v>
      </c>
    </row>
    <row r="24" spans="1:2" x14ac:dyDescent="0.2">
      <c r="A24" s="19" t="s">
        <v>23</v>
      </c>
      <c r="B24" s="20">
        <f>B13+B18+0+B23</f>
        <v>48678.48</v>
      </c>
    </row>
    <row r="25" spans="1:2" ht="12" thickBot="1" x14ac:dyDescent="0.25">
      <c r="A25" s="7"/>
      <c r="B25" s="8"/>
    </row>
    <row r="26" spans="1:2" ht="12.75" thickTop="1" x14ac:dyDescent="0.2">
      <c r="A26" s="21" t="s">
        <v>24</v>
      </c>
      <c r="B26" s="22">
        <f>0+B7+B24+B25+0+0</f>
        <v>48678.48</v>
      </c>
    </row>
    <row r="27" spans="1:2" x14ac:dyDescent="0.2">
      <c r="A27" s="23"/>
      <c r="B27" s="8"/>
    </row>
    <row r="28" spans="1:2" ht="12.75" x14ac:dyDescent="0.2">
      <c r="A28" s="5" t="s">
        <v>25</v>
      </c>
      <c r="B28" s="6"/>
    </row>
    <row r="29" spans="1:2" ht="12" x14ac:dyDescent="0.2">
      <c r="A29" s="9" t="s">
        <v>26</v>
      </c>
      <c r="B29" s="10"/>
    </row>
    <row r="30" spans="1:2" x14ac:dyDescent="0.2">
      <c r="A30" s="11" t="s">
        <v>27</v>
      </c>
      <c r="B30" s="8"/>
    </row>
    <row r="31" spans="1:2" x14ac:dyDescent="0.2">
      <c r="A31" s="24" t="s">
        <v>28</v>
      </c>
      <c r="B31" s="14">
        <v>2500</v>
      </c>
    </row>
    <row r="32" spans="1:2" x14ac:dyDescent="0.2">
      <c r="A32" s="17" t="s">
        <v>29</v>
      </c>
      <c r="B32" s="18">
        <f>SUM(B31)</f>
        <v>2500</v>
      </c>
    </row>
    <row r="33" spans="1:2" x14ac:dyDescent="0.2">
      <c r="A33" s="17" t="s">
        <v>30</v>
      </c>
      <c r="B33" s="18">
        <f>41957.87-B34</f>
        <v>0</v>
      </c>
    </row>
    <row r="34" spans="1:2" x14ac:dyDescent="0.2">
      <c r="A34" s="11" t="s">
        <v>31</v>
      </c>
      <c r="B34" s="14">
        <v>41957.87</v>
      </c>
    </row>
    <row r="35" spans="1:2" x14ac:dyDescent="0.2">
      <c r="A35" s="19" t="s">
        <v>32</v>
      </c>
      <c r="B35" s="20">
        <f>B32+0+0+B33+0+B34</f>
        <v>44457.87</v>
      </c>
    </row>
    <row r="36" spans="1:2" x14ac:dyDescent="0.2">
      <c r="A36" s="7"/>
      <c r="B36" s="8"/>
    </row>
    <row r="37" spans="1:2" ht="12" x14ac:dyDescent="0.2">
      <c r="A37" s="9" t="s">
        <v>33</v>
      </c>
      <c r="B37" s="10"/>
    </row>
    <row r="38" spans="1:2" x14ac:dyDescent="0.2">
      <c r="A38" s="11" t="s">
        <v>34</v>
      </c>
      <c r="B38" s="8"/>
    </row>
    <row r="39" spans="1:2" x14ac:dyDescent="0.2">
      <c r="A39" s="24" t="s">
        <v>35</v>
      </c>
      <c r="B39" s="14">
        <v>1512</v>
      </c>
    </row>
    <row r="40" spans="1:2" x14ac:dyDescent="0.2">
      <c r="A40" s="17" t="s">
        <v>36</v>
      </c>
      <c r="B40" s="18">
        <f>SUM(B39)</f>
        <v>1512</v>
      </c>
    </row>
    <row r="41" spans="1:2" x14ac:dyDescent="0.2">
      <c r="A41" s="19" t="s">
        <v>37</v>
      </c>
      <c r="B41" s="20">
        <f>0+0+B40</f>
        <v>1512</v>
      </c>
    </row>
    <row r="42" spans="1:2" x14ac:dyDescent="0.2">
      <c r="A42" s="7"/>
      <c r="B42" s="8"/>
    </row>
    <row r="43" spans="1:2" ht="12" x14ac:dyDescent="0.2">
      <c r="A43" s="9" t="s">
        <v>38</v>
      </c>
      <c r="B43" s="10"/>
    </row>
    <row r="44" spans="1:2" x14ac:dyDescent="0.2">
      <c r="A44" s="11" t="s">
        <v>39</v>
      </c>
      <c r="B44" s="8"/>
    </row>
    <row r="45" spans="1:2" x14ac:dyDescent="0.2">
      <c r="A45" s="24" t="s">
        <v>40</v>
      </c>
      <c r="B45" s="14">
        <v>384.56</v>
      </c>
    </row>
    <row r="46" spans="1:2" x14ac:dyDescent="0.2">
      <c r="A46" s="17" t="s">
        <v>41</v>
      </c>
      <c r="B46" s="18">
        <f>SUM(B45)</f>
        <v>384.56</v>
      </c>
    </row>
    <row r="47" spans="1:2" x14ac:dyDescent="0.2">
      <c r="A47" s="11" t="s">
        <v>42</v>
      </c>
      <c r="B47" s="8"/>
    </row>
    <row r="48" spans="1:2" x14ac:dyDescent="0.2">
      <c r="A48" s="24" t="s">
        <v>43</v>
      </c>
      <c r="B48" s="14">
        <v>-76.91</v>
      </c>
    </row>
    <row r="49" spans="1:2" x14ac:dyDescent="0.2">
      <c r="A49" s="24" t="s">
        <v>44</v>
      </c>
      <c r="B49" s="14">
        <v>750</v>
      </c>
    </row>
    <row r="50" spans="1:2" x14ac:dyDescent="0.2">
      <c r="A50" s="24" t="s">
        <v>45</v>
      </c>
      <c r="B50" s="14">
        <v>250</v>
      </c>
    </row>
    <row r="51" spans="1:2" x14ac:dyDescent="0.2">
      <c r="A51" s="24" t="s">
        <v>46</v>
      </c>
      <c r="B51" s="14">
        <v>575.96</v>
      </c>
    </row>
    <row r="52" spans="1:2" x14ac:dyDescent="0.2">
      <c r="A52" s="24" t="s">
        <v>47</v>
      </c>
      <c r="B52" s="14">
        <v>825</v>
      </c>
    </row>
    <row r="53" spans="1:2" x14ac:dyDescent="0.2">
      <c r="A53" s="17" t="s">
        <v>48</v>
      </c>
      <c r="B53" s="18">
        <f>SUM(B48:B52)</f>
        <v>2324.0500000000002</v>
      </c>
    </row>
    <row r="54" spans="1:2" x14ac:dyDescent="0.2">
      <c r="A54" s="19" t="s">
        <v>49</v>
      </c>
      <c r="B54" s="20">
        <f>0+0+0+B46+0+0+0+B53</f>
        <v>2708.61</v>
      </c>
    </row>
    <row r="55" spans="1:2" x14ac:dyDescent="0.2">
      <c r="A55" s="7"/>
      <c r="B55" s="8"/>
    </row>
    <row r="56" spans="1:2" ht="12" thickBot="1" x14ac:dyDescent="0.25">
      <c r="A56" s="7"/>
      <c r="B56" s="8"/>
    </row>
    <row r="57" spans="1:2" ht="12.75" thickTop="1" x14ac:dyDescent="0.2">
      <c r="A57" s="21" t="s">
        <v>50</v>
      </c>
      <c r="B57" s="22">
        <f>B35+B36+B41+B42+B54+B55+0+B56+0</f>
        <v>48678.48</v>
      </c>
    </row>
  </sheetData>
  <mergeCells count="3">
    <mergeCell ref="A1:B1"/>
    <mergeCell ref="A2:B2"/>
    <mergeCell ref="A3:B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PGBalanceSheetbyEntityand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2023-08-08T18:35:20Z</dcterms:created>
  <dcterms:modified xsi:type="dcterms:W3CDTF">2023-08-08T18:36:05Z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