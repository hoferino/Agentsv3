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CH\"/>
    </mc:Choice>
  </mc:AlternateContent>
  <xr:revisionPtr revIDLastSave="0" documentId="13_ncr:40009_{2A485EC7-59F4-49B2-9822-50519A00A226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G92" i="1"/>
  <c r="F92" i="1"/>
  <c r="E92" i="1"/>
  <c r="D92" i="1"/>
  <c r="C92" i="1"/>
  <c r="B92" i="1"/>
  <c r="I87" i="1"/>
  <c r="H87" i="1"/>
  <c r="G87" i="1"/>
  <c r="F87" i="1"/>
  <c r="E87" i="1"/>
  <c r="D87" i="1"/>
  <c r="C87" i="1"/>
  <c r="B87" i="1"/>
  <c r="I76" i="1"/>
  <c r="H76" i="1"/>
  <c r="G76" i="1"/>
  <c r="F76" i="1"/>
  <c r="E76" i="1"/>
  <c r="D76" i="1"/>
  <c r="C76" i="1"/>
  <c r="B76" i="1"/>
  <c r="I73" i="1"/>
  <c r="H73" i="1"/>
  <c r="G73" i="1"/>
  <c r="F73" i="1"/>
  <c r="E73" i="1"/>
  <c r="D73" i="1"/>
  <c r="C73" i="1"/>
  <c r="B73" i="1"/>
  <c r="I69" i="1"/>
  <c r="H69" i="1"/>
  <c r="G69" i="1"/>
  <c r="G88" i="1" s="1"/>
  <c r="F69" i="1"/>
  <c r="F88" i="1" s="1"/>
  <c r="E69" i="1"/>
  <c r="D69" i="1"/>
  <c r="C69" i="1"/>
  <c r="B69" i="1"/>
  <c r="I63" i="1"/>
  <c r="I64" i="1" s="1"/>
  <c r="H63" i="1"/>
  <c r="H64" i="1" s="1"/>
  <c r="G63" i="1"/>
  <c r="G64" i="1" s="1"/>
  <c r="F63" i="1"/>
  <c r="F64" i="1" s="1"/>
  <c r="E63" i="1"/>
  <c r="E64" i="1" s="1"/>
  <c r="D63" i="1"/>
  <c r="D64" i="1" s="1"/>
  <c r="C63" i="1"/>
  <c r="C64" i="1" s="1"/>
  <c r="B63" i="1"/>
  <c r="B64" i="1" s="1"/>
  <c r="I55" i="1"/>
  <c r="H55" i="1"/>
  <c r="G55" i="1"/>
  <c r="F55" i="1"/>
  <c r="E55" i="1"/>
  <c r="D55" i="1"/>
  <c r="C55" i="1"/>
  <c r="B55" i="1"/>
  <c r="I54" i="1"/>
  <c r="I57" i="1" s="1"/>
  <c r="H54" i="1"/>
  <c r="H57" i="1" s="1"/>
  <c r="G54" i="1"/>
  <c r="G57" i="1" s="1"/>
  <c r="G94" i="1" s="1"/>
  <c r="F54" i="1"/>
  <c r="F57" i="1" s="1"/>
  <c r="F94" i="1" s="1"/>
  <c r="E54" i="1"/>
  <c r="D54" i="1"/>
  <c r="C54" i="1"/>
  <c r="C57" i="1" s="1"/>
  <c r="B54" i="1"/>
  <c r="B57" i="1" s="1"/>
  <c r="I47" i="1"/>
  <c r="H47" i="1"/>
  <c r="G47" i="1"/>
  <c r="F47" i="1"/>
  <c r="E47" i="1"/>
  <c r="D47" i="1"/>
  <c r="C47" i="1"/>
  <c r="B47" i="1"/>
  <c r="I41" i="1"/>
  <c r="I42" i="1" s="1"/>
  <c r="H41" i="1"/>
  <c r="H42" i="1" s="1"/>
  <c r="G41" i="1"/>
  <c r="G42" i="1" s="1"/>
  <c r="F41" i="1"/>
  <c r="F42" i="1" s="1"/>
  <c r="E41" i="1"/>
  <c r="E42" i="1" s="1"/>
  <c r="D41" i="1"/>
  <c r="D42" i="1" s="1"/>
  <c r="C41" i="1"/>
  <c r="C42" i="1" s="1"/>
  <c r="B41" i="1"/>
  <c r="B42" i="1" s="1"/>
  <c r="I36" i="1"/>
  <c r="I37" i="1" s="1"/>
  <c r="H36" i="1"/>
  <c r="H37" i="1" s="1"/>
  <c r="G36" i="1"/>
  <c r="G37" i="1" s="1"/>
  <c r="F36" i="1"/>
  <c r="F37" i="1" s="1"/>
  <c r="E36" i="1"/>
  <c r="E37" i="1" s="1"/>
  <c r="D36" i="1"/>
  <c r="D37" i="1" s="1"/>
  <c r="C36" i="1"/>
  <c r="C37" i="1" s="1"/>
  <c r="B36" i="1"/>
  <c r="B37" i="1" s="1"/>
  <c r="I31" i="1"/>
  <c r="H31" i="1"/>
  <c r="G31" i="1"/>
  <c r="F31" i="1"/>
  <c r="E31" i="1"/>
  <c r="D31" i="1"/>
  <c r="C31" i="1"/>
  <c r="B31" i="1"/>
  <c r="I24" i="1"/>
  <c r="H24" i="1"/>
  <c r="G24" i="1"/>
  <c r="F24" i="1"/>
  <c r="E24" i="1"/>
  <c r="D24" i="1"/>
  <c r="C24" i="1"/>
  <c r="B24" i="1"/>
  <c r="I21" i="1"/>
  <c r="I32" i="1" s="1"/>
  <c r="I43" i="1" s="1"/>
  <c r="H21" i="1"/>
  <c r="H32" i="1" s="1"/>
  <c r="H43" i="1" s="1"/>
  <c r="G21" i="1"/>
  <c r="G32" i="1" s="1"/>
  <c r="F21" i="1"/>
  <c r="F32" i="1" s="1"/>
  <c r="F43" i="1" s="1"/>
  <c r="E21" i="1"/>
  <c r="E32" i="1" s="1"/>
  <c r="E43" i="1" s="1"/>
  <c r="D21" i="1"/>
  <c r="C21" i="1"/>
  <c r="C32" i="1" s="1"/>
  <c r="C43" i="1" s="1"/>
  <c r="B21" i="1"/>
  <c r="B32" i="1" s="1"/>
  <c r="I12" i="1"/>
  <c r="I13" i="1" s="1"/>
  <c r="I14" i="1" s="1"/>
  <c r="I48" i="1" s="1"/>
  <c r="H12" i="1"/>
  <c r="H13" i="1" s="1"/>
  <c r="H14" i="1" s="1"/>
  <c r="G12" i="1"/>
  <c r="G13" i="1" s="1"/>
  <c r="G14" i="1" s="1"/>
  <c r="F12" i="1"/>
  <c r="F13" i="1" s="1"/>
  <c r="F14" i="1" s="1"/>
  <c r="F48" i="1" s="1"/>
  <c r="E12" i="1"/>
  <c r="E13" i="1" s="1"/>
  <c r="E14" i="1" s="1"/>
  <c r="D12" i="1"/>
  <c r="D13" i="1" s="1"/>
  <c r="D14" i="1" s="1"/>
  <c r="C12" i="1"/>
  <c r="C13" i="1" s="1"/>
  <c r="C14" i="1" s="1"/>
  <c r="B12" i="1"/>
  <c r="B13" i="1" s="1"/>
  <c r="B14" i="1" s="1"/>
  <c r="B88" i="1" l="1"/>
  <c r="B94" i="1" s="1"/>
  <c r="E48" i="1"/>
  <c r="H48" i="1"/>
  <c r="G43" i="1"/>
  <c r="G48" i="1" s="1"/>
  <c r="H88" i="1"/>
  <c r="H94" i="1" s="1"/>
  <c r="I88" i="1"/>
  <c r="I94" i="1" s="1"/>
  <c r="D32" i="1"/>
  <c r="D43" i="1" s="1"/>
  <c r="D48" i="1" s="1"/>
  <c r="E88" i="1"/>
  <c r="C48" i="1"/>
  <c r="E57" i="1"/>
  <c r="C88" i="1"/>
  <c r="C94" i="1" s="1"/>
  <c r="D57" i="1"/>
  <c r="D88" i="1"/>
  <c r="B43" i="1"/>
  <c r="B48" i="1" s="1"/>
  <c r="E94" i="1" l="1"/>
  <c r="D94" i="1"/>
</calcChain>
</file>

<file path=xl/sharedStrings.xml><?xml version="1.0" encoding="utf-8"?>
<sst xmlns="http://schemas.openxmlformats.org/spreadsheetml/2006/main" count="103" uniqueCount="95">
  <si>
    <t>Firma : PROMATIS AG</t>
  </si>
  <si>
    <t>PG Balance Sheet by Entity and Month/Quarter/Year</t>
  </si>
  <si>
    <t>End of Dez 2023</t>
  </si>
  <si>
    <t> 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</si>
  <si>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</si>
  <si>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</si>
  <si>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</si>
  <si>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</si>
  <si>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</si>
  <si>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</si>
  <si>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</si>
  <si>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</si>
  <si>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As of Dez 2023</t>
  </si>
  <si>
    <t>ASSETS</t>
  </si>
  <si>
    <t>A. Fixed assets</t>
  </si>
  <si>
    <t>II. Tangible assets</t>
  </si>
  <si>
    <t>3. Other equipment, operating and office equipment</t>
  </si>
  <si>
    <t>063000 - Operating equipment</t>
  </si>
  <si>
    <t>063500 - Office equipment</t>
  </si>
  <si>
    <t>Total Other equipment, operating and office equipment</t>
  </si>
  <si>
    <t>Total Tangible assets</t>
  </si>
  <si>
    <t>Total Fixed assets</t>
  </si>
  <si>
    <t>B. Current assets</t>
  </si>
  <si>
    <t>II. Trade receivables and other receivables</t>
  </si>
  <si>
    <t>1. Trade receivables</t>
  </si>
  <si>
    <t>120100 - Trade receivables</t>
  </si>
  <si>
    <t>124800 - Global valuation allowance on receivables due within 1 year</t>
  </si>
  <si>
    <t>Total Trade receivables</t>
  </si>
  <si>
    <t>2. Receivables from affiliated companies</t>
  </si>
  <si>
    <t>126000 - Receivables from affiliated companies</t>
  </si>
  <si>
    <t>Total Receivables from affiliated companies</t>
  </si>
  <si>
    <t>6. Other receivables and other assets</t>
  </si>
  <si>
    <t>135000 - Security deposits</t>
  </si>
  <si>
    <t>138200 - Assets to settle obligations comp. to post-employ. benefits</t>
  </si>
  <si>
    <t>138300 - Assets for offset. with obligatoins under s. 246(2) HGB</t>
  </si>
  <si>
    <t>145600 - Receivables from tax authorities</t>
  </si>
  <si>
    <t>145700 - Receivables from Bundesagentur für Arbeit</t>
  </si>
  <si>
    <t>Total Other receivables and other assets</t>
  </si>
  <si>
    <t>Total Trade receivables and other receivables</t>
  </si>
  <si>
    <t>III. Securities</t>
  </si>
  <si>
    <t>2. Other securities</t>
  </si>
  <si>
    <t>152500 - Other securities subject to immaterial changes in value</t>
  </si>
  <si>
    <t>Total Other securities</t>
  </si>
  <si>
    <t>Total Securities</t>
  </si>
  <si>
    <t>IV. Cash-in-hand, central / bank balances and cheques</t>
  </si>
  <si>
    <t>Bank</t>
  </si>
  <si>
    <t>180091 - ZKB 1100-6026.364 - PROMATIS CH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</si>
  <si>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</si>
  <si>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</si>
  <si>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</si>
  <si>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</si>
  <si>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</si>
  <si>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</si>
  <si>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</si>
  <si>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</si>
  <si>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</si>
  <si>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</si>
  <si>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</si>
  <si>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</si>
  <si>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</si>
  <si>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</si>
  <si>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</si>
  <si>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</si>
  <si>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</si>
  <si>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302000 - Provisions for taxes</t>
  </si>
  <si>
    <t>304000 - Provision for corporate income tax</t>
  </si>
  <si>
    <t>Total Provision for taxes</t>
  </si>
  <si>
    <t>Total Provisions</t>
  </si>
  <si>
    <t>C. Liabilities</t>
  </si>
  <si>
    <t>3. Payments received on account of purchase orders</t>
  </si>
  <si>
    <t>325000 - Payments received on account of orders (liabilities)</t>
  </si>
  <si>
    <t>Total Payments received on account of purchase orders</t>
  </si>
  <si>
    <t>4. Trade payables</t>
  </si>
  <si>
    <t>330000 - Trade payables</t>
  </si>
  <si>
    <t>330100 - Trade payables starting with 2016</t>
  </si>
  <si>
    <t>Total Trade payables</t>
  </si>
  <si>
    <t>6. Liabilities to affiliated companies</t>
  </si>
  <si>
    <t>340101 - Liabilities ag. PROMATIS software GmbH</t>
  </si>
  <si>
    <t>Total Liabilities to affiliated companies</t>
  </si>
  <si>
    <t>8. Other liabilities</t>
  </si>
  <si>
    <t>140600 - VAT on Purchases</t>
  </si>
  <si>
    <t>146000 - Cash in Transit</t>
  </si>
  <si>
    <t>361000 - Credit card settlements</t>
  </si>
  <si>
    <t>370000 - Liabilities from taxes and levies</t>
  </si>
  <si>
    <t>370100 - Liabilities from taxes and levies - due within 1 year</t>
  </si>
  <si>
    <t>372000 - Payroll liabilities</t>
  </si>
  <si>
    <t>380600 - VAT - standard rate</t>
  </si>
  <si>
    <t>382000 - VAT prepayments</t>
  </si>
  <si>
    <t>383200 - Back taxes, VAT return line 65</t>
  </si>
  <si>
    <t>Total Other liabilities</t>
  </si>
  <si>
    <t>Total Liabilities</t>
  </si>
  <si>
    <t>D. Deferred income</t>
  </si>
  <si>
    <t>390000 - Deferred Income - manual booking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</si>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</sst>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SFr.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b/>
      <sz val="9"/>
      <color indexed="56"/>
      <name val="Arial"/>
    </font>
    <font>
      <sz val="8"/>
      <color indexed="8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horizontal="left" indent="1"/>
    </xf>
    <xf numFmtId="168" fontId="23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4" fillId="0" borderId="0" xfId="0" applyFont="1" applyBorder="1" applyAlignment="1">
      <alignment horizontal="left" indent="4"/>
    </xf>
    <xf numFmtId="4" fontId="24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zoomScale="115" zoomScaleNormal="115" workbookViewId="0">
      <selection sqref="A1:XFD1"/>
    </sheetView>
  </sheetViews>
  <sheetFormatPr baseColWidth="10" defaultRowHeight="11.25" x14ac:dyDescent="0.2"/>
  <cols>
    <col min="1" max="1" width="64.83203125" bestFit="1" customWidth="1"/>
    <col min="2" max="9" width="21.5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ht="12.75" x14ac:dyDescent="0.2">
      <c r="A6" s="5" t="s">
        <v>13</v>
      </c>
      <c r="B6" s="6"/>
      <c r="C6" s="6"/>
      <c r="D6" s="6"/>
      <c r="E6" s="6"/>
      <c r="F6" s="6"/>
      <c r="G6" s="6"/>
      <c r="H6" s="6"/>
      <c r="I6" s="6"/>
    </row>
    <row r="7" spans="1:9" ht="12" x14ac:dyDescent="0.2">
      <c r="A7" s="7" t="s">
        <v>14</v>
      </c>
      <c r="B7" s="8"/>
      <c r="C7" s="8"/>
      <c r="D7" s="8"/>
      <c r="E7" s="8"/>
      <c r="F7" s="8"/>
      <c r="G7" s="8"/>
      <c r="H7" s="8"/>
      <c r="I7" s="8"/>
    </row>
    <row r="8" spans="1:9" x14ac:dyDescent="0.2">
      <c r="A8" s="9" t="s">
        <v>15</v>
      </c>
      <c r="B8" s="10">
        <v>1290</v>
      </c>
      <c r="C8" s="10">
        <v>774</v>
      </c>
      <c r="D8" s="10">
        <v>258</v>
      </c>
      <c r="E8" s="10">
        <v>0</v>
      </c>
      <c r="F8" s="10">
        <v>1720</v>
      </c>
      <c r="G8" s="10">
        <v>0</v>
      </c>
      <c r="H8" s="10">
        <v>0</v>
      </c>
      <c r="I8" s="10">
        <v>0</v>
      </c>
    </row>
    <row r="9" spans="1:9" hidden="1" x14ac:dyDescent="0.2">
      <c r="A9" s="11" t="s">
        <v>16</v>
      </c>
      <c r="B9" s="10"/>
      <c r="C9" s="10"/>
      <c r="D9" s="10"/>
      <c r="E9" s="10"/>
      <c r="F9" s="10"/>
      <c r="G9" s="10"/>
      <c r="H9" s="10"/>
      <c r="I9" s="10"/>
    </row>
    <row r="10" spans="1:9" hidden="1" x14ac:dyDescent="0.2">
      <c r="A10" s="12" t="s">
        <v>17</v>
      </c>
      <c r="B10" s="13">
        <v>1290</v>
      </c>
      <c r="C10" s="13">
        <v>774</v>
      </c>
      <c r="D10" s="13">
        <v>258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idden="1" x14ac:dyDescent="0.2">
      <c r="A11" s="12" t="s">
        <v>18</v>
      </c>
      <c r="B11" s="13">
        <v>0</v>
      </c>
      <c r="C11" s="13">
        <v>0</v>
      </c>
      <c r="D11" s="13">
        <v>0</v>
      </c>
      <c r="E11" s="13">
        <v>0</v>
      </c>
      <c r="F11" s="13">
        <v>1720</v>
      </c>
      <c r="G11" s="13">
        <v>0</v>
      </c>
      <c r="H11" s="13">
        <v>0</v>
      </c>
      <c r="I11" s="13">
        <v>0</v>
      </c>
    </row>
    <row r="12" spans="1:9" hidden="1" x14ac:dyDescent="0.2">
      <c r="A12" s="14" t="s">
        <v>19</v>
      </c>
      <c r="B12" s="15">
        <f t="shared" ref="B12:I12" si="0">SUM(B10:B11)</f>
        <v>1290</v>
      </c>
      <c r="C12" s="15">
        <f t="shared" si="0"/>
        <v>774</v>
      </c>
      <c r="D12" s="15">
        <f t="shared" si="0"/>
        <v>258</v>
      </c>
      <c r="E12" s="15">
        <f t="shared" si="0"/>
        <v>0</v>
      </c>
      <c r="F12" s="15">
        <f t="shared" si="0"/>
        <v>1720</v>
      </c>
      <c r="G12" s="15">
        <f t="shared" si="0"/>
        <v>0</v>
      </c>
      <c r="H12" s="15">
        <f t="shared" si="0"/>
        <v>0</v>
      </c>
      <c r="I12" s="15">
        <f t="shared" si="0"/>
        <v>0</v>
      </c>
    </row>
    <row r="13" spans="1:9" hidden="1" x14ac:dyDescent="0.2">
      <c r="A13" s="16" t="s">
        <v>20</v>
      </c>
      <c r="B13" s="17">
        <f t="shared" ref="B13:I13" si="1">0+0+B12+0</f>
        <v>1290</v>
      </c>
      <c r="C13" s="17">
        <f t="shared" si="1"/>
        <v>774</v>
      </c>
      <c r="D13" s="17">
        <f t="shared" si="1"/>
        <v>258</v>
      </c>
      <c r="E13" s="17">
        <f t="shared" si="1"/>
        <v>0</v>
      </c>
      <c r="F13" s="17">
        <f t="shared" si="1"/>
        <v>1720</v>
      </c>
      <c r="G13" s="17">
        <f t="shared" si="1"/>
        <v>0</v>
      </c>
      <c r="H13" s="17">
        <f t="shared" si="1"/>
        <v>0</v>
      </c>
      <c r="I13" s="17">
        <f t="shared" si="1"/>
        <v>0</v>
      </c>
    </row>
    <row r="14" spans="1:9" x14ac:dyDescent="0.2">
      <c r="A14" s="18" t="s">
        <v>21</v>
      </c>
      <c r="B14" s="19">
        <f t="shared" ref="B14:I14" si="2">0+B13+0</f>
        <v>1290</v>
      </c>
      <c r="C14" s="19">
        <f t="shared" si="2"/>
        <v>774</v>
      </c>
      <c r="D14" s="19">
        <f t="shared" si="2"/>
        <v>258</v>
      </c>
      <c r="E14" s="19">
        <f t="shared" si="2"/>
        <v>0</v>
      </c>
      <c r="F14" s="19">
        <f t="shared" si="2"/>
        <v>1720</v>
      </c>
      <c r="G14" s="19">
        <f t="shared" si="2"/>
        <v>0</v>
      </c>
      <c r="H14" s="19">
        <f t="shared" si="2"/>
        <v>0</v>
      </c>
      <c r="I14" s="19">
        <f t="shared" si="2"/>
        <v>0</v>
      </c>
    </row>
    <row r="15" spans="1:9" x14ac:dyDescent="0.2">
      <c r="A15" s="20"/>
      <c r="B15" s="10"/>
      <c r="C15" s="10"/>
      <c r="D15" s="10"/>
      <c r="E15" s="10"/>
      <c r="F15" s="10"/>
      <c r="G15" s="10"/>
      <c r="H15" s="10"/>
      <c r="I15" s="10"/>
    </row>
    <row r="16" spans="1:9" ht="12" x14ac:dyDescent="0.2">
      <c r="A16" s="7" t="s">
        <v>22</v>
      </c>
      <c r="B16" s="8"/>
      <c r="C16" s="8"/>
      <c r="D16" s="8"/>
      <c r="E16" s="8"/>
      <c r="F16" s="8"/>
      <c r="G16" s="8"/>
      <c r="H16" s="8"/>
      <c r="I16" s="8"/>
    </row>
    <row r="17" spans="1:9" x14ac:dyDescent="0.2">
      <c r="A17" s="9" t="s">
        <v>23</v>
      </c>
      <c r="B17" s="10">
        <v>40757</v>
      </c>
      <c r="C17" s="10">
        <v>10868.76</v>
      </c>
      <c r="D17" s="10">
        <v>64889.41</v>
      </c>
      <c r="E17" s="10">
        <v>100177.36000000002</v>
      </c>
      <c r="F17" s="10">
        <v>24729.350000000009</v>
      </c>
      <c r="G17" s="10">
        <v>119610.45000000001</v>
      </c>
      <c r="H17" s="10">
        <v>652948.65999999992</v>
      </c>
      <c r="I17" s="10">
        <v>346516.64999999997</v>
      </c>
    </row>
    <row r="18" spans="1:9" hidden="1" x14ac:dyDescent="0.2">
      <c r="A18" s="11" t="s">
        <v>24</v>
      </c>
      <c r="B18" s="10"/>
      <c r="C18" s="10"/>
      <c r="D18" s="10"/>
      <c r="E18" s="10"/>
      <c r="F18" s="10"/>
      <c r="G18" s="10"/>
      <c r="H18" s="10"/>
      <c r="I18" s="10"/>
    </row>
    <row r="19" spans="1:9" hidden="1" x14ac:dyDescent="0.2">
      <c r="A19" s="12" t="s">
        <v>25</v>
      </c>
      <c r="B19" s="21">
        <v>200</v>
      </c>
      <c r="C19" s="21">
        <v>-1503.24</v>
      </c>
      <c r="D19" s="21">
        <v>56017.41</v>
      </c>
      <c r="E19" s="21">
        <v>75172.960000000006</v>
      </c>
      <c r="F19" s="21">
        <v>15125.150000000009</v>
      </c>
      <c r="G19" s="21">
        <v>119610.45000000001</v>
      </c>
      <c r="H19" s="21">
        <v>687448.65999999992</v>
      </c>
      <c r="I19" s="21">
        <v>318016.68999999994</v>
      </c>
    </row>
    <row r="20" spans="1:9" hidden="1" x14ac:dyDescent="0.2">
      <c r="A20" s="12" t="s">
        <v>26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-34500</v>
      </c>
      <c r="I20" s="21">
        <v>0</v>
      </c>
    </row>
    <row r="21" spans="1:9" hidden="1" x14ac:dyDescent="0.2">
      <c r="A21" s="14" t="s">
        <v>27</v>
      </c>
      <c r="B21" s="15">
        <f t="shared" ref="B21:I21" si="3">SUM(B19:B20)</f>
        <v>200</v>
      </c>
      <c r="C21" s="15">
        <f t="shared" si="3"/>
        <v>-1503.24</v>
      </c>
      <c r="D21" s="15">
        <f t="shared" si="3"/>
        <v>56017.41</v>
      </c>
      <c r="E21" s="15">
        <f t="shared" si="3"/>
        <v>75172.960000000006</v>
      </c>
      <c r="F21" s="15">
        <f t="shared" si="3"/>
        <v>15125.150000000009</v>
      </c>
      <c r="G21" s="15">
        <f t="shared" si="3"/>
        <v>119610.45000000001</v>
      </c>
      <c r="H21" s="15">
        <f t="shared" si="3"/>
        <v>652948.65999999992</v>
      </c>
      <c r="I21" s="15">
        <f t="shared" si="3"/>
        <v>318016.68999999994</v>
      </c>
    </row>
    <row r="22" spans="1:9" hidden="1" x14ac:dyDescent="0.2">
      <c r="A22" s="11" t="s">
        <v>28</v>
      </c>
      <c r="B22" s="10"/>
      <c r="C22" s="10"/>
      <c r="D22" s="10"/>
      <c r="E22" s="10"/>
      <c r="F22" s="10"/>
      <c r="G22" s="10"/>
      <c r="H22" s="10"/>
      <c r="I22" s="10"/>
    </row>
    <row r="23" spans="1:9" hidden="1" x14ac:dyDescent="0.2">
      <c r="A23" s="12" t="s">
        <v>29</v>
      </c>
      <c r="B23" s="21">
        <v>31685</v>
      </c>
      <c r="C23" s="21">
        <v>3500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</row>
    <row r="24" spans="1:9" hidden="1" x14ac:dyDescent="0.2">
      <c r="A24" s="14" t="s">
        <v>30</v>
      </c>
      <c r="B24" s="15">
        <f t="shared" ref="B24:I24" si="4">SUM(B23)</f>
        <v>31685</v>
      </c>
      <c r="C24" s="15">
        <f t="shared" si="4"/>
        <v>3500</v>
      </c>
      <c r="D24" s="15">
        <f t="shared" si="4"/>
        <v>0</v>
      </c>
      <c r="E24" s="15">
        <f t="shared" si="4"/>
        <v>0</v>
      </c>
      <c r="F24" s="15">
        <f t="shared" si="4"/>
        <v>0</v>
      </c>
      <c r="G24" s="15">
        <f t="shared" si="4"/>
        <v>0</v>
      </c>
      <c r="H24" s="15">
        <f t="shared" si="4"/>
        <v>0</v>
      </c>
      <c r="I24" s="15">
        <f t="shared" si="4"/>
        <v>0</v>
      </c>
    </row>
    <row r="25" spans="1:9" hidden="1" x14ac:dyDescent="0.2">
      <c r="A25" s="11" t="s">
        <v>31</v>
      </c>
      <c r="B25" s="10"/>
      <c r="C25" s="10"/>
      <c r="D25" s="10"/>
      <c r="E25" s="10"/>
      <c r="F25" s="10"/>
      <c r="G25" s="10"/>
      <c r="H25" s="10"/>
      <c r="I25" s="10"/>
    </row>
    <row r="26" spans="1:9" hidden="1" x14ac:dyDescent="0.2">
      <c r="A26" s="12" t="s">
        <v>32</v>
      </c>
      <c r="B26" s="21">
        <v>8872</v>
      </c>
      <c r="C26" s="21">
        <v>8872</v>
      </c>
      <c r="D26" s="21">
        <v>8872</v>
      </c>
      <c r="E26" s="21">
        <v>8872</v>
      </c>
      <c r="F26" s="21">
        <v>8000</v>
      </c>
      <c r="G26" s="21">
        <v>0</v>
      </c>
      <c r="H26" s="21">
        <v>0</v>
      </c>
      <c r="I26" s="21">
        <v>28500</v>
      </c>
    </row>
    <row r="27" spans="1:9" hidden="1" x14ac:dyDescent="0.2">
      <c r="A27" s="12" t="s">
        <v>33</v>
      </c>
      <c r="B27" s="21">
        <v>0</v>
      </c>
      <c r="C27" s="21">
        <v>0</v>
      </c>
      <c r="D27" s="21">
        <v>0</v>
      </c>
      <c r="E27" s="21">
        <v>0</v>
      </c>
      <c r="F27" s="21">
        <v>926.75</v>
      </c>
      <c r="G27" s="21">
        <v>0</v>
      </c>
      <c r="H27" s="21">
        <v>0</v>
      </c>
      <c r="I27" s="21">
        <v>0</v>
      </c>
    </row>
    <row r="28" spans="1:9" hidden="1" x14ac:dyDescent="0.2">
      <c r="A28" s="12" t="s">
        <v>34</v>
      </c>
      <c r="B28" s="21">
        <v>0</v>
      </c>
      <c r="C28" s="21">
        <v>0</v>
      </c>
      <c r="D28" s="21">
        <v>0</v>
      </c>
      <c r="E28" s="21">
        <v>0</v>
      </c>
      <c r="F28" s="21">
        <v>677.45</v>
      </c>
      <c r="G28" s="21">
        <v>0</v>
      </c>
      <c r="H28" s="21">
        <v>0</v>
      </c>
      <c r="I28" s="21">
        <v>0</v>
      </c>
    </row>
    <row r="29" spans="1:9" hidden="1" x14ac:dyDescent="0.2">
      <c r="A29" s="12" t="s">
        <v>35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-0.04</v>
      </c>
    </row>
    <row r="30" spans="1:9" hidden="1" x14ac:dyDescent="0.2">
      <c r="A30" s="12" t="s">
        <v>36</v>
      </c>
      <c r="B30" s="21">
        <v>0</v>
      </c>
      <c r="C30" s="21">
        <v>0</v>
      </c>
      <c r="D30" s="21">
        <v>0</v>
      </c>
      <c r="E30" s="21">
        <v>16132.4</v>
      </c>
      <c r="F30" s="21">
        <v>0</v>
      </c>
      <c r="G30" s="21">
        <v>0</v>
      </c>
      <c r="H30" s="21">
        <v>0</v>
      </c>
      <c r="I30" s="21">
        <v>0</v>
      </c>
    </row>
    <row r="31" spans="1:9" hidden="1" x14ac:dyDescent="0.2">
      <c r="A31" s="14" t="s">
        <v>37</v>
      </c>
      <c r="B31" s="15">
        <f t="shared" ref="B31:I31" si="5">SUM(B26:B30)</f>
        <v>8872</v>
      </c>
      <c r="C31" s="15">
        <f t="shared" si="5"/>
        <v>8872</v>
      </c>
      <c r="D31" s="15">
        <f t="shared" si="5"/>
        <v>8872</v>
      </c>
      <c r="E31" s="15">
        <f t="shared" si="5"/>
        <v>25004.400000000001</v>
      </c>
      <c r="F31" s="15">
        <f t="shared" si="5"/>
        <v>9604.2000000000007</v>
      </c>
      <c r="G31" s="15">
        <f t="shared" si="5"/>
        <v>0</v>
      </c>
      <c r="H31" s="15">
        <f t="shared" si="5"/>
        <v>0</v>
      </c>
      <c r="I31" s="15">
        <f t="shared" si="5"/>
        <v>28499.96</v>
      </c>
    </row>
    <row r="32" spans="1:9" hidden="1" x14ac:dyDescent="0.2">
      <c r="A32" s="16" t="s">
        <v>38</v>
      </c>
      <c r="B32" s="17">
        <f t="shared" ref="B32:I32" si="6">B21+B24+0+0+0+B31</f>
        <v>40757</v>
      </c>
      <c r="C32" s="17">
        <f t="shared" si="6"/>
        <v>10868.76</v>
      </c>
      <c r="D32" s="17">
        <f t="shared" si="6"/>
        <v>64889.41</v>
      </c>
      <c r="E32" s="17">
        <f t="shared" si="6"/>
        <v>100177.36000000002</v>
      </c>
      <c r="F32" s="17">
        <f t="shared" si="6"/>
        <v>24729.350000000009</v>
      </c>
      <c r="G32" s="17">
        <f t="shared" si="6"/>
        <v>119610.45000000001</v>
      </c>
      <c r="H32" s="17">
        <f t="shared" si="6"/>
        <v>652948.65999999992</v>
      </c>
      <c r="I32" s="17">
        <f t="shared" si="6"/>
        <v>346516.64999999997</v>
      </c>
    </row>
    <row r="33" spans="1:9" x14ac:dyDescent="0.2">
      <c r="A33" s="9" t="s">
        <v>39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25739.43</v>
      </c>
    </row>
    <row r="34" spans="1:9" hidden="1" x14ac:dyDescent="0.2">
      <c r="A34" s="11" t="s">
        <v>40</v>
      </c>
      <c r="B34" s="10"/>
      <c r="C34" s="10"/>
      <c r="D34" s="10"/>
      <c r="E34" s="10"/>
      <c r="F34" s="10"/>
      <c r="G34" s="10"/>
      <c r="H34" s="10"/>
      <c r="I34" s="10"/>
    </row>
    <row r="35" spans="1:9" hidden="1" x14ac:dyDescent="0.2">
      <c r="A35" s="12" t="s">
        <v>41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25739.43</v>
      </c>
    </row>
    <row r="36" spans="1:9" hidden="1" x14ac:dyDescent="0.2">
      <c r="A36" s="14" t="s">
        <v>42</v>
      </c>
      <c r="B36" s="17">
        <f t="shared" ref="B36:I36" si="7">SUM(B35)</f>
        <v>0</v>
      </c>
      <c r="C36" s="17">
        <f t="shared" si="7"/>
        <v>0</v>
      </c>
      <c r="D36" s="17">
        <f t="shared" si="7"/>
        <v>0</v>
      </c>
      <c r="E36" s="17">
        <f t="shared" si="7"/>
        <v>0</v>
      </c>
      <c r="F36" s="17">
        <f t="shared" si="7"/>
        <v>0</v>
      </c>
      <c r="G36" s="17">
        <f t="shared" si="7"/>
        <v>0</v>
      </c>
      <c r="H36" s="17">
        <f t="shared" si="7"/>
        <v>0</v>
      </c>
      <c r="I36" s="17">
        <f t="shared" si="7"/>
        <v>25739.43</v>
      </c>
    </row>
    <row r="37" spans="1:9" hidden="1" x14ac:dyDescent="0.2">
      <c r="A37" s="16" t="s">
        <v>43</v>
      </c>
      <c r="B37" s="17">
        <f t="shared" ref="B37:I37" si="8">0+B36</f>
        <v>0</v>
      </c>
      <c r="C37" s="17">
        <f t="shared" si="8"/>
        <v>0</v>
      </c>
      <c r="D37" s="17">
        <f t="shared" si="8"/>
        <v>0</v>
      </c>
      <c r="E37" s="17">
        <f t="shared" si="8"/>
        <v>0</v>
      </c>
      <c r="F37" s="17">
        <f t="shared" si="8"/>
        <v>0</v>
      </c>
      <c r="G37" s="17">
        <f t="shared" si="8"/>
        <v>0</v>
      </c>
      <c r="H37" s="17">
        <f t="shared" si="8"/>
        <v>0</v>
      </c>
      <c r="I37" s="17">
        <f t="shared" si="8"/>
        <v>25739.43</v>
      </c>
    </row>
    <row r="38" spans="1:9" x14ac:dyDescent="0.2">
      <c r="A38" s="9" t="s">
        <v>44</v>
      </c>
      <c r="B38" s="10">
        <v>65166.720000000001</v>
      </c>
      <c r="C38" s="10">
        <v>176570.57</v>
      </c>
      <c r="D38" s="10">
        <v>56847.510000000009</v>
      </c>
      <c r="E38" s="10">
        <v>88504.74</v>
      </c>
      <c r="F38" s="10">
        <v>94637.900000000009</v>
      </c>
      <c r="G38" s="10">
        <v>79884.62000000001</v>
      </c>
      <c r="H38" s="10">
        <v>173033.58000000002</v>
      </c>
      <c r="I38" s="10">
        <v>466722.10000000003</v>
      </c>
    </row>
    <row r="39" spans="1:9" hidden="1" x14ac:dyDescent="0.2">
      <c r="A39" s="11" t="s">
        <v>45</v>
      </c>
      <c r="B39" s="10"/>
      <c r="C39" s="10"/>
      <c r="D39" s="10"/>
      <c r="E39" s="10"/>
      <c r="F39" s="10"/>
      <c r="G39" s="10"/>
      <c r="H39" s="10"/>
      <c r="I39" s="10"/>
    </row>
    <row r="40" spans="1:9" hidden="1" x14ac:dyDescent="0.2">
      <c r="A40" s="12" t="s">
        <v>46</v>
      </c>
      <c r="B40" s="21">
        <v>65166.720000000001</v>
      </c>
      <c r="C40" s="21">
        <v>176570.57</v>
      </c>
      <c r="D40" s="21">
        <v>56847.510000000009</v>
      </c>
      <c r="E40" s="21">
        <v>88504.74</v>
      </c>
      <c r="F40" s="21">
        <v>94637.900000000009</v>
      </c>
      <c r="G40" s="21">
        <v>79884.62000000001</v>
      </c>
      <c r="H40" s="21">
        <v>173033.58000000002</v>
      </c>
      <c r="I40" s="21">
        <v>466722.10000000003</v>
      </c>
    </row>
    <row r="41" spans="1:9" hidden="1" x14ac:dyDescent="0.2">
      <c r="A41" s="14" t="s">
        <v>47</v>
      </c>
      <c r="B41" s="17">
        <f t="shared" ref="B41:I41" si="9">SUM(B40)</f>
        <v>65166.720000000001</v>
      </c>
      <c r="C41" s="17">
        <f t="shared" si="9"/>
        <v>176570.57</v>
      </c>
      <c r="D41" s="17">
        <f t="shared" si="9"/>
        <v>56847.510000000009</v>
      </c>
      <c r="E41" s="17">
        <f t="shared" si="9"/>
        <v>88504.74</v>
      </c>
      <c r="F41" s="17">
        <f t="shared" si="9"/>
        <v>94637.900000000009</v>
      </c>
      <c r="G41" s="17">
        <f t="shared" si="9"/>
        <v>79884.62000000001</v>
      </c>
      <c r="H41" s="17">
        <f t="shared" si="9"/>
        <v>173033.58000000002</v>
      </c>
      <c r="I41" s="17">
        <f t="shared" si="9"/>
        <v>466722.10000000003</v>
      </c>
    </row>
    <row r="42" spans="1:9" hidden="1" x14ac:dyDescent="0.2">
      <c r="A42" s="16" t="s">
        <v>48</v>
      </c>
      <c r="B42" s="17">
        <f t="shared" ref="B42:I42" si="10">0+0+B41</f>
        <v>65166.720000000001</v>
      </c>
      <c r="C42" s="17">
        <f t="shared" si="10"/>
        <v>176570.57</v>
      </c>
      <c r="D42" s="17">
        <f t="shared" si="10"/>
        <v>56847.510000000009</v>
      </c>
      <c r="E42" s="17">
        <f t="shared" si="10"/>
        <v>88504.74</v>
      </c>
      <c r="F42" s="17">
        <f t="shared" si="10"/>
        <v>94637.900000000009</v>
      </c>
      <c r="G42" s="17">
        <f t="shared" si="10"/>
        <v>79884.62000000001</v>
      </c>
      <c r="H42" s="17">
        <f t="shared" si="10"/>
        <v>173033.58000000002</v>
      </c>
      <c r="I42" s="17">
        <f t="shared" si="10"/>
        <v>466722.10000000003</v>
      </c>
    </row>
    <row r="43" spans="1:9" x14ac:dyDescent="0.2">
      <c r="A43" s="18" t="s">
        <v>49</v>
      </c>
      <c r="B43" s="19">
        <f t="shared" ref="B43:I43" si="11">0+B32+B37+B42</f>
        <v>105923.72</v>
      </c>
      <c r="C43" s="19">
        <f t="shared" si="11"/>
        <v>187439.33000000002</v>
      </c>
      <c r="D43" s="19">
        <f t="shared" si="11"/>
        <v>121736.92000000001</v>
      </c>
      <c r="E43" s="19">
        <f t="shared" si="11"/>
        <v>188682.10000000003</v>
      </c>
      <c r="F43" s="19">
        <f t="shared" si="11"/>
        <v>119367.25000000001</v>
      </c>
      <c r="G43" s="19">
        <f t="shared" si="11"/>
        <v>199495.07</v>
      </c>
      <c r="H43" s="19">
        <f t="shared" si="11"/>
        <v>825982.24</v>
      </c>
      <c r="I43" s="19">
        <f t="shared" si="11"/>
        <v>838978.17999999993</v>
      </c>
    </row>
    <row r="44" spans="1:9" x14ac:dyDescent="0.2">
      <c r="A44" s="20"/>
      <c r="B44" s="10"/>
      <c r="C44" s="10"/>
      <c r="D44" s="10"/>
      <c r="E44" s="10"/>
      <c r="F44" s="10"/>
      <c r="G44" s="10"/>
      <c r="H44" s="10"/>
      <c r="I44" s="10"/>
    </row>
    <row r="45" spans="1:9" ht="12.75" thickBot="1" x14ac:dyDescent="0.25">
      <c r="A45" s="7" t="s">
        <v>50</v>
      </c>
      <c r="B45" s="8">
        <v>566</v>
      </c>
      <c r="C45" s="8">
        <v>0</v>
      </c>
      <c r="D45" s="8">
        <v>1248</v>
      </c>
      <c r="E45" s="8">
        <v>2787.8</v>
      </c>
      <c r="F45" s="8">
        <v>367.36000000000013</v>
      </c>
      <c r="G45" s="8">
        <v>690.00000000000011</v>
      </c>
      <c r="H45" s="8">
        <v>1.1368683772161603E-13</v>
      </c>
      <c r="I45" s="8">
        <v>1.1368683772161603E-13</v>
      </c>
    </row>
    <row r="46" spans="1:9" ht="12" hidden="1" thickBot="1" x14ac:dyDescent="0.25">
      <c r="A46" s="22" t="s">
        <v>51</v>
      </c>
      <c r="B46" s="21">
        <v>566</v>
      </c>
      <c r="C46" s="21">
        <v>0</v>
      </c>
      <c r="D46" s="21">
        <v>1248</v>
      </c>
      <c r="E46" s="21">
        <v>2787.8</v>
      </c>
      <c r="F46" s="21">
        <v>367.36000000000013</v>
      </c>
      <c r="G46" s="21">
        <v>690.00000000000011</v>
      </c>
      <c r="H46" s="21">
        <v>1.1368683772161603E-13</v>
      </c>
      <c r="I46" s="21">
        <v>1.1368683772161603E-13</v>
      </c>
    </row>
    <row r="47" spans="1:9" ht="12" hidden="1" thickBot="1" x14ac:dyDescent="0.25">
      <c r="A47" s="23" t="s">
        <v>52</v>
      </c>
      <c r="B47" s="17">
        <f t="shared" ref="B47:I47" si="12">SUM(B46)</f>
        <v>566</v>
      </c>
      <c r="C47" s="17">
        <f t="shared" si="12"/>
        <v>0</v>
      </c>
      <c r="D47" s="17">
        <f t="shared" si="12"/>
        <v>1248</v>
      </c>
      <c r="E47" s="17">
        <f t="shared" si="12"/>
        <v>2787.8</v>
      </c>
      <c r="F47" s="17">
        <f t="shared" si="12"/>
        <v>367.36000000000013</v>
      </c>
      <c r="G47" s="17">
        <f t="shared" si="12"/>
        <v>690.00000000000011</v>
      </c>
      <c r="H47" s="17">
        <f t="shared" si="12"/>
        <v>1.1368683772161603E-13</v>
      </c>
      <c r="I47" s="17">
        <f t="shared" si="12"/>
        <v>1.1368683772161603E-13</v>
      </c>
    </row>
    <row r="48" spans="1:9" ht="12.75" thickTop="1" x14ac:dyDescent="0.2">
      <c r="A48" s="24" t="s">
        <v>53</v>
      </c>
      <c r="B48" s="25">
        <f t="shared" ref="B48:I48" si="13">B14+B15+B43+B44+B47+0</f>
        <v>107779.72</v>
      </c>
      <c r="C48" s="25">
        <f t="shared" si="13"/>
        <v>188213.33000000002</v>
      </c>
      <c r="D48" s="25">
        <f t="shared" si="13"/>
        <v>123242.92000000001</v>
      </c>
      <c r="E48" s="25">
        <f t="shared" si="13"/>
        <v>191469.90000000002</v>
      </c>
      <c r="F48" s="25">
        <f t="shared" si="13"/>
        <v>121454.61000000002</v>
      </c>
      <c r="G48" s="25">
        <f t="shared" si="13"/>
        <v>200185.07</v>
      </c>
      <c r="H48" s="25">
        <f t="shared" si="13"/>
        <v>825982.24</v>
      </c>
      <c r="I48" s="25">
        <f t="shared" si="13"/>
        <v>838978.17999999993</v>
      </c>
    </row>
    <row r="49" spans="1:9" x14ac:dyDescent="0.2">
      <c r="A49" s="26"/>
      <c r="B49" s="10"/>
      <c r="C49" s="10"/>
      <c r="D49" s="10"/>
      <c r="E49" s="10"/>
      <c r="F49" s="10"/>
      <c r="G49" s="10"/>
      <c r="H49" s="10"/>
      <c r="I49" s="10"/>
    </row>
    <row r="50" spans="1:9" ht="12.75" x14ac:dyDescent="0.2">
      <c r="A50" s="5" t="s">
        <v>54</v>
      </c>
      <c r="B50" s="6"/>
      <c r="C50" s="6"/>
      <c r="D50" s="6"/>
      <c r="E50" s="6"/>
      <c r="F50" s="6"/>
      <c r="G50" s="6"/>
      <c r="H50" s="6"/>
      <c r="I50" s="6"/>
    </row>
    <row r="51" spans="1:9" ht="12" x14ac:dyDescent="0.2">
      <c r="A51" s="7" t="s">
        <v>55</v>
      </c>
      <c r="B51" s="8"/>
      <c r="C51" s="8"/>
      <c r="D51" s="8"/>
      <c r="E51" s="8"/>
      <c r="F51" s="8"/>
      <c r="G51" s="8"/>
      <c r="H51" s="8"/>
      <c r="I51" s="8"/>
    </row>
    <row r="52" spans="1:9" x14ac:dyDescent="0.2">
      <c r="A52" s="9" t="s">
        <v>56</v>
      </c>
      <c r="B52" s="10">
        <v>100000</v>
      </c>
      <c r="C52" s="10">
        <v>100000</v>
      </c>
      <c r="D52" s="10">
        <v>100000</v>
      </c>
      <c r="E52" s="10">
        <v>100000</v>
      </c>
      <c r="F52" s="10">
        <v>100000</v>
      </c>
      <c r="G52" s="10">
        <v>100000</v>
      </c>
      <c r="H52" s="10">
        <v>100000</v>
      </c>
      <c r="I52" s="10">
        <v>100000</v>
      </c>
    </row>
    <row r="53" spans="1:9" hidden="1" x14ac:dyDescent="0.2">
      <c r="A53" s="27" t="s">
        <v>57</v>
      </c>
      <c r="B53" s="21">
        <v>100000</v>
      </c>
      <c r="C53" s="21">
        <v>100000</v>
      </c>
      <c r="D53" s="21">
        <v>100000</v>
      </c>
      <c r="E53" s="21">
        <v>100000</v>
      </c>
      <c r="F53" s="21">
        <v>100000</v>
      </c>
      <c r="G53" s="21">
        <v>100000</v>
      </c>
      <c r="H53" s="21">
        <v>100000</v>
      </c>
      <c r="I53" s="21">
        <v>100000</v>
      </c>
    </row>
    <row r="54" spans="1:9" hidden="1" x14ac:dyDescent="0.2">
      <c r="A54" s="16" t="s">
        <v>58</v>
      </c>
      <c r="B54" s="17">
        <f t="shared" ref="B54:I54" si="14">SUM(B53)</f>
        <v>100000</v>
      </c>
      <c r="C54" s="17">
        <f t="shared" si="14"/>
        <v>100000</v>
      </c>
      <c r="D54" s="17">
        <f t="shared" si="14"/>
        <v>100000</v>
      </c>
      <c r="E54" s="17">
        <f t="shared" si="14"/>
        <v>100000</v>
      </c>
      <c r="F54" s="17">
        <f t="shared" si="14"/>
        <v>100000</v>
      </c>
      <c r="G54" s="17">
        <f t="shared" si="14"/>
        <v>100000</v>
      </c>
      <c r="H54" s="17">
        <f t="shared" si="14"/>
        <v>100000</v>
      </c>
      <c r="I54" s="17">
        <f t="shared" si="14"/>
        <v>100000</v>
      </c>
    </row>
    <row r="55" spans="1:9" x14ac:dyDescent="0.2">
      <c r="A55" s="16" t="s">
        <v>59</v>
      </c>
      <c r="B55" s="17">
        <f>+-5709.28-B56</f>
        <v>-5709.28</v>
      </c>
      <c r="C55" s="17">
        <f>72663.4799999999-C56</f>
        <v>72663.479999999894</v>
      </c>
      <c r="D55" s="17">
        <f>31361.4199999999-D56</f>
        <v>31361.4199999999</v>
      </c>
      <c r="E55" s="17">
        <f>+-17384.6200000001-E56</f>
        <v>-17384.620000000101</v>
      </c>
      <c r="F55" s="17">
        <f>5162.5500000002-F56</f>
        <v>5162.5500000002003</v>
      </c>
      <c r="G55" s="17">
        <f>1197.57000000005-G56</f>
        <v>1197.57000000005</v>
      </c>
      <c r="H55" s="17">
        <f>166073.08-H56</f>
        <v>166073.07999999999</v>
      </c>
      <c r="I55" s="17">
        <f>202386.9-I56</f>
        <v>244548.58000000005</v>
      </c>
    </row>
    <row r="56" spans="1:9" x14ac:dyDescent="0.2">
      <c r="A56" s="9" t="s">
        <v>60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-42161.680000000051</v>
      </c>
    </row>
    <row r="57" spans="1:9" x14ac:dyDescent="0.2">
      <c r="A57" s="18" t="s">
        <v>61</v>
      </c>
      <c r="B57" s="19">
        <f t="shared" ref="B57:I57" si="15">B54+0+0+B55+0+B56</f>
        <v>94290.72</v>
      </c>
      <c r="C57" s="19">
        <f t="shared" si="15"/>
        <v>172663.47999999989</v>
      </c>
      <c r="D57" s="19">
        <f t="shared" si="15"/>
        <v>131361.4199999999</v>
      </c>
      <c r="E57" s="19">
        <f t="shared" si="15"/>
        <v>82615.379999999903</v>
      </c>
      <c r="F57" s="19">
        <f t="shared" si="15"/>
        <v>105162.55000000021</v>
      </c>
      <c r="G57" s="19">
        <f t="shared" si="15"/>
        <v>101197.57000000005</v>
      </c>
      <c r="H57" s="19">
        <f t="shared" si="15"/>
        <v>266073.07999999996</v>
      </c>
      <c r="I57" s="19">
        <f t="shared" si="15"/>
        <v>302386.90000000002</v>
      </c>
    </row>
    <row r="58" spans="1:9" x14ac:dyDescent="0.2">
      <c r="A58" s="20"/>
      <c r="B58" s="10"/>
      <c r="C58" s="10"/>
      <c r="D58" s="10"/>
      <c r="E58" s="10"/>
      <c r="F58" s="10"/>
      <c r="G58" s="10"/>
      <c r="H58" s="10"/>
      <c r="I58" s="10"/>
    </row>
    <row r="59" spans="1:9" ht="12" x14ac:dyDescent="0.2">
      <c r="A59" s="7" t="s">
        <v>62</v>
      </c>
      <c r="B59" s="8"/>
      <c r="C59" s="8"/>
      <c r="D59" s="8"/>
      <c r="E59" s="8"/>
      <c r="F59" s="8"/>
      <c r="G59" s="8"/>
      <c r="H59" s="8"/>
      <c r="I59" s="8"/>
    </row>
    <row r="60" spans="1:9" x14ac:dyDescent="0.2">
      <c r="A60" s="9" t="s">
        <v>63</v>
      </c>
      <c r="B60" s="10">
        <v>0</v>
      </c>
      <c r="C60" s="10">
        <v>-5576</v>
      </c>
      <c r="D60" s="10">
        <v>-5576</v>
      </c>
      <c r="E60" s="10">
        <v>0</v>
      </c>
      <c r="F60" s="10">
        <v>1250</v>
      </c>
      <c r="G60" s="10">
        <v>0</v>
      </c>
      <c r="H60" s="10">
        <v>33639.9</v>
      </c>
      <c r="I60" s="10">
        <v>9.75</v>
      </c>
    </row>
    <row r="61" spans="1:9" hidden="1" x14ac:dyDescent="0.2">
      <c r="A61" s="27" t="s">
        <v>64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33639.9</v>
      </c>
      <c r="I61" s="21">
        <v>0</v>
      </c>
    </row>
    <row r="62" spans="1:9" hidden="1" x14ac:dyDescent="0.2">
      <c r="A62" s="27" t="s">
        <v>65</v>
      </c>
      <c r="B62" s="21">
        <v>0</v>
      </c>
      <c r="C62" s="21">
        <v>-5576</v>
      </c>
      <c r="D62" s="21">
        <v>-5576</v>
      </c>
      <c r="E62" s="21">
        <v>0</v>
      </c>
      <c r="F62" s="21">
        <v>1250</v>
      </c>
      <c r="G62" s="21">
        <v>0</v>
      </c>
      <c r="H62" s="21">
        <v>0</v>
      </c>
      <c r="I62" s="21">
        <v>9.75</v>
      </c>
    </row>
    <row r="63" spans="1:9" hidden="1" x14ac:dyDescent="0.2">
      <c r="A63" s="16" t="s">
        <v>66</v>
      </c>
      <c r="B63" s="17">
        <f t="shared" ref="B63:I63" si="16">SUM(B61:B62)</f>
        <v>0</v>
      </c>
      <c r="C63" s="17">
        <f t="shared" si="16"/>
        <v>-5576</v>
      </c>
      <c r="D63" s="17">
        <f t="shared" si="16"/>
        <v>-5576</v>
      </c>
      <c r="E63" s="17">
        <f t="shared" si="16"/>
        <v>0</v>
      </c>
      <c r="F63" s="17">
        <f t="shared" si="16"/>
        <v>1250</v>
      </c>
      <c r="G63" s="17">
        <f t="shared" si="16"/>
        <v>0</v>
      </c>
      <c r="H63" s="17">
        <f t="shared" si="16"/>
        <v>33639.9</v>
      </c>
      <c r="I63" s="17">
        <f t="shared" si="16"/>
        <v>9.75</v>
      </c>
    </row>
    <row r="64" spans="1:9" x14ac:dyDescent="0.2">
      <c r="A64" s="18" t="s">
        <v>67</v>
      </c>
      <c r="B64" s="19">
        <f t="shared" ref="B64:I64" si="17">0+B63+0</f>
        <v>0</v>
      </c>
      <c r="C64" s="19">
        <f t="shared" si="17"/>
        <v>-5576</v>
      </c>
      <c r="D64" s="19">
        <f t="shared" si="17"/>
        <v>-5576</v>
      </c>
      <c r="E64" s="19">
        <f t="shared" si="17"/>
        <v>0</v>
      </c>
      <c r="F64" s="19">
        <f t="shared" si="17"/>
        <v>1250</v>
      </c>
      <c r="G64" s="19">
        <f t="shared" si="17"/>
        <v>0</v>
      </c>
      <c r="H64" s="19">
        <f t="shared" si="17"/>
        <v>33639.9</v>
      </c>
      <c r="I64" s="19">
        <f t="shared" si="17"/>
        <v>9.75</v>
      </c>
    </row>
    <row r="65" spans="1:9" x14ac:dyDescent="0.2">
      <c r="A65" s="20"/>
      <c r="B65" s="10"/>
      <c r="C65" s="10"/>
      <c r="D65" s="10"/>
      <c r="E65" s="10"/>
      <c r="F65" s="10"/>
      <c r="G65" s="10"/>
      <c r="H65" s="10"/>
      <c r="I65" s="10"/>
    </row>
    <row r="66" spans="1:9" ht="12" x14ac:dyDescent="0.2">
      <c r="A66" s="7" t="s">
        <v>68</v>
      </c>
      <c r="B66" s="8"/>
      <c r="C66" s="8"/>
      <c r="D66" s="8"/>
      <c r="E66" s="8"/>
      <c r="F66" s="8"/>
      <c r="G66" s="8"/>
      <c r="H66" s="8"/>
      <c r="I66" s="8"/>
    </row>
    <row r="67" spans="1:9" x14ac:dyDescent="0.2">
      <c r="A67" s="9" t="s">
        <v>69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2450.71</v>
      </c>
      <c r="I67" s="10">
        <v>2893.71</v>
      </c>
    </row>
    <row r="68" spans="1:9" hidden="1" x14ac:dyDescent="0.2">
      <c r="A68" s="27" t="s">
        <v>70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2450.71</v>
      </c>
      <c r="I68" s="21">
        <v>2893.71</v>
      </c>
    </row>
    <row r="69" spans="1:9" hidden="1" x14ac:dyDescent="0.2">
      <c r="A69" s="16" t="s">
        <v>71</v>
      </c>
      <c r="B69" s="17">
        <f t="shared" ref="B69:I69" si="18">SUM(B68)</f>
        <v>0</v>
      </c>
      <c r="C69" s="17">
        <f t="shared" si="18"/>
        <v>0</v>
      </c>
      <c r="D69" s="17">
        <f t="shared" si="18"/>
        <v>0</v>
      </c>
      <c r="E69" s="17">
        <f t="shared" si="18"/>
        <v>0</v>
      </c>
      <c r="F69" s="17">
        <f t="shared" si="18"/>
        <v>0</v>
      </c>
      <c r="G69" s="17">
        <f t="shared" si="18"/>
        <v>0</v>
      </c>
      <c r="H69" s="17">
        <f t="shared" si="18"/>
        <v>2450.71</v>
      </c>
      <c r="I69" s="17">
        <f t="shared" si="18"/>
        <v>2893.71</v>
      </c>
    </row>
    <row r="70" spans="1:9" x14ac:dyDescent="0.2">
      <c r="A70" s="9" t="s">
        <v>72</v>
      </c>
      <c r="B70" s="10">
        <v>164.65</v>
      </c>
      <c r="C70" s="10">
        <v>2157.85</v>
      </c>
      <c r="D70" s="10">
        <v>3169.25</v>
      </c>
      <c r="E70" s="10">
        <v>92640.91</v>
      </c>
      <c r="F70" s="10">
        <v>3682.55</v>
      </c>
      <c r="G70" s="10">
        <v>1769.9500000000003</v>
      </c>
      <c r="H70" s="10">
        <v>10242.800000000001</v>
      </c>
      <c r="I70" s="10">
        <v>33701.910000000003</v>
      </c>
    </row>
    <row r="71" spans="1:9" hidden="1" x14ac:dyDescent="0.2">
      <c r="A71" s="27" t="s">
        <v>73</v>
      </c>
      <c r="B71" s="21">
        <v>164.65</v>
      </c>
      <c r="C71" s="21">
        <v>2157.85</v>
      </c>
      <c r="D71" s="21">
        <v>3169.25</v>
      </c>
      <c r="E71" s="21">
        <v>3472.13</v>
      </c>
      <c r="F71" s="21">
        <v>3682.55</v>
      </c>
      <c r="G71" s="21">
        <v>1769.9500000000003</v>
      </c>
      <c r="H71" s="21">
        <v>10242.800000000001</v>
      </c>
      <c r="I71" s="21">
        <v>33701.910000000003</v>
      </c>
    </row>
    <row r="72" spans="1:9" hidden="1" x14ac:dyDescent="0.2">
      <c r="A72" s="27" t="s">
        <v>74</v>
      </c>
      <c r="B72" s="21">
        <v>0</v>
      </c>
      <c r="C72" s="21">
        <v>0</v>
      </c>
      <c r="D72" s="21">
        <v>0</v>
      </c>
      <c r="E72" s="21">
        <v>89168.78</v>
      </c>
      <c r="F72" s="21">
        <v>0</v>
      </c>
      <c r="G72" s="21">
        <v>0</v>
      </c>
      <c r="H72" s="21">
        <v>0</v>
      </c>
      <c r="I72" s="21">
        <v>0</v>
      </c>
    </row>
    <row r="73" spans="1:9" hidden="1" x14ac:dyDescent="0.2">
      <c r="A73" s="16" t="s">
        <v>75</v>
      </c>
      <c r="B73" s="17">
        <f t="shared" ref="B73:I73" si="19">SUM(B71:B72)</f>
        <v>164.65</v>
      </c>
      <c r="C73" s="17">
        <f t="shared" si="19"/>
        <v>2157.85</v>
      </c>
      <c r="D73" s="17">
        <f t="shared" si="19"/>
        <v>3169.25</v>
      </c>
      <c r="E73" s="17">
        <f t="shared" si="19"/>
        <v>92640.91</v>
      </c>
      <c r="F73" s="17">
        <f t="shared" si="19"/>
        <v>3682.55</v>
      </c>
      <c r="G73" s="17">
        <f t="shared" si="19"/>
        <v>1769.9500000000003</v>
      </c>
      <c r="H73" s="17">
        <f t="shared" si="19"/>
        <v>10242.800000000001</v>
      </c>
      <c r="I73" s="17">
        <f t="shared" si="19"/>
        <v>33701.910000000003</v>
      </c>
    </row>
    <row r="74" spans="1:9" x14ac:dyDescent="0.2">
      <c r="A74" s="9" t="s">
        <v>76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68400</v>
      </c>
      <c r="H74" s="10">
        <v>389471</v>
      </c>
      <c r="I74" s="10">
        <v>446082.99</v>
      </c>
    </row>
    <row r="75" spans="1:9" hidden="1" x14ac:dyDescent="0.2">
      <c r="A75" s="27" t="s">
        <v>77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68400</v>
      </c>
      <c r="H75" s="21">
        <v>389471</v>
      </c>
      <c r="I75" s="21">
        <v>446082.99</v>
      </c>
    </row>
    <row r="76" spans="1:9" hidden="1" x14ac:dyDescent="0.2">
      <c r="A76" s="16" t="s">
        <v>78</v>
      </c>
      <c r="B76" s="17">
        <f t="shared" ref="B76:I76" si="20">SUM(B75)</f>
        <v>0</v>
      </c>
      <c r="C76" s="17">
        <f t="shared" si="20"/>
        <v>0</v>
      </c>
      <c r="D76" s="17">
        <f t="shared" si="20"/>
        <v>0</v>
      </c>
      <c r="E76" s="17">
        <f t="shared" si="20"/>
        <v>0</v>
      </c>
      <c r="F76" s="17">
        <f t="shared" si="20"/>
        <v>0</v>
      </c>
      <c r="G76" s="17">
        <f t="shared" si="20"/>
        <v>68400</v>
      </c>
      <c r="H76" s="17">
        <f t="shared" si="20"/>
        <v>389471</v>
      </c>
      <c r="I76" s="17">
        <f t="shared" si="20"/>
        <v>446082.99</v>
      </c>
    </row>
    <row r="77" spans="1:9" x14ac:dyDescent="0.2">
      <c r="A77" s="9" t="s">
        <v>79</v>
      </c>
      <c r="B77" s="10">
        <v>8382.7999999999993</v>
      </c>
      <c r="C77" s="10">
        <v>14527.349999999999</v>
      </c>
      <c r="D77" s="10">
        <v>-7421.1</v>
      </c>
      <c r="E77" s="10">
        <v>15047.41</v>
      </c>
      <c r="F77" s="10">
        <v>11359.509999999998</v>
      </c>
      <c r="G77" s="10">
        <v>11288.76</v>
      </c>
      <c r="H77" s="10">
        <v>113304.75</v>
      </c>
      <c r="I77" s="10">
        <v>53902.919999999991</v>
      </c>
    </row>
    <row r="78" spans="1:9" hidden="1" x14ac:dyDescent="0.2">
      <c r="A78" s="27" t="s">
        <v>80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-3394.42</v>
      </c>
    </row>
    <row r="79" spans="1:9" hidden="1" x14ac:dyDescent="0.2">
      <c r="A79" s="27" t="s">
        <v>81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-991.6</v>
      </c>
    </row>
    <row r="80" spans="1:9" hidden="1" x14ac:dyDescent="0.2">
      <c r="A80" s="27" t="s">
        <v>82</v>
      </c>
      <c r="B80" s="21">
        <v>0</v>
      </c>
      <c r="C80" s="21">
        <v>0</v>
      </c>
      <c r="D80" s="21">
        <v>0</v>
      </c>
      <c r="E80" s="21">
        <v>0</v>
      </c>
      <c r="F80" s="21">
        <v>362.6</v>
      </c>
      <c r="G80" s="21">
        <v>0</v>
      </c>
      <c r="H80" s="21">
        <v>0</v>
      </c>
      <c r="I80" s="21">
        <v>0</v>
      </c>
    </row>
    <row r="81" spans="1:9" hidden="1" x14ac:dyDescent="0.2">
      <c r="A81" s="27" t="s">
        <v>83</v>
      </c>
      <c r="B81" s="21">
        <v>9356.9</v>
      </c>
      <c r="C81" s="21">
        <v>9628.9499999999989</v>
      </c>
      <c r="D81" s="21">
        <v>-16001.6</v>
      </c>
      <c r="E81" s="21">
        <v>4.9999999999272404E-2</v>
      </c>
      <c r="F81" s="21">
        <v>76.399999999999267</v>
      </c>
      <c r="G81" s="21">
        <v>-968.40000000000066</v>
      </c>
      <c r="H81" s="21">
        <v>33486.25</v>
      </c>
      <c r="I81" s="21">
        <v>-8749</v>
      </c>
    </row>
    <row r="82" spans="1:9" hidden="1" x14ac:dyDescent="0.2">
      <c r="A82" s="27" t="s">
        <v>84</v>
      </c>
      <c r="B82" s="21">
        <v>0</v>
      </c>
      <c r="C82" s="21">
        <v>0</v>
      </c>
      <c r="D82" s="21">
        <v>0</v>
      </c>
      <c r="E82" s="21">
        <v>0</v>
      </c>
      <c r="F82" s="21">
        <v>772.75</v>
      </c>
      <c r="G82" s="21">
        <v>-743.59999999999991</v>
      </c>
      <c r="H82" s="21">
        <v>670.10000000000014</v>
      </c>
      <c r="I82" s="21">
        <v>8240.81</v>
      </c>
    </row>
    <row r="83" spans="1:9" hidden="1" x14ac:dyDescent="0.2">
      <c r="A83" s="27" t="s">
        <v>85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20675.349999999999</v>
      </c>
    </row>
    <row r="84" spans="1:9" hidden="1" x14ac:dyDescent="0.2">
      <c r="A84" s="27" t="s">
        <v>86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21359.13</v>
      </c>
    </row>
    <row r="85" spans="1:9" hidden="1" x14ac:dyDescent="0.2">
      <c r="A85" s="27" t="s">
        <v>87</v>
      </c>
      <c r="B85" s="21">
        <v>-4063.15</v>
      </c>
      <c r="C85" s="21">
        <v>-3295.2</v>
      </c>
      <c r="D85" s="21">
        <v>1886</v>
      </c>
      <c r="E85" s="21">
        <v>8397.11</v>
      </c>
      <c r="F85" s="21">
        <v>4132.26</v>
      </c>
      <c r="G85" s="21">
        <v>0</v>
      </c>
      <c r="H85" s="21">
        <v>0</v>
      </c>
      <c r="I85" s="21">
        <v>0</v>
      </c>
    </row>
    <row r="86" spans="1:9" hidden="1" x14ac:dyDescent="0.2">
      <c r="A86" s="27" t="s">
        <v>88</v>
      </c>
      <c r="B86" s="21">
        <v>3089.05</v>
      </c>
      <c r="C86" s="21">
        <v>8193.6</v>
      </c>
      <c r="D86" s="21">
        <v>6694.5</v>
      </c>
      <c r="E86" s="21">
        <v>6650.25</v>
      </c>
      <c r="F86" s="21">
        <v>6015.5</v>
      </c>
      <c r="G86" s="21">
        <v>13000.76</v>
      </c>
      <c r="H86" s="21">
        <v>79148.399999999994</v>
      </c>
      <c r="I86" s="21">
        <v>16762.649999999994</v>
      </c>
    </row>
    <row r="87" spans="1:9" hidden="1" x14ac:dyDescent="0.2">
      <c r="A87" s="16" t="s">
        <v>89</v>
      </c>
      <c r="B87" s="17">
        <f t="shared" ref="B87:I87" si="21">SUM(B78:B86)</f>
        <v>8382.7999999999993</v>
      </c>
      <c r="C87" s="17">
        <f t="shared" si="21"/>
        <v>14527.349999999999</v>
      </c>
      <c r="D87" s="17">
        <f t="shared" si="21"/>
        <v>-7421.1</v>
      </c>
      <c r="E87" s="17">
        <f t="shared" si="21"/>
        <v>15047.41</v>
      </c>
      <c r="F87" s="17">
        <f t="shared" si="21"/>
        <v>11359.509999999998</v>
      </c>
      <c r="G87" s="17">
        <f t="shared" si="21"/>
        <v>11288.76</v>
      </c>
      <c r="H87" s="17">
        <f t="shared" si="21"/>
        <v>113304.75</v>
      </c>
      <c r="I87" s="17">
        <f t="shared" si="21"/>
        <v>53902.919999999991</v>
      </c>
    </row>
    <row r="88" spans="1:9" x14ac:dyDescent="0.2">
      <c r="A88" s="18" t="s">
        <v>90</v>
      </c>
      <c r="B88" s="19">
        <f t="shared" ref="B88:I88" si="22">0+0+B69+B73+0+B76+0+B87</f>
        <v>8547.4499999999989</v>
      </c>
      <c r="C88" s="19">
        <f t="shared" si="22"/>
        <v>16685.199999999997</v>
      </c>
      <c r="D88" s="19">
        <f t="shared" si="22"/>
        <v>-4251.8500000000004</v>
      </c>
      <c r="E88" s="19">
        <f t="shared" si="22"/>
        <v>107688.32000000001</v>
      </c>
      <c r="F88" s="19">
        <f t="shared" si="22"/>
        <v>15042.059999999998</v>
      </c>
      <c r="G88" s="19">
        <f t="shared" si="22"/>
        <v>81458.709999999992</v>
      </c>
      <c r="H88" s="19">
        <f t="shared" si="22"/>
        <v>515469.26</v>
      </c>
      <c r="I88" s="19">
        <f t="shared" si="22"/>
        <v>536581.53</v>
      </c>
    </row>
    <row r="89" spans="1:9" x14ac:dyDescent="0.2">
      <c r="A89" s="20"/>
      <c r="B89" s="10"/>
      <c r="C89" s="10"/>
      <c r="D89" s="10"/>
      <c r="E89" s="10"/>
      <c r="F89" s="10"/>
      <c r="G89" s="10"/>
      <c r="H89" s="10"/>
      <c r="I89" s="10"/>
    </row>
    <row r="90" spans="1:9" ht="12" x14ac:dyDescent="0.2">
      <c r="A90" s="7" t="s">
        <v>91</v>
      </c>
      <c r="B90" s="8">
        <v>4941.55</v>
      </c>
      <c r="C90" s="8">
        <v>4440.6500000000005</v>
      </c>
      <c r="D90" s="8">
        <v>1709.3500000000004</v>
      </c>
      <c r="E90" s="8">
        <v>1166.2000000000003</v>
      </c>
      <c r="F90" s="8">
        <v>2.2737367544323206E-13</v>
      </c>
      <c r="G90" s="8">
        <v>17528.79</v>
      </c>
      <c r="H90" s="8">
        <v>10800</v>
      </c>
      <c r="I90" s="8">
        <v>0</v>
      </c>
    </row>
    <row r="91" spans="1:9" hidden="1" x14ac:dyDescent="0.2">
      <c r="A91" s="22" t="s">
        <v>92</v>
      </c>
      <c r="B91" s="21">
        <v>4941.55</v>
      </c>
      <c r="C91" s="21">
        <v>4440.6500000000005</v>
      </c>
      <c r="D91" s="21">
        <v>1709.3500000000004</v>
      </c>
      <c r="E91" s="21">
        <v>1166.2000000000003</v>
      </c>
      <c r="F91" s="21">
        <v>2.2737367544323206E-13</v>
      </c>
      <c r="G91" s="21">
        <v>17528.79</v>
      </c>
      <c r="H91" s="21">
        <v>10800</v>
      </c>
      <c r="I91" s="21">
        <v>0</v>
      </c>
    </row>
    <row r="92" spans="1:9" hidden="1" x14ac:dyDescent="0.2">
      <c r="A92" s="23" t="s">
        <v>93</v>
      </c>
      <c r="B92" s="17">
        <f t="shared" ref="B92:I92" si="23">SUM(B91)</f>
        <v>4941.55</v>
      </c>
      <c r="C92" s="17">
        <f t="shared" si="23"/>
        <v>4440.6500000000005</v>
      </c>
      <c r="D92" s="17">
        <f t="shared" si="23"/>
        <v>1709.3500000000004</v>
      </c>
      <c r="E92" s="17">
        <f t="shared" si="23"/>
        <v>1166.2000000000003</v>
      </c>
      <c r="F92" s="17">
        <f t="shared" si="23"/>
        <v>2.2737367544323206E-13</v>
      </c>
      <c r="G92" s="17">
        <f t="shared" si="23"/>
        <v>17528.79</v>
      </c>
      <c r="H92" s="17">
        <f t="shared" si="23"/>
        <v>10800</v>
      </c>
      <c r="I92" s="17">
        <f t="shared" si="23"/>
        <v>0</v>
      </c>
    </row>
    <row r="93" spans="1:9" ht="12" thickBot="1" x14ac:dyDescent="0.25">
      <c r="A93" s="20"/>
      <c r="B93" s="10"/>
      <c r="C93" s="10"/>
      <c r="D93" s="10"/>
      <c r="E93" s="10"/>
      <c r="F93" s="10"/>
      <c r="G93" s="10"/>
      <c r="H93" s="10"/>
      <c r="I93" s="10"/>
    </row>
    <row r="94" spans="1:9" ht="12.75" thickTop="1" x14ac:dyDescent="0.2">
      <c r="A94" s="24" t="s">
        <v>94</v>
      </c>
      <c r="B94" s="25">
        <f t="shared" ref="B94:I94" si="24">B57+B58+B64+B65+B88+B89+B92+B93+0</f>
        <v>107779.72</v>
      </c>
      <c r="C94" s="25">
        <f t="shared" si="24"/>
        <v>188213.32999999987</v>
      </c>
      <c r="D94" s="25">
        <f t="shared" si="24"/>
        <v>123242.9199999999</v>
      </c>
      <c r="E94" s="25">
        <f t="shared" si="24"/>
        <v>191469.89999999991</v>
      </c>
      <c r="F94" s="25">
        <f t="shared" si="24"/>
        <v>121454.6100000002</v>
      </c>
      <c r="G94" s="25">
        <f t="shared" si="24"/>
        <v>200185.07000000004</v>
      </c>
      <c r="H94" s="25">
        <f t="shared" si="24"/>
        <v>825982.24</v>
      </c>
      <c r="I94" s="25">
        <f t="shared" si="24"/>
        <v>838978.18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2023-08-08T18:49:59Z</dcterms:created>
  <dcterms:modified xsi:type="dcterms:W3CDTF">2023-08-08T18:51:26Z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