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Q:\Gesellschaft\PROMATIS software\Beteiligungskapital\Datenraum_PwC_IceLake\FDD\B.Financial general\B.3 - Legal Entity Reporting\PROMATIS-CH\"/>
    </mc:Choice>
  </mc:AlternateContent>
  <xr:revisionPtr revIDLastSave="0" documentId="13_ncr:40009_{AE5FD163-3121-4767-A66A-27F1B2072D76}" xr6:coauthVersionLast="47" xr6:coauthVersionMax="47" xr10:uidLastSave="{00000000-0000-0000-0000-000000000000}"/>
  <bookViews>
    <workbookView xWindow="-28920" yWindow="-120" windowWidth="29040" windowHeight="15840"/>
  </bookViews>
  <sheets>
    <sheet name="PGPLbyEntityandMonthQua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5" i="1" l="1"/>
  <c r="D85" i="1"/>
  <c r="C85" i="1"/>
  <c r="B85" i="1"/>
  <c r="F84" i="1"/>
  <c r="F85" i="1" s="1"/>
  <c r="E81" i="1"/>
  <c r="E82" i="1" s="1"/>
  <c r="D81" i="1"/>
  <c r="D82" i="1" s="1"/>
  <c r="C81" i="1"/>
  <c r="C82" i="1" s="1"/>
  <c r="B81" i="1"/>
  <c r="B82" i="1" s="1"/>
  <c r="F80" i="1"/>
  <c r="F81" i="1" s="1"/>
  <c r="F82" i="1" s="1"/>
  <c r="E75" i="1"/>
  <c r="D75" i="1"/>
  <c r="C75" i="1"/>
  <c r="B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E46" i="1"/>
  <c r="E47" i="1" s="1"/>
  <c r="D46" i="1"/>
  <c r="D47" i="1" s="1"/>
  <c r="C46" i="1"/>
  <c r="C47" i="1" s="1"/>
  <c r="B46" i="1"/>
  <c r="B47" i="1" s="1"/>
  <c r="F45" i="1"/>
  <c r="F46" i="1" s="1"/>
  <c r="F47" i="1" s="1"/>
  <c r="E41" i="1"/>
  <c r="D41" i="1"/>
  <c r="C41" i="1"/>
  <c r="B41" i="1"/>
  <c r="F40" i="1"/>
  <c r="F39" i="1"/>
  <c r="F38" i="1"/>
  <c r="E36" i="1"/>
  <c r="D36" i="1"/>
  <c r="C36" i="1"/>
  <c r="B36" i="1"/>
  <c r="B42" i="1" s="1"/>
  <c r="F35" i="1"/>
  <c r="F34" i="1"/>
  <c r="E28" i="1"/>
  <c r="D28" i="1"/>
  <c r="C28" i="1"/>
  <c r="B28" i="1"/>
  <c r="F27" i="1"/>
  <c r="F26" i="1"/>
  <c r="E24" i="1"/>
  <c r="D24" i="1"/>
  <c r="C24" i="1"/>
  <c r="B24" i="1"/>
  <c r="F23" i="1"/>
  <c r="F24" i="1" s="1"/>
  <c r="E19" i="1"/>
  <c r="D19" i="1"/>
  <c r="C19" i="1"/>
  <c r="B19" i="1"/>
  <c r="F18" i="1"/>
  <c r="F17" i="1"/>
  <c r="F16" i="1"/>
  <c r="E14" i="1"/>
  <c r="D14" i="1"/>
  <c r="C14" i="1"/>
  <c r="C20" i="1" s="1"/>
  <c r="B14" i="1"/>
  <c r="F13" i="1"/>
  <c r="F12" i="1"/>
  <c r="F11" i="1"/>
  <c r="D42" i="1" l="1"/>
  <c r="D76" i="1" s="1"/>
  <c r="F36" i="1"/>
  <c r="F42" i="1" s="1"/>
  <c r="F76" i="1" s="1"/>
  <c r="D20" i="1"/>
  <c r="F28" i="1"/>
  <c r="C42" i="1"/>
  <c r="C76" i="1" s="1"/>
  <c r="E42" i="1"/>
  <c r="E76" i="1" s="1"/>
  <c r="C29" i="1"/>
  <c r="C30" i="1" s="1"/>
  <c r="C77" i="1" s="1"/>
  <c r="C86" i="1" s="1"/>
  <c r="D29" i="1"/>
  <c r="D30" i="1" s="1"/>
  <c r="F41" i="1"/>
  <c r="B29" i="1"/>
  <c r="E29" i="1"/>
  <c r="F29" i="1"/>
  <c r="B76" i="1"/>
  <c r="F19" i="1"/>
  <c r="F14" i="1"/>
  <c r="F20" i="1" s="1"/>
  <c r="F30" i="1" s="1"/>
  <c r="F75" i="1"/>
  <c r="B20" i="1"/>
  <c r="B30" i="1" s="1"/>
  <c r="E20" i="1"/>
  <c r="E30" i="1" s="1"/>
  <c r="D77" i="1" l="1"/>
  <c r="D86" i="1" s="1"/>
  <c r="B77" i="1"/>
  <c r="B86" i="1" s="1"/>
  <c r="E77" i="1"/>
  <c r="E86" i="1" s="1"/>
  <c r="F77" i="1"/>
  <c r="F86" i="1" s="1"/>
</calcChain>
</file>

<file path=xl/sharedStrings.xml><?xml version="1.0" encoding="utf-8"?>
<sst xmlns="http://schemas.openxmlformats.org/spreadsheetml/2006/main" count="96" uniqueCount="91">
  <si>
    <t>Firma : PROMATIS AG</t>
  </si>
  <si>
    <t>PG P+L by Entity and Month/Quarter/Year</t>
  </si>
  <si>
    <t>From Jan 2020 to Dez 2023</t>
  </si>
  <si>
    <t> </t>
  </si>
  <si>
    <t>FY 2020</t>
  </si>
  <si>
    <t>FY 2021</t>
  </si>
  <si>
    <t>FY 2022</t>
  </si>
  <si>
    <t>FY 2023</t>
  </si>
  <si>
    <t>Total</t>
  </si>
  <si>
    <t>Saldo</t>
  </si>
  <si>
    <t>Net profit/loss for the year</t>
  </si>
  <si>
    <t>EBIT</t>
  </si>
  <si>
    <t>Gross profit</t>
  </si>
  <si>
    <t>Operating income</t>
  </si>
  <si>
    <t>1. Revenue</t>
  </si>
  <si>
    <t>433800 - Rev. from services tax. in a 3.country, not subject  dom tax</t>
  </si>
  <si>
    <t>440000 - Revenue Services- standard VAT</t>
  </si>
  <si>
    <t>470000 - taxes directly linked to sales</t>
  </si>
  <si>
    <t>Total Revenue</t>
  </si>
  <si>
    <t>4. Other operating income</t>
  </si>
  <si>
    <t>483000 - Other operating income</t>
  </si>
  <si>
    <t>483900 - Other infrequent income</t>
  </si>
  <si>
    <t>492500 - Income from recoveries of receivables previously written off</t>
  </si>
  <si>
    <t>Total Other operating income</t>
  </si>
  <si>
    <t>Total Operating income</t>
  </si>
  <si>
    <t>5. Cost of materials</t>
  </si>
  <si>
    <t>a) Cost of raw materials, consum, supplies and purchased merch.</t>
  </si>
  <si>
    <t>540000 - Cost of merchandise, Standard input tax</t>
  </si>
  <si>
    <t>Total Cost of raw materials, consum, supplies and purchased merch.</t>
  </si>
  <si>
    <t>b) Cost of purchased services</t>
  </si>
  <si>
    <t>590000 - Purchased services standard input tax</t>
  </si>
  <si>
    <t>590900 - Purchased services, no input tax</t>
  </si>
  <si>
    <t>Total Cost of purchased services</t>
  </si>
  <si>
    <t>Total Cost of materials</t>
  </si>
  <si>
    <t>Total Gross profit</t>
  </si>
  <si>
    <t>Operating expenses (except cost of materials)</t>
  </si>
  <si>
    <t>6. Personnel expenses</t>
  </si>
  <si>
    <t>a) Wages and salaries</t>
  </si>
  <si>
    <t>600500 - Staff acquisition</t>
  </si>
  <si>
    <t>602000 - Salaries</t>
  </si>
  <si>
    <t>Total Wages and salaries</t>
  </si>
  <si>
    <t>b) Social security, post-employ, and other employee benft costs</t>
  </si>
  <si>
    <t>611000 - Statutory social security expenses</t>
  </si>
  <si>
    <t>612000 - Contributions to occupational health and safety agency</t>
  </si>
  <si>
    <t>613000 - Voluntary social benefits not subject to wage tax</t>
  </si>
  <si>
    <t>Total Social security, post-employ, and other employee benft costs</t>
  </si>
  <si>
    <t>Total Personnel expenses</t>
  </si>
  <si>
    <t>7. Depreciation and amortisation</t>
  </si>
  <si>
    <t>a) Amortisation of intangible assets and depr. of tangbl assets</t>
  </si>
  <si>
    <t>626000 - Immediate write-off of low-value assets</t>
  </si>
  <si>
    <t>Total a) Amortisation of intangible assets and depr. of tangbl assets</t>
  </si>
  <si>
    <t>Total Depreciation and amortisation</t>
  </si>
  <si>
    <t>8. Other operating expenses</t>
  </si>
  <si>
    <t>631000 - Rent (immovable property)</t>
  </si>
  <si>
    <t>632500 - Gas, electricity, water</t>
  </si>
  <si>
    <t>633000 - Cleaning</t>
  </si>
  <si>
    <t>640000 - Insurance premiums</t>
  </si>
  <si>
    <t>642000 - Contributions</t>
  </si>
  <si>
    <t>646000 - Repairs and maintenance of technical equipment and machinery</t>
  </si>
  <si>
    <t>649000 - Other repairs and maintenance</t>
  </si>
  <si>
    <t>650033 - Vehicle expenses  KA-MW 8801 Mazda CX30</t>
  </si>
  <si>
    <t>656000 - Operating leases (motor vehicles)</t>
  </si>
  <si>
    <t>660000 - Advertising costs</t>
  </si>
  <si>
    <t>664000 - Entertainment expenses</t>
  </si>
  <si>
    <t>665200 - Employee travel expenses, standard tax</t>
  </si>
  <si>
    <t>666000 - Employee travel expenses, accommodation costs</t>
  </si>
  <si>
    <t>680000 - Postage</t>
  </si>
  <si>
    <t>680500 - Telephone</t>
  </si>
  <si>
    <t>681000 - Fax and Internet costs</t>
  </si>
  <si>
    <t>681500 - Office supplies</t>
  </si>
  <si>
    <t>682000 - Newspapers, books</t>
  </si>
  <si>
    <t>682100 - Training costs</t>
  </si>
  <si>
    <t>682700 - Period-end closing and audit costs</t>
  </si>
  <si>
    <t>682800 - Legal and consulting fees §13b UStG Supplier EU service</t>
  </si>
  <si>
    <t>683000 - Bookkeeping costs</t>
  </si>
  <si>
    <t>685000 - Other operating supplies</t>
  </si>
  <si>
    <t>685500 - Incidental monetary transaction costs</t>
  </si>
  <si>
    <t>688000 - Currency translation losses</t>
  </si>
  <si>
    <t>689200 - Revenue from sales of long-term financial assets</t>
  </si>
  <si>
    <t>Total Other operating expenses</t>
  </si>
  <si>
    <t>Total Operating expenses (except cost of materials)</t>
  </si>
  <si>
    <t>Total EBIT</t>
  </si>
  <si>
    <t>Financial result</t>
  </si>
  <si>
    <t>13. Interest and similar expenses</t>
  </si>
  <si>
    <t>740200 - Extraordinary income standard</t>
  </si>
  <si>
    <t>Total Interest and similar expenses</t>
  </si>
  <si>
    <t>Total Financial result</t>
  </si>
  <si>
    <t>14. Taxes on income</t>
  </si>
  <si>
    <t>760000 - Corporate income tax</t>
  </si>
  <si>
    <t>Total Taxes on income</t>
  </si>
  <si>
    <t>TOTAL Net profit/loss for the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</si>
</sst>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8" formatCode="&quot;SFr.&quot;#,##0.00"/>
  </numFmts>
  <fonts count="23" x14ac:knownFonts="1">
    <font>
      <sz val="8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name val="Arial"/>
    </font>
    <font>
      <b/>
      <sz val="14"/>
      <name val="Arial"/>
    </font>
    <font>
      <b/>
      <sz val="7"/>
      <name val="Arial"/>
    </font>
    <font>
      <b/>
      <sz val="8"/>
      <color indexed="8"/>
      <name val="Arial"/>
    </font>
    <font>
      <sz val="8"/>
      <color indexed="8"/>
      <name val="Arial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0D0D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dotted">
        <color rgb="FFC0C0C0"/>
      </top>
      <bottom/>
      <diagonal/>
    </border>
    <border>
      <left/>
      <right/>
      <top style="dotted">
        <color rgb="FF969696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/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20" fillId="33" borderId="0" xfId="0" applyFont="1" applyFill="1" applyAlignment="1">
      <alignment horizontal="left"/>
    </xf>
    <xf numFmtId="0" fontId="20" fillId="33" borderId="0" xfId="0" applyFont="1" applyFill="1" applyAlignment="1">
      <alignment horizontal="right"/>
    </xf>
    <xf numFmtId="0" fontId="21" fillId="0" borderId="0" xfId="0" applyFont="1" applyBorder="1" applyAlignment="1">
      <alignment horizontal="left" vertical="center"/>
    </xf>
    <xf numFmtId="168" fontId="21" fillId="0" borderId="0" xfId="0" applyNumberFormat="1" applyFont="1" applyBorder="1" applyAlignment="1">
      <alignment horizontal="right" vertical="center"/>
    </xf>
    <xf numFmtId="0" fontId="21" fillId="0" borderId="0" xfId="0" applyFont="1" applyBorder="1" applyAlignment="1">
      <alignment horizontal="left" indent="1"/>
    </xf>
    <xf numFmtId="0" fontId="21" fillId="0" borderId="0" xfId="0" applyFont="1" applyBorder="1" applyAlignment="1">
      <alignment horizontal="left" indent="2"/>
    </xf>
    <xf numFmtId="0" fontId="21" fillId="0" borderId="0" xfId="0" applyFont="1" applyBorder="1" applyAlignment="1">
      <alignment horizontal="left" indent="3"/>
    </xf>
    <xf numFmtId="0" fontId="21" fillId="0" borderId="0" xfId="0" applyFont="1" applyBorder="1" applyAlignment="1">
      <alignment horizontal="left" indent="4"/>
    </xf>
    <xf numFmtId="0" fontId="22" fillId="0" borderId="0" xfId="0" applyFont="1" applyBorder="1" applyAlignment="1">
      <alignment horizontal="left" indent="5"/>
    </xf>
    <xf numFmtId="168" fontId="22" fillId="0" borderId="0" xfId="0" applyNumberFormat="1" applyFont="1" applyBorder="1" applyAlignment="1">
      <alignment horizontal="right" vertical="center"/>
    </xf>
    <xf numFmtId="0" fontId="21" fillId="0" borderId="10" xfId="0" applyFont="1" applyBorder="1" applyAlignment="1">
      <alignment horizontal="left" indent="4"/>
    </xf>
    <xf numFmtId="168" fontId="21" fillId="0" borderId="10" xfId="0" applyNumberFormat="1" applyFont="1" applyBorder="1" applyAlignment="1">
      <alignment horizontal="right" vertical="center"/>
    </xf>
    <xf numFmtId="0" fontId="21" fillId="0" borderId="11" xfId="0" applyFont="1" applyBorder="1" applyAlignment="1">
      <alignment horizontal="left" indent="4"/>
    </xf>
    <xf numFmtId="168" fontId="21" fillId="0" borderId="11" xfId="0" applyNumberFormat="1" applyFont="1" applyBorder="1" applyAlignment="1">
      <alignment horizontal="right" vertical="center"/>
    </xf>
    <xf numFmtId="0" fontId="21" fillId="0" borderId="11" xfId="0" applyFont="1" applyBorder="1" applyAlignment="1">
      <alignment horizontal="left" indent="3"/>
    </xf>
    <xf numFmtId="0" fontId="21" fillId="0" borderId="11" xfId="0" applyFont="1" applyBorder="1" applyAlignment="1">
      <alignment horizontal="left" indent="2"/>
    </xf>
    <xf numFmtId="0" fontId="22" fillId="0" borderId="0" xfId="0" applyFont="1" applyBorder="1" applyAlignment="1">
      <alignment horizontal="left" indent="4"/>
    </xf>
    <xf numFmtId="0" fontId="21" fillId="0" borderId="11" xfId="0" applyFont="1" applyBorder="1" applyAlignment="1">
      <alignment horizontal="left" indent="1"/>
    </xf>
    <xf numFmtId="0" fontId="22" fillId="0" borderId="0" xfId="0" applyFont="1" applyBorder="1" applyAlignment="1">
      <alignment horizontal="left" indent="3"/>
    </xf>
    <xf numFmtId="0" fontId="22" fillId="0" borderId="0" xfId="0" applyFont="1" applyBorder="1" applyAlignment="1">
      <alignment horizontal="left" indent="2"/>
    </xf>
    <xf numFmtId="0" fontId="21" fillId="0" borderId="11" xfId="0" applyFont="1" applyBorder="1" applyAlignment="1">
      <alignment horizontal="left" vertical="center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6"/>
  <sheetViews>
    <sheetView tabSelected="1" zoomScale="130" zoomScaleNormal="130" workbookViewId="0">
      <pane ySplit="5" topLeftCell="A6" activePane="bottomLeft" state="frozen"/>
      <selection pane="bottomLeft" activeCell="D33" sqref="D33"/>
    </sheetView>
  </sheetViews>
  <sheetFormatPr baseColWidth="10" defaultRowHeight="11.25" x14ac:dyDescent="0.2"/>
  <cols>
    <col min="1" max="1" width="72.5" bestFit="1" customWidth="1"/>
    <col min="2" max="6" width="18.5" customWidth="1"/>
  </cols>
  <sheetData>
    <row r="1" spans="1:6" ht="15.75" x14ac:dyDescent="0.25">
      <c r="A1" s="1" t="s">
        <v>0</v>
      </c>
      <c r="B1" s="1"/>
      <c r="C1" s="1"/>
      <c r="D1" s="1"/>
      <c r="E1" s="1"/>
      <c r="F1" s="1"/>
    </row>
    <row r="2" spans="1:6" ht="18" x14ac:dyDescent="0.25">
      <c r="A2" s="2" t="s">
        <v>1</v>
      </c>
      <c r="B2" s="2"/>
      <c r="C2" s="2"/>
      <c r="D2" s="2"/>
      <c r="E2" s="2"/>
      <c r="F2" s="2"/>
    </row>
    <row r="3" spans="1:6" ht="18" x14ac:dyDescent="0.25">
      <c r="A3" s="2" t="s">
        <v>2</v>
      </c>
      <c r="B3" s="2"/>
      <c r="C3" s="2"/>
      <c r="D3" s="2"/>
      <c r="E3" s="2"/>
      <c r="F3" s="2"/>
    </row>
    <row r="4" spans="1:6" x14ac:dyDescent="0.2">
      <c r="A4" s="3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</row>
    <row r="5" spans="1:6" x14ac:dyDescent="0.2">
      <c r="A5" s="3" t="s">
        <v>3</v>
      </c>
      <c r="B5" s="4" t="s">
        <v>9</v>
      </c>
      <c r="C5" s="4" t="s">
        <v>9</v>
      </c>
      <c r="D5" s="4" t="s">
        <v>9</v>
      </c>
      <c r="E5" s="4" t="s">
        <v>9</v>
      </c>
      <c r="F5" s="4" t="s">
        <v>9</v>
      </c>
    </row>
    <row r="6" spans="1:6" x14ac:dyDescent="0.2">
      <c r="A6" s="5" t="s">
        <v>10</v>
      </c>
      <c r="B6" s="6"/>
      <c r="C6" s="6"/>
      <c r="D6" s="6"/>
      <c r="E6" s="6"/>
      <c r="F6" s="6"/>
    </row>
    <row r="7" spans="1:6" x14ac:dyDescent="0.2">
      <c r="A7" s="7" t="s">
        <v>11</v>
      </c>
      <c r="B7" s="6"/>
      <c r="C7" s="6"/>
      <c r="D7" s="6"/>
      <c r="E7" s="6"/>
      <c r="F7" s="6"/>
    </row>
    <row r="8" spans="1:6" x14ac:dyDescent="0.2">
      <c r="A8" s="8" t="s">
        <v>12</v>
      </c>
      <c r="B8" s="6"/>
      <c r="C8" s="6"/>
      <c r="D8" s="6"/>
      <c r="E8" s="6"/>
      <c r="F8" s="6"/>
    </row>
    <row r="9" spans="1:6" x14ac:dyDescent="0.2">
      <c r="A9" s="9" t="s">
        <v>13</v>
      </c>
      <c r="B9" s="6"/>
      <c r="C9" s="6"/>
      <c r="D9" s="6"/>
      <c r="E9" s="6"/>
      <c r="F9" s="6"/>
    </row>
    <row r="10" spans="1:6" x14ac:dyDescent="0.2">
      <c r="A10" s="10" t="s">
        <v>14</v>
      </c>
      <c r="B10" s="6">
        <v>243592.19</v>
      </c>
      <c r="C10" s="6">
        <v>546499.36</v>
      </c>
      <c r="D10" s="6">
        <v>3278156</v>
      </c>
      <c r="E10" s="6">
        <v>235227.08999999997</v>
      </c>
      <c r="F10" s="6">
        <v>4303474.6399999997</v>
      </c>
    </row>
    <row r="11" spans="1:6" hidden="1" x14ac:dyDescent="0.2">
      <c r="A11" s="11" t="s">
        <v>15</v>
      </c>
      <c r="B11" s="12">
        <v>-48184.01</v>
      </c>
      <c r="C11" s="12">
        <v>11170</v>
      </c>
      <c r="D11" s="12">
        <v>0</v>
      </c>
      <c r="E11" s="12">
        <v>-658566</v>
      </c>
      <c r="F11" s="12">
        <f>SUM(B11:E11)</f>
        <v>-695580.01</v>
      </c>
    </row>
    <row r="12" spans="1:6" hidden="1" x14ac:dyDescent="0.2">
      <c r="A12" s="11" t="s">
        <v>16</v>
      </c>
      <c r="B12" s="12">
        <v>291776.2</v>
      </c>
      <c r="C12" s="12">
        <v>535329.36</v>
      </c>
      <c r="D12" s="12">
        <v>3312656</v>
      </c>
      <c r="E12" s="12">
        <v>893793.09</v>
      </c>
      <c r="F12" s="12">
        <f>SUM(B12:E12)</f>
        <v>5033554.6500000004</v>
      </c>
    </row>
    <row r="13" spans="1:6" hidden="1" x14ac:dyDescent="0.2">
      <c r="A13" s="11" t="s">
        <v>17</v>
      </c>
      <c r="B13" s="12">
        <v>0</v>
      </c>
      <c r="C13" s="12">
        <v>0</v>
      </c>
      <c r="D13" s="12">
        <v>-34500</v>
      </c>
      <c r="E13" s="12">
        <v>0</v>
      </c>
      <c r="F13" s="12">
        <f>SUM(B13:E13)</f>
        <v>-34500</v>
      </c>
    </row>
    <row r="14" spans="1:6" hidden="1" x14ac:dyDescent="0.2">
      <c r="A14" s="13" t="s">
        <v>18</v>
      </c>
      <c r="B14" s="14">
        <f>SUM(B11:B13)</f>
        <v>243592.19</v>
      </c>
      <c r="C14" s="14">
        <f>SUM(C11:C13)</f>
        <v>546499.36</v>
      </c>
      <c r="D14" s="14">
        <f>SUM(D11:D13)</f>
        <v>3278156</v>
      </c>
      <c r="E14" s="14">
        <f>SUM(E11:E13)</f>
        <v>235227.08999999997</v>
      </c>
      <c r="F14" s="14">
        <f>SUM(F11:F13)</f>
        <v>4303474.6400000006</v>
      </c>
    </row>
    <row r="15" spans="1:6" x14ac:dyDescent="0.2">
      <c r="A15" s="10" t="s">
        <v>19</v>
      </c>
      <c r="B15" s="6">
        <v>1793.0900000000001</v>
      </c>
      <c r="C15" s="6">
        <v>148.15</v>
      </c>
      <c r="D15" s="6">
        <v>0</v>
      </c>
      <c r="E15" s="6">
        <v>115.45</v>
      </c>
      <c r="F15" s="6">
        <v>2056.69</v>
      </c>
    </row>
    <row r="16" spans="1:6" hidden="1" x14ac:dyDescent="0.2">
      <c r="A16" s="11" t="s">
        <v>20</v>
      </c>
      <c r="B16" s="12">
        <v>289.85000000000002</v>
      </c>
      <c r="C16" s="12">
        <v>148.15</v>
      </c>
      <c r="D16" s="12">
        <v>0</v>
      </c>
      <c r="E16" s="12">
        <v>0</v>
      </c>
      <c r="F16" s="12">
        <f>SUM(B16:E16)</f>
        <v>438</v>
      </c>
    </row>
    <row r="17" spans="1:6" hidden="1" x14ac:dyDescent="0.2">
      <c r="A17" s="11" t="s">
        <v>21</v>
      </c>
      <c r="B17" s="12">
        <v>0</v>
      </c>
      <c r="C17" s="12">
        <v>0</v>
      </c>
      <c r="D17" s="12">
        <v>0</v>
      </c>
      <c r="E17" s="12">
        <v>115.45</v>
      </c>
      <c r="F17" s="12">
        <f>SUM(B17:E17)</f>
        <v>115.45</v>
      </c>
    </row>
    <row r="18" spans="1:6" hidden="1" x14ac:dyDescent="0.2">
      <c r="A18" s="11" t="s">
        <v>22</v>
      </c>
      <c r="B18" s="12">
        <v>1503.24</v>
      </c>
      <c r="C18" s="12">
        <v>0</v>
      </c>
      <c r="D18" s="12">
        <v>0</v>
      </c>
      <c r="E18" s="12">
        <v>0</v>
      </c>
      <c r="F18" s="12">
        <f>SUM(B18:E18)</f>
        <v>1503.24</v>
      </c>
    </row>
    <row r="19" spans="1:6" hidden="1" x14ac:dyDescent="0.2">
      <c r="A19" s="15" t="s">
        <v>23</v>
      </c>
      <c r="B19" s="16">
        <f>SUM(B16:B18)</f>
        <v>1793.0900000000001</v>
      </c>
      <c r="C19" s="16">
        <f>SUM(C16:C18)</f>
        <v>148.15</v>
      </c>
      <c r="D19" s="16">
        <f>SUM(D16:D18)</f>
        <v>0</v>
      </c>
      <c r="E19" s="16">
        <f>SUM(E16:E18)</f>
        <v>115.45</v>
      </c>
      <c r="F19" s="16">
        <f>SUM(F16:F18)</f>
        <v>2056.69</v>
      </c>
    </row>
    <row r="20" spans="1:6" x14ac:dyDescent="0.2">
      <c r="A20" s="17" t="s">
        <v>24</v>
      </c>
      <c r="B20" s="16">
        <f>B14+0+0+B19</f>
        <v>245385.28</v>
      </c>
      <c r="C20" s="16">
        <f>C14+0+0+C19</f>
        <v>546647.51</v>
      </c>
      <c r="D20" s="16">
        <f>D14+0+0+D19</f>
        <v>3278156</v>
      </c>
      <c r="E20" s="16">
        <f>E14+0+0+E19</f>
        <v>235342.53999999998</v>
      </c>
      <c r="F20" s="16">
        <f>F14+0+0+F19</f>
        <v>4305531.330000001</v>
      </c>
    </row>
    <row r="21" spans="1:6" x14ac:dyDescent="0.2">
      <c r="A21" s="9" t="s">
        <v>25</v>
      </c>
      <c r="B21" s="6"/>
      <c r="C21" s="6"/>
      <c r="D21" s="6"/>
      <c r="E21" s="6"/>
      <c r="F21" s="6"/>
    </row>
    <row r="22" spans="1:6" x14ac:dyDescent="0.2">
      <c r="A22" s="10" t="s">
        <v>26</v>
      </c>
      <c r="B22" s="6">
        <v>0</v>
      </c>
      <c r="C22" s="6">
        <v>0</v>
      </c>
      <c r="D22" s="6">
        <v>0</v>
      </c>
      <c r="E22" s="6">
        <v>-6549</v>
      </c>
      <c r="F22" s="6">
        <v>-6549</v>
      </c>
    </row>
    <row r="23" spans="1:6" hidden="1" x14ac:dyDescent="0.2">
      <c r="A23" s="11" t="s">
        <v>27</v>
      </c>
      <c r="B23" s="12">
        <v>0</v>
      </c>
      <c r="C23" s="12">
        <v>0</v>
      </c>
      <c r="D23" s="12">
        <v>0</v>
      </c>
      <c r="E23" s="12">
        <v>-6549</v>
      </c>
      <c r="F23" s="12">
        <f>SUM(B23:E23)</f>
        <v>-6549</v>
      </c>
    </row>
    <row r="24" spans="1:6" hidden="1" x14ac:dyDescent="0.2">
      <c r="A24" s="13" t="s">
        <v>28</v>
      </c>
      <c r="B24" s="14">
        <f>SUM(B23)</f>
        <v>0</v>
      </c>
      <c r="C24" s="14">
        <f>SUM(C23)</f>
        <v>0</v>
      </c>
      <c r="D24" s="14">
        <f>SUM(D23)</f>
        <v>0</v>
      </c>
      <c r="E24" s="14">
        <f>SUM(E23)</f>
        <v>-6549</v>
      </c>
      <c r="F24" s="14">
        <f>SUM(F23)</f>
        <v>-6549</v>
      </c>
    </row>
    <row r="25" spans="1:6" x14ac:dyDescent="0.2">
      <c r="A25" s="10" t="s">
        <v>29</v>
      </c>
      <c r="B25" s="6">
        <v>-20937.16</v>
      </c>
      <c r="C25" s="6">
        <v>-447591.95</v>
      </c>
      <c r="D25" s="6">
        <v>-2674900.0099999998</v>
      </c>
      <c r="E25" s="6">
        <v>0</v>
      </c>
      <c r="F25" s="6">
        <v>-3143429.1199999996</v>
      </c>
    </row>
    <row r="26" spans="1:6" hidden="1" x14ac:dyDescent="0.2">
      <c r="A26" s="11" t="s">
        <v>30</v>
      </c>
      <c r="B26" s="12">
        <v>-20937.16</v>
      </c>
      <c r="C26" s="12">
        <v>-51903.15</v>
      </c>
      <c r="D26" s="12">
        <v>-274274.01</v>
      </c>
      <c r="E26" s="12">
        <v>0</v>
      </c>
      <c r="F26" s="12">
        <f>SUM(B26:E26)</f>
        <v>-347114.32</v>
      </c>
    </row>
    <row r="27" spans="1:6" hidden="1" x14ac:dyDescent="0.2">
      <c r="A27" s="11" t="s">
        <v>31</v>
      </c>
      <c r="B27" s="12">
        <v>0</v>
      </c>
      <c r="C27" s="12">
        <v>-395688.8</v>
      </c>
      <c r="D27" s="12">
        <v>-2400626</v>
      </c>
      <c r="E27" s="12">
        <v>0</v>
      </c>
      <c r="F27" s="12">
        <f>SUM(B27:E27)</f>
        <v>-2796314.8</v>
      </c>
    </row>
    <row r="28" spans="1:6" hidden="1" x14ac:dyDescent="0.2">
      <c r="A28" s="15" t="s">
        <v>32</v>
      </c>
      <c r="B28" s="16">
        <f>SUM(B26:B27)</f>
        <v>-20937.16</v>
      </c>
      <c r="C28" s="16">
        <f>SUM(C26:C27)</f>
        <v>-447591.95</v>
      </c>
      <c r="D28" s="16">
        <f>SUM(D26:D27)</f>
        <v>-2674900.0099999998</v>
      </c>
      <c r="E28" s="16">
        <f>SUM(E26:E27)</f>
        <v>0</v>
      </c>
      <c r="F28" s="16">
        <f>SUM(F26:F27)</f>
        <v>-3143429.1199999996</v>
      </c>
    </row>
    <row r="29" spans="1:6" x14ac:dyDescent="0.2">
      <c r="A29" s="17" t="s">
        <v>33</v>
      </c>
      <c r="B29" s="16">
        <f>B24+B28</f>
        <v>-20937.16</v>
      </c>
      <c r="C29" s="16">
        <f>C24+C28</f>
        <v>-447591.95</v>
      </c>
      <c r="D29" s="16">
        <f>D24+D28</f>
        <v>-2674900.0099999998</v>
      </c>
      <c r="E29" s="16">
        <f>E24+E28</f>
        <v>-6549</v>
      </c>
      <c r="F29" s="16">
        <f>F24+F28</f>
        <v>-3149978.1199999996</v>
      </c>
    </row>
    <row r="30" spans="1:6" x14ac:dyDescent="0.2">
      <c r="A30" s="18" t="s">
        <v>34</v>
      </c>
      <c r="B30" s="16">
        <f>B20+B29</f>
        <v>224448.12</v>
      </c>
      <c r="C30" s="16">
        <f>C20+C29</f>
        <v>99055.56</v>
      </c>
      <c r="D30" s="16">
        <f>D20+D29</f>
        <v>603255.99000000022</v>
      </c>
      <c r="E30" s="16">
        <f>E20+E29</f>
        <v>228793.53999999998</v>
      </c>
      <c r="F30" s="16">
        <f>F20+F29</f>
        <v>1155553.2100000014</v>
      </c>
    </row>
    <row r="31" spans="1:6" x14ac:dyDescent="0.2">
      <c r="A31" s="8" t="s">
        <v>35</v>
      </c>
      <c r="B31" s="6"/>
      <c r="C31" s="6"/>
      <c r="D31" s="6"/>
      <c r="E31" s="6"/>
      <c r="F31" s="6"/>
    </row>
    <row r="32" spans="1:6" x14ac:dyDescent="0.2">
      <c r="A32" s="9" t="s">
        <v>36</v>
      </c>
      <c r="B32" s="6"/>
      <c r="C32" s="6"/>
      <c r="D32" s="6"/>
      <c r="E32" s="6"/>
      <c r="F32" s="6"/>
    </row>
    <row r="33" spans="1:6" x14ac:dyDescent="0.2">
      <c r="A33" s="10" t="s">
        <v>37</v>
      </c>
      <c r="B33" s="6">
        <v>-123743.1</v>
      </c>
      <c r="C33" s="6">
        <v>-33951.550000000003</v>
      </c>
      <c r="D33" s="6">
        <v>-253011.87</v>
      </c>
      <c r="E33" s="6">
        <v>-161000</v>
      </c>
      <c r="F33" s="6">
        <v>-571706.52</v>
      </c>
    </row>
    <row r="34" spans="1:6" hidden="1" x14ac:dyDescent="0.2">
      <c r="A34" s="11" t="s">
        <v>38</v>
      </c>
      <c r="B34" s="12">
        <v>0</v>
      </c>
      <c r="C34" s="12">
        <v>0</v>
      </c>
      <c r="D34" s="12">
        <v>-29357.72</v>
      </c>
      <c r="E34" s="12">
        <v>-6500</v>
      </c>
      <c r="F34" s="12">
        <f>SUM(B34:E34)</f>
        <v>-35857.72</v>
      </c>
    </row>
    <row r="35" spans="1:6" hidden="1" x14ac:dyDescent="0.2">
      <c r="A35" s="11" t="s">
        <v>39</v>
      </c>
      <c r="B35" s="12">
        <v>-123743.1</v>
      </c>
      <c r="C35" s="12">
        <v>-33951.550000000003</v>
      </c>
      <c r="D35" s="12">
        <v>-223654.15</v>
      </c>
      <c r="E35" s="12">
        <v>-154500</v>
      </c>
      <c r="F35" s="12">
        <f>SUM(B35:E35)</f>
        <v>-535848.80000000005</v>
      </c>
    </row>
    <row r="36" spans="1:6" hidden="1" x14ac:dyDescent="0.2">
      <c r="A36" s="15" t="s">
        <v>40</v>
      </c>
      <c r="B36" s="16">
        <f>SUM(B34:B35)</f>
        <v>-123743.1</v>
      </c>
      <c r="C36" s="16">
        <f>SUM(C34:C35)</f>
        <v>-33951.550000000003</v>
      </c>
      <c r="D36" s="16">
        <f>SUM(D34:D35)</f>
        <v>-253011.87</v>
      </c>
      <c r="E36" s="16">
        <f>SUM(E34:E35)</f>
        <v>-161000</v>
      </c>
      <c r="F36" s="16">
        <f>SUM(F34:F35)</f>
        <v>-571706.52</v>
      </c>
    </row>
    <row r="37" spans="1:6" x14ac:dyDescent="0.2">
      <c r="A37" s="10" t="s">
        <v>41</v>
      </c>
      <c r="B37" s="6">
        <v>4147.2000000000007</v>
      </c>
      <c r="C37" s="6">
        <v>-3915.5499999999997</v>
      </c>
      <c r="D37" s="6">
        <v>-27440.55</v>
      </c>
      <c r="E37" s="6">
        <v>-33027.129999999997</v>
      </c>
      <c r="F37" s="6">
        <v>-60236.03</v>
      </c>
    </row>
    <row r="38" spans="1:6" hidden="1" x14ac:dyDescent="0.2">
      <c r="A38" s="11" t="s">
        <v>42</v>
      </c>
      <c r="B38" s="12">
        <v>21400.3</v>
      </c>
      <c r="C38" s="12">
        <v>787.9</v>
      </c>
      <c r="D38" s="12">
        <v>0</v>
      </c>
      <c r="E38" s="12">
        <v>-12578.8</v>
      </c>
      <c r="F38" s="12">
        <f>SUM(B38:E38)</f>
        <v>9609.4000000000015</v>
      </c>
    </row>
    <row r="39" spans="1:6" hidden="1" x14ac:dyDescent="0.2">
      <c r="A39" s="11" t="s">
        <v>43</v>
      </c>
      <c r="B39" s="12">
        <v>-16808.349999999999</v>
      </c>
      <c r="C39" s="12">
        <v>-4703.45</v>
      </c>
      <c r="D39" s="12">
        <v>-27440.55</v>
      </c>
      <c r="E39" s="12">
        <v>-6891.45</v>
      </c>
      <c r="F39" s="12">
        <f>SUM(B39:E39)</f>
        <v>-55843.799999999996</v>
      </c>
    </row>
    <row r="40" spans="1:6" hidden="1" x14ac:dyDescent="0.2">
      <c r="A40" s="11" t="s">
        <v>44</v>
      </c>
      <c r="B40" s="12">
        <v>-444.75</v>
      </c>
      <c r="C40" s="12">
        <v>0</v>
      </c>
      <c r="D40" s="12">
        <v>0</v>
      </c>
      <c r="E40" s="12">
        <v>-13556.88</v>
      </c>
      <c r="F40" s="12">
        <f>SUM(B40:E40)</f>
        <v>-14001.63</v>
      </c>
    </row>
    <row r="41" spans="1:6" hidden="1" x14ac:dyDescent="0.2">
      <c r="A41" s="15" t="s">
        <v>45</v>
      </c>
      <c r="B41" s="16">
        <f>SUM(B38:B40)</f>
        <v>4147.2000000000007</v>
      </c>
      <c r="C41" s="16">
        <f>SUM(C38:C40)</f>
        <v>-3915.5499999999997</v>
      </c>
      <c r="D41" s="16">
        <f>SUM(D38:D40)</f>
        <v>-27440.55</v>
      </c>
      <c r="E41" s="16">
        <f>SUM(E38:E40)</f>
        <v>-33027.129999999997</v>
      </c>
      <c r="F41" s="16">
        <f>SUM(F38:F40)</f>
        <v>-60236.029999999992</v>
      </c>
    </row>
    <row r="42" spans="1:6" x14ac:dyDescent="0.2">
      <c r="A42" s="17" t="s">
        <v>46</v>
      </c>
      <c r="B42" s="16">
        <f>B36+B41</f>
        <v>-119595.90000000001</v>
      </c>
      <c r="C42" s="16">
        <f>C36+C41</f>
        <v>-37867.100000000006</v>
      </c>
      <c r="D42" s="16">
        <f>D36+D41</f>
        <v>-280452.42</v>
      </c>
      <c r="E42" s="16">
        <f>E36+E41</f>
        <v>-194027.13</v>
      </c>
      <c r="F42" s="16">
        <f>F36+F41</f>
        <v>-631942.55000000005</v>
      </c>
    </row>
    <row r="43" spans="1:6" x14ac:dyDescent="0.2">
      <c r="A43" s="9" t="s">
        <v>47</v>
      </c>
      <c r="B43" s="6"/>
      <c r="C43" s="6"/>
      <c r="D43" s="6"/>
      <c r="E43" s="6"/>
      <c r="F43" s="6"/>
    </row>
    <row r="44" spans="1:6" x14ac:dyDescent="0.2">
      <c r="A44" s="10" t="s">
        <v>48</v>
      </c>
      <c r="B44" s="6">
        <v>-280</v>
      </c>
      <c r="C44" s="6">
        <v>-1720</v>
      </c>
      <c r="D44" s="6">
        <v>0</v>
      </c>
      <c r="E44" s="6">
        <v>-1631.14</v>
      </c>
      <c r="F44" s="6">
        <v>-3631.1400000000003</v>
      </c>
    </row>
    <row r="45" spans="1:6" hidden="1" x14ac:dyDescent="0.2">
      <c r="A45" s="11" t="s">
        <v>49</v>
      </c>
      <c r="B45" s="12">
        <v>-280</v>
      </c>
      <c r="C45" s="12">
        <v>-1720</v>
      </c>
      <c r="D45" s="12">
        <v>0</v>
      </c>
      <c r="E45" s="12">
        <v>-1631.14</v>
      </c>
      <c r="F45" s="12">
        <f>SUM(B45:E45)</f>
        <v>-3631.1400000000003</v>
      </c>
    </row>
    <row r="46" spans="1:6" hidden="1" x14ac:dyDescent="0.2">
      <c r="A46" s="15" t="s">
        <v>50</v>
      </c>
      <c r="B46" s="16">
        <f>SUM(B45)</f>
        <v>-280</v>
      </c>
      <c r="C46" s="16">
        <f>SUM(C45)</f>
        <v>-1720</v>
      </c>
      <c r="D46" s="16">
        <f>SUM(D45)</f>
        <v>0</v>
      </c>
      <c r="E46" s="16">
        <f>SUM(E45)</f>
        <v>-1631.14</v>
      </c>
      <c r="F46" s="16">
        <f>SUM(F45)</f>
        <v>-3631.1400000000003</v>
      </c>
    </row>
    <row r="47" spans="1:6" x14ac:dyDescent="0.2">
      <c r="A47" s="17" t="s">
        <v>51</v>
      </c>
      <c r="B47" s="16">
        <f>B46+0</f>
        <v>-280</v>
      </c>
      <c r="C47" s="16">
        <f>C46+0</f>
        <v>-1720</v>
      </c>
      <c r="D47" s="16">
        <f>D46+0</f>
        <v>0</v>
      </c>
      <c r="E47" s="16">
        <f>E46+0</f>
        <v>-1631.14</v>
      </c>
      <c r="F47" s="16">
        <f>F46+0</f>
        <v>-3631.1400000000003</v>
      </c>
    </row>
    <row r="48" spans="1:6" x14ac:dyDescent="0.2">
      <c r="A48" s="9" t="s">
        <v>52</v>
      </c>
      <c r="B48" s="6">
        <v>-95590.340000000011</v>
      </c>
      <c r="C48" s="6">
        <v>-66198.940000000017</v>
      </c>
      <c r="D48" s="6">
        <v>-121992.16</v>
      </c>
      <c r="E48" s="6">
        <v>-75296.95</v>
      </c>
      <c r="F48" s="6">
        <v>-359078.39000000007</v>
      </c>
    </row>
    <row r="49" spans="1:6" hidden="1" x14ac:dyDescent="0.2">
      <c r="A49" s="19" t="s">
        <v>53</v>
      </c>
      <c r="B49" s="12">
        <v>-28406.52</v>
      </c>
      <c r="C49" s="12">
        <v>-5278.5</v>
      </c>
      <c r="D49" s="12">
        <v>-145.35</v>
      </c>
      <c r="E49" s="12">
        <v>-21999.79</v>
      </c>
      <c r="F49" s="12">
        <f t="shared" ref="F49:F74" si="0">SUM(B49:E49)</f>
        <v>-55830.16</v>
      </c>
    </row>
    <row r="50" spans="1:6" hidden="1" x14ac:dyDescent="0.2">
      <c r="A50" s="19" t="s">
        <v>54</v>
      </c>
      <c r="B50" s="12">
        <v>0</v>
      </c>
      <c r="C50" s="12">
        <v>-112.85</v>
      </c>
      <c r="D50" s="12">
        <v>0</v>
      </c>
      <c r="E50" s="12">
        <v>-63.23</v>
      </c>
      <c r="F50" s="12">
        <f t="shared" si="0"/>
        <v>-176.07999999999998</v>
      </c>
    </row>
    <row r="51" spans="1:6" hidden="1" x14ac:dyDescent="0.2">
      <c r="A51" s="19" t="s">
        <v>55</v>
      </c>
      <c r="B51" s="12">
        <v>-250</v>
      </c>
      <c r="C51" s="12">
        <v>-600</v>
      </c>
      <c r="D51" s="12">
        <v>0</v>
      </c>
      <c r="E51" s="12">
        <v>-91.13</v>
      </c>
      <c r="F51" s="12">
        <f t="shared" si="0"/>
        <v>-941.13</v>
      </c>
    </row>
    <row r="52" spans="1:6" hidden="1" x14ac:dyDescent="0.2">
      <c r="A52" s="19" t="s">
        <v>56</v>
      </c>
      <c r="B52" s="12">
        <v>-366.15</v>
      </c>
      <c r="C52" s="12">
        <v>0</v>
      </c>
      <c r="D52" s="12">
        <v>-1675</v>
      </c>
      <c r="E52" s="12">
        <v>-2819.45</v>
      </c>
      <c r="F52" s="12">
        <f t="shared" si="0"/>
        <v>-4860.6000000000004</v>
      </c>
    </row>
    <row r="53" spans="1:6" hidden="1" x14ac:dyDescent="0.2">
      <c r="A53" s="19" t="s">
        <v>57</v>
      </c>
      <c r="B53" s="12">
        <v>-2318.4699999999998</v>
      </c>
      <c r="C53" s="12">
        <v>-2615.98</v>
      </c>
      <c r="D53" s="12">
        <v>-160</v>
      </c>
      <c r="E53" s="12">
        <v>-3522</v>
      </c>
      <c r="F53" s="12">
        <f t="shared" si="0"/>
        <v>-8616.4500000000007</v>
      </c>
    </row>
    <row r="54" spans="1:6" hidden="1" x14ac:dyDescent="0.2">
      <c r="A54" s="19" t="s">
        <v>58</v>
      </c>
      <c r="B54" s="12">
        <v>0</v>
      </c>
      <c r="C54" s="12">
        <v>-2800</v>
      </c>
      <c r="D54" s="12">
        <v>0</v>
      </c>
      <c r="E54" s="12">
        <v>0</v>
      </c>
      <c r="F54" s="12">
        <f t="shared" si="0"/>
        <v>-2800</v>
      </c>
    </row>
    <row r="55" spans="1:6" hidden="1" x14ac:dyDescent="0.2">
      <c r="A55" s="19" t="s">
        <v>59</v>
      </c>
      <c r="B55" s="12">
        <v>-76.739999999999995</v>
      </c>
      <c r="C55" s="12">
        <v>0</v>
      </c>
      <c r="D55" s="12">
        <v>-1432.82</v>
      </c>
      <c r="E55" s="12">
        <v>-301.95</v>
      </c>
      <c r="F55" s="12">
        <f t="shared" si="0"/>
        <v>-1811.51</v>
      </c>
    </row>
    <row r="56" spans="1:6" hidden="1" x14ac:dyDescent="0.2">
      <c r="A56" s="19" t="s">
        <v>60</v>
      </c>
      <c r="B56" s="12">
        <v>-100</v>
      </c>
      <c r="C56" s="12">
        <v>0</v>
      </c>
      <c r="D56" s="12">
        <v>0</v>
      </c>
      <c r="E56" s="12">
        <v>0</v>
      </c>
      <c r="F56" s="12">
        <f t="shared" si="0"/>
        <v>-100</v>
      </c>
    </row>
    <row r="57" spans="1:6" hidden="1" x14ac:dyDescent="0.2">
      <c r="A57" s="19" t="s">
        <v>61</v>
      </c>
      <c r="B57" s="12">
        <v>-13987.14</v>
      </c>
      <c r="C57" s="12">
        <v>-2516.65</v>
      </c>
      <c r="D57" s="12">
        <v>-973.26</v>
      </c>
      <c r="E57" s="12">
        <v>-13037.51</v>
      </c>
      <c r="F57" s="12">
        <f t="shared" si="0"/>
        <v>-30514.559999999998</v>
      </c>
    </row>
    <row r="58" spans="1:6" hidden="1" x14ac:dyDescent="0.2">
      <c r="A58" s="19" t="s">
        <v>62</v>
      </c>
      <c r="B58" s="12">
        <v>-225.59</v>
      </c>
      <c r="C58" s="12">
        <v>0</v>
      </c>
      <c r="D58" s="12">
        <v>0</v>
      </c>
      <c r="E58" s="12">
        <v>-1646.98</v>
      </c>
      <c r="F58" s="12">
        <f t="shared" si="0"/>
        <v>-1872.57</v>
      </c>
    </row>
    <row r="59" spans="1:6" hidden="1" x14ac:dyDescent="0.2">
      <c r="A59" s="19" t="s">
        <v>63</v>
      </c>
      <c r="B59" s="12">
        <v>-464.25</v>
      </c>
      <c r="C59" s="12">
        <v>0</v>
      </c>
      <c r="D59" s="12">
        <v>0</v>
      </c>
      <c r="E59" s="12">
        <v>0</v>
      </c>
      <c r="F59" s="12">
        <f t="shared" si="0"/>
        <v>-464.25</v>
      </c>
    </row>
    <row r="60" spans="1:6" hidden="1" x14ac:dyDescent="0.2">
      <c r="A60" s="19" t="s">
        <v>64</v>
      </c>
      <c r="B60" s="12">
        <v>-8367.51</v>
      </c>
      <c r="C60" s="12">
        <v>-7903.75</v>
      </c>
      <c r="D60" s="12">
        <v>-78616.509999999995</v>
      </c>
      <c r="E60" s="12">
        <v>-22448.09</v>
      </c>
      <c r="F60" s="12">
        <f t="shared" si="0"/>
        <v>-117335.85999999999</v>
      </c>
    </row>
    <row r="61" spans="1:6" hidden="1" x14ac:dyDescent="0.2">
      <c r="A61" s="19" t="s">
        <v>65</v>
      </c>
      <c r="B61" s="12">
        <v>-3554.46</v>
      </c>
      <c r="C61" s="12">
        <v>0</v>
      </c>
      <c r="D61" s="12">
        <v>0</v>
      </c>
      <c r="E61" s="12">
        <v>0</v>
      </c>
      <c r="F61" s="12">
        <f t="shared" si="0"/>
        <v>-3554.46</v>
      </c>
    </row>
    <row r="62" spans="1:6" hidden="1" x14ac:dyDescent="0.2">
      <c r="A62" s="19" t="s">
        <v>66</v>
      </c>
      <c r="B62" s="12">
        <v>-219.81</v>
      </c>
      <c r="C62" s="12">
        <v>-27.84</v>
      </c>
      <c r="D62" s="12">
        <v>0</v>
      </c>
      <c r="E62" s="12">
        <v>-40</v>
      </c>
      <c r="F62" s="12">
        <f t="shared" si="0"/>
        <v>-287.64999999999998</v>
      </c>
    </row>
    <row r="63" spans="1:6" hidden="1" x14ac:dyDescent="0.2">
      <c r="A63" s="19" t="s">
        <v>67</v>
      </c>
      <c r="B63" s="12">
        <v>-1509.21</v>
      </c>
      <c r="C63" s="12">
        <v>-355.86</v>
      </c>
      <c r="D63" s="12">
        <v>-129.22999999999999</v>
      </c>
      <c r="E63" s="12">
        <v>-379.43</v>
      </c>
      <c r="F63" s="12">
        <f t="shared" si="0"/>
        <v>-2373.73</v>
      </c>
    </row>
    <row r="64" spans="1:6" hidden="1" x14ac:dyDescent="0.2">
      <c r="A64" s="19" t="s">
        <v>68</v>
      </c>
      <c r="B64" s="12">
        <v>-515.36</v>
      </c>
      <c r="C64" s="12">
        <v>-150.46</v>
      </c>
      <c r="D64" s="12">
        <v>0</v>
      </c>
      <c r="E64" s="12">
        <v>-117.45</v>
      </c>
      <c r="F64" s="12">
        <f t="shared" si="0"/>
        <v>-783.2700000000001</v>
      </c>
    </row>
    <row r="65" spans="1:6" hidden="1" x14ac:dyDescent="0.2">
      <c r="A65" s="19" t="s">
        <v>69</v>
      </c>
      <c r="B65" s="12">
        <v>-148.15</v>
      </c>
      <c r="C65" s="12">
        <v>-53.65</v>
      </c>
      <c r="D65" s="12">
        <v>0</v>
      </c>
      <c r="E65" s="12">
        <v>-2488.1</v>
      </c>
      <c r="F65" s="12">
        <f t="shared" si="0"/>
        <v>-2689.9</v>
      </c>
    </row>
    <row r="66" spans="1:6" hidden="1" x14ac:dyDescent="0.2">
      <c r="A66" s="19" t="s">
        <v>70</v>
      </c>
      <c r="B66" s="12">
        <v>-300</v>
      </c>
      <c r="C66" s="12">
        <v>0</v>
      </c>
      <c r="D66" s="12">
        <v>0</v>
      </c>
      <c r="E66" s="12">
        <v>0</v>
      </c>
      <c r="F66" s="12">
        <f t="shared" si="0"/>
        <v>-300</v>
      </c>
    </row>
    <row r="67" spans="1:6" hidden="1" x14ac:dyDescent="0.2">
      <c r="A67" s="19" t="s">
        <v>71</v>
      </c>
      <c r="B67" s="12">
        <v>0</v>
      </c>
      <c r="C67" s="12">
        <v>0</v>
      </c>
      <c r="D67" s="12">
        <v>-3800</v>
      </c>
      <c r="E67" s="12">
        <v>0</v>
      </c>
      <c r="F67" s="12">
        <f t="shared" si="0"/>
        <v>-3800</v>
      </c>
    </row>
    <row r="68" spans="1:6" hidden="1" x14ac:dyDescent="0.2">
      <c r="A68" s="19" t="s">
        <v>72</v>
      </c>
      <c r="B68" s="12">
        <v>0</v>
      </c>
      <c r="C68" s="12">
        <v>-18771.580000000002</v>
      </c>
      <c r="D68" s="12">
        <v>-12660.91</v>
      </c>
      <c r="E68" s="12">
        <v>0</v>
      </c>
      <c r="F68" s="12">
        <f t="shared" si="0"/>
        <v>-31432.49</v>
      </c>
    </row>
    <row r="69" spans="1:6" hidden="1" x14ac:dyDescent="0.2">
      <c r="A69" s="19" t="s">
        <v>73</v>
      </c>
      <c r="B69" s="12">
        <v>-10515.6</v>
      </c>
      <c r="C69" s="12">
        <v>-10000</v>
      </c>
      <c r="D69" s="12">
        <v>-10000</v>
      </c>
      <c r="E69" s="12">
        <v>0</v>
      </c>
      <c r="F69" s="12">
        <f t="shared" si="0"/>
        <v>-30515.599999999999</v>
      </c>
    </row>
    <row r="70" spans="1:6" hidden="1" x14ac:dyDescent="0.2">
      <c r="A70" s="19" t="s">
        <v>74</v>
      </c>
      <c r="B70" s="12">
        <v>-10430</v>
      </c>
      <c r="C70" s="12">
        <v>-14727.78</v>
      </c>
      <c r="D70" s="12">
        <v>-12024.68</v>
      </c>
      <c r="E70" s="12">
        <v>0</v>
      </c>
      <c r="F70" s="12">
        <f t="shared" si="0"/>
        <v>-37182.46</v>
      </c>
    </row>
    <row r="71" spans="1:6" hidden="1" x14ac:dyDescent="0.2">
      <c r="A71" s="19" t="s">
        <v>75</v>
      </c>
      <c r="B71" s="12">
        <v>-15434.94</v>
      </c>
      <c r="C71" s="12">
        <v>-18</v>
      </c>
      <c r="D71" s="12">
        <v>-97.4</v>
      </c>
      <c r="E71" s="12">
        <v>-6248.04</v>
      </c>
      <c r="F71" s="12">
        <f t="shared" si="0"/>
        <v>-21798.38</v>
      </c>
    </row>
    <row r="72" spans="1:6" hidden="1" x14ac:dyDescent="0.2">
      <c r="A72" s="19" t="s">
        <v>76</v>
      </c>
      <c r="B72" s="12">
        <v>-234.44</v>
      </c>
      <c r="C72" s="12">
        <v>-275.94</v>
      </c>
      <c r="D72" s="12">
        <v>-376.64</v>
      </c>
      <c r="E72" s="12">
        <v>-93.8</v>
      </c>
      <c r="F72" s="12">
        <f t="shared" si="0"/>
        <v>-980.81999999999994</v>
      </c>
    </row>
    <row r="73" spans="1:6" hidden="1" x14ac:dyDescent="0.2">
      <c r="A73" s="19" t="s">
        <v>77</v>
      </c>
      <c r="B73" s="12">
        <v>-13.79</v>
      </c>
      <c r="C73" s="12">
        <v>9.9</v>
      </c>
      <c r="D73" s="12">
        <v>99.64</v>
      </c>
      <c r="E73" s="12">
        <v>0</v>
      </c>
      <c r="F73" s="12">
        <f t="shared" si="0"/>
        <v>95.75</v>
      </c>
    </row>
    <row r="74" spans="1:6" hidden="1" x14ac:dyDescent="0.2">
      <c r="A74" s="19" t="s">
        <v>78</v>
      </c>
      <c r="B74" s="12">
        <v>1847.79</v>
      </c>
      <c r="C74" s="12">
        <v>0</v>
      </c>
      <c r="D74" s="12">
        <v>0</v>
      </c>
      <c r="E74" s="12">
        <v>0</v>
      </c>
      <c r="F74" s="12">
        <f t="shared" si="0"/>
        <v>1847.79</v>
      </c>
    </row>
    <row r="75" spans="1:6" hidden="1" x14ac:dyDescent="0.2">
      <c r="A75" s="17" t="s">
        <v>79</v>
      </c>
      <c r="B75" s="16">
        <f>SUM(B49:B74)</f>
        <v>-95590.340000000011</v>
      </c>
      <c r="C75" s="16">
        <f>SUM(C49:C74)</f>
        <v>-66198.940000000017</v>
      </c>
      <c r="D75" s="16">
        <f>SUM(D49:D74)</f>
        <v>-121992.16</v>
      </c>
      <c r="E75" s="16">
        <f>SUM(E49:E74)</f>
        <v>-75296.95</v>
      </c>
      <c r="F75" s="16">
        <f>SUM(F49:F74)</f>
        <v>-359078.39</v>
      </c>
    </row>
    <row r="76" spans="1:6" x14ac:dyDescent="0.2">
      <c r="A76" s="18" t="s">
        <v>80</v>
      </c>
      <c r="B76" s="16">
        <f>B42+B47+B75</f>
        <v>-215466.24000000002</v>
      </c>
      <c r="C76" s="16">
        <f>C42+C47+C75</f>
        <v>-105786.04000000002</v>
      </c>
      <c r="D76" s="16">
        <f>D42+D47+D75</f>
        <v>-402444.57999999996</v>
      </c>
      <c r="E76" s="16">
        <f>E42+E47+E75</f>
        <v>-270955.22000000003</v>
      </c>
      <c r="F76" s="16">
        <f>F42+F47+F75</f>
        <v>-994652.08000000007</v>
      </c>
    </row>
    <row r="77" spans="1:6" x14ac:dyDescent="0.2">
      <c r="A77" s="20" t="s">
        <v>81</v>
      </c>
      <c r="B77" s="16">
        <f>B30+B76</f>
        <v>8981.8799999999756</v>
      </c>
      <c r="C77" s="16">
        <f>C30+C76</f>
        <v>-6730.480000000025</v>
      </c>
      <c r="D77" s="16">
        <f>D30+D76</f>
        <v>200811.41000000027</v>
      </c>
      <c r="E77" s="16">
        <f>E30+E76</f>
        <v>-42161.680000000051</v>
      </c>
      <c r="F77" s="16">
        <f>F30+F76</f>
        <v>160901.13000000129</v>
      </c>
    </row>
    <row r="78" spans="1:6" x14ac:dyDescent="0.2">
      <c r="A78" s="7" t="s">
        <v>82</v>
      </c>
      <c r="B78" s="6"/>
      <c r="C78" s="6"/>
      <c r="D78" s="6"/>
      <c r="E78" s="6"/>
      <c r="F78" s="6"/>
    </row>
    <row r="79" spans="1:6" x14ac:dyDescent="0.2">
      <c r="A79" s="8" t="s">
        <v>83</v>
      </c>
      <c r="B79" s="6">
        <v>15025.64</v>
      </c>
      <c r="C79" s="6">
        <v>2934.6</v>
      </c>
      <c r="D79" s="6">
        <v>-111.8</v>
      </c>
      <c r="E79" s="6">
        <v>0</v>
      </c>
      <c r="F79" s="6">
        <v>17848.439999999999</v>
      </c>
    </row>
    <row r="80" spans="1:6" hidden="1" x14ac:dyDescent="0.2">
      <c r="A80" s="21" t="s">
        <v>84</v>
      </c>
      <c r="B80" s="12">
        <v>15025.64</v>
      </c>
      <c r="C80" s="12">
        <v>2934.6</v>
      </c>
      <c r="D80" s="12">
        <v>-111.8</v>
      </c>
      <c r="E80" s="12">
        <v>0</v>
      </c>
      <c r="F80" s="12">
        <f>SUM(B80:E80)</f>
        <v>17848.439999999999</v>
      </c>
    </row>
    <row r="81" spans="1:6" hidden="1" x14ac:dyDescent="0.2">
      <c r="A81" s="18" t="s">
        <v>85</v>
      </c>
      <c r="B81" s="16">
        <f>SUM(B80)</f>
        <v>15025.64</v>
      </c>
      <c r="C81" s="16">
        <f>SUM(C80)</f>
        <v>2934.6</v>
      </c>
      <c r="D81" s="16">
        <f>SUM(D80)</f>
        <v>-111.8</v>
      </c>
      <c r="E81" s="16">
        <f>SUM(E80)</f>
        <v>0</v>
      </c>
      <c r="F81" s="16">
        <f>SUM(F80)</f>
        <v>17848.439999999999</v>
      </c>
    </row>
    <row r="82" spans="1:6" x14ac:dyDescent="0.2">
      <c r="A82" s="20" t="s">
        <v>86</v>
      </c>
      <c r="B82" s="16">
        <f>0+0+0+0+B81</f>
        <v>15025.64</v>
      </c>
      <c r="C82" s="16">
        <f>0+0+0+0+C81</f>
        <v>2934.6</v>
      </c>
      <c r="D82" s="16">
        <f>0+0+0+0+D81</f>
        <v>-111.8</v>
      </c>
      <c r="E82" s="16">
        <f>0+0+0+0+E81</f>
        <v>0</v>
      </c>
      <c r="F82" s="16">
        <f>0+0+0+0+F81</f>
        <v>17848.439999999999</v>
      </c>
    </row>
    <row r="83" spans="1:6" x14ac:dyDescent="0.2">
      <c r="A83" s="7" t="s">
        <v>87</v>
      </c>
      <c r="B83" s="6">
        <v>-1460.35</v>
      </c>
      <c r="C83" s="6">
        <v>-169.1</v>
      </c>
      <c r="D83" s="6">
        <v>-35824.1</v>
      </c>
      <c r="E83" s="6">
        <v>0</v>
      </c>
      <c r="F83" s="6">
        <v>-37453.549999999996</v>
      </c>
    </row>
    <row r="84" spans="1:6" hidden="1" x14ac:dyDescent="0.2">
      <c r="A84" s="22" t="s">
        <v>88</v>
      </c>
      <c r="B84" s="12">
        <v>-1460.35</v>
      </c>
      <c r="C84" s="12">
        <v>-169.1</v>
      </c>
      <c r="D84" s="12">
        <v>-35824.1</v>
      </c>
      <c r="E84" s="12">
        <v>0</v>
      </c>
      <c r="F84" s="12">
        <f>SUM(B84:E84)</f>
        <v>-37453.549999999996</v>
      </c>
    </row>
    <row r="85" spans="1:6" hidden="1" x14ac:dyDescent="0.2">
      <c r="A85" s="20" t="s">
        <v>89</v>
      </c>
      <c r="B85" s="16">
        <f>SUM(B84)</f>
        <v>-1460.35</v>
      </c>
      <c r="C85" s="16">
        <f>SUM(C84)</f>
        <v>-169.1</v>
      </c>
      <c r="D85" s="16">
        <f>SUM(D84)</f>
        <v>-35824.1</v>
      </c>
      <c r="E85" s="16">
        <f>SUM(E84)</f>
        <v>0</v>
      </c>
      <c r="F85" s="16">
        <f>SUM(F84)</f>
        <v>-37453.549999999996</v>
      </c>
    </row>
    <row r="86" spans="1:6" x14ac:dyDescent="0.2">
      <c r="A86" s="23" t="s">
        <v>90</v>
      </c>
      <c r="B86" s="16">
        <f>B77+B82+B85+0</f>
        <v>22547.169999999976</v>
      </c>
      <c r="C86" s="16">
        <f>C77+C82+C85+0</f>
        <v>-3964.980000000025</v>
      </c>
      <c r="D86" s="16">
        <f>D77+D82+D85+0</f>
        <v>164875.51000000027</v>
      </c>
      <c r="E86" s="16">
        <f>E77+E82+E85+0</f>
        <v>-42161.680000000051</v>
      </c>
      <c r="F86" s="16">
        <f>F77+F82+F85+0</f>
        <v>141296.0200000013</v>
      </c>
    </row>
  </sheetData>
  <mergeCells count="3">
    <mergeCell ref="A1:F1"/>
    <mergeCell ref="A2:F2"/>
    <mergeCell ref="A3:F3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PGPLbyEntityandMonthQuart</vt:lpstr>
    </vt:vector>
  </TitlesOfParts>
  <Company>NetSuite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NetSuite Reports</dc:creator>
  <cp:lastModifiedBy>Michael Mohl</cp:lastModifiedBy>
  <dcterms:created xsi:type="dcterms:W3CDTF">2023-08-08T18:55:01Z</dcterms:created>
  <dcterms:modified xsi:type="dcterms:W3CDTF">2023-08-08T18:57:43Z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