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CH\"/>
    </mc:Choice>
  </mc:AlternateContent>
  <xr:revisionPtr revIDLastSave="0" documentId="13_ncr:40009_{381AEA66-76BD-4116-B529-F94218C0CEAB}" xr6:coauthVersionLast="47" xr6:coauthVersionMax="47" xr10:uidLastSave="{00000000-0000-0000-0000-000000000000}"/>
  <bookViews>
    <workbookView xWindow="-120" yWindow="-120" windowWidth="29040" windowHeight="15840"/>
  </bookViews>
  <sheets>
    <sheet name="PGPLbyEntityandMonthQu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7" i="1" l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Q86" i="1"/>
  <c r="AQ85" i="1"/>
  <c r="AP82" i="1"/>
  <c r="AP83" i="1" s="1"/>
  <c r="AO82" i="1"/>
  <c r="AO83" i="1" s="1"/>
  <c r="AN82" i="1"/>
  <c r="AN83" i="1" s="1"/>
  <c r="AM82" i="1"/>
  <c r="AM83" i="1" s="1"/>
  <c r="AL82" i="1"/>
  <c r="AL83" i="1" s="1"/>
  <c r="AK82" i="1"/>
  <c r="AK83" i="1" s="1"/>
  <c r="AJ82" i="1"/>
  <c r="AJ83" i="1" s="1"/>
  <c r="AI82" i="1"/>
  <c r="AI83" i="1" s="1"/>
  <c r="AH82" i="1"/>
  <c r="AH83" i="1" s="1"/>
  <c r="AG82" i="1"/>
  <c r="AG83" i="1" s="1"/>
  <c r="AF82" i="1"/>
  <c r="AF83" i="1" s="1"/>
  <c r="AE82" i="1"/>
  <c r="AE83" i="1" s="1"/>
  <c r="AD82" i="1"/>
  <c r="AD83" i="1" s="1"/>
  <c r="AC82" i="1"/>
  <c r="AC83" i="1" s="1"/>
  <c r="AB82" i="1"/>
  <c r="AB83" i="1" s="1"/>
  <c r="AA82" i="1"/>
  <c r="AA83" i="1" s="1"/>
  <c r="Z82" i="1"/>
  <c r="Z83" i="1" s="1"/>
  <c r="Y82" i="1"/>
  <c r="Y83" i="1" s="1"/>
  <c r="X82" i="1"/>
  <c r="X83" i="1" s="1"/>
  <c r="W82" i="1"/>
  <c r="W83" i="1" s="1"/>
  <c r="V82" i="1"/>
  <c r="V83" i="1" s="1"/>
  <c r="U82" i="1"/>
  <c r="U83" i="1" s="1"/>
  <c r="T82" i="1"/>
  <c r="T83" i="1" s="1"/>
  <c r="S82" i="1"/>
  <c r="S83" i="1" s="1"/>
  <c r="R82" i="1"/>
  <c r="R83" i="1" s="1"/>
  <c r="Q82" i="1"/>
  <c r="Q83" i="1" s="1"/>
  <c r="P82" i="1"/>
  <c r="P83" i="1" s="1"/>
  <c r="O82" i="1"/>
  <c r="O83" i="1" s="1"/>
  <c r="N82" i="1"/>
  <c r="N83" i="1" s="1"/>
  <c r="M82" i="1"/>
  <c r="M83" i="1" s="1"/>
  <c r="L82" i="1"/>
  <c r="L83" i="1" s="1"/>
  <c r="K82" i="1"/>
  <c r="K83" i="1" s="1"/>
  <c r="J82" i="1"/>
  <c r="J83" i="1" s="1"/>
  <c r="I82" i="1"/>
  <c r="I83" i="1" s="1"/>
  <c r="H82" i="1"/>
  <c r="H83" i="1" s="1"/>
  <c r="G82" i="1"/>
  <c r="G83" i="1" s="1"/>
  <c r="F82" i="1"/>
  <c r="F83" i="1" s="1"/>
  <c r="E82" i="1"/>
  <c r="E83" i="1" s="1"/>
  <c r="D82" i="1"/>
  <c r="D83" i="1" s="1"/>
  <c r="C82" i="1"/>
  <c r="C83" i="1" s="1"/>
  <c r="B82" i="1"/>
  <c r="B83" i="1" s="1"/>
  <c r="AQ81" i="1"/>
  <c r="AQ82" i="1" s="1"/>
  <c r="AQ83" i="1" s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P47" i="1"/>
  <c r="AP48" i="1" s="1"/>
  <c r="AO47" i="1"/>
  <c r="AO48" i="1" s="1"/>
  <c r="AN47" i="1"/>
  <c r="AN48" i="1" s="1"/>
  <c r="AM47" i="1"/>
  <c r="AM48" i="1" s="1"/>
  <c r="AL47" i="1"/>
  <c r="AL48" i="1" s="1"/>
  <c r="AK47" i="1"/>
  <c r="AK48" i="1" s="1"/>
  <c r="AJ47" i="1"/>
  <c r="AJ48" i="1" s="1"/>
  <c r="AI47" i="1"/>
  <c r="AI48" i="1" s="1"/>
  <c r="AH47" i="1"/>
  <c r="AH48" i="1" s="1"/>
  <c r="AG47" i="1"/>
  <c r="AG48" i="1" s="1"/>
  <c r="AF47" i="1"/>
  <c r="AF48" i="1" s="1"/>
  <c r="AE47" i="1"/>
  <c r="AE48" i="1" s="1"/>
  <c r="AD47" i="1"/>
  <c r="AD48" i="1" s="1"/>
  <c r="AC47" i="1"/>
  <c r="AC48" i="1" s="1"/>
  <c r="AB47" i="1"/>
  <c r="AB48" i="1" s="1"/>
  <c r="AA47" i="1"/>
  <c r="AA48" i="1" s="1"/>
  <c r="Z47" i="1"/>
  <c r="Z48" i="1" s="1"/>
  <c r="Y47" i="1"/>
  <c r="Y48" i="1" s="1"/>
  <c r="X47" i="1"/>
  <c r="X48" i="1" s="1"/>
  <c r="W47" i="1"/>
  <c r="W48" i="1" s="1"/>
  <c r="V47" i="1"/>
  <c r="V48" i="1" s="1"/>
  <c r="U47" i="1"/>
  <c r="U48" i="1" s="1"/>
  <c r="T47" i="1"/>
  <c r="T48" i="1" s="1"/>
  <c r="S47" i="1"/>
  <c r="S48" i="1" s="1"/>
  <c r="R47" i="1"/>
  <c r="R48" i="1" s="1"/>
  <c r="Q47" i="1"/>
  <c r="Q48" i="1" s="1"/>
  <c r="P47" i="1"/>
  <c r="P48" i="1" s="1"/>
  <c r="O47" i="1"/>
  <c r="O48" i="1" s="1"/>
  <c r="N47" i="1"/>
  <c r="N48" i="1" s="1"/>
  <c r="M47" i="1"/>
  <c r="M48" i="1" s="1"/>
  <c r="L47" i="1"/>
  <c r="L48" i="1" s="1"/>
  <c r="K47" i="1"/>
  <c r="K48" i="1" s="1"/>
  <c r="J47" i="1"/>
  <c r="J48" i="1" s="1"/>
  <c r="I47" i="1"/>
  <c r="I48" i="1" s="1"/>
  <c r="H47" i="1"/>
  <c r="H48" i="1" s="1"/>
  <c r="G47" i="1"/>
  <c r="G48" i="1" s="1"/>
  <c r="F47" i="1"/>
  <c r="F48" i="1" s="1"/>
  <c r="E47" i="1"/>
  <c r="E48" i="1" s="1"/>
  <c r="D47" i="1"/>
  <c r="D48" i="1" s="1"/>
  <c r="C47" i="1"/>
  <c r="C48" i="1" s="1"/>
  <c r="B47" i="1"/>
  <c r="B48" i="1" s="1"/>
  <c r="AQ46" i="1"/>
  <c r="AQ47" i="1" s="1"/>
  <c r="AQ48" i="1" s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Q41" i="1"/>
  <c r="AQ40" i="1"/>
  <c r="AQ39" i="1"/>
  <c r="AP37" i="1"/>
  <c r="AO37" i="1"/>
  <c r="AN37" i="1"/>
  <c r="AM37" i="1"/>
  <c r="AL37" i="1"/>
  <c r="AK37" i="1"/>
  <c r="AK43" i="1" s="1"/>
  <c r="AJ37" i="1"/>
  <c r="AJ43" i="1" s="1"/>
  <c r="AI37" i="1"/>
  <c r="AI43" i="1" s="1"/>
  <c r="AI77" i="1" s="1"/>
  <c r="AH37" i="1"/>
  <c r="AG37" i="1"/>
  <c r="AF37" i="1"/>
  <c r="AE37" i="1"/>
  <c r="AD37" i="1"/>
  <c r="AC37" i="1"/>
  <c r="AC43" i="1" s="1"/>
  <c r="AB37" i="1"/>
  <c r="AB43" i="1" s="1"/>
  <c r="AA37" i="1"/>
  <c r="AA43" i="1" s="1"/>
  <c r="AA77" i="1" s="1"/>
  <c r="Z37" i="1"/>
  <c r="Y37" i="1"/>
  <c r="X37" i="1"/>
  <c r="W37" i="1"/>
  <c r="V37" i="1"/>
  <c r="U37" i="1"/>
  <c r="U43" i="1" s="1"/>
  <c r="T37" i="1"/>
  <c r="T43" i="1" s="1"/>
  <c r="S37" i="1"/>
  <c r="S43" i="1" s="1"/>
  <c r="S77" i="1" s="1"/>
  <c r="R37" i="1"/>
  <c r="Q37" i="1"/>
  <c r="P37" i="1"/>
  <c r="O37" i="1"/>
  <c r="N37" i="1"/>
  <c r="M37" i="1"/>
  <c r="M43" i="1" s="1"/>
  <c r="L37" i="1"/>
  <c r="L43" i="1" s="1"/>
  <c r="K37" i="1"/>
  <c r="K43" i="1" s="1"/>
  <c r="K77" i="1" s="1"/>
  <c r="J37" i="1"/>
  <c r="I37" i="1"/>
  <c r="H37" i="1"/>
  <c r="G37" i="1"/>
  <c r="F37" i="1"/>
  <c r="E37" i="1"/>
  <c r="E43" i="1" s="1"/>
  <c r="D37" i="1"/>
  <c r="D43" i="1" s="1"/>
  <c r="C37" i="1"/>
  <c r="C43" i="1" s="1"/>
  <c r="C77" i="1" s="1"/>
  <c r="B37" i="1"/>
  <c r="AQ36" i="1"/>
  <c r="AQ37" i="1" s="1"/>
  <c r="AQ35" i="1"/>
  <c r="AP29" i="1"/>
  <c r="AO29" i="1"/>
  <c r="AN29" i="1"/>
  <c r="AN30" i="1" s="1"/>
  <c r="AM29" i="1"/>
  <c r="AL29" i="1"/>
  <c r="AK29" i="1"/>
  <c r="AJ29" i="1"/>
  <c r="AI29" i="1"/>
  <c r="AH29" i="1"/>
  <c r="AG29" i="1"/>
  <c r="AF29" i="1"/>
  <c r="AF30" i="1" s="1"/>
  <c r="AE29" i="1"/>
  <c r="AD29" i="1"/>
  <c r="AC29" i="1"/>
  <c r="AB29" i="1"/>
  <c r="AA29" i="1"/>
  <c r="Z29" i="1"/>
  <c r="Y29" i="1"/>
  <c r="X29" i="1"/>
  <c r="X30" i="1" s="1"/>
  <c r="W29" i="1"/>
  <c r="V29" i="1"/>
  <c r="U29" i="1"/>
  <c r="T29" i="1"/>
  <c r="S29" i="1"/>
  <c r="R29" i="1"/>
  <c r="Q29" i="1"/>
  <c r="P29" i="1"/>
  <c r="P30" i="1" s="1"/>
  <c r="O29" i="1"/>
  <c r="N29" i="1"/>
  <c r="M29" i="1"/>
  <c r="L29" i="1"/>
  <c r="K29" i="1"/>
  <c r="J29" i="1"/>
  <c r="I29" i="1"/>
  <c r="H29" i="1"/>
  <c r="H30" i="1" s="1"/>
  <c r="G29" i="1"/>
  <c r="F29" i="1"/>
  <c r="E29" i="1"/>
  <c r="D29" i="1"/>
  <c r="C29" i="1"/>
  <c r="B29" i="1"/>
  <c r="AQ28" i="1"/>
  <c r="AQ27" i="1"/>
  <c r="AQ29" i="1" s="1"/>
  <c r="AP25" i="1"/>
  <c r="AO25" i="1"/>
  <c r="AO30" i="1" s="1"/>
  <c r="AN25" i="1"/>
  <c r="AM25" i="1"/>
  <c r="AM30" i="1" s="1"/>
  <c r="AL25" i="1"/>
  <c r="AK25" i="1"/>
  <c r="AK30" i="1" s="1"/>
  <c r="AJ25" i="1"/>
  <c r="AI25" i="1"/>
  <c r="AH25" i="1"/>
  <c r="AG25" i="1"/>
  <c r="AF25" i="1"/>
  <c r="AE25" i="1"/>
  <c r="AE30" i="1" s="1"/>
  <c r="AD25" i="1"/>
  <c r="AC25" i="1"/>
  <c r="AC30" i="1" s="1"/>
  <c r="AB25" i="1"/>
  <c r="AA25" i="1"/>
  <c r="Z25" i="1"/>
  <c r="Y25" i="1"/>
  <c r="X25" i="1"/>
  <c r="W25" i="1"/>
  <c r="W30" i="1" s="1"/>
  <c r="V25" i="1"/>
  <c r="U25" i="1"/>
  <c r="U30" i="1" s="1"/>
  <c r="T25" i="1"/>
  <c r="S25" i="1"/>
  <c r="R25" i="1"/>
  <c r="Q25" i="1"/>
  <c r="P25" i="1"/>
  <c r="O25" i="1"/>
  <c r="O30" i="1" s="1"/>
  <c r="N25" i="1"/>
  <c r="M25" i="1"/>
  <c r="M30" i="1" s="1"/>
  <c r="L25" i="1"/>
  <c r="K25" i="1"/>
  <c r="J25" i="1"/>
  <c r="I25" i="1"/>
  <c r="I30" i="1" s="1"/>
  <c r="H25" i="1"/>
  <c r="G25" i="1"/>
  <c r="G30" i="1" s="1"/>
  <c r="F25" i="1"/>
  <c r="E25" i="1"/>
  <c r="E30" i="1" s="1"/>
  <c r="D25" i="1"/>
  <c r="C25" i="1"/>
  <c r="B25" i="1"/>
  <c r="AQ24" i="1"/>
  <c r="AQ23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Q18" i="1"/>
  <c r="AQ17" i="1"/>
  <c r="AQ16" i="1"/>
  <c r="AP14" i="1"/>
  <c r="AO14" i="1"/>
  <c r="AN14" i="1"/>
  <c r="AN20" i="1" s="1"/>
  <c r="AM14" i="1"/>
  <c r="AL14" i="1"/>
  <c r="AK14" i="1"/>
  <c r="AJ14" i="1"/>
  <c r="AI14" i="1"/>
  <c r="AH14" i="1"/>
  <c r="AG14" i="1"/>
  <c r="AF14" i="1"/>
  <c r="AF20" i="1" s="1"/>
  <c r="AF31" i="1" s="1"/>
  <c r="AE14" i="1"/>
  <c r="AD14" i="1"/>
  <c r="AC14" i="1"/>
  <c r="AB14" i="1"/>
  <c r="AA14" i="1"/>
  <c r="AA20" i="1" s="1"/>
  <c r="Z14" i="1"/>
  <c r="Y14" i="1"/>
  <c r="X14" i="1"/>
  <c r="W14" i="1"/>
  <c r="V14" i="1"/>
  <c r="U14" i="1"/>
  <c r="T14" i="1"/>
  <c r="S14" i="1"/>
  <c r="R14" i="1"/>
  <c r="Q14" i="1"/>
  <c r="P14" i="1"/>
  <c r="P20" i="1" s="1"/>
  <c r="O14" i="1"/>
  <c r="N14" i="1"/>
  <c r="M14" i="1"/>
  <c r="L14" i="1"/>
  <c r="K14" i="1"/>
  <c r="J14" i="1"/>
  <c r="I14" i="1"/>
  <c r="H14" i="1"/>
  <c r="H20" i="1" s="1"/>
  <c r="G14" i="1"/>
  <c r="F14" i="1"/>
  <c r="E14" i="1"/>
  <c r="D14" i="1"/>
  <c r="C14" i="1"/>
  <c r="B14" i="1"/>
  <c r="AQ13" i="1"/>
  <c r="AQ12" i="1"/>
  <c r="AQ11" i="1"/>
  <c r="D20" i="1" l="1"/>
  <c r="L20" i="1"/>
  <c r="L31" i="1" s="1"/>
  <c r="L78" i="1" s="1"/>
  <c r="L88" i="1" s="1"/>
  <c r="T20" i="1"/>
  <c r="AB20" i="1"/>
  <c r="AJ20" i="1"/>
  <c r="F30" i="1"/>
  <c r="N30" i="1"/>
  <c r="V30" i="1"/>
  <c r="AD30" i="1"/>
  <c r="AL30" i="1"/>
  <c r="F20" i="1"/>
  <c r="F31" i="1" s="1"/>
  <c r="F78" i="1" s="1"/>
  <c r="F88" i="1" s="1"/>
  <c r="N20" i="1"/>
  <c r="V20" i="1"/>
  <c r="AD20" i="1"/>
  <c r="AL20" i="1"/>
  <c r="Q30" i="1"/>
  <c r="G20" i="1"/>
  <c r="G31" i="1" s="1"/>
  <c r="O20" i="1"/>
  <c r="O31" i="1" s="1"/>
  <c r="W20" i="1"/>
  <c r="W31" i="1" s="1"/>
  <c r="AE20" i="1"/>
  <c r="AM20" i="1"/>
  <c r="K20" i="1"/>
  <c r="T77" i="1"/>
  <c r="H31" i="1"/>
  <c r="P31" i="1"/>
  <c r="AN31" i="1"/>
  <c r="AB77" i="1"/>
  <c r="G43" i="1"/>
  <c r="G77" i="1" s="1"/>
  <c r="O43" i="1"/>
  <c r="O77" i="1" s="1"/>
  <c r="W43" i="1"/>
  <c r="AE43" i="1"/>
  <c r="AE77" i="1" s="1"/>
  <c r="AM43" i="1"/>
  <c r="AM77" i="1" s="1"/>
  <c r="L77" i="1"/>
  <c r="AQ25" i="1"/>
  <c r="AQ30" i="1" s="1"/>
  <c r="H43" i="1"/>
  <c r="H77" i="1" s="1"/>
  <c r="P43" i="1"/>
  <c r="P77" i="1" s="1"/>
  <c r="X43" i="1"/>
  <c r="X77" i="1" s="1"/>
  <c r="X78" i="1" s="1"/>
  <c r="X88" i="1" s="1"/>
  <c r="AF43" i="1"/>
  <c r="AN43" i="1"/>
  <c r="AN77" i="1" s="1"/>
  <c r="AN78" i="1" s="1"/>
  <c r="AN88" i="1" s="1"/>
  <c r="D77" i="1"/>
  <c r="C20" i="1"/>
  <c r="S20" i="1"/>
  <c r="AI20" i="1"/>
  <c r="Y30" i="1"/>
  <c r="AG30" i="1"/>
  <c r="I43" i="1"/>
  <c r="I77" i="1" s="1"/>
  <c r="I78" i="1" s="1"/>
  <c r="I88" i="1" s="1"/>
  <c r="Q43" i="1"/>
  <c r="Q77" i="1" s="1"/>
  <c r="Y43" i="1"/>
  <c r="Y77" i="1" s="1"/>
  <c r="AG43" i="1"/>
  <c r="AG77" i="1" s="1"/>
  <c r="AO43" i="1"/>
  <c r="AO77" i="1" s="1"/>
  <c r="AJ77" i="1"/>
  <c r="X20" i="1"/>
  <c r="X31" i="1" s="1"/>
  <c r="F43" i="1"/>
  <c r="F77" i="1" s="1"/>
  <c r="N43" i="1"/>
  <c r="N77" i="1" s="1"/>
  <c r="V43" i="1"/>
  <c r="V77" i="1" s="1"/>
  <c r="AD43" i="1"/>
  <c r="AD77" i="1" s="1"/>
  <c r="AL43" i="1"/>
  <c r="AL77" i="1" s="1"/>
  <c r="AQ76" i="1"/>
  <c r="AQ14" i="1"/>
  <c r="AE31" i="1"/>
  <c r="AE78" i="1" s="1"/>
  <c r="AE88" i="1" s="1"/>
  <c r="AM31" i="1"/>
  <c r="C30" i="1"/>
  <c r="K30" i="1"/>
  <c r="S30" i="1"/>
  <c r="AA30" i="1"/>
  <c r="AI30" i="1"/>
  <c r="B43" i="1"/>
  <c r="B77" i="1" s="1"/>
  <c r="J43" i="1"/>
  <c r="J77" i="1" s="1"/>
  <c r="R43" i="1"/>
  <c r="R77" i="1" s="1"/>
  <c r="Z43" i="1"/>
  <c r="Z77" i="1" s="1"/>
  <c r="AH43" i="1"/>
  <c r="AH77" i="1" s="1"/>
  <c r="AP43" i="1"/>
  <c r="AP77" i="1" s="1"/>
  <c r="Q20" i="1"/>
  <c r="Q31" i="1" s="1"/>
  <c r="AO20" i="1"/>
  <c r="AO31" i="1" s="1"/>
  <c r="E20" i="1"/>
  <c r="E31" i="1" s="1"/>
  <c r="AC20" i="1"/>
  <c r="Y20" i="1"/>
  <c r="M20" i="1"/>
  <c r="M31" i="1" s="1"/>
  <c r="M78" i="1" s="1"/>
  <c r="M88" i="1" s="1"/>
  <c r="AK20" i="1"/>
  <c r="B20" i="1"/>
  <c r="J20" i="1"/>
  <c r="R20" i="1"/>
  <c r="Z20" i="1"/>
  <c r="AH20" i="1"/>
  <c r="AP20" i="1"/>
  <c r="E77" i="1"/>
  <c r="M77" i="1"/>
  <c r="U77" i="1"/>
  <c r="AC77" i="1"/>
  <c r="AK77" i="1"/>
  <c r="AQ42" i="1"/>
  <c r="AQ43" i="1" s="1"/>
  <c r="I20" i="1"/>
  <c r="I31" i="1" s="1"/>
  <c r="AG20" i="1"/>
  <c r="AG31" i="1" s="1"/>
  <c r="U20" i="1"/>
  <c r="U31" i="1" s="1"/>
  <c r="AQ19" i="1"/>
  <c r="B30" i="1"/>
  <c r="J30" i="1"/>
  <c r="R30" i="1"/>
  <c r="Z30" i="1"/>
  <c r="AH30" i="1"/>
  <c r="AP30" i="1"/>
  <c r="AQ87" i="1"/>
  <c r="W77" i="1"/>
  <c r="D30" i="1"/>
  <c r="D31" i="1" s="1"/>
  <c r="D78" i="1" s="1"/>
  <c r="D88" i="1" s="1"/>
  <c r="L30" i="1"/>
  <c r="T30" i="1"/>
  <c r="AB30" i="1"/>
  <c r="AB31" i="1" s="1"/>
  <c r="AB78" i="1" s="1"/>
  <c r="AB88" i="1" s="1"/>
  <c r="AJ30" i="1"/>
  <c r="AJ31" i="1" s="1"/>
  <c r="AJ78" i="1" s="1"/>
  <c r="AJ88" i="1" s="1"/>
  <c r="AC31" i="1"/>
  <c r="AK31" i="1"/>
  <c r="S31" i="1"/>
  <c r="S78" i="1" s="1"/>
  <c r="S88" i="1" s="1"/>
  <c r="AA31" i="1"/>
  <c r="AA78" i="1" s="1"/>
  <c r="AA88" i="1" s="1"/>
  <c r="AF77" i="1"/>
  <c r="AF78" i="1" s="1"/>
  <c r="AF88" i="1" s="1"/>
  <c r="AD78" i="1" l="1"/>
  <c r="AD88" i="1" s="1"/>
  <c r="V78" i="1"/>
  <c r="V88" i="1" s="1"/>
  <c r="AL31" i="1"/>
  <c r="AL78" i="1" s="1"/>
  <c r="AL88" i="1" s="1"/>
  <c r="AD31" i="1"/>
  <c r="Y31" i="1"/>
  <c r="K31" i="1"/>
  <c r="K78" i="1" s="1"/>
  <c r="K88" i="1" s="1"/>
  <c r="P78" i="1"/>
  <c r="P88" i="1" s="1"/>
  <c r="V31" i="1"/>
  <c r="T31" i="1"/>
  <c r="T78" i="1" s="1"/>
  <c r="T88" i="1" s="1"/>
  <c r="C31" i="1"/>
  <c r="C78" i="1" s="1"/>
  <c r="C88" i="1" s="1"/>
  <c r="H78" i="1"/>
  <c r="H88" i="1" s="1"/>
  <c r="N31" i="1"/>
  <c r="N78" i="1" s="1"/>
  <c r="N88" i="1" s="1"/>
  <c r="Q78" i="1"/>
  <c r="Q88" i="1" s="1"/>
  <c r="AO78" i="1"/>
  <c r="AO88" i="1" s="1"/>
  <c r="AK78" i="1"/>
  <c r="AK88" i="1" s="1"/>
  <c r="U78" i="1"/>
  <c r="U88" i="1" s="1"/>
  <c r="AG78" i="1"/>
  <c r="AG88" i="1" s="1"/>
  <c r="Y78" i="1"/>
  <c r="Y88" i="1" s="1"/>
  <c r="AI31" i="1"/>
  <c r="AI78" i="1" s="1"/>
  <c r="AI88" i="1" s="1"/>
  <c r="O78" i="1"/>
  <c r="O88" i="1" s="1"/>
  <c r="W78" i="1"/>
  <c r="W88" i="1" s="1"/>
  <c r="B31" i="1"/>
  <c r="AC78" i="1"/>
  <c r="AC88" i="1" s="1"/>
  <c r="B78" i="1"/>
  <c r="B88" i="1" s="1"/>
  <c r="AQ77" i="1"/>
  <c r="AQ20" i="1"/>
  <c r="AQ31" i="1" s="1"/>
  <c r="AQ78" i="1" s="1"/>
  <c r="AQ88" i="1" s="1"/>
  <c r="AH31" i="1"/>
  <c r="AH78" i="1" s="1"/>
  <c r="AH88" i="1" s="1"/>
  <c r="G78" i="1"/>
  <c r="G88" i="1" s="1"/>
  <c r="Z31" i="1"/>
  <c r="Z78" i="1" s="1"/>
  <c r="Z88" i="1" s="1"/>
  <c r="R31" i="1"/>
  <c r="R78" i="1" s="1"/>
  <c r="R88" i="1" s="1"/>
  <c r="AP31" i="1"/>
  <c r="AP78" i="1" s="1"/>
  <c r="AP88" i="1" s="1"/>
  <c r="E78" i="1"/>
  <c r="E88" i="1" s="1"/>
  <c r="J31" i="1"/>
  <c r="J78" i="1" s="1"/>
  <c r="J88" i="1" s="1"/>
  <c r="AM78" i="1"/>
  <c r="AM88" i="1" s="1"/>
</calcChain>
</file>

<file path=xl/sharedStrings.xml><?xml version="1.0" encoding="utf-8"?>
<sst xmlns="http://schemas.openxmlformats.org/spreadsheetml/2006/main" count="172" uniqueCount="130">
  <si>
    <t>Firma : PROMATIS AG</t>
  </si>
  <si>
    <t>PG P+L by Entity and Month/Quarter/Year</t>
  </si>
  <si>
    <t/>
  </si>
  <si>
    <t> 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</si>
  <si>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</si>
  <si>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</si>
  <si>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</si>
  <si>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</si>
  <si>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</si>
  <si>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</si>
  <si>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</si>
  <si>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</si>
  <si>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</si>
  <si>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</si>
  <si>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</si>
  <si>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</si>
  <si>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</si>
  <si>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</si>
  <si>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</si>
  <si>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</si>
  <si>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</si>
  <si>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</si>
  <si>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</si>
  <si>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</si>
  <si>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</si>
  <si>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</si>
  <si>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</si>
  <si>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</si>
  <si>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</si>
  <si>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</si>
  <si>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</si>
  <si>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</si>
  <si>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</si>
  <si>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</si>
  <si>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</si>
  <si>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</si>
  <si>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</si>
  <si>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</si>
  <si>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</si>
  <si>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</si>
  <si>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</si>
  <si>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</si>
  <si>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Mrz 2023</t>
  </si>
  <si>
    <t>Apr 2023</t>
  </si>
  <si>
    <t>Mai 2023</t>
  </si>
  <si>
    <t>Total</t>
  </si>
  <si>
    <t>Saldo</t>
  </si>
  <si>
    <t>Net profit/loss for the year</t>
  </si>
  <si>
    <t>EBIT</t>
  </si>
  <si>
    <t>Gross profit</t>
  </si>
  <si>
    <t>Operating income</t>
  </si>
  <si>
    <t>1. Revenue</t>
  </si>
  <si>
    <t>433800 - Rev. from services tax. in a 3.country, not subject  dom tax</t>
  </si>
  <si>
    <t>440000 - Revenue Services- standard VAT</t>
  </si>
  <si>
    <t>470000 - taxes directly linked to sales</t>
  </si>
  <si>
    <t>Total Revenue</t>
  </si>
  <si>
    <t>4. Other operating income</t>
  </si>
  <si>
    <t>483000 - Other operating income</t>
  </si>
  <si>
    <t>483900 - Other infrequent income</t>
  </si>
  <si>
    <t>492500 - Income from recoveries of receivables previously written off</t>
  </si>
  <si>
    <t>Total Other operating income</t>
  </si>
  <si>
    <t>Total Operating income</t>
  </si>
  <si>
    <t>5. Cost of materials</t>
  </si>
  <si>
    <t>a) Cost of raw materials, consum, supplies and purchased merch.</t>
  </si>
  <si>
    <t>540000 - Cost of merchandise, Standard input tax</t>
  </si>
  <si>
    <t>580010 - Invoice PO price variance standard rate</t>
  </si>
  <si>
    <t>Total Cost of raw materials, consum, supplies and purchased merch.</t>
  </si>
  <si>
    <t>b) Cost of purchased services</t>
  </si>
  <si>
    <t>590000 - Purchased services standard input tax</t>
  </si>
  <si>
    <t>590900 - Purchased services, no input tax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</si>
  <si>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</si>
  <si>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</si>
  <si>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</si>
  <si>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</si>
  <si>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</si>
  <si>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a) Wages and salaries</t>
  </si>
  <si>
    <t>600500 - Staff acquisition</t>
  </si>
  <si>
    <t>602000 - Salaries</t>
  </si>
  <si>
    <t>Total Wages and salaries</t>
  </si>
  <si>
    <t>b) Social security, post-employ, and other employee benft costs</t>
  </si>
  <si>
    <t>611000 - Statutory social security expenses</t>
  </si>
  <si>
    <t>612000 - Contributions to occupational health and safety agency</t>
  </si>
  <si>
    <t>613000 - Voluntary social benefits not subject to wage tax</t>
  </si>
  <si>
    <t>Total Social security, post-employ, and other employee benft costs</t>
  </si>
  <si>
    <t>Total Personnel expenses</t>
  </si>
  <si>
    <t>7. Depreciation and amortisation</t>
  </si>
  <si>
    <t>a) Amortisation of intangible assets and depr. of tangbl assets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</si>
  <si>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</si>
  <si>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</si>
  <si>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</si>
  <si>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</si>
  <si>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631000 - Rent (immovable property)</t>
  </si>
  <si>
    <t>632500 - Gas, electricity, water</t>
  </si>
  <si>
    <t>633000 - Cleaning</t>
  </si>
  <si>
    <t>640000 - Insurance premiums</t>
  </si>
  <si>
    <t>642000 - Contributions</t>
  </si>
  <si>
    <t>646000 - Repairs and maintenance of technical equipment and machinery</t>
  </si>
  <si>
    <t>649000 - Other repairs and maintenance</t>
  </si>
  <si>
    <t>650033 - Vehicle expenses  KA-MW 8801 Mazda CX30</t>
  </si>
  <si>
    <t>656000 - Operating leases (motor vehicles)</t>
  </si>
  <si>
    <t>660000 - Advertising costs</t>
  </si>
  <si>
    <t>664000 - Entertainment expenses</t>
  </si>
  <si>
    <t>665200 - Employee travel expenses, standard tax</t>
  </si>
  <si>
    <t>666000 - Employee travel expenses, accommodation costs</t>
  </si>
  <si>
    <t>680000 - Postage</t>
  </si>
  <si>
    <t>680500 - Telephone</t>
  </si>
  <si>
    <t>681000 - Fax and Internet costs</t>
  </si>
  <si>
    <t>681500 - Office supplies</t>
  </si>
  <si>
    <t>682000 - Newspapers, books</t>
  </si>
  <si>
    <t>682100 - Training costs</t>
  </si>
  <si>
    <t>682700 - Period-end closing and audit costs</t>
  </si>
  <si>
    <t>682800 - Legal and consulting fees §13b UStG Supplier EU service</t>
  </si>
  <si>
    <t>683000 - Bookkeeping costs</t>
  </si>
  <si>
    <t>685000 - Other operating supplies</t>
  </si>
  <si>
    <t>685500 - Incidental monetary transaction costs</t>
  </si>
  <si>
    <t>688000 - Currency translation losses</t>
  </si>
  <si>
    <t>689200 - Revenue from sales of long-term financial assets</t>
  </si>
  <si>
    <t>Total Other operating expenses</t>
  </si>
  <si>
    <t>Total Operating expenses (except cost of materials)</t>
  </si>
  <si>
    <t>Total EBIT</t>
  </si>
  <si>
    <t>Financial result</t>
  </si>
  <si>
    <t>13. Interest and similar expenses</t>
  </si>
  <si>
    <t>740200 - Extraordinary income standard</t>
  </si>
  <si>
    <t>Total Interest and similar expenses</t>
  </si>
  <si>
    <t>Total Financial result</t>
  </si>
  <si>
    <t>14. Taxes on income</t>
  </si>
  <si>
    <t>760000 - Corporate income tax</t>
  </si>
  <si>
    <t>763900 - Deductible foreign withholding tax</t>
  </si>
  <si>
    <t>Total Taxes on income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</si>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</sst>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SFr.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4"/>
    </xf>
    <xf numFmtId="168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0" fontId="21" fillId="0" borderId="11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1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1" xfId="0" applyFont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8"/>
  <sheetViews>
    <sheetView tabSelected="1" workbookViewId="0">
      <pane ySplit="5" topLeftCell="A6" activePane="bottomLeft" state="frozen"/>
      <selection pane="bottomLeft" activeCell="AL78" sqref="AL78"/>
    </sheetView>
  </sheetViews>
  <sheetFormatPr baseColWidth="10" defaultRowHeight="11.25" x14ac:dyDescent="0.2"/>
  <cols>
    <col min="1" max="1" width="72.5" bestFit="1" customWidth="1"/>
    <col min="2" max="17" width="13.33203125" bestFit="1" customWidth="1"/>
    <col min="18" max="21" width="13.1640625" bestFit="1" customWidth="1"/>
    <col min="22" max="22" width="13.33203125" bestFit="1" customWidth="1"/>
    <col min="23" max="23" width="13.1640625" bestFit="1" customWidth="1"/>
    <col min="24" max="24" width="13.33203125" bestFit="1" customWidth="1"/>
    <col min="25" max="25" width="14.33203125" bestFit="1" customWidth="1"/>
    <col min="26" max="26" width="12.6640625" bestFit="1" customWidth="1"/>
    <col min="27" max="27" width="13.6640625" bestFit="1" customWidth="1"/>
    <col min="28" max="28" width="14.33203125" bestFit="1" customWidth="1"/>
    <col min="29" max="31" width="14.1640625" bestFit="1" customWidth="1"/>
    <col min="32" max="32" width="13.6640625" bestFit="1" customWidth="1"/>
    <col min="33" max="33" width="14.33203125" bestFit="1" customWidth="1"/>
    <col min="34" max="36" width="14.1640625" bestFit="1" customWidth="1"/>
    <col min="37" max="37" width="15.83203125" bestFit="1" customWidth="1"/>
    <col min="38" max="38" width="13.5" bestFit="1" customWidth="1"/>
    <col min="39" max="41" width="14.1640625" bestFit="1" customWidth="1"/>
    <col min="42" max="42" width="13.5" bestFit="1" customWidth="1"/>
    <col min="43" max="43" width="15.83203125" bestFit="1" customWidth="1"/>
  </cols>
  <sheetData>
    <row r="1" spans="1:43" s="23" customFormat="1" ht="15.75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</row>
    <row r="2" spans="1:43" s="23" customFormat="1" ht="18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s="23" customFormat="1" ht="18" x14ac:dyDescent="0.2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</row>
    <row r="4" spans="1:43" x14ac:dyDescent="0.2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</row>
    <row r="5" spans="1:43" x14ac:dyDescent="0.2">
      <c r="A5" s="1" t="s">
        <v>3</v>
      </c>
      <c r="B5" s="2" t="s">
        <v>46</v>
      </c>
      <c r="C5" s="2" t="s">
        <v>46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46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46</v>
      </c>
      <c r="S5" s="2" t="s">
        <v>46</v>
      </c>
      <c r="T5" s="2" t="s">
        <v>46</v>
      </c>
      <c r="U5" s="2" t="s">
        <v>46</v>
      </c>
      <c r="V5" s="2" t="s">
        <v>46</v>
      </c>
      <c r="W5" s="2" t="s">
        <v>46</v>
      </c>
      <c r="X5" s="2" t="s">
        <v>46</v>
      </c>
      <c r="Y5" s="2" t="s">
        <v>46</v>
      </c>
      <c r="Z5" s="2" t="s">
        <v>46</v>
      </c>
      <c r="AA5" s="2" t="s">
        <v>46</v>
      </c>
      <c r="AB5" s="2" t="s">
        <v>46</v>
      </c>
      <c r="AC5" s="2" t="s">
        <v>46</v>
      </c>
      <c r="AD5" s="2" t="s">
        <v>46</v>
      </c>
      <c r="AE5" s="2" t="s">
        <v>46</v>
      </c>
      <c r="AF5" s="2" t="s">
        <v>46</v>
      </c>
      <c r="AG5" s="2" t="s">
        <v>46</v>
      </c>
      <c r="AH5" s="2" t="s">
        <v>46</v>
      </c>
      <c r="AI5" s="2" t="s">
        <v>46</v>
      </c>
      <c r="AJ5" s="2" t="s">
        <v>46</v>
      </c>
      <c r="AK5" s="2" t="s">
        <v>46</v>
      </c>
      <c r="AL5" s="2" t="s">
        <v>46</v>
      </c>
      <c r="AM5" s="2" t="s">
        <v>46</v>
      </c>
      <c r="AN5" s="2" t="s">
        <v>46</v>
      </c>
      <c r="AO5" s="2" t="s">
        <v>46</v>
      </c>
      <c r="AP5" s="2" t="s">
        <v>46</v>
      </c>
      <c r="AQ5" s="2" t="s">
        <v>46</v>
      </c>
    </row>
    <row r="6" spans="1:43" x14ac:dyDescent="0.2">
      <c r="A6" s="3" t="s">
        <v>47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x14ac:dyDescent="0.2">
      <c r="A7" s="5" t="s">
        <v>48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x14ac:dyDescent="0.2">
      <c r="A8" s="6" t="s">
        <v>49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43" x14ac:dyDescent="0.2">
      <c r="A9" s="7" t="s">
        <v>50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x14ac:dyDescent="0.2">
      <c r="A10" s="8" t="s">
        <v>51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x14ac:dyDescent="0.2">
      <c r="A11" s="9" t="s">
        <v>52</v>
      </c>
      <c r="B11" s="10">
        <v>-20834.169999999998</v>
      </c>
      <c r="C11" s="10">
        <v>-27349.84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-3798.8</v>
      </c>
      <c r="R11" s="10">
        <v>-31670</v>
      </c>
      <c r="S11" s="10">
        <v>-36640</v>
      </c>
      <c r="T11" s="10">
        <v>-34130</v>
      </c>
      <c r="U11" s="10">
        <v>-42200</v>
      </c>
      <c r="V11" s="10">
        <v>-39410</v>
      </c>
      <c r="W11" s="10">
        <v>-44980</v>
      </c>
      <c r="X11" s="10">
        <v>-83290</v>
      </c>
      <c r="Y11" s="10">
        <v>327288.8</v>
      </c>
      <c r="Z11" s="10">
        <v>0</v>
      </c>
      <c r="AA11" s="10">
        <v>0</v>
      </c>
      <c r="AB11" s="10">
        <v>-222692</v>
      </c>
      <c r="AC11" s="10">
        <v>-230734</v>
      </c>
      <c r="AD11" s="10">
        <v>-210356</v>
      </c>
      <c r="AE11" s="10">
        <v>-210694</v>
      </c>
      <c r="AF11" s="10">
        <v>0</v>
      </c>
      <c r="AG11" s="10">
        <v>-417238</v>
      </c>
      <c r="AH11" s="10">
        <v>-202948</v>
      </c>
      <c r="AI11" s="10">
        <v>-292615</v>
      </c>
      <c r="AJ11" s="10">
        <v>-249358</v>
      </c>
      <c r="AK11" s="10">
        <v>2036635</v>
      </c>
      <c r="AL11" s="10">
        <v>-80858</v>
      </c>
      <c r="AM11" s="10">
        <v>-139724</v>
      </c>
      <c r="AN11" s="10">
        <v>-210686</v>
      </c>
      <c r="AO11" s="10">
        <v>-129033</v>
      </c>
      <c r="AP11" s="10">
        <v>-98265</v>
      </c>
      <c r="AQ11" s="10">
        <f>SUM(B11:AP11)</f>
        <v>-695580.01</v>
      </c>
    </row>
    <row r="12" spans="1:43" x14ac:dyDescent="0.2">
      <c r="A12" s="9" t="s">
        <v>53</v>
      </c>
      <c r="B12" s="10">
        <v>31546.95</v>
      </c>
      <c r="C12" s="10">
        <v>41982.2</v>
      </c>
      <c r="D12" s="10">
        <v>56831.1</v>
      </c>
      <c r="E12" s="10">
        <v>0</v>
      </c>
      <c r="F12" s="10">
        <v>8516.2000000000007</v>
      </c>
      <c r="G12" s="10">
        <v>13804</v>
      </c>
      <c r="H12" s="10">
        <v>20760.7</v>
      </c>
      <c r="I12" s="10">
        <v>15399.4</v>
      </c>
      <c r="J12" s="10">
        <v>20369.8</v>
      </c>
      <c r="K12" s="10">
        <v>23446.85</v>
      </c>
      <c r="L12" s="10">
        <v>45075.199999999997</v>
      </c>
      <c r="M12" s="10">
        <v>14043.8</v>
      </c>
      <c r="N12" s="10">
        <v>23462</v>
      </c>
      <c r="O12" s="10">
        <v>16674</v>
      </c>
      <c r="P12" s="10">
        <v>17164.2</v>
      </c>
      <c r="Q12" s="10">
        <v>20661</v>
      </c>
      <c r="R12" s="10">
        <v>39994.800000000003</v>
      </c>
      <c r="S12" s="10">
        <v>46292.6</v>
      </c>
      <c r="T12" s="10">
        <v>41977.98</v>
      </c>
      <c r="U12" s="10">
        <v>53734.57</v>
      </c>
      <c r="V12" s="10">
        <v>50111.35</v>
      </c>
      <c r="W12" s="10">
        <v>56371.95</v>
      </c>
      <c r="X12" s="10">
        <v>69794.3</v>
      </c>
      <c r="Y12" s="10">
        <v>99090.61</v>
      </c>
      <c r="Z12" s="10">
        <v>68007.820000000007</v>
      </c>
      <c r="AA12" s="10">
        <v>153179.26999999999</v>
      </c>
      <c r="AB12" s="10">
        <v>94342.14</v>
      </c>
      <c r="AC12" s="10">
        <v>259278.61</v>
      </c>
      <c r="AD12" s="10">
        <v>270818.28999999998</v>
      </c>
      <c r="AE12" s="10">
        <v>279122.59000000003</v>
      </c>
      <c r="AF12" s="10">
        <v>389279.56</v>
      </c>
      <c r="AG12" s="10">
        <v>251390.91</v>
      </c>
      <c r="AH12" s="10">
        <v>254255.18</v>
      </c>
      <c r="AI12" s="10">
        <v>418298.13</v>
      </c>
      <c r="AJ12" s="10">
        <v>290193.89</v>
      </c>
      <c r="AK12" s="10">
        <v>584489.61</v>
      </c>
      <c r="AL12" s="10">
        <v>104941.65</v>
      </c>
      <c r="AM12" s="10">
        <v>140090.03</v>
      </c>
      <c r="AN12" s="10">
        <v>298434.52</v>
      </c>
      <c r="AO12" s="10">
        <v>175152.59</v>
      </c>
      <c r="AP12" s="10">
        <v>175174.3</v>
      </c>
      <c r="AQ12" s="10">
        <f>SUM(B12:AP12)</f>
        <v>5033554.6499999994</v>
      </c>
    </row>
    <row r="13" spans="1:43" x14ac:dyDescent="0.2">
      <c r="A13" s="9" t="s">
        <v>54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-34500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f>SUM(B13:AP13)</f>
        <v>-34500</v>
      </c>
    </row>
    <row r="14" spans="1:43" x14ac:dyDescent="0.2">
      <c r="A14" s="11" t="s">
        <v>55</v>
      </c>
      <c r="B14" s="12">
        <f t="shared" ref="B14:AQ14" si="0">SUM(B11:B13)</f>
        <v>10712.780000000002</v>
      </c>
      <c r="C14" s="12">
        <f t="shared" si="0"/>
        <v>14632.359999999997</v>
      </c>
      <c r="D14" s="12">
        <f t="shared" si="0"/>
        <v>56831.1</v>
      </c>
      <c r="E14" s="12">
        <f t="shared" si="0"/>
        <v>0</v>
      </c>
      <c r="F14" s="12">
        <f t="shared" si="0"/>
        <v>8516.2000000000007</v>
      </c>
      <c r="G14" s="12">
        <f t="shared" si="0"/>
        <v>13804</v>
      </c>
      <c r="H14" s="12">
        <f t="shared" si="0"/>
        <v>20760.7</v>
      </c>
      <c r="I14" s="12">
        <f t="shared" si="0"/>
        <v>15399.4</v>
      </c>
      <c r="J14" s="12">
        <f t="shared" si="0"/>
        <v>20369.8</v>
      </c>
      <c r="K14" s="12">
        <f t="shared" si="0"/>
        <v>23446.85</v>
      </c>
      <c r="L14" s="12">
        <f t="shared" si="0"/>
        <v>45075.199999999997</v>
      </c>
      <c r="M14" s="12">
        <f t="shared" si="0"/>
        <v>14043.8</v>
      </c>
      <c r="N14" s="12">
        <f t="shared" si="0"/>
        <v>23462</v>
      </c>
      <c r="O14" s="12">
        <f t="shared" si="0"/>
        <v>16674</v>
      </c>
      <c r="P14" s="12">
        <f t="shared" si="0"/>
        <v>17164.2</v>
      </c>
      <c r="Q14" s="12">
        <f t="shared" si="0"/>
        <v>16862.2</v>
      </c>
      <c r="R14" s="12">
        <f t="shared" si="0"/>
        <v>8324.8000000000029</v>
      </c>
      <c r="S14" s="12">
        <f t="shared" si="0"/>
        <v>9652.5999999999985</v>
      </c>
      <c r="T14" s="12">
        <f t="shared" si="0"/>
        <v>7847.9800000000032</v>
      </c>
      <c r="U14" s="12">
        <f t="shared" si="0"/>
        <v>11534.57</v>
      </c>
      <c r="V14" s="12">
        <f t="shared" si="0"/>
        <v>10701.349999999999</v>
      </c>
      <c r="W14" s="12">
        <f t="shared" si="0"/>
        <v>11391.949999999997</v>
      </c>
      <c r="X14" s="12">
        <f t="shared" si="0"/>
        <v>-13495.699999999997</v>
      </c>
      <c r="Y14" s="12">
        <f t="shared" si="0"/>
        <v>426379.41</v>
      </c>
      <c r="Z14" s="12">
        <f t="shared" si="0"/>
        <v>68007.820000000007</v>
      </c>
      <c r="AA14" s="12">
        <f t="shared" si="0"/>
        <v>153179.26999999999</v>
      </c>
      <c r="AB14" s="12">
        <f t="shared" si="0"/>
        <v>-128349.86</v>
      </c>
      <c r="AC14" s="12">
        <f t="shared" si="0"/>
        <v>28544.609999999986</v>
      </c>
      <c r="AD14" s="12">
        <f t="shared" si="0"/>
        <v>60462.289999999979</v>
      </c>
      <c r="AE14" s="12">
        <f t="shared" si="0"/>
        <v>68428.590000000026</v>
      </c>
      <c r="AF14" s="12">
        <f t="shared" si="0"/>
        <v>389279.56</v>
      </c>
      <c r="AG14" s="12">
        <f t="shared" si="0"/>
        <v>-165847.09</v>
      </c>
      <c r="AH14" s="12">
        <f t="shared" si="0"/>
        <v>51307.179999999993</v>
      </c>
      <c r="AI14" s="12">
        <f t="shared" si="0"/>
        <v>125683.13</v>
      </c>
      <c r="AJ14" s="12">
        <f t="shared" si="0"/>
        <v>40835.890000000014</v>
      </c>
      <c r="AK14" s="12">
        <f t="shared" si="0"/>
        <v>2586624.61</v>
      </c>
      <c r="AL14" s="12">
        <f t="shared" si="0"/>
        <v>24083.649999999994</v>
      </c>
      <c r="AM14" s="12">
        <f t="shared" si="0"/>
        <v>366.02999999999884</v>
      </c>
      <c r="AN14" s="12">
        <f t="shared" si="0"/>
        <v>87748.520000000019</v>
      </c>
      <c r="AO14" s="12">
        <f t="shared" si="0"/>
        <v>46119.59</v>
      </c>
      <c r="AP14" s="12">
        <f t="shared" si="0"/>
        <v>76909.299999999988</v>
      </c>
      <c r="AQ14" s="12">
        <f t="shared" si="0"/>
        <v>4303474.6399999997</v>
      </c>
    </row>
    <row r="15" spans="1:43" x14ac:dyDescent="0.2">
      <c r="A15" s="8" t="s">
        <v>56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 x14ac:dyDescent="0.2">
      <c r="A16" s="9" t="s">
        <v>57</v>
      </c>
      <c r="B16" s="10">
        <v>0</v>
      </c>
      <c r="C16" s="10">
        <v>0</v>
      </c>
      <c r="D16" s="10">
        <v>85.9</v>
      </c>
      <c r="E16" s="10">
        <v>0</v>
      </c>
      <c r="F16" s="10">
        <v>0</v>
      </c>
      <c r="G16" s="10">
        <v>0</v>
      </c>
      <c r="H16" s="10">
        <v>0</v>
      </c>
      <c r="I16" s="10">
        <v>71.8</v>
      </c>
      <c r="J16" s="10">
        <v>0</v>
      </c>
      <c r="K16" s="10">
        <v>0</v>
      </c>
      <c r="L16" s="10">
        <v>203.2</v>
      </c>
      <c r="M16" s="10">
        <v>-71.05</v>
      </c>
      <c r="N16" s="10">
        <v>0</v>
      </c>
      <c r="O16" s="10">
        <v>92.45</v>
      </c>
      <c r="P16" s="10">
        <v>0</v>
      </c>
      <c r="Q16" s="10">
        <v>0</v>
      </c>
      <c r="R16" s="10">
        <v>55.7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f>SUM(B16:AP16)</f>
        <v>437.99999999999994</v>
      </c>
    </row>
    <row r="17" spans="1:43" x14ac:dyDescent="0.2">
      <c r="A17" s="9" t="s">
        <v>58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115.45</v>
      </c>
      <c r="AN17" s="10">
        <v>0</v>
      </c>
      <c r="AO17" s="10">
        <v>0</v>
      </c>
      <c r="AP17" s="10">
        <v>0</v>
      </c>
      <c r="AQ17" s="10">
        <f>SUM(B17:AP17)</f>
        <v>115.45</v>
      </c>
    </row>
    <row r="18" spans="1:43" x14ac:dyDescent="0.2">
      <c r="A18" s="9" t="s">
        <v>59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1503.24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f>SUM(B18:AP18)</f>
        <v>1503.24</v>
      </c>
    </row>
    <row r="19" spans="1:43" x14ac:dyDescent="0.2">
      <c r="A19" s="13" t="s">
        <v>60</v>
      </c>
      <c r="B19" s="14">
        <f t="shared" ref="B19:AQ19" si="1">SUM(B16:B18)</f>
        <v>0</v>
      </c>
      <c r="C19" s="14">
        <f t="shared" si="1"/>
        <v>0</v>
      </c>
      <c r="D19" s="14">
        <f t="shared" si="1"/>
        <v>85.9</v>
      </c>
      <c r="E19" s="14">
        <f t="shared" si="1"/>
        <v>0</v>
      </c>
      <c r="F19" s="14">
        <f t="shared" si="1"/>
        <v>0</v>
      </c>
      <c r="G19" s="14">
        <f t="shared" si="1"/>
        <v>0</v>
      </c>
      <c r="H19" s="14">
        <f t="shared" si="1"/>
        <v>0</v>
      </c>
      <c r="I19" s="14">
        <f t="shared" si="1"/>
        <v>71.8</v>
      </c>
      <c r="J19" s="14">
        <f t="shared" si="1"/>
        <v>0</v>
      </c>
      <c r="K19" s="14">
        <f t="shared" si="1"/>
        <v>0</v>
      </c>
      <c r="L19" s="14">
        <f t="shared" si="1"/>
        <v>203.2</v>
      </c>
      <c r="M19" s="14">
        <f t="shared" si="1"/>
        <v>1432.19</v>
      </c>
      <c r="N19" s="14">
        <f t="shared" si="1"/>
        <v>0</v>
      </c>
      <c r="O19" s="14">
        <f t="shared" si="1"/>
        <v>92.45</v>
      </c>
      <c r="P19" s="14">
        <f t="shared" si="1"/>
        <v>0</v>
      </c>
      <c r="Q19" s="14">
        <f t="shared" si="1"/>
        <v>0</v>
      </c>
      <c r="R19" s="14">
        <f t="shared" si="1"/>
        <v>55.7</v>
      </c>
      <c r="S19" s="14">
        <f t="shared" si="1"/>
        <v>0</v>
      </c>
      <c r="T19" s="14">
        <f t="shared" si="1"/>
        <v>0</v>
      </c>
      <c r="U19" s="14">
        <f t="shared" si="1"/>
        <v>0</v>
      </c>
      <c r="V19" s="14">
        <f t="shared" si="1"/>
        <v>0</v>
      </c>
      <c r="W19" s="14">
        <f t="shared" si="1"/>
        <v>0</v>
      </c>
      <c r="X19" s="14">
        <f t="shared" si="1"/>
        <v>0</v>
      </c>
      <c r="Y19" s="14">
        <f t="shared" si="1"/>
        <v>0</v>
      </c>
      <c r="Z19" s="14">
        <f t="shared" si="1"/>
        <v>0</v>
      </c>
      <c r="AA19" s="14">
        <f t="shared" si="1"/>
        <v>0</v>
      </c>
      <c r="AB19" s="14">
        <f t="shared" si="1"/>
        <v>0</v>
      </c>
      <c r="AC19" s="14">
        <f t="shared" si="1"/>
        <v>0</v>
      </c>
      <c r="AD19" s="14">
        <f t="shared" si="1"/>
        <v>0</v>
      </c>
      <c r="AE19" s="14">
        <f t="shared" si="1"/>
        <v>0</v>
      </c>
      <c r="AF19" s="14">
        <f t="shared" si="1"/>
        <v>0</v>
      </c>
      <c r="AG19" s="14">
        <f t="shared" si="1"/>
        <v>0</v>
      </c>
      <c r="AH19" s="14">
        <f t="shared" si="1"/>
        <v>0</v>
      </c>
      <c r="AI19" s="14">
        <f t="shared" si="1"/>
        <v>0</v>
      </c>
      <c r="AJ19" s="14">
        <f t="shared" si="1"/>
        <v>0</v>
      </c>
      <c r="AK19" s="14">
        <f t="shared" si="1"/>
        <v>0</v>
      </c>
      <c r="AL19" s="14">
        <f t="shared" si="1"/>
        <v>0</v>
      </c>
      <c r="AM19" s="14">
        <f t="shared" si="1"/>
        <v>115.45</v>
      </c>
      <c r="AN19" s="14">
        <f t="shared" si="1"/>
        <v>0</v>
      </c>
      <c r="AO19" s="14">
        <f t="shared" si="1"/>
        <v>0</v>
      </c>
      <c r="AP19" s="14">
        <f t="shared" si="1"/>
        <v>0</v>
      </c>
      <c r="AQ19" s="14">
        <f t="shared" si="1"/>
        <v>2056.69</v>
      </c>
    </row>
    <row r="20" spans="1:43" x14ac:dyDescent="0.2">
      <c r="A20" s="15" t="s">
        <v>61</v>
      </c>
      <c r="B20" s="14">
        <f t="shared" ref="B20:AQ20" si="2">B14+0+0+B19</f>
        <v>10712.780000000002</v>
      </c>
      <c r="C20" s="14">
        <f t="shared" si="2"/>
        <v>14632.359999999997</v>
      </c>
      <c r="D20" s="14">
        <f t="shared" si="2"/>
        <v>56917</v>
      </c>
      <c r="E20" s="14">
        <f t="shared" si="2"/>
        <v>0</v>
      </c>
      <c r="F20" s="14">
        <f t="shared" si="2"/>
        <v>8516.2000000000007</v>
      </c>
      <c r="G20" s="14">
        <f t="shared" si="2"/>
        <v>13804</v>
      </c>
      <c r="H20" s="14">
        <f t="shared" si="2"/>
        <v>20760.7</v>
      </c>
      <c r="I20" s="14">
        <f t="shared" si="2"/>
        <v>15471.199999999999</v>
      </c>
      <c r="J20" s="14">
        <f t="shared" si="2"/>
        <v>20369.8</v>
      </c>
      <c r="K20" s="14">
        <f t="shared" si="2"/>
        <v>23446.85</v>
      </c>
      <c r="L20" s="14">
        <f t="shared" si="2"/>
        <v>45278.399999999994</v>
      </c>
      <c r="M20" s="14">
        <f t="shared" si="2"/>
        <v>15475.99</v>
      </c>
      <c r="N20" s="14">
        <f t="shared" si="2"/>
        <v>23462</v>
      </c>
      <c r="O20" s="14">
        <f t="shared" si="2"/>
        <v>16766.45</v>
      </c>
      <c r="P20" s="14">
        <f t="shared" si="2"/>
        <v>17164.2</v>
      </c>
      <c r="Q20" s="14">
        <f t="shared" si="2"/>
        <v>16862.2</v>
      </c>
      <c r="R20" s="14">
        <f t="shared" si="2"/>
        <v>8380.5000000000036</v>
      </c>
      <c r="S20" s="14">
        <f t="shared" si="2"/>
        <v>9652.5999999999985</v>
      </c>
      <c r="T20" s="14">
        <f t="shared" si="2"/>
        <v>7847.9800000000032</v>
      </c>
      <c r="U20" s="14">
        <f t="shared" si="2"/>
        <v>11534.57</v>
      </c>
      <c r="V20" s="14">
        <f t="shared" si="2"/>
        <v>10701.349999999999</v>
      </c>
      <c r="W20" s="14">
        <f t="shared" si="2"/>
        <v>11391.949999999997</v>
      </c>
      <c r="X20" s="14">
        <f t="shared" si="2"/>
        <v>-13495.699999999997</v>
      </c>
      <c r="Y20" s="14">
        <f t="shared" si="2"/>
        <v>426379.41</v>
      </c>
      <c r="Z20" s="14">
        <f t="shared" si="2"/>
        <v>68007.820000000007</v>
      </c>
      <c r="AA20" s="14">
        <f t="shared" si="2"/>
        <v>153179.26999999999</v>
      </c>
      <c r="AB20" s="14">
        <f t="shared" si="2"/>
        <v>-128349.86</v>
      </c>
      <c r="AC20" s="14">
        <f t="shared" si="2"/>
        <v>28544.609999999986</v>
      </c>
      <c r="AD20" s="14">
        <f t="shared" si="2"/>
        <v>60462.289999999979</v>
      </c>
      <c r="AE20" s="14">
        <f t="shared" si="2"/>
        <v>68428.590000000026</v>
      </c>
      <c r="AF20" s="14">
        <f t="shared" si="2"/>
        <v>389279.56</v>
      </c>
      <c r="AG20" s="14">
        <f t="shared" si="2"/>
        <v>-165847.09</v>
      </c>
      <c r="AH20" s="14">
        <f t="shared" si="2"/>
        <v>51307.179999999993</v>
      </c>
      <c r="AI20" s="14">
        <f t="shared" si="2"/>
        <v>125683.13</v>
      </c>
      <c r="AJ20" s="14">
        <f t="shared" si="2"/>
        <v>40835.890000000014</v>
      </c>
      <c r="AK20" s="14">
        <f t="shared" si="2"/>
        <v>2586624.61</v>
      </c>
      <c r="AL20" s="14">
        <f t="shared" si="2"/>
        <v>24083.649999999994</v>
      </c>
      <c r="AM20" s="14">
        <f t="shared" si="2"/>
        <v>481.47999999999882</v>
      </c>
      <c r="AN20" s="14">
        <f t="shared" si="2"/>
        <v>87748.520000000019</v>
      </c>
      <c r="AO20" s="14">
        <f t="shared" si="2"/>
        <v>46119.59</v>
      </c>
      <c r="AP20" s="14">
        <f t="shared" si="2"/>
        <v>76909.299999999988</v>
      </c>
      <c r="AQ20" s="14">
        <f t="shared" si="2"/>
        <v>4305531.33</v>
      </c>
    </row>
    <row r="21" spans="1:43" x14ac:dyDescent="0.2">
      <c r="A21" s="7" t="s">
        <v>62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spans="1:43" x14ac:dyDescent="0.2">
      <c r="A22" s="8" t="s">
        <v>63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spans="1:43" x14ac:dyDescent="0.2">
      <c r="A23" s="9" t="s">
        <v>64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-6549</v>
      </c>
      <c r="AO23" s="10">
        <v>0</v>
      </c>
      <c r="AP23" s="10">
        <v>0</v>
      </c>
      <c r="AQ23" s="10">
        <f>SUM(B23:AP23)</f>
        <v>-6549</v>
      </c>
    </row>
    <row r="24" spans="1:43" x14ac:dyDescent="0.2">
      <c r="A24" s="9" t="s">
        <v>65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0.03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-0.03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f>SUM(B24:AP24)</f>
        <v>0</v>
      </c>
    </row>
    <row r="25" spans="1:43" x14ac:dyDescent="0.2">
      <c r="A25" s="11" t="s">
        <v>66</v>
      </c>
      <c r="B25" s="12">
        <f t="shared" ref="B25:AQ25" si="3">SUM(B23:B24)</f>
        <v>0</v>
      </c>
      <c r="C25" s="12">
        <f t="shared" si="3"/>
        <v>0</v>
      </c>
      <c r="D25" s="12">
        <f t="shared" si="3"/>
        <v>0</v>
      </c>
      <c r="E25" s="12">
        <f t="shared" si="3"/>
        <v>0</v>
      </c>
      <c r="F25" s="12">
        <f t="shared" si="3"/>
        <v>0</v>
      </c>
      <c r="G25" s="12">
        <f t="shared" si="3"/>
        <v>0</v>
      </c>
      <c r="H25" s="12">
        <f t="shared" si="3"/>
        <v>0</v>
      </c>
      <c r="I25" s="12">
        <f t="shared" si="3"/>
        <v>0</v>
      </c>
      <c r="J25" s="12">
        <f t="shared" si="3"/>
        <v>0</v>
      </c>
      <c r="K25" s="12">
        <f t="shared" si="3"/>
        <v>0</v>
      </c>
      <c r="L25" s="12">
        <f t="shared" si="3"/>
        <v>0</v>
      </c>
      <c r="M25" s="12">
        <f t="shared" si="3"/>
        <v>0</v>
      </c>
      <c r="N25" s="12">
        <f t="shared" si="3"/>
        <v>0</v>
      </c>
      <c r="O25" s="12">
        <f t="shared" si="3"/>
        <v>0</v>
      </c>
      <c r="P25" s="12">
        <f t="shared" si="3"/>
        <v>0</v>
      </c>
      <c r="Q25" s="12">
        <f t="shared" si="3"/>
        <v>0</v>
      </c>
      <c r="R25" s="12">
        <f t="shared" si="3"/>
        <v>0</v>
      </c>
      <c r="S25" s="12">
        <f t="shared" si="3"/>
        <v>0</v>
      </c>
      <c r="T25" s="12">
        <f t="shared" si="3"/>
        <v>0</v>
      </c>
      <c r="U25" s="12">
        <f t="shared" si="3"/>
        <v>0</v>
      </c>
      <c r="V25" s="12">
        <f t="shared" si="3"/>
        <v>0</v>
      </c>
      <c r="W25" s="12">
        <f t="shared" si="3"/>
        <v>0</v>
      </c>
      <c r="X25" s="12">
        <f t="shared" si="3"/>
        <v>0</v>
      </c>
      <c r="Y25" s="12">
        <f t="shared" si="3"/>
        <v>0</v>
      </c>
      <c r="Z25" s="12">
        <f t="shared" si="3"/>
        <v>0.03</v>
      </c>
      <c r="AA25" s="12">
        <f t="shared" si="3"/>
        <v>0</v>
      </c>
      <c r="AB25" s="12">
        <f t="shared" si="3"/>
        <v>0</v>
      </c>
      <c r="AC25" s="12">
        <f t="shared" si="3"/>
        <v>0</v>
      </c>
      <c r="AD25" s="12">
        <f t="shared" si="3"/>
        <v>0</v>
      </c>
      <c r="AE25" s="12">
        <f t="shared" si="3"/>
        <v>0</v>
      </c>
      <c r="AF25" s="12">
        <f t="shared" si="3"/>
        <v>0</v>
      </c>
      <c r="AG25" s="12">
        <f t="shared" si="3"/>
        <v>0</v>
      </c>
      <c r="AH25" s="12">
        <f t="shared" si="3"/>
        <v>0</v>
      </c>
      <c r="AI25" s="12">
        <f t="shared" si="3"/>
        <v>0</v>
      </c>
      <c r="AJ25" s="12">
        <f t="shared" si="3"/>
        <v>0</v>
      </c>
      <c r="AK25" s="12">
        <f t="shared" si="3"/>
        <v>-0.03</v>
      </c>
      <c r="AL25" s="12">
        <f t="shared" si="3"/>
        <v>0</v>
      </c>
      <c r="AM25" s="12">
        <f t="shared" si="3"/>
        <v>0</v>
      </c>
      <c r="AN25" s="12">
        <f t="shared" si="3"/>
        <v>-6549</v>
      </c>
      <c r="AO25" s="12">
        <f t="shared" si="3"/>
        <v>0</v>
      </c>
      <c r="AP25" s="12">
        <f t="shared" si="3"/>
        <v>0</v>
      </c>
      <c r="AQ25" s="12">
        <f t="shared" si="3"/>
        <v>-6549</v>
      </c>
    </row>
    <row r="26" spans="1:43" x14ac:dyDescent="0.2">
      <c r="A26" s="8" t="s">
        <v>67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x14ac:dyDescent="0.2">
      <c r="A27" s="9" t="s">
        <v>68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-20937.16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-51903.15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-274274.01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f>SUM(B27:AP27)</f>
        <v>-347114.32</v>
      </c>
    </row>
    <row r="28" spans="1:43" x14ac:dyDescent="0.2">
      <c r="A28" s="9" t="s">
        <v>69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-395688.8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-2400626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f>SUM(B28:AP28)</f>
        <v>-2796314.8</v>
      </c>
    </row>
    <row r="29" spans="1:43" x14ac:dyDescent="0.2">
      <c r="A29" s="13" t="s">
        <v>70</v>
      </c>
      <c r="B29" s="14">
        <f t="shared" ref="B29:AQ29" si="4">SUM(B27:B28)</f>
        <v>0</v>
      </c>
      <c r="C29" s="14">
        <f t="shared" si="4"/>
        <v>0</v>
      </c>
      <c r="D29" s="14">
        <f t="shared" si="4"/>
        <v>0</v>
      </c>
      <c r="E29" s="14">
        <f t="shared" si="4"/>
        <v>0</v>
      </c>
      <c r="F29" s="14">
        <f t="shared" si="4"/>
        <v>0</v>
      </c>
      <c r="G29" s="14">
        <f t="shared" si="4"/>
        <v>0</v>
      </c>
      <c r="H29" s="14">
        <f t="shared" si="4"/>
        <v>0</v>
      </c>
      <c r="I29" s="14">
        <f t="shared" si="4"/>
        <v>0</v>
      </c>
      <c r="J29" s="14">
        <f t="shared" si="4"/>
        <v>0</v>
      </c>
      <c r="K29" s="14">
        <f t="shared" si="4"/>
        <v>0</v>
      </c>
      <c r="L29" s="14">
        <f t="shared" si="4"/>
        <v>0</v>
      </c>
      <c r="M29" s="14">
        <f t="shared" si="4"/>
        <v>-20937.16</v>
      </c>
      <c r="N29" s="14">
        <f t="shared" si="4"/>
        <v>0</v>
      </c>
      <c r="O29" s="14">
        <f t="shared" si="4"/>
        <v>0</v>
      </c>
      <c r="P29" s="14">
        <f t="shared" si="4"/>
        <v>0</v>
      </c>
      <c r="Q29" s="14">
        <f t="shared" si="4"/>
        <v>0</v>
      </c>
      <c r="R29" s="14">
        <f t="shared" si="4"/>
        <v>0</v>
      </c>
      <c r="S29" s="14">
        <f t="shared" si="4"/>
        <v>0</v>
      </c>
      <c r="T29" s="14">
        <f t="shared" si="4"/>
        <v>0</v>
      </c>
      <c r="U29" s="14">
        <f t="shared" si="4"/>
        <v>0</v>
      </c>
      <c r="V29" s="14">
        <f t="shared" si="4"/>
        <v>0</v>
      </c>
      <c r="W29" s="14">
        <f t="shared" si="4"/>
        <v>0</v>
      </c>
      <c r="X29" s="14">
        <f t="shared" si="4"/>
        <v>0</v>
      </c>
      <c r="Y29" s="14">
        <f t="shared" si="4"/>
        <v>-447591.95</v>
      </c>
      <c r="Z29" s="14">
        <f t="shared" si="4"/>
        <v>0</v>
      </c>
      <c r="AA29" s="14">
        <f t="shared" si="4"/>
        <v>0</v>
      </c>
      <c r="AB29" s="14">
        <f t="shared" si="4"/>
        <v>0</v>
      </c>
      <c r="AC29" s="14">
        <f t="shared" si="4"/>
        <v>0</v>
      </c>
      <c r="AD29" s="14">
        <f t="shared" si="4"/>
        <v>0</v>
      </c>
      <c r="AE29" s="14">
        <f t="shared" si="4"/>
        <v>0</v>
      </c>
      <c r="AF29" s="14">
        <f t="shared" si="4"/>
        <v>0</v>
      </c>
      <c r="AG29" s="14">
        <f t="shared" si="4"/>
        <v>0</v>
      </c>
      <c r="AH29" s="14">
        <f t="shared" si="4"/>
        <v>0</v>
      </c>
      <c r="AI29" s="14">
        <f t="shared" si="4"/>
        <v>0</v>
      </c>
      <c r="AJ29" s="14">
        <f t="shared" si="4"/>
        <v>0</v>
      </c>
      <c r="AK29" s="14">
        <f t="shared" si="4"/>
        <v>-2674900.0099999998</v>
      </c>
      <c r="AL29" s="14">
        <f t="shared" si="4"/>
        <v>0</v>
      </c>
      <c r="AM29" s="14">
        <f t="shared" si="4"/>
        <v>0</v>
      </c>
      <c r="AN29" s="14">
        <f t="shared" si="4"/>
        <v>0</v>
      </c>
      <c r="AO29" s="14">
        <f t="shared" si="4"/>
        <v>0</v>
      </c>
      <c r="AP29" s="14">
        <f t="shared" si="4"/>
        <v>0</v>
      </c>
      <c r="AQ29" s="14">
        <f t="shared" si="4"/>
        <v>-3143429.1199999996</v>
      </c>
    </row>
    <row r="30" spans="1:43" x14ac:dyDescent="0.2">
      <c r="A30" s="15" t="s">
        <v>71</v>
      </c>
      <c r="B30" s="14">
        <f t="shared" ref="B30:AQ30" si="5">B25+B29</f>
        <v>0</v>
      </c>
      <c r="C30" s="14">
        <f t="shared" si="5"/>
        <v>0</v>
      </c>
      <c r="D30" s="14">
        <f t="shared" si="5"/>
        <v>0</v>
      </c>
      <c r="E30" s="14">
        <f t="shared" si="5"/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-20937.16</v>
      </c>
      <c r="N30" s="14">
        <f t="shared" si="5"/>
        <v>0</v>
      </c>
      <c r="O30" s="14">
        <f t="shared" si="5"/>
        <v>0</v>
      </c>
      <c r="P30" s="14">
        <f t="shared" si="5"/>
        <v>0</v>
      </c>
      <c r="Q30" s="14">
        <f t="shared" si="5"/>
        <v>0</v>
      </c>
      <c r="R30" s="14">
        <f t="shared" si="5"/>
        <v>0</v>
      </c>
      <c r="S30" s="14">
        <f t="shared" si="5"/>
        <v>0</v>
      </c>
      <c r="T30" s="14">
        <f t="shared" si="5"/>
        <v>0</v>
      </c>
      <c r="U30" s="14">
        <f t="shared" si="5"/>
        <v>0</v>
      </c>
      <c r="V30" s="14">
        <f t="shared" si="5"/>
        <v>0</v>
      </c>
      <c r="W30" s="14">
        <f t="shared" si="5"/>
        <v>0</v>
      </c>
      <c r="X30" s="14">
        <f t="shared" si="5"/>
        <v>0</v>
      </c>
      <c r="Y30" s="14">
        <f t="shared" si="5"/>
        <v>-447591.95</v>
      </c>
      <c r="Z30" s="14">
        <f t="shared" si="5"/>
        <v>0.03</v>
      </c>
      <c r="AA30" s="14">
        <f t="shared" si="5"/>
        <v>0</v>
      </c>
      <c r="AB30" s="14">
        <f t="shared" si="5"/>
        <v>0</v>
      </c>
      <c r="AC30" s="14">
        <f t="shared" si="5"/>
        <v>0</v>
      </c>
      <c r="AD30" s="14">
        <f t="shared" si="5"/>
        <v>0</v>
      </c>
      <c r="AE30" s="14">
        <f t="shared" si="5"/>
        <v>0</v>
      </c>
      <c r="AF30" s="14">
        <f t="shared" si="5"/>
        <v>0</v>
      </c>
      <c r="AG30" s="14">
        <f t="shared" si="5"/>
        <v>0</v>
      </c>
      <c r="AH30" s="14">
        <f t="shared" si="5"/>
        <v>0</v>
      </c>
      <c r="AI30" s="14">
        <f t="shared" si="5"/>
        <v>0</v>
      </c>
      <c r="AJ30" s="14">
        <f t="shared" si="5"/>
        <v>0</v>
      </c>
      <c r="AK30" s="14">
        <f t="shared" si="5"/>
        <v>-2674900.0399999996</v>
      </c>
      <c r="AL30" s="14">
        <f t="shared" si="5"/>
        <v>0</v>
      </c>
      <c r="AM30" s="14">
        <f t="shared" si="5"/>
        <v>0</v>
      </c>
      <c r="AN30" s="14">
        <f t="shared" si="5"/>
        <v>-6549</v>
      </c>
      <c r="AO30" s="14">
        <f t="shared" si="5"/>
        <v>0</v>
      </c>
      <c r="AP30" s="14">
        <f t="shared" si="5"/>
        <v>0</v>
      </c>
      <c r="AQ30" s="14">
        <f t="shared" si="5"/>
        <v>-3149978.1199999996</v>
      </c>
    </row>
    <row r="31" spans="1:43" x14ac:dyDescent="0.2">
      <c r="A31" s="16" t="s">
        <v>72</v>
      </c>
      <c r="B31" s="14">
        <f t="shared" ref="B31:AQ31" si="6">B20+B30</f>
        <v>10712.780000000002</v>
      </c>
      <c r="C31" s="14">
        <f t="shared" si="6"/>
        <v>14632.359999999997</v>
      </c>
      <c r="D31" s="14">
        <f t="shared" si="6"/>
        <v>56917</v>
      </c>
      <c r="E31" s="14">
        <f t="shared" si="6"/>
        <v>0</v>
      </c>
      <c r="F31" s="14">
        <f t="shared" si="6"/>
        <v>8516.2000000000007</v>
      </c>
      <c r="G31" s="14">
        <f t="shared" si="6"/>
        <v>13804</v>
      </c>
      <c r="H31" s="14">
        <f t="shared" si="6"/>
        <v>20760.7</v>
      </c>
      <c r="I31" s="14">
        <f t="shared" si="6"/>
        <v>15471.199999999999</v>
      </c>
      <c r="J31" s="14">
        <f t="shared" si="6"/>
        <v>20369.8</v>
      </c>
      <c r="K31" s="14">
        <f t="shared" si="6"/>
        <v>23446.85</v>
      </c>
      <c r="L31" s="14">
        <f t="shared" si="6"/>
        <v>45278.399999999994</v>
      </c>
      <c r="M31" s="14">
        <f t="shared" si="6"/>
        <v>-5461.17</v>
      </c>
      <c r="N31" s="14">
        <f t="shared" si="6"/>
        <v>23462</v>
      </c>
      <c r="O31" s="14">
        <f t="shared" si="6"/>
        <v>16766.45</v>
      </c>
      <c r="P31" s="14">
        <f t="shared" si="6"/>
        <v>17164.2</v>
      </c>
      <c r="Q31" s="14">
        <f t="shared" si="6"/>
        <v>16862.2</v>
      </c>
      <c r="R31" s="14">
        <f t="shared" si="6"/>
        <v>8380.5000000000036</v>
      </c>
      <c r="S31" s="14">
        <f t="shared" si="6"/>
        <v>9652.5999999999985</v>
      </c>
      <c r="T31" s="14">
        <f t="shared" si="6"/>
        <v>7847.9800000000032</v>
      </c>
      <c r="U31" s="14">
        <f t="shared" si="6"/>
        <v>11534.57</v>
      </c>
      <c r="V31" s="14">
        <f t="shared" si="6"/>
        <v>10701.349999999999</v>
      </c>
      <c r="W31" s="14">
        <f t="shared" si="6"/>
        <v>11391.949999999997</v>
      </c>
      <c r="X31" s="14">
        <f t="shared" si="6"/>
        <v>-13495.699999999997</v>
      </c>
      <c r="Y31" s="14">
        <f t="shared" si="6"/>
        <v>-21212.540000000037</v>
      </c>
      <c r="Z31" s="14">
        <f t="shared" si="6"/>
        <v>68007.850000000006</v>
      </c>
      <c r="AA31" s="14">
        <f t="shared" si="6"/>
        <v>153179.26999999999</v>
      </c>
      <c r="AB31" s="14">
        <f t="shared" si="6"/>
        <v>-128349.86</v>
      </c>
      <c r="AC31" s="14">
        <f t="shared" si="6"/>
        <v>28544.609999999986</v>
      </c>
      <c r="AD31" s="14">
        <f t="shared" si="6"/>
        <v>60462.289999999979</v>
      </c>
      <c r="AE31" s="14">
        <f t="shared" si="6"/>
        <v>68428.590000000026</v>
      </c>
      <c r="AF31" s="14">
        <f t="shared" si="6"/>
        <v>389279.56</v>
      </c>
      <c r="AG31" s="14">
        <f t="shared" si="6"/>
        <v>-165847.09</v>
      </c>
      <c r="AH31" s="14">
        <f t="shared" si="6"/>
        <v>51307.179999999993</v>
      </c>
      <c r="AI31" s="14">
        <f t="shared" si="6"/>
        <v>125683.13</v>
      </c>
      <c r="AJ31" s="14">
        <f t="shared" si="6"/>
        <v>40835.890000000014</v>
      </c>
      <c r="AK31" s="14">
        <f t="shared" si="6"/>
        <v>-88275.429999999702</v>
      </c>
      <c r="AL31" s="14">
        <f t="shared" si="6"/>
        <v>24083.649999999994</v>
      </c>
      <c r="AM31" s="14">
        <f t="shared" si="6"/>
        <v>481.47999999999882</v>
      </c>
      <c r="AN31" s="14">
        <f t="shared" si="6"/>
        <v>81199.520000000019</v>
      </c>
      <c r="AO31" s="14">
        <f t="shared" si="6"/>
        <v>46119.59</v>
      </c>
      <c r="AP31" s="14">
        <f t="shared" si="6"/>
        <v>76909.299999999988</v>
      </c>
      <c r="AQ31" s="14">
        <f t="shared" si="6"/>
        <v>1155553.2100000004</v>
      </c>
    </row>
    <row r="32" spans="1:43" x14ac:dyDescent="0.2">
      <c r="A32" s="6" t="s">
        <v>73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spans="1:43" x14ac:dyDescent="0.2">
      <c r="A33" s="7" t="s">
        <v>74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x14ac:dyDescent="0.2">
      <c r="A34" s="8" t="s">
        <v>75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x14ac:dyDescent="0.2">
      <c r="A35" s="9" t="s">
        <v>76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-6175</v>
      </c>
      <c r="AB35" s="10">
        <v>0</v>
      </c>
      <c r="AC35" s="10">
        <v>-9195</v>
      </c>
      <c r="AD35" s="10">
        <v>-4177.72</v>
      </c>
      <c r="AE35" s="10">
        <v>0</v>
      </c>
      <c r="AF35" s="10">
        <v>0</v>
      </c>
      <c r="AG35" s="10">
        <v>-9750</v>
      </c>
      <c r="AH35" s="10">
        <v>0</v>
      </c>
      <c r="AI35" s="10">
        <v>-60</v>
      </c>
      <c r="AJ35" s="10">
        <v>0</v>
      </c>
      <c r="AK35" s="10">
        <v>0</v>
      </c>
      <c r="AL35" s="10">
        <v>0</v>
      </c>
      <c r="AM35" s="10">
        <v>-6500</v>
      </c>
      <c r="AN35" s="10">
        <v>0</v>
      </c>
      <c r="AO35" s="10">
        <v>0</v>
      </c>
      <c r="AP35" s="10">
        <v>0</v>
      </c>
      <c r="AQ35" s="10">
        <f>SUM(B35:AP35)</f>
        <v>-35857.72</v>
      </c>
    </row>
    <row r="36" spans="1:43" x14ac:dyDescent="0.2">
      <c r="A36" s="9" t="s">
        <v>77</v>
      </c>
      <c r="B36" s="10">
        <v>-10416.65</v>
      </c>
      <c r="C36" s="10">
        <v>-10416.65</v>
      </c>
      <c r="D36" s="10">
        <v>-10833.35</v>
      </c>
      <c r="E36" s="10">
        <v>-6500</v>
      </c>
      <c r="F36" s="10">
        <v>-6500</v>
      </c>
      <c r="G36" s="10">
        <v>-6500</v>
      </c>
      <c r="H36" s="10">
        <v>-8466.1</v>
      </c>
      <c r="I36" s="10">
        <v>-6694.2</v>
      </c>
      <c r="J36" s="10">
        <v>-6621.4</v>
      </c>
      <c r="K36" s="10">
        <v>-6499.85</v>
      </c>
      <c r="L36" s="10">
        <v>-12061.25</v>
      </c>
      <c r="M36" s="10">
        <v>-32233.65</v>
      </c>
      <c r="N36" s="10">
        <v>-10833.35</v>
      </c>
      <c r="O36" s="10">
        <v>-10045.450000000001</v>
      </c>
      <c r="P36" s="10">
        <v>-10833.35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-2239.4</v>
      </c>
      <c r="Z36" s="10">
        <v>0</v>
      </c>
      <c r="AA36" s="10">
        <v>-91542</v>
      </c>
      <c r="AB36" s="10">
        <v>0</v>
      </c>
      <c r="AC36" s="10">
        <v>0</v>
      </c>
      <c r="AD36" s="10">
        <v>-22000</v>
      </c>
      <c r="AE36" s="10">
        <v>-32000</v>
      </c>
      <c r="AF36" s="10">
        <v>-30709.7</v>
      </c>
      <c r="AG36" s="10">
        <v>-22000</v>
      </c>
      <c r="AH36" s="10">
        <v>-22000</v>
      </c>
      <c r="AI36" s="10">
        <v>-36833.35</v>
      </c>
      <c r="AJ36" s="10">
        <v>-29611.1</v>
      </c>
      <c r="AK36" s="10">
        <v>63042</v>
      </c>
      <c r="AL36" s="10">
        <v>-28500</v>
      </c>
      <c r="AM36" s="10">
        <v>-28500</v>
      </c>
      <c r="AN36" s="10">
        <v>-28500</v>
      </c>
      <c r="AO36" s="10">
        <v>-34500</v>
      </c>
      <c r="AP36" s="10">
        <v>-34500</v>
      </c>
      <c r="AQ36" s="10">
        <f>SUM(B36:AP36)</f>
        <v>-535848.80000000005</v>
      </c>
    </row>
    <row r="37" spans="1:43" x14ac:dyDescent="0.2">
      <c r="A37" s="13" t="s">
        <v>78</v>
      </c>
      <c r="B37" s="14">
        <f t="shared" ref="B37:AQ37" si="7">SUM(B35:B36)</f>
        <v>-10416.65</v>
      </c>
      <c r="C37" s="14">
        <f t="shared" si="7"/>
        <v>-10416.65</v>
      </c>
      <c r="D37" s="14">
        <f t="shared" si="7"/>
        <v>-10833.35</v>
      </c>
      <c r="E37" s="14">
        <f t="shared" si="7"/>
        <v>-6500</v>
      </c>
      <c r="F37" s="14">
        <f t="shared" si="7"/>
        <v>-6500</v>
      </c>
      <c r="G37" s="14">
        <f t="shared" si="7"/>
        <v>-6500</v>
      </c>
      <c r="H37" s="14">
        <f t="shared" si="7"/>
        <v>-8466.1</v>
      </c>
      <c r="I37" s="14">
        <f t="shared" si="7"/>
        <v>-6694.2</v>
      </c>
      <c r="J37" s="14">
        <f t="shared" si="7"/>
        <v>-6621.4</v>
      </c>
      <c r="K37" s="14">
        <f t="shared" si="7"/>
        <v>-6499.85</v>
      </c>
      <c r="L37" s="14">
        <f t="shared" si="7"/>
        <v>-12061.25</v>
      </c>
      <c r="M37" s="14">
        <f t="shared" si="7"/>
        <v>-32233.65</v>
      </c>
      <c r="N37" s="14">
        <f t="shared" si="7"/>
        <v>-10833.35</v>
      </c>
      <c r="O37" s="14">
        <f t="shared" si="7"/>
        <v>-10045.450000000001</v>
      </c>
      <c r="P37" s="14">
        <f t="shared" si="7"/>
        <v>-10833.35</v>
      </c>
      <c r="Q37" s="14">
        <f t="shared" si="7"/>
        <v>0</v>
      </c>
      <c r="R37" s="14">
        <f t="shared" si="7"/>
        <v>0</v>
      </c>
      <c r="S37" s="14">
        <f t="shared" si="7"/>
        <v>0</v>
      </c>
      <c r="T37" s="14">
        <f t="shared" si="7"/>
        <v>0</v>
      </c>
      <c r="U37" s="14">
        <f t="shared" si="7"/>
        <v>0</v>
      </c>
      <c r="V37" s="14">
        <f t="shared" si="7"/>
        <v>0</v>
      </c>
      <c r="W37" s="14">
        <f t="shared" si="7"/>
        <v>0</v>
      </c>
      <c r="X37" s="14">
        <f t="shared" si="7"/>
        <v>0</v>
      </c>
      <c r="Y37" s="14">
        <f t="shared" si="7"/>
        <v>-2239.4</v>
      </c>
      <c r="Z37" s="14">
        <f t="shared" si="7"/>
        <v>0</v>
      </c>
      <c r="AA37" s="14">
        <f t="shared" si="7"/>
        <v>-97717</v>
      </c>
      <c r="AB37" s="14">
        <f t="shared" si="7"/>
        <v>0</v>
      </c>
      <c r="AC37" s="14">
        <f t="shared" si="7"/>
        <v>-9195</v>
      </c>
      <c r="AD37" s="14">
        <f t="shared" si="7"/>
        <v>-26177.72</v>
      </c>
      <c r="AE37" s="14">
        <f t="shared" si="7"/>
        <v>-32000</v>
      </c>
      <c r="AF37" s="14">
        <f t="shared" si="7"/>
        <v>-30709.7</v>
      </c>
      <c r="AG37" s="14">
        <f t="shared" si="7"/>
        <v>-31750</v>
      </c>
      <c r="AH37" s="14">
        <f t="shared" si="7"/>
        <v>-22000</v>
      </c>
      <c r="AI37" s="14">
        <f t="shared" si="7"/>
        <v>-36893.35</v>
      </c>
      <c r="AJ37" s="14">
        <f t="shared" si="7"/>
        <v>-29611.1</v>
      </c>
      <c r="AK37" s="14">
        <f t="shared" si="7"/>
        <v>63042</v>
      </c>
      <c r="AL37" s="14">
        <f t="shared" si="7"/>
        <v>-28500</v>
      </c>
      <c r="AM37" s="14">
        <f t="shared" si="7"/>
        <v>-35000</v>
      </c>
      <c r="AN37" s="14">
        <f t="shared" si="7"/>
        <v>-28500</v>
      </c>
      <c r="AO37" s="14">
        <f t="shared" si="7"/>
        <v>-34500</v>
      </c>
      <c r="AP37" s="14">
        <f t="shared" si="7"/>
        <v>-34500</v>
      </c>
      <c r="AQ37" s="14">
        <f t="shared" si="7"/>
        <v>-571706.52</v>
      </c>
    </row>
    <row r="38" spans="1:43" x14ac:dyDescent="0.2">
      <c r="A38" s="8" t="s">
        <v>79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spans="1:43" x14ac:dyDescent="0.2">
      <c r="A39" s="9" t="s">
        <v>80</v>
      </c>
      <c r="B39" s="10">
        <v>-345.75</v>
      </c>
      <c r="C39" s="10">
        <v>-882.25</v>
      </c>
      <c r="D39" s="10">
        <v>-915.45</v>
      </c>
      <c r="E39" s="10">
        <v>-637.75</v>
      </c>
      <c r="F39" s="10">
        <v>-637.75</v>
      </c>
      <c r="G39" s="10">
        <v>-637.75</v>
      </c>
      <c r="H39" s="10">
        <v>-756.8</v>
      </c>
      <c r="I39" s="10">
        <v>-650.15</v>
      </c>
      <c r="J39" s="10">
        <v>-651.79999999999995</v>
      </c>
      <c r="K39" s="10">
        <v>-637.75</v>
      </c>
      <c r="L39" s="10">
        <v>-1466.5</v>
      </c>
      <c r="M39" s="10">
        <v>29620</v>
      </c>
      <c r="N39" s="10">
        <v>-913.9</v>
      </c>
      <c r="O39" s="10">
        <v>-913.9</v>
      </c>
      <c r="P39" s="10">
        <v>-913.9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3529.6</v>
      </c>
      <c r="Z39" s="10">
        <v>0</v>
      </c>
      <c r="AA39" s="10">
        <v>0</v>
      </c>
      <c r="AB39" s="10">
        <v>0</v>
      </c>
      <c r="AC39" s="10">
        <v>0</v>
      </c>
      <c r="AD39" s="10">
        <v>-1848.9</v>
      </c>
      <c r="AE39" s="10">
        <v>-2689.3</v>
      </c>
      <c r="AF39" s="10">
        <v>-2580.85</v>
      </c>
      <c r="AG39" s="10">
        <v>-1848.9</v>
      </c>
      <c r="AH39" s="10">
        <v>-1848.9</v>
      </c>
      <c r="AI39" s="10">
        <v>-3095.45</v>
      </c>
      <c r="AJ39" s="10">
        <v>-2488.5</v>
      </c>
      <c r="AK39" s="10">
        <v>16400.8</v>
      </c>
      <c r="AL39" s="10">
        <v>-2320.4</v>
      </c>
      <c r="AM39" s="10">
        <v>-2320.4</v>
      </c>
      <c r="AN39" s="10">
        <v>-2320.4</v>
      </c>
      <c r="AO39" s="10">
        <v>-2808.8</v>
      </c>
      <c r="AP39" s="10">
        <v>-2808.8</v>
      </c>
      <c r="AQ39" s="10">
        <f>SUM(B39:AP39)</f>
        <v>9609.3999999999905</v>
      </c>
    </row>
    <row r="40" spans="1:43" x14ac:dyDescent="0.2">
      <c r="A40" s="9" t="s">
        <v>81</v>
      </c>
      <c r="B40" s="10">
        <v>-536.45000000000005</v>
      </c>
      <c r="C40" s="10">
        <v>-536.45000000000005</v>
      </c>
      <c r="D40" s="10">
        <v>-536.45000000000005</v>
      </c>
      <c r="E40" s="10">
        <v>-536.45000000000005</v>
      </c>
      <c r="F40" s="10">
        <v>-536.45000000000005</v>
      </c>
      <c r="G40" s="10">
        <v>-536.45000000000005</v>
      </c>
      <c r="H40" s="10">
        <v>-536.45000000000005</v>
      </c>
      <c r="I40" s="10">
        <v>-536.45000000000005</v>
      </c>
      <c r="J40" s="10">
        <v>-536.45000000000005</v>
      </c>
      <c r="K40" s="10">
        <v>-536.45000000000005</v>
      </c>
      <c r="L40" s="10">
        <v>-536.45000000000005</v>
      </c>
      <c r="M40" s="10">
        <v>-10907.4</v>
      </c>
      <c r="N40" s="10">
        <v>-536.45000000000005</v>
      </c>
      <c r="O40" s="10">
        <v>-536.45000000000005</v>
      </c>
      <c r="P40" s="10">
        <v>-536.45000000000005</v>
      </c>
      <c r="Q40" s="10">
        <v>-163.4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-2930.7</v>
      </c>
      <c r="Z40" s="10">
        <v>0</v>
      </c>
      <c r="AA40" s="10">
        <v>0</v>
      </c>
      <c r="AB40" s="10">
        <v>0</v>
      </c>
      <c r="AC40" s="10">
        <v>0</v>
      </c>
      <c r="AD40" s="10">
        <v>-750</v>
      </c>
      <c r="AE40" s="10">
        <v>-1445.2</v>
      </c>
      <c r="AF40" s="10">
        <v>-1445.2</v>
      </c>
      <c r="AG40" s="10">
        <v>-952.55</v>
      </c>
      <c r="AH40" s="10">
        <v>-952.55</v>
      </c>
      <c r="AI40" s="10">
        <v>-1415</v>
      </c>
      <c r="AJ40" s="10">
        <v>-1415</v>
      </c>
      <c r="AK40" s="10">
        <v>-19065.05</v>
      </c>
      <c r="AL40" s="10">
        <v>-1147.3</v>
      </c>
      <c r="AM40" s="10">
        <v>-1324.6</v>
      </c>
      <c r="AN40" s="10">
        <v>-1235.95</v>
      </c>
      <c r="AO40" s="10">
        <v>-1591.8</v>
      </c>
      <c r="AP40" s="10">
        <v>-1591.8</v>
      </c>
      <c r="AQ40" s="10">
        <f>SUM(B40:AP40)</f>
        <v>-55843.80000000001</v>
      </c>
    </row>
    <row r="41" spans="1:43" x14ac:dyDescent="0.2">
      <c r="A41" s="9" t="s">
        <v>82</v>
      </c>
      <c r="B41" s="10">
        <v>0</v>
      </c>
      <c r="C41" s="10">
        <v>0</v>
      </c>
      <c r="D41" s="10">
        <v>-444.75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-247.73</v>
      </c>
      <c r="AN41" s="10">
        <v>-13309.15</v>
      </c>
      <c r="AO41" s="10">
        <v>0</v>
      </c>
      <c r="AP41" s="10">
        <v>0</v>
      </c>
      <c r="AQ41" s="10">
        <f>SUM(B41:AP41)</f>
        <v>-14001.63</v>
      </c>
    </row>
    <row r="42" spans="1:43" x14ac:dyDescent="0.2">
      <c r="A42" s="13" t="s">
        <v>83</v>
      </c>
      <c r="B42" s="14">
        <f t="shared" ref="B42:AQ42" si="8">SUM(B39:B41)</f>
        <v>-882.2</v>
      </c>
      <c r="C42" s="14">
        <f t="shared" si="8"/>
        <v>-1418.7</v>
      </c>
      <c r="D42" s="14">
        <f t="shared" si="8"/>
        <v>-1896.65</v>
      </c>
      <c r="E42" s="14">
        <f t="shared" si="8"/>
        <v>-1174.2</v>
      </c>
      <c r="F42" s="14">
        <f t="shared" si="8"/>
        <v>-1174.2</v>
      </c>
      <c r="G42" s="14">
        <f t="shared" si="8"/>
        <v>-1174.2</v>
      </c>
      <c r="H42" s="14">
        <f t="shared" si="8"/>
        <v>-1293.25</v>
      </c>
      <c r="I42" s="14">
        <f t="shared" si="8"/>
        <v>-1186.5999999999999</v>
      </c>
      <c r="J42" s="14">
        <f t="shared" si="8"/>
        <v>-1188.25</v>
      </c>
      <c r="K42" s="14">
        <f t="shared" si="8"/>
        <v>-1174.2</v>
      </c>
      <c r="L42" s="14">
        <f t="shared" si="8"/>
        <v>-2002.95</v>
      </c>
      <c r="M42" s="14">
        <f t="shared" si="8"/>
        <v>18712.599999999999</v>
      </c>
      <c r="N42" s="14">
        <f t="shared" si="8"/>
        <v>-1450.35</v>
      </c>
      <c r="O42" s="14">
        <f t="shared" si="8"/>
        <v>-1450.35</v>
      </c>
      <c r="P42" s="14">
        <f t="shared" si="8"/>
        <v>-1450.35</v>
      </c>
      <c r="Q42" s="14">
        <f t="shared" si="8"/>
        <v>-163.4</v>
      </c>
      <c r="R42" s="14">
        <f t="shared" si="8"/>
        <v>0</v>
      </c>
      <c r="S42" s="14">
        <f t="shared" si="8"/>
        <v>0</v>
      </c>
      <c r="T42" s="14">
        <f t="shared" si="8"/>
        <v>0</v>
      </c>
      <c r="U42" s="14">
        <f t="shared" si="8"/>
        <v>0</v>
      </c>
      <c r="V42" s="14">
        <f t="shared" si="8"/>
        <v>0</v>
      </c>
      <c r="W42" s="14">
        <f t="shared" si="8"/>
        <v>0</v>
      </c>
      <c r="X42" s="14">
        <f t="shared" si="8"/>
        <v>0</v>
      </c>
      <c r="Y42" s="14">
        <f t="shared" si="8"/>
        <v>598.90000000000009</v>
      </c>
      <c r="Z42" s="14">
        <f t="shared" si="8"/>
        <v>0</v>
      </c>
      <c r="AA42" s="14">
        <f t="shared" si="8"/>
        <v>0</v>
      </c>
      <c r="AB42" s="14">
        <f t="shared" si="8"/>
        <v>0</v>
      </c>
      <c r="AC42" s="14">
        <f t="shared" si="8"/>
        <v>0</v>
      </c>
      <c r="AD42" s="14">
        <f t="shared" si="8"/>
        <v>-2598.9</v>
      </c>
      <c r="AE42" s="14">
        <f t="shared" si="8"/>
        <v>-4134.5</v>
      </c>
      <c r="AF42" s="14">
        <f t="shared" si="8"/>
        <v>-4026.05</v>
      </c>
      <c r="AG42" s="14">
        <f t="shared" si="8"/>
        <v>-2801.45</v>
      </c>
      <c r="AH42" s="14">
        <f t="shared" si="8"/>
        <v>-2801.45</v>
      </c>
      <c r="AI42" s="14">
        <f t="shared" si="8"/>
        <v>-4510.45</v>
      </c>
      <c r="AJ42" s="14">
        <f t="shared" si="8"/>
        <v>-3903.5</v>
      </c>
      <c r="AK42" s="14">
        <f t="shared" si="8"/>
        <v>-2664.25</v>
      </c>
      <c r="AL42" s="14">
        <f t="shared" si="8"/>
        <v>-3467.7</v>
      </c>
      <c r="AM42" s="14">
        <f t="shared" si="8"/>
        <v>-3892.73</v>
      </c>
      <c r="AN42" s="14">
        <f t="shared" si="8"/>
        <v>-16865.5</v>
      </c>
      <c r="AO42" s="14">
        <f t="shared" si="8"/>
        <v>-4400.6000000000004</v>
      </c>
      <c r="AP42" s="14">
        <f t="shared" si="8"/>
        <v>-4400.6000000000004</v>
      </c>
      <c r="AQ42" s="14">
        <f t="shared" si="8"/>
        <v>-60236.030000000021</v>
      </c>
    </row>
    <row r="43" spans="1:43" x14ac:dyDescent="0.2">
      <c r="A43" s="15" t="s">
        <v>84</v>
      </c>
      <c r="B43" s="14">
        <f t="shared" ref="B43:AQ43" si="9">B37+B42</f>
        <v>-11298.85</v>
      </c>
      <c r="C43" s="14">
        <f t="shared" si="9"/>
        <v>-11835.35</v>
      </c>
      <c r="D43" s="14">
        <f t="shared" si="9"/>
        <v>-12730</v>
      </c>
      <c r="E43" s="14">
        <f t="shared" si="9"/>
        <v>-7674.2</v>
      </c>
      <c r="F43" s="14">
        <f t="shared" si="9"/>
        <v>-7674.2</v>
      </c>
      <c r="G43" s="14">
        <f t="shared" si="9"/>
        <v>-7674.2</v>
      </c>
      <c r="H43" s="14">
        <f t="shared" si="9"/>
        <v>-9759.35</v>
      </c>
      <c r="I43" s="14">
        <f t="shared" si="9"/>
        <v>-7880.7999999999993</v>
      </c>
      <c r="J43" s="14">
        <f t="shared" si="9"/>
        <v>-7809.65</v>
      </c>
      <c r="K43" s="14">
        <f t="shared" si="9"/>
        <v>-7674.05</v>
      </c>
      <c r="L43" s="14">
        <f t="shared" si="9"/>
        <v>-14064.2</v>
      </c>
      <c r="M43" s="14">
        <f t="shared" si="9"/>
        <v>-13521.050000000003</v>
      </c>
      <c r="N43" s="14">
        <f t="shared" si="9"/>
        <v>-12283.7</v>
      </c>
      <c r="O43" s="14">
        <f t="shared" si="9"/>
        <v>-11495.800000000001</v>
      </c>
      <c r="P43" s="14">
        <f t="shared" si="9"/>
        <v>-12283.7</v>
      </c>
      <c r="Q43" s="14">
        <f t="shared" si="9"/>
        <v>-163.4</v>
      </c>
      <c r="R43" s="14">
        <f t="shared" si="9"/>
        <v>0</v>
      </c>
      <c r="S43" s="14">
        <f t="shared" si="9"/>
        <v>0</v>
      </c>
      <c r="T43" s="14">
        <f t="shared" si="9"/>
        <v>0</v>
      </c>
      <c r="U43" s="14">
        <f t="shared" si="9"/>
        <v>0</v>
      </c>
      <c r="V43" s="14">
        <f t="shared" si="9"/>
        <v>0</v>
      </c>
      <c r="W43" s="14">
        <f t="shared" si="9"/>
        <v>0</v>
      </c>
      <c r="X43" s="14">
        <f t="shared" si="9"/>
        <v>0</v>
      </c>
      <c r="Y43" s="14">
        <f t="shared" si="9"/>
        <v>-1640.5</v>
      </c>
      <c r="Z43" s="14">
        <f t="shared" si="9"/>
        <v>0</v>
      </c>
      <c r="AA43" s="14">
        <f t="shared" si="9"/>
        <v>-97717</v>
      </c>
      <c r="AB43" s="14">
        <f t="shared" si="9"/>
        <v>0</v>
      </c>
      <c r="AC43" s="14">
        <f t="shared" si="9"/>
        <v>-9195</v>
      </c>
      <c r="AD43" s="14">
        <f t="shared" si="9"/>
        <v>-28776.620000000003</v>
      </c>
      <c r="AE43" s="14">
        <f t="shared" si="9"/>
        <v>-36134.5</v>
      </c>
      <c r="AF43" s="14">
        <f t="shared" si="9"/>
        <v>-34735.75</v>
      </c>
      <c r="AG43" s="14">
        <f t="shared" si="9"/>
        <v>-34551.449999999997</v>
      </c>
      <c r="AH43" s="14">
        <f t="shared" si="9"/>
        <v>-24801.45</v>
      </c>
      <c r="AI43" s="14">
        <f t="shared" si="9"/>
        <v>-41403.799999999996</v>
      </c>
      <c r="AJ43" s="14">
        <f t="shared" si="9"/>
        <v>-33514.6</v>
      </c>
      <c r="AK43" s="14">
        <f t="shared" si="9"/>
        <v>60377.75</v>
      </c>
      <c r="AL43" s="14">
        <f t="shared" si="9"/>
        <v>-31967.7</v>
      </c>
      <c r="AM43" s="14">
        <f t="shared" si="9"/>
        <v>-38892.730000000003</v>
      </c>
      <c r="AN43" s="14">
        <f t="shared" si="9"/>
        <v>-45365.5</v>
      </c>
      <c r="AO43" s="14">
        <f t="shared" si="9"/>
        <v>-38900.6</v>
      </c>
      <c r="AP43" s="14">
        <f t="shared" si="9"/>
        <v>-38900.6</v>
      </c>
      <c r="AQ43" s="14">
        <f t="shared" si="9"/>
        <v>-631942.55000000005</v>
      </c>
    </row>
    <row r="44" spans="1:43" x14ac:dyDescent="0.2">
      <c r="A44" s="7" t="s">
        <v>85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spans="1:43" x14ac:dyDescent="0.2">
      <c r="A45" s="8" t="s">
        <v>86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spans="1:43" x14ac:dyDescent="0.2">
      <c r="A46" s="9" t="s">
        <v>87</v>
      </c>
      <c r="B46" s="10">
        <v>0</v>
      </c>
      <c r="C46" s="10">
        <v>0</v>
      </c>
      <c r="D46" s="10">
        <v>0</v>
      </c>
      <c r="E46" s="10">
        <v>0</v>
      </c>
      <c r="F46" s="10">
        <v>-35</v>
      </c>
      <c r="G46" s="10">
        <v>-35</v>
      </c>
      <c r="H46" s="10">
        <v>-35</v>
      </c>
      <c r="I46" s="10">
        <v>-35</v>
      </c>
      <c r="J46" s="10">
        <v>-35</v>
      </c>
      <c r="K46" s="10">
        <v>-35</v>
      </c>
      <c r="L46" s="10">
        <v>-35</v>
      </c>
      <c r="M46" s="10">
        <v>-35</v>
      </c>
      <c r="N46" s="10">
        <v>-35</v>
      </c>
      <c r="O46" s="10">
        <v>-35</v>
      </c>
      <c r="P46" s="10">
        <v>-1650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-1060.92</v>
      </c>
      <c r="AP46" s="10">
        <v>-570.22</v>
      </c>
      <c r="AQ46" s="10">
        <f>SUM(B46:AP46)</f>
        <v>-3631.1400000000003</v>
      </c>
    </row>
    <row r="47" spans="1:43" x14ac:dyDescent="0.2">
      <c r="A47" s="13" t="s">
        <v>88</v>
      </c>
      <c r="B47" s="14">
        <f t="shared" ref="B47:AQ47" si="10">SUM(B46)</f>
        <v>0</v>
      </c>
      <c r="C47" s="14">
        <f t="shared" si="10"/>
        <v>0</v>
      </c>
      <c r="D47" s="14">
        <f t="shared" si="10"/>
        <v>0</v>
      </c>
      <c r="E47" s="14">
        <f t="shared" si="10"/>
        <v>0</v>
      </c>
      <c r="F47" s="14">
        <f t="shared" si="10"/>
        <v>-35</v>
      </c>
      <c r="G47" s="14">
        <f t="shared" si="10"/>
        <v>-35</v>
      </c>
      <c r="H47" s="14">
        <f t="shared" si="10"/>
        <v>-35</v>
      </c>
      <c r="I47" s="14">
        <f t="shared" si="10"/>
        <v>-35</v>
      </c>
      <c r="J47" s="14">
        <f t="shared" si="10"/>
        <v>-35</v>
      </c>
      <c r="K47" s="14">
        <f t="shared" si="10"/>
        <v>-35</v>
      </c>
      <c r="L47" s="14">
        <f t="shared" si="10"/>
        <v>-35</v>
      </c>
      <c r="M47" s="14">
        <f t="shared" si="10"/>
        <v>-35</v>
      </c>
      <c r="N47" s="14">
        <f t="shared" si="10"/>
        <v>-35</v>
      </c>
      <c r="O47" s="14">
        <f t="shared" si="10"/>
        <v>-35</v>
      </c>
      <c r="P47" s="14">
        <f t="shared" si="10"/>
        <v>-1650</v>
      </c>
      <c r="Q47" s="14">
        <f t="shared" si="10"/>
        <v>0</v>
      </c>
      <c r="R47" s="14">
        <f t="shared" si="10"/>
        <v>0</v>
      </c>
      <c r="S47" s="14">
        <f t="shared" si="10"/>
        <v>0</v>
      </c>
      <c r="T47" s="14">
        <f t="shared" si="10"/>
        <v>0</v>
      </c>
      <c r="U47" s="14">
        <f t="shared" si="10"/>
        <v>0</v>
      </c>
      <c r="V47" s="14">
        <f t="shared" si="10"/>
        <v>0</v>
      </c>
      <c r="W47" s="14">
        <f t="shared" si="10"/>
        <v>0</v>
      </c>
      <c r="X47" s="14">
        <f t="shared" si="10"/>
        <v>0</v>
      </c>
      <c r="Y47" s="14">
        <f t="shared" si="10"/>
        <v>0</v>
      </c>
      <c r="Z47" s="14">
        <f t="shared" si="10"/>
        <v>0</v>
      </c>
      <c r="AA47" s="14">
        <f t="shared" si="10"/>
        <v>0</v>
      </c>
      <c r="AB47" s="14">
        <f t="shared" si="10"/>
        <v>0</v>
      </c>
      <c r="AC47" s="14">
        <f t="shared" si="10"/>
        <v>0</v>
      </c>
      <c r="AD47" s="14">
        <f t="shared" si="10"/>
        <v>0</v>
      </c>
      <c r="AE47" s="14">
        <f t="shared" si="10"/>
        <v>0</v>
      </c>
      <c r="AF47" s="14">
        <f t="shared" si="10"/>
        <v>0</v>
      </c>
      <c r="AG47" s="14">
        <f t="shared" si="10"/>
        <v>0</v>
      </c>
      <c r="AH47" s="14">
        <f t="shared" si="10"/>
        <v>0</v>
      </c>
      <c r="AI47" s="14">
        <f t="shared" si="10"/>
        <v>0</v>
      </c>
      <c r="AJ47" s="14">
        <f t="shared" si="10"/>
        <v>0</v>
      </c>
      <c r="AK47" s="14">
        <f t="shared" si="10"/>
        <v>0</v>
      </c>
      <c r="AL47" s="14">
        <f t="shared" si="10"/>
        <v>0</v>
      </c>
      <c r="AM47" s="14">
        <f t="shared" si="10"/>
        <v>0</v>
      </c>
      <c r="AN47" s="14">
        <f t="shared" si="10"/>
        <v>0</v>
      </c>
      <c r="AO47" s="14">
        <f t="shared" si="10"/>
        <v>-1060.92</v>
      </c>
      <c r="AP47" s="14">
        <f t="shared" si="10"/>
        <v>-570.22</v>
      </c>
      <c r="AQ47" s="14">
        <f t="shared" si="10"/>
        <v>-3631.1400000000003</v>
      </c>
    </row>
    <row r="48" spans="1:43" x14ac:dyDescent="0.2">
      <c r="A48" s="15" t="s">
        <v>89</v>
      </c>
      <c r="B48" s="14">
        <f t="shared" ref="B48:AQ48" si="11">B47+0</f>
        <v>0</v>
      </c>
      <c r="C48" s="14">
        <f t="shared" si="11"/>
        <v>0</v>
      </c>
      <c r="D48" s="14">
        <f t="shared" si="11"/>
        <v>0</v>
      </c>
      <c r="E48" s="14">
        <f t="shared" si="11"/>
        <v>0</v>
      </c>
      <c r="F48" s="14">
        <f t="shared" si="11"/>
        <v>-35</v>
      </c>
      <c r="G48" s="14">
        <f t="shared" si="11"/>
        <v>-35</v>
      </c>
      <c r="H48" s="14">
        <f t="shared" si="11"/>
        <v>-35</v>
      </c>
      <c r="I48" s="14">
        <f t="shared" si="11"/>
        <v>-35</v>
      </c>
      <c r="J48" s="14">
        <f t="shared" si="11"/>
        <v>-35</v>
      </c>
      <c r="K48" s="14">
        <f t="shared" si="11"/>
        <v>-35</v>
      </c>
      <c r="L48" s="14">
        <f t="shared" si="11"/>
        <v>-35</v>
      </c>
      <c r="M48" s="14">
        <f t="shared" si="11"/>
        <v>-35</v>
      </c>
      <c r="N48" s="14">
        <f t="shared" si="11"/>
        <v>-35</v>
      </c>
      <c r="O48" s="14">
        <f t="shared" si="11"/>
        <v>-35</v>
      </c>
      <c r="P48" s="14">
        <f t="shared" si="11"/>
        <v>-1650</v>
      </c>
      <c r="Q48" s="14">
        <f t="shared" si="11"/>
        <v>0</v>
      </c>
      <c r="R48" s="14">
        <f t="shared" si="11"/>
        <v>0</v>
      </c>
      <c r="S48" s="14">
        <f t="shared" si="11"/>
        <v>0</v>
      </c>
      <c r="T48" s="14">
        <f t="shared" si="11"/>
        <v>0</v>
      </c>
      <c r="U48" s="14">
        <f t="shared" si="11"/>
        <v>0</v>
      </c>
      <c r="V48" s="14">
        <f t="shared" si="11"/>
        <v>0</v>
      </c>
      <c r="W48" s="14">
        <f t="shared" si="11"/>
        <v>0</v>
      </c>
      <c r="X48" s="14">
        <f t="shared" si="11"/>
        <v>0</v>
      </c>
      <c r="Y48" s="14">
        <f t="shared" si="11"/>
        <v>0</v>
      </c>
      <c r="Z48" s="14">
        <f t="shared" si="11"/>
        <v>0</v>
      </c>
      <c r="AA48" s="14">
        <f t="shared" si="11"/>
        <v>0</v>
      </c>
      <c r="AB48" s="14">
        <f t="shared" si="11"/>
        <v>0</v>
      </c>
      <c r="AC48" s="14">
        <f t="shared" si="11"/>
        <v>0</v>
      </c>
      <c r="AD48" s="14">
        <f t="shared" si="11"/>
        <v>0</v>
      </c>
      <c r="AE48" s="14">
        <f t="shared" si="11"/>
        <v>0</v>
      </c>
      <c r="AF48" s="14">
        <f t="shared" si="11"/>
        <v>0</v>
      </c>
      <c r="AG48" s="14">
        <f t="shared" si="11"/>
        <v>0</v>
      </c>
      <c r="AH48" s="14">
        <f t="shared" si="11"/>
        <v>0</v>
      </c>
      <c r="AI48" s="14">
        <f t="shared" si="11"/>
        <v>0</v>
      </c>
      <c r="AJ48" s="14">
        <f t="shared" si="11"/>
        <v>0</v>
      </c>
      <c r="AK48" s="14">
        <f t="shared" si="11"/>
        <v>0</v>
      </c>
      <c r="AL48" s="14">
        <f t="shared" si="11"/>
        <v>0</v>
      </c>
      <c r="AM48" s="14">
        <f t="shared" si="11"/>
        <v>0</v>
      </c>
      <c r="AN48" s="14">
        <f t="shared" si="11"/>
        <v>0</v>
      </c>
      <c r="AO48" s="14">
        <f t="shared" si="11"/>
        <v>-1060.92</v>
      </c>
      <c r="AP48" s="14">
        <f t="shared" si="11"/>
        <v>-570.22</v>
      </c>
      <c r="AQ48" s="14">
        <f t="shared" si="11"/>
        <v>-3631.1400000000003</v>
      </c>
    </row>
    <row r="49" spans="1:43" x14ac:dyDescent="0.2">
      <c r="A49" s="7" t="s">
        <v>90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x14ac:dyDescent="0.2">
      <c r="A50" s="17" t="s">
        <v>91</v>
      </c>
      <c r="B50" s="10">
        <v>-4754.0200000000004</v>
      </c>
      <c r="C50" s="10">
        <v>-4755</v>
      </c>
      <c r="D50" s="10">
        <v>-3063</v>
      </c>
      <c r="E50" s="10">
        <v>-1759.5</v>
      </c>
      <c r="F50" s="10">
        <v>-1759.5</v>
      </c>
      <c r="G50" s="10">
        <v>-1759.5</v>
      </c>
      <c r="H50" s="10">
        <v>-1759.5</v>
      </c>
      <c r="I50" s="10">
        <v>-1759.5</v>
      </c>
      <c r="J50" s="10">
        <v>-1758.5</v>
      </c>
      <c r="K50" s="10">
        <v>-1759.5</v>
      </c>
      <c r="L50" s="10">
        <v>-1759.5</v>
      </c>
      <c r="M50" s="10">
        <v>-1759.5</v>
      </c>
      <c r="N50" s="10">
        <v>-1759.5</v>
      </c>
      <c r="O50" s="10">
        <v>-1750.55</v>
      </c>
      <c r="P50" s="10">
        <v>-1768.45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-145.35</v>
      </c>
      <c r="AI50" s="10">
        <v>0</v>
      </c>
      <c r="AJ50" s="10">
        <v>0</v>
      </c>
      <c r="AK50" s="10">
        <v>0</v>
      </c>
      <c r="AL50" s="10">
        <v>0</v>
      </c>
      <c r="AM50" s="10">
        <v>-4400.1899999999996</v>
      </c>
      <c r="AN50" s="10">
        <v>-8799.7999999999993</v>
      </c>
      <c r="AO50" s="10">
        <v>-4399.8999999999996</v>
      </c>
      <c r="AP50" s="10">
        <v>-4399.8999999999996</v>
      </c>
      <c r="AQ50" s="10">
        <f t="shared" ref="AQ50:AQ75" si="12">SUM(B50:AP50)</f>
        <v>-55830.16</v>
      </c>
    </row>
    <row r="51" spans="1:43" x14ac:dyDescent="0.2">
      <c r="A51" s="17" t="s">
        <v>92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-50.14</v>
      </c>
      <c r="M51" s="10">
        <v>50.14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-112.85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-63.23</v>
      </c>
      <c r="AP51" s="10">
        <v>0</v>
      </c>
      <c r="AQ51" s="10">
        <f t="shared" si="12"/>
        <v>-176.07999999999998</v>
      </c>
    </row>
    <row r="52" spans="1:43" x14ac:dyDescent="0.2">
      <c r="A52" s="17" t="s">
        <v>93</v>
      </c>
      <c r="B52" s="10">
        <v>0</v>
      </c>
      <c r="C52" s="10">
        <v>0</v>
      </c>
      <c r="D52" s="10">
        <v>-250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-600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-91.13</v>
      </c>
      <c r="AQ52" s="10">
        <f t="shared" si="12"/>
        <v>-941.13</v>
      </c>
    </row>
    <row r="53" spans="1:43" x14ac:dyDescent="0.2">
      <c r="A53" s="17" t="s">
        <v>94</v>
      </c>
      <c r="B53" s="10">
        <v>-9.15</v>
      </c>
      <c r="C53" s="10">
        <v>-9.1999999999999993</v>
      </c>
      <c r="D53" s="10">
        <v>-9.5500000000000007</v>
      </c>
      <c r="E53" s="10">
        <v>-9.5500000000000007</v>
      </c>
      <c r="F53" s="10">
        <v>-9.5500000000000007</v>
      </c>
      <c r="G53" s="10">
        <v>-9.5500000000000007</v>
      </c>
      <c r="H53" s="10">
        <v>-9.5500000000000007</v>
      </c>
      <c r="I53" s="10">
        <v>-9.5500000000000007</v>
      </c>
      <c r="J53" s="10">
        <v>-9.5500000000000007</v>
      </c>
      <c r="K53" s="10">
        <v>-9.5500000000000007</v>
      </c>
      <c r="L53" s="10">
        <v>-9.5500000000000007</v>
      </c>
      <c r="M53" s="10">
        <v>-261.85000000000002</v>
      </c>
      <c r="N53" s="10">
        <v>-7.3</v>
      </c>
      <c r="O53" s="10">
        <v>-7.3</v>
      </c>
      <c r="P53" s="10">
        <v>-7.3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21.9</v>
      </c>
      <c r="Z53" s="10">
        <v>-1675</v>
      </c>
      <c r="AA53" s="10">
        <v>0</v>
      </c>
      <c r="AB53" s="10">
        <v>0</v>
      </c>
      <c r="AC53" s="10">
        <v>0</v>
      </c>
      <c r="AD53" s="10">
        <v>-14.15</v>
      </c>
      <c r="AE53" s="10">
        <v>-20.6</v>
      </c>
      <c r="AF53" s="10">
        <v>-19.75</v>
      </c>
      <c r="AG53" s="10">
        <v>-14.15</v>
      </c>
      <c r="AH53" s="10">
        <v>-14.15</v>
      </c>
      <c r="AI53" s="10">
        <v>-30.15</v>
      </c>
      <c r="AJ53" s="10">
        <v>-19.05</v>
      </c>
      <c r="AK53" s="10">
        <v>132</v>
      </c>
      <c r="AL53" s="10">
        <v>-1668.35</v>
      </c>
      <c r="AM53" s="10">
        <v>-18.350000000000001</v>
      </c>
      <c r="AN53" s="10">
        <v>-18.350000000000001</v>
      </c>
      <c r="AO53" s="10">
        <v>-1092.2</v>
      </c>
      <c r="AP53" s="10">
        <v>-22.2</v>
      </c>
      <c r="AQ53" s="10">
        <f t="shared" si="12"/>
        <v>-4860.6000000000004</v>
      </c>
    </row>
    <row r="54" spans="1:43" x14ac:dyDescent="0.2">
      <c r="A54" s="17" t="s">
        <v>95</v>
      </c>
      <c r="B54" s="10">
        <v>-1200</v>
      </c>
      <c r="C54" s="10">
        <v>0</v>
      </c>
      <c r="D54" s="10">
        <v>-18</v>
      </c>
      <c r="E54" s="10">
        <v>-443.04</v>
      </c>
      <c r="F54" s="10">
        <v>-520</v>
      </c>
      <c r="G54" s="10">
        <v>-503.58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366.15</v>
      </c>
      <c r="N54" s="10">
        <v>-1292.4000000000001</v>
      </c>
      <c r="O54" s="10">
        <v>0</v>
      </c>
      <c r="P54" s="10">
        <v>0</v>
      </c>
      <c r="Q54" s="10">
        <v>0</v>
      </c>
      <c r="R54" s="10">
        <v>-503.58</v>
      </c>
      <c r="S54" s="10">
        <v>0</v>
      </c>
      <c r="T54" s="10">
        <v>-300</v>
      </c>
      <c r="U54" s="10">
        <v>-520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-520.01</v>
      </c>
      <c r="AB54" s="10">
        <v>0</v>
      </c>
      <c r="AC54" s="10">
        <v>-160</v>
      </c>
      <c r="AD54" s="10">
        <v>-453.25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973.26</v>
      </c>
      <c r="AL54" s="10">
        <v>-1200</v>
      </c>
      <c r="AM54" s="10">
        <v>0</v>
      </c>
      <c r="AN54" s="10">
        <v>-1165.01</v>
      </c>
      <c r="AO54" s="10">
        <v>-1156.99</v>
      </c>
      <c r="AP54" s="10">
        <v>0</v>
      </c>
      <c r="AQ54" s="10">
        <f t="shared" si="12"/>
        <v>-8616.4500000000007</v>
      </c>
    </row>
    <row r="55" spans="1:43" x14ac:dyDescent="0.2">
      <c r="A55" s="17" t="s">
        <v>96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-2800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f t="shared" si="12"/>
        <v>-2800</v>
      </c>
    </row>
    <row r="56" spans="1:43" x14ac:dyDescent="0.2">
      <c r="A56" s="17" t="s">
        <v>97</v>
      </c>
      <c r="B56" s="10">
        <v>0</v>
      </c>
      <c r="C56" s="10">
        <v>0</v>
      </c>
      <c r="D56" s="10">
        <v>0</v>
      </c>
      <c r="E56" s="10">
        <v>-76.739999999999995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-1432.82</v>
      </c>
      <c r="AI56" s="10">
        <v>0</v>
      </c>
      <c r="AJ56" s="10">
        <v>0</v>
      </c>
      <c r="AK56" s="10">
        <v>0</v>
      </c>
      <c r="AL56" s="10">
        <v>0</v>
      </c>
      <c r="AM56" s="10">
        <v>-301.95</v>
      </c>
      <c r="AN56" s="10">
        <v>0</v>
      </c>
      <c r="AO56" s="10">
        <v>0</v>
      </c>
      <c r="AP56" s="10">
        <v>0</v>
      </c>
      <c r="AQ56" s="10">
        <f t="shared" si="12"/>
        <v>-1811.51</v>
      </c>
    </row>
    <row r="57" spans="1:43" x14ac:dyDescent="0.2">
      <c r="A57" s="17" t="s">
        <v>98</v>
      </c>
      <c r="B57" s="10">
        <v>-100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f t="shared" si="12"/>
        <v>-100</v>
      </c>
    </row>
    <row r="58" spans="1:43" x14ac:dyDescent="0.2">
      <c r="A58" s="17" t="s">
        <v>99</v>
      </c>
      <c r="B58" s="10">
        <v>-1685.3</v>
      </c>
      <c r="C58" s="10">
        <v>-857.3</v>
      </c>
      <c r="D58" s="10">
        <v>-857.3</v>
      </c>
      <c r="E58" s="10">
        <v>-2680.5</v>
      </c>
      <c r="F58" s="10">
        <v>-875.85</v>
      </c>
      <c r="G58" s="10">
        <v>-1062</v>
      </c>
      <c r="H58" s="10">
        <v>-857.3</v>
      </c>
      <c r="I58" s="10">
        <v>-877.3</v>
      </c>
      <c r="J58" s="10">
        <v>-857.3</v>
      </c>
      <c r="K58" s="10">
        <v>-923.3</v>
      </c>
      <c r="L58" s="10">
        <v>-857.3</v>
      </c>
      <c r="M58" s="10">
        <v>-1596.39</v>
      </c>
      <c r="N58" s="10">
        <v>-1645.3</v>
      </c>
      <c r="O58" s="10">
        <v>-857.3</v>
      </c>
      <c r="P58" s="10">
        <v>-857.3</v>
      </c>
      <c r="Q58" s="10">
        <v>-9208.2999999999993</v>
      </c>
      <c r="R58" s="10">
        <v>2184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7867.55</v>
      </c>
      <c r="Z58" s="10">
        <v>0</v>
      </c>
      <c r="AA58" s="10">
        <v>0</v>
      </c>
      <c r="AB58" s="10">
        <v>0</v>
      </c>
      <c r="AC58" s="10">
        <v>0</v>
      </c>
      <c r="AD58" s="10">
        <v>-3360.91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2387.65</v>
      </c>
      <c r="AL58" s="10">
        <v>0</v>
      </c>
      <c r="AM58" s="10">
        <v>0</v>
      </c>
      <c r="AN58" s="10">
        <v>0</v>
      </c>
      <c r="AO58" s="10">
        <v>-13037.51</v>
      </c>
      <c r="AP58" s="10">
        <v>0</v>
      </c>
      <c r="AQ58" s="10">
        <f t="shared" si="12"/>
        <v>-30514.55999999999</v>
      </c>
    </row>
    <row r="59" spans="1:43" x14ac:dyDescent="0.2">
      <c r="A59" s="17" t="s">
        <v>100</v>
      </c>
      <c r="B59" s="10">
        <v>-295.60000000000002</v>
      </c>
      <c r="C59" s="10">
        <v>-227.9</v>
      </c>
      <c r="D59" s="10">
        <v>-81.7</v>
      </c>
      <c r="E59" s="10">
        <v>0</v>
      </c>
      <c r="F59" s="10">
        <v>0</v>
      </c>
      <c r="G59" s="10">
        <v>-78.900000000000006</v>
      </c>
      <c r="H59" s="10">
        <v>0</v>
      </c>
      <c r="I59" s="10">
        <v>-21.35</v>
      </c>
      <c r="J59" s="10">
        <v>-181.05</v>
      </c>
      <c r="K59" s="10">
        <v>-51.05</v>
      </c>
      <c r="L59" s="10">
        <v>-42.3</v>
      </c>
      <c r="M59" s="10">
        <v>754.26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-1646.98</v>
      </c>
      <c r="AP59" s="10">
        <v>0</v>
      </c>
      <c r="AQ59" s="10">
        <f t="shared" si="12"/>
        <v>-1872.57</v>
      </c>
    </row>
    <row r="60" spans="1:43" x14ac:dyDescent="0.2">
      <c r="A60" s="17" t="s">
        <v>101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-464.25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f t="shared" si="12"/>
        <v>-464.25</v>
      </c>
    </row>
    <row r="61" spans="1:43" x14ac:dyDescent="0.2">
      <c r="A61" s="17" t="s">
        <v>102</v>
      </c>
      <c r="B61" s="10">
        <v>-3231.45</v>
      </c>
      <c r="C61" s="10">
        <v>-2765.7</v>
      </c>
      <c r="D61" s="10">
        <v>-2243.9499999999998</v>
      </c>
      <c r="E61" s="10">
        <v>-65.2</v>
      </c>
      <c r="F61" s="10">
        <v>0</v>
      </c>
      <c r="G61" s="10">
        <v>-211.9</v>
      </c>
      <c r="H61" s="10">
        <v>-898.2</v>
      </c>
      <c r="I61" s="10">
        <v>-741.85</v>
      </c>
      <c r="J61" s="10">
        <v>-456.5</v>
      </c>
      <c r="K61" s="10">
        <v>-817.91</v>
      </c>
      <c r="L61" s="10">
        <v>-114.6</v>
      </c>
      <c r="M61" s="10">
        <v>3179.75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-1063.1500000000001</v>
      </c>
      <c r="U61" s="10">
        <v>-1303</v>
      </c>
      <c r="V61" s="10">
        <v>-1954.5</v>
      </c>
      <c r="W61" s="10">
        <v>-1303</v>
      </c>
      <c r="X61" s="10">
        <v>-1845.79</v>
      </c>
      <c r="Y61" s="10">
        <v>-434.31</v>
      </c>
      <c r="Z61" s="10">
        <v>0</v>
      </c>
      <c r="AA61" s="10">
        <v>0</v>
      </c>
      <c r="AB61" s="10">
        <v>-11422.7</v>
      </c>
      <c r="AC61" s="10">
        <v>-764.85</v>
      </c>
      <c r="AD61" s="10">
        <v>-7969.38</v>
      </c>
      <c r="AE61" s="10">
        <v>-10418.040000000001</v>
      </c>
      <c r="AF61" s="10">
        <v>-9700.32</v>
      </c>
      <c r="AG61" s="10">
        <v>-4470.2</v>
      </c>
      <c r="AH61" s="10">
        <v>-9818.01</v>
      </c>
      <c r="AI61" s="10">
        <v>-9136.8799999999992</v>
      </c>
      <c r="AJ61" s="10">
        <v>-7645.82</v>
      </c>
      <c r="AK61" s="10">
        <v>-7270.31</v>
      </c>
      <c r="AL61" s="10">
        <v>-3368.58</v>
      </c>
      <c r="AM61" s="10">
        <v>-5258.46</v>
      </c>
      <c r="AN61" s="10">
        <v>-6131.44</v>
      </c>
      <c r="AO61" s="10">
        <v>-3897.08</v>
      </c>
      <c r="AP61" s="10">
        <v>-3792.53</v>
      </c>
      <c r="AQ61" s="10">
        <f t="shared" si="12"/>
        <v>-117335.86</v>
      </c>
    </row>
    <row r="62" spans="1:43" x14ac:dyDescent="0.2">
      <c r="A62" s="17" t="s">
        <v>103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-3554.46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f t="shared" si="12"/>
        <v>-3554.46</v>
      </c>
    </row>
    <row r="63" spans="1:43" x14ac:dyDescent="0.2">
      <c r="A63" s="17" t="s">
        <v>104</v>
      </c>
      <c r="B63" s="10">
        <v>-100</v>
      </c>
      <c r="C63" s="10">
        <v>0</v>
      </c>
      <c r="D63" s="10">
        <v>0</v>
      </c>
      <c r="E63" s="10">
        <v>0</v>
      </c>
      <c r="F63" s="10">
        <v>-27.85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-91.96</v>
      </c>
      <c r="N63" s="10">
        <v>-27.85</v>
      </c>
      <c r="O63" s="10">
        <v>27.86</v>
      </c>
      <c r="P63" s="10">
        <v>0</v>
      </c>
      <c r="Q63" s="10">
        <v>0</v>
      </c>
      <c r="R63" s="10">
        <v>0</v>
      </c>
      <c r="S63" s="10">
        <v>0</v>
      </c>
      <c r="T63" s="10">
        <v>-27.85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-40</v>
      </c>
      <c r="AQ63" s="10">
        <f t="shared" si="12"/>
        <v>-287.64999999999998</v>
      </c>
    </row>
    <row r="64" spans="1:43" x14ac:dyDescent="0.2">
      <c r="A64" s="17" t="s">
        <v>105</v>
      </c>
      <c r="B64" s="10">
        <v>-18.91</v>
      </c>
      <c r="C64" s="10">
        <v>-175.46</v>
      </c>
      <c r="D64" s="10">
        <v>-290.51</v>
      </c>
      <c r="E64" s="10">
        <v>-103.55</v>
      </c>
      <c r="F64" s="10">
        <v>-102.15</v>
      </c>
      <c r="G64" s="10">
        <v>-102.15</v>
      </c>
      <c r="H64" s="10">
        <v>-102.15</v>
      </c>
      <c r="I64" s="10">
        <v>-102.15</v>
      </c>
      <c r="J64" s="10">
        <v>-103.15</v>
      </c>
      <c r="K64" s="10">
        <v>-102.14</v>
      </c>
      <c r="L64" s="10">
        <v>-102.6</v>
      </c>
      <c r="M64" s="10">
        <v>-204.29</v>
      </c>
      <c r="N64" s="10">
        <v>-213.61</v>
      </c>
      <c r="O64" s="10">
        <v>-102.15</v>
      </c>
      <c r="P64" s="10">
        <v>-40.1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-167.13</v>
      </c>
      <c r="AA64" s="10">
        <v>0</v>
      </c>
      <c r="AB64" s="10">
        <v>0</v>
      </c>
      <c r="AC64" s="10">
        <v>0</v>
      </c>
      <c r="AD64" s="10">
        <v>-92.85</v>
      </c>
      <c r="AE64" s="10">
        <v>0</v>
      </c>
      <c r="AF64" s="10">
        <v>0</v>
      </c>
      <c r="AG64" s="10">
        <v>-92.85</v>
      </c>
      <c r="AH64" s="10">
        <v>0</v>
      </c>
      <c r="AI64" s="10">
        <v>0</v>
      </c>
      <c r="AJ64" s="10">
        <v>0</v>
      </c>
      <c r="AK64" s="10">
        <v>223.6</v>
      </c>
      <c r="AL64" s="10">
        <v>-92.85</v>
      </c>
      <c r="AM64" s="10">
        <v>-167.13</v>
      </c>
      <c r="AN64" s="10">
        <v>0</v>
      </c>
      <c r="AO64" s="10">
        <v>-92.85</v>
      </c>
      <c r="AP64" s="10">
        <v>-26.6</v>
      </c>
      <c r="AQ64" s="10">
        <f t="shared" si="12"/>
        <v>-2373.7299999999996</v>
      </c>
    </row>
    <row r="65" spans="1:43" x14ac:dyDescent="0.2">
      <c r="A65" s="17" t="s">
        <v>106</v>
      </c>
      <c r="B65" s="10">
        <v>0</v>
      </c>
      <c r="C65" s="10">
        <v>0</v>
      </c>
      <c r="D65" s="10">
        <v>0</v>
      </c>
      <c r="E65" s="10">
        <v>0</v>
      </c>
      <c r="F65" s="10">
        <v>-114.2</v>
      </c>
      <c r="G65" s="10">
        <v>-50.15</v>
      </c>
      <c r="H65" s="10">
        <v>-50.15</v>
      </c>
      <c r="I65" s="10">
        <v>-50.15</v>
      </c>
      <c r="J65" s="10">
        <v>-50.15</v>
      </c>
      <c r="K65" s="10">
        <v>-50.14</v>
      </c>
      <c r="L65" s="10">
        <v>0</v>
      </c>
      <c r="M65" s="10">
        <v>-150.41999999999999</v>
      </c>
      <c r="N65" s="10">
        <v>-0.01</v>
      </c>
      <c r="O65" s="10">
        <v>-50.15</v>
      </c>
      <c r="P65" s="10">
        <v>-50.15</v>
      </c>
      <c r="Q65" s="10">
        <v>-50.15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-31.52</v>
      </c>
      <c r="AO65" s="10">
        <v>-35.24</v>
      </c>
      <c r="AP65" s="10">
        <v>-50.69</v>
      </c>
      <c r="AQ65" s="10">
        <f t="shared" si="12"/>
        <v>-783.26999999999975</v>
      </c>
    </row>
    <row r="66" spans="1:43" x14ac:dyDescent="0.2">
      <c r="A66" s="17" t="s">
        <v>107</v>
      </c>
      <c r="B66" s="10">
        <v>0</v>
      </c>
      <c r="C66" s="10">
        <v>0</v>
      </c>
      <c r="D66" s="10">
        <v>-109.75</v>
      </c>
      <c r="E66" s="10">
        <v>-38.4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-53.65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-1596.56</v>
      </c>
      <c r="AO66" s="10">
        <v>-856.64</v>
      </c>
      <c r="AP66" s="10">
        <v>-34.9</v>
      </c>
      <c r="AQ66" s="10">
        <f t="shared" si="12"/>
        <v>-2689.9</v>
      </c>
    </row>
    <row r="67" spans="1:43" x14ac:dyDescent="0.2">
      <c r="A67" s="17" t="s">
        <v>108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-150</v>
      </c>
      <c r="H67" s="10">
        <v>0</v>
      </c>
      <c r="I67" s="10">
        <v>0</v>
      </c>
      <c r="J67" s="10">
        <v>0</v>
      </c>
      <c r="K67" s="10">
        <v>-150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f t="shared" si="12"/>
        <v>-300</v>
      </c>
    </row>
    <row r="68" spans="1:43" x14ac:dyDescent="0.2">
      <c r="A68" s="17" t="s">
        <v>109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-3800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f t="shared" si="12"/>
        <v>-3800</v>
      </c>
    </row>
    <row r="69" spans="1:43" x14ac:dyDescent="0.2">
      <c r="A69" s="17" t="s">
        <v>110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-18771.580000000002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-12660.91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f t="shared" si="12"/>
        <v>-31432.49</v>
      </c>
    </row>
    <row r="70" spans="1:43" x14ac:dyDescent="0.2">
      <c r="A70" s="17" t="s">
        <v>111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-10000</v>
      </c>
      <c r="L70" s="10">
        <v>0</v>
      </c>
      <c r="M70" s="10">
        <v>-515.6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-10000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-10000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f t="shared" si="12"/>
        <v>-30515.599999999999</v>
      </c>
    </row>
    <row r="71" spans="1:43" x14ac:dyDescent="0.2">
      <c r="A71" s="17" t="s">
        <v>112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-10430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-14727.78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-12024.68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f t="shared" si="12"/>
        <v>-37182.46</v>
      </c>
    </row>
    <row r="72" spans="1:43" x14ac:dyDescent="0.2">
      <c r="A72" s="17" t="s">
        <v>113</v>
      </c>
      <c r="B72" s="10">
        <v>0</v>
      </c>
      <c r="C72" s="10">
        <v>-29.3</v>
      </c>
      <c r="D72" s="10">
        <v>-1835.75</v>
      </c>
      <c r="E72" s="10">
        <v>-256.39999999999998</v>
      </c>
      <c r="F72" s="10">
        <v>-37.950000000000003</v>
      </c>
      <c r="G72" s="10">
        <v>-1800</v>
      </c>
      <c r="H72" s="10">
        <v>-269.3</v>
      </c>
      <c r="I72" s="10">
        <v>-163.95</v>
      </c>
      <c r="J72" s="10">
        <v>-1824.6</v>
      </c>
      <c r="K72" s="10">
        <v>-410.34</v>
      </c>
      <c r="L72" s="10">
        <v>-25.75</v>
      </c>
      <c r="M72" s="10">
        <v>-8781.6</v>
      </c>
      <c r="N72" s="10">
        <v>0</v>
      </c>
      <c r="O72" s="10">
        <v>-1200</v>
      </c>
      <c r="P72" s="10">
        <v>0</v>
      </c>
      <c r="Q72" s="10">
        <v>0</v>
      </c>
      <c r="R72" s="10">
        <v>0</v>
      </c>
      <c r="S72" s="10">
        <v>-3959.36</v>
      </c>
      <c r="T72" s="10">
        <v>-18</v>
      </c>
      <c r="U72" s="10">
        <v>0</v>
      </c>
      <c r="V72" s="10">
        <v>0</v>
      </c>
      <c r="W72" s="10">
        <v>-2640</v>
      </c>
      <c r="X72" s="10">
        <v>0</v>
      </c>
      <c r="Y72" s="10">
        <v>7799.36</v>
      </c>
      <c r="Z72" s="10">
        <v>0</v>
      </c>
      <c r="AA72" s="10">
        <v>-1540.02</v>
      </c>
      <c r="AB72" s="10">
        <v>-770.01</v>
      </c>
      <c r="AC72" s="10">
        <v>-1341.59</v>
      </c>
      <c r="AD72" s="10">
        <v>-979.98</v>
      </c>
      <c r="AE72" s="10">
        <v>-979.99</v>
      </c>
      <c r="AF72" s="10">
        <v>-1155.01</v>
      </c>
      <c r="AG72" s="10">
        <v>-700</v>
      </c>
      <c r="AH72" s="10">
        <v>-840.02</v>
      </c>
      <c r="AI72" s="10">
        <v>-27.4</v>
      </c>
      <c r="AJ72" s="10">
        <v>-3062.62</v>
      </c>
      <c r="AK72" s="10">
        <v>11299.24</v>
      </c>
      <c r="AL72" s="10">
        <v>-979.99</v>
      </c>
      <c r="AM72" s="10">
        <v>-788.01</v>
      </c>
      <c r="AN72" s="10">
        <v>-1120.01</v>
      </c>
      <c r="AO72" s="10">
        <v>-1120.01</v>
      </c>
      <c r="AP72" s="10">
        <v>-2240.02</v>
      </c>
      <c r="AQ72" s="10">
        <f t="shared" si="12"/>
        <v>-21798.379999999997</v>
      </c>
    </row>
    <row r="73" spans="1:43" x14ac:dyDescent="0.2">
      <c r="A73" s="17" t="s">
        <v>114</v>
      </c>
      <c r="B73" s="10">
        <v>-40</v>
      </c>
      <c r="C73" s="10">
        <v>-0.04</v>
      </c>
      <c r="D73" s="10">
        <v>-27</v>
      </c>
      <c r="E73" s="10">
        <v>0</v>
      </c>
      <c r="F73" s="10">
        <v>0</v>
      </c>
      <c r="G73" s="10">
        <v>-24</v>
      </c>
      <c r="H73" s="10">
        <v>-80</v>
      </c>
      <c r="I73" s="10">
        <v>0</v>
      </c>
      <c r="J73" s="10">
        <v>-27</v>
      </c>
      <c r="K73" s="10">
        <v>0</v>
      </c>
      <c r="L73" s="10">
        <v>0</v>
      </c>
      <c r="M73" s="10">
        <v>-36.4</v>
      </c>
      <c r="N73" s="10">
        <v>0</v>
      </c>
      <c r="O73" s="10">
        <v>0</v>
      </c>
      <c r="P73" s="10">
        <v>-33.72</v>
      </c>
      <c r="Q73" s="10">
        <v>-1.85</v>
      </c>
      <c r="R73" s="10">
        <v>-22.5</v>
      </c>
      <c r="S73" s="10">
        <v>-27</v>
      </c>
      <c r="T73" s="10">
        <v>-40</v>
      </c>
      <c r="U73" s="10">
        <v>0</v>
      </c>
      <c r="V73" s="10">
        <v>-107.95</v>
      </c>
      <c r="W73" s="10">
        <v>0</v>
      </c>
      <c r="X73" s="10">
        <v>0</v>
      </c>
      <c r="Y73" s="10">
        <v>-42.92</v>
      </c>
      <c r="Z73" s="10">
        <v>0</v>
      </c>
      <c r="AA73" s="10">
        <v>0</v>
      </c>
      <c r="AB73" s="10">
        <v>-27</v>
      </c>
      <c r="AC73" s="10">
        <v>0</v>
      </c>
      <c r="AD73" s="10">
        <v>0</v>
      </c>
      <c r="AE73" s="10">
        <v>-37.24</v>
      </c>
      <c r="AF73" s="10">
        <v>-50</v>
      </c>
      <c r="AG73" s="10">
        <v>0</v>
      </c>
      <c r="AH73" s="10">
        <v>-85</v>
      </c>
      <c r="AI73" s="10">
        <v>-92</v>
      </c>
      <c r="AJ73" s="10">
        <v>0</v>
      </c>
      <c r="AK73" s="10">
        <v>-85.4</v>
      </c>
      <c r="AL73" s="10">
        <v>0</v>
      </c>
      <c r="AM73" s="10">
        <v>-50</v>
      </c>
      <c r="AN73" s="10">
        <v>-43.8</v>
      </c>
      <c r="AO73" s="10">
        <v>0</v>
      </c>
      <c r="AP73" s="10">
        <v>0</v>
      </c>
      <c r="AQ73" s="10">
        <f t="shared" si="12"/>
        <v>-980.81999999999994</v>
      </c>
    </row>
    <row r="74" spans="1:43" x14ac:dyDescent="0.2">
      <c r="A74" s="17" t="s">
        <v>115</v>
      </c>
      <c r="B74" s="10">
        <v>0</v>
      </c>
      <c r="C74" s="10">
        <v>0</v>
      </c>
      <c r="D74" s="10">
        <v>0</v>
      </c>
      <c r="E74" s="10">
        <v>-1.51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-12.28</v>
      </c>
      <c r="N74" s="10">
        <v>0</v>
      </c>
      <c r="O74" s="10">
        <v>0</v>
      </c>
      <c r="P74" s="10">
        <v>0</v>
      </c>
      <c r="Q74" s="10">
        <v>10.59</v>
      </c>
      <c r="R74" s="10">
        <v>0</v>
      </c>
      <c r="S74" s="10">
        <v>0</v>
      </c>
      <c r="T74" s="10">
        <v>-0.69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99.64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f t="shared" si="12"/>
        <v>95.75</v>
      </c>
    </row>
    <row r="75" spans="1:43" x14ac:dyDescent="0.2">
      <c r="A75" s="17" t="s">
        <v>116</v>
      </c>
      <c r="B75" s="10">
        <v>968.78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879.01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f t="shared" si="12"/>
        <v>1847.79</v>
      </c>
    </row>
    <row r="76" spans="1:43" x14ac:dyDescent="0.2">
      <c r="A76" s="15" t="s">
        <v>117</v>
      </c>
      <c r="B76" s="14">
        <f t="shared" ref="B76:AQ76" si="13">SUM(B50:B75)</f>
        <v>-10465.65</v>
      </c>
      <c r="C76" s="14">
        <f t="shared" si="13"/>
        <v>-8819.8999999999978</v>
      </c>
      <c r="D76" s="14">
        <f t="shared" si="13"/>
        <v>-8786.51</v>
      </c>
      <c r="E76" s="14">
        <f t="shared" si="13"/>
        <v>-5434.3899999999994</v>
      </c>
      <c r="F76" s="14">
        <f t="shared" si="13"/>
        <v>-3447.0499999999997</v>
      </c>
      <c r="G76" s="14">
        <f t="shared" si="13"/>
        <v>-5751.7300000000005</v>
      </c>
      <c r="H76" s="14">
        <f t="shared" si="13"/>
        <v>-4026.1500000000005</v>
      </c>
      <c r="I76" s="14">
        <f t="shared" si="13"/>
        <v>-2846.79</v>
      </c>
      <c r="J76" s="14">
        <f t="shared" si="13"/>
        <v>-5267.8</v>
      </c>
      <c r="K76" s="14">
        <f t="shared" si="13"/>
        <v>-14273.93</v>
      </c>
      <c r="L76" s="14">
        <f t="shared" si="13"/>
        <v>-2961.74</v>
      </c>
      <c r="M76" s="14">
        <f t="shared" si="13"/>
        <v>-23508.7</v>
      </c>
      <c r="N76" s="14">
        <f t="shared" si="13"/>
        <v>-4945.97</v>
      </c>
      <c r="O76" s="14">
        <f t="shared" si="13"/>
        <v>-3939.5899999999997</v>
      </c>
      <c r="P76" s="14">
        <f t="shared" si="13"/>
        <v>-2757.02</v>
      </c>
      <c r="Q76" s="14">
        <f t="shared" si="13"/>
        <v>-12649.71</v>
      </c>
      <c r="R76" s="14">
        <f t="shared" si="13"/>
        <v>1604.27</v>
      </c>
      <c r="S76" s="14">
        <f t="shared" si="13"/>
        <v>-3986.36</v>
      </c>
      <c r="T76" s="14">
        <f t="shared" si="13"/>
        <v>-1449.69</v>
      </c>
      <c r="U76" s="14">
        <f t="shared" si="13"/>
        <v>-1823</v>
      </c>
      <c r="V76" s="14">
        <f t="shared" si="13"/>
        <v>-12175.300000000001</v>
      </c>
      <c r="W76" s="14">
        <f t="shared" si="13"/>
        <v>-3943</v>
      </c>
      <c r="X76" s="14">
        <f t="shared" si="13"/>
        <v>-1845.79</v>
      </c>
      <c r="Y76" s="14">
        <f t="shared" si="13"/>
        <v>-18287.78</v>
      </c>
      <c r="Z76" s="14">
        <f t="shared" si="13"/>
        <v>-1842.13</v>
      </c>
      <c r="AA76" s="14">
        <f t="shared" si="13"/>
        <v>-2060.0299999999997</v>
      </c>
      <c r="AB76" s="14">
        <f t="shared" si="13"/>
        <v>-12219.710000000001</v>
      </c>
      <c r="AC76" s="14">
        <f t="shared" si="13"/>
        <v>-2266.44</v>
      </c>
      <c r="AD76" s="14">
        <f t="shared" si="13"/>
        <v>-12870.52</v>
      </c>
      <c r="AE76" s="14">
        <f t="shared" si="13"/>
        <v>-11455.87</v>
      </c>
      <c r="AF76" s="14">
        <f t="shared" si="13"/>
        <v>-10925.08</v>
      </c>
      <c r="AG76" s="14">
        <f t="shared" si="13"/>
        <v>-5277.2</v>
      </c>
      <c r="AH76" s="14">
        <f t="shared" si="13"/>
        <v>-12335.35</v>
      </c>
      <c r="AI76" s="14">
        <f t="shared" si="13"/>
        <v>-23086.43</v>
      </c>
      <c r="AJ76" s="14">
        <f t="shared" si="13"/>
        <v>-10727.49</v>
      </c>
      <c r="AK76" s="14">
        <f t="shared" si="13"/>
        <v>-16925.910000000003</v>
      </c>
      <c r="AL76" s="14">
        <f t="shared" si="13"/>
        <v>-7309.77</v>
      </c>
      <c r="AM76" s="14">
        <f t="shared" si="13"/>
        <v>-10984.09</v>
      </c>
      <c r="AN76" s="14">
        <f t="shared" si="13"/>
        <v>-18906.489999999998</v>
      </c>
      <c r="AO76" s="14">
        <f t="shared" si="13"/>
        <v>-27398.629999999997</v>
      </c>
      <c r="AP76" s="14">
        <f t="shared" si="13"/>
        <v>-10697.970000000001</v>
      </c>
      <c r="AQ76" s="14">
        <f t="shared" si="13"/>
        <v>-359078.39</v>
      </c>
    </row>
    <row r="77" spans="1:43" x14ac:dyDescent="0.2">
      <c r="A77" s="16" t="s">
        <v>118</v>
      </c>
      <c r="B77" s="14">
        <f t="shared" ref="B77:AQ77" si="14">B43+B48+B76</f>
        <v>-21764.5</v>
      </c>
      <c r="C77" s="14">
        <f t="shared" si="14"/>
        <v>-20655.25</v>
      </c>
      <c r="D77" s="14">
        <f t="shared" si="14"/>
        <v>-21516.510000000002</v>
      </c>
      <c r="E77" s="14">
        <f t="shared" si="14"/>
        <v>-13108.59</v>
      </c>
      <c r="F77" s="14">
        <f t="shared" si="14"/>
        <v>-11156.25</v>
      </c>
      <c r="G77" s="14">
        <f t="shared" si="14"/>
        <v>-13460.93</v>
      </c>
      <c r="H77" s="14">
        <f t="shared" si="14"/>
        <v>-13820.5</v>
      </c>
      <c r="I77" s="14">
        <f t="shared" si="14"/>
        <v>-10762.59</v>
      </c>
      <c r="J77" s="14">
        <f t="shared" si="14"/>
        <v>-13112.45</v>
      </c>
      <c r="K77" s="14">
        <f t="shared" si="14"/>
        <v>-21982.98</v>
      </c>
      <c r="L77" s="14">
        <f t="shared" si="14"/>
        <v>-17060.940000000002</v>
      </c>
      <c r="M77" s="14">
        <f t="shared" si="14"/>
        <v>-37064.75</v>
      </c>
      <c r="N77" s="14">
        <f t="shared" si="14"/>
        <v>-17264.670000000002</v>
      </c>
      <c r="O77" s="14">
        <f t="shared" si="14"/>
        <v>-15470.390000000001</v>
      </c>
      <c r="P77" s="14">
        <f t="shared" si="14"/>
        <v>-16690.72</v>
      </c>
      <c r="Q77" s="14">
        <f t="shared" si="14"/>
        <v>-12813.109999999999</v>
      </c>
      <c r="R77" s="14">
        <f t="shared" si="14"/>
        <v>1604.27</v>
      </c>
      <c r="S77" s="14">
        <f t="shared" si="14"/>
        <v>-3986.36</v>
      </c>
      <c r="T77" s="14">
        <f t="shared" si="14"/>
        <v>-1449.69</v>
      </c>
      <c r="U77" s="14">
        <f t="shared" si="14"/>
        <v>-1823</v>
      </c>
      <c r="V77" s="14">
        <f t="shared" si="14"/>
        <v>-12175.300000000001</v>
      </c>
      <c r="W77" s="14">
        <f t="shared" si="14"/>
        <v>-3943</v>
      </c>
      <c r="X77" s="14">
        <f t="shared" si="14"/>
        <v>-1845.79</v>
      </c>
      <c r="Y77" s="14">
        <f t="shared" si="14"/>
        <v>-19928.28</v>
      </c>
      <c r="Z77" s="14">
        <f t="shared" si="14"/>
        <v>-1842.13</v>
      </c>
      <c r="AA77" s="14">
        <f t="shared" si="14"/>
        <v>-99777.03</v>
      </c>
      <c r="AB77" s="14">
        <f t="shared" si="14"/>
        <v>-12219.710000000001</v>
      </c>
      <c r="AC77" s="14">
        <f t="shared" si="14"/>
        <v>-11461.44</v>
      </c>
      <c r="AD77" s="14">
        <f t="shared" si="14"/>
        <v>-41647.14</v>
      </c>
      <c r="AE77" s="14">
        <f t="shared" si="14"/>
        <v>-47590.37</v>
      </c>
      <c r="AF77" s="14">
        <f t="shared" si="14"/>
        <v>-45660.83</v>
      </c>
      <c r="AG77" s="14">
        <f t="shared" si="14"/>
        <v>-39828.649999999994</v>
      </c>
      <c r="AH77" s="14">
        <f t="shared" si="14"/>
        <v>-37136.800000000003</v>
      </c>
      <c r="AI77" s="14">
        <f t="shared" si="14"/>
        <v>-64490.229999999996</v>
      </c>
      <c r="AJ77" s="14">
        <f t="shared" si="14"/>
        <v>-44242.09</v>
      </c>
      <c r="AK77" s="14">
        <f t="shared" si="14"/>
        <v>43451.839999999997</v>
      </c>
      <c r="AL77" s="14">
        <f t="shared" si="14"/>
        <v>-39277.47</v>
      </c>
      <c r="AM77" s="14">
        <f t="shared" si="14"/>
        <v>-49876.820000000007</v>
      </c>
      <c r="AN77" s="14">
        <f t="shared" si="14"/>
        <v>-64271.99</v>
      </c>
      <c r="AO77" s="14">
        <f t="shared" si="14"/>
        <v>-67360.149999999994</v>
      </c>
      <c r="AP77" s="14">
        <f t="shared" si="14"/>
        <v>-50168.79</v>
      </c>
      <c r="AQ77" s="14">
        <f t="shared" si="14"/>
        <v>-994652.08000000007</v>
      </c>
    </row>
    <row r="78" spans="1:43" x14ac:dyDescent="0.2">
      <c r="A78" s="18" t="s">
        <v>119</v>
      </c>
      <c r="B78" s="14">
        <f t="shared" ref="B78:AQ78" si="15">B31+B77</f>
        <v>-11051.719999999998</v>
      </c>
      <c r="C78" s="14">
        <f t="shared" si="15"/>
        <v>-6022.8900000000031</v>
      </c>
      <c r="D78" s="14">
        <f t="shared" si="15"/>
        <v>35400.49</v>
      </c>
      <c r="E78" s="14">
        <f t="shared" si="15"/>
        <v>-13108.59</v>
      </c>
      <c r="F78" s="14">
        <f t="shared" si="15"/>
        <v>-2640.0499999999993</v>
      </c>
      <c r="G78" s="14">
        <f t="shared" si="15"/>
        <v>343.06999999999971</v>
      </c>
      <c r="H78" s="14">
        <f t="shared" si="15"/>
        <v>6940.2000000000007</v>
      </c>
      <c r="I78" s="14">
        <f t="shared" si="15"/>
        <v>4708.6099999999988</v>
      </c>
      <c r="J78" s="14">
        <f t="shared" si="15"/>
        <v>7257.3499999999985</v>
      </c>
      <c r="K78" s="14">
        <f t="shared" si="15"/>
        <v>1463.869999999999</v>
      </c>
      <c r="L78" s="14">
        <f t="shared" si="15"/>
        <v>28217.459999999992</v>
      </c>
      <c r="M78" s="14">
        <f t="shared" si="15"/>
        <v>-42525.919999999998</v>
      </c>
      <c r="N78" s="14">
        <f t="shared" si="15"/>
        <v>6197.3299999999981</v>
      </c>
      <c r="O78" s="14">
        <f t="shared" si="15"/>
        <v>1296.0599999999995</v>
      </c>
      <c r="P78" s="14">
        <f t="shared" si="15"/>
        <v>473.47999999999956</v>
      </c>
      <c r="Q78" s="14">
        <f t="shared" si="15"/>
        <v>4049.090000000002</v>
      </c>
      <c r="R78" s="14">
        <f t="shared" si="15"/>
        <v>9984.7700000000041</v>
      </c>
      <c r="S78" s="14">
        <f t="shared" si="15"/>
        <v>5666.239999999998</v>
      </c>
      <c r="T78" s="14">
        <f t="shared" si="15"/>
        <v>6398.2900000000027</v>
      </c>
      <c r="U78" s="14">
        <f t="shared" si="15"/>
        <v>9711.57</v>
      </c>
      <c r="V78" s="14">
        <f t="shared" si="15"/>
        <v>-1473.9500000000025</v>
      </c>
      <c r="W78" s="14">
        <f t="shared" si="15"/>
        <v>7448.9499999999971</v>
      </c>
      <c r="X78" s="14">
        <f t="shared" si="15"/>
        <v>-15341.489999999998</v>
      </c>
      <c r="Y78" s="14">
        <f t="shared" si="15"/>
        <v>-41140.820000000036</v>
      </c>
      <c r="Z78" s="14">
        <f t="shared" si="15"/>
        <v>66165.72</v>
      </c>
      <c r="AA78" s="14">
        <f t="shared" si="15"/>
        <v>53402.239999999991</v>
      </c>
      <c r="AB78" s="14">
        <f t="shared" si="15"/>
        <v>-140569.57</v>
      </c>
      <c r="AC78" s="14">
        <f t="shared" si="15"/>
        <v>17083.169999999984</v>
      </c>
      <c r="AD78" s="14">
        <f t="shared" si="15"/>
        <v>18815.14999999998</v>
      </c>
      <c r="AE78" s="14">
        <f t="shared" si="15"/>
        <v>20838.220000000023</v>
      </c>
      <c r="AF78" s="14">
        <f t="shared" si="15"/>
        <v>343618.73</v>
      </c>
      <c r="AG78" s="14">
        <f t="shared" si="15"/>
        <v>-205675.74</v>
      </c>
      <c r="AH78" s="14">
        <f t="shared" si="15"/>
        <v>14170.37999999999</v>
      </c>
      <c r="AI78" s="14">
        <f t="shared" si="15"/>
        <v>61192.900000000009</v>
      </c>
      <c r="AJ78" s="14">
        <f t="shared" si="15"/>
        <v>-3406.1999999999825</v>
      </c>
      <c r="AK78" s="14">
        <f t="shared" si="15"/>
        <v>-44823.589999999705</v>
      </c>
      <c r="AL78" s="14">
        <f t="shared" si="15"/>
        <v>-15193.820000000007</v>
      </c>
      <c r="AM78" s="14">
        <f t="shared" si="15"/>
        <v>-49395.340000000011</v>
      </c>
      <c r="AN78" s="14">
        <f t="shared" si="15"/>
        <v>16927.530000000021</v>
      </c>
      <c r="AO78" s="14">
        <f t="shared" si="15"/>
        <v>-21240.559999999998</v>
      </c>
      <c r="AP78" s="14">
        <f t="shared" si="15"/>
        <v>26740.509999999987</v>
      </c>
      <c r="AQ78" s="14">
        <f t="shared" si="15"/>
        <v>160901.13000000035</v>
      </c>
    </row>
    <row r="79" spans="1:43" x14ac:dyDescent="0.2">
      <c r="A79" s="5" t="s">
        <v>120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spans="1:43" x14ac:dyDescent="0.2">
      <c r="A80" s="6" t="s">
        <v>121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spans="1:43" x14ac:dyDescent="0.2">
      <c r="A81" s="19" t="s">
        <v>122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15025.64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2934.6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-111.8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f>SUM(B81:AP81)</f>
        <v>17848.439999999999</v>
      </c>
    </row>
    <row r="82" spans="1:43" x14ac:dyDescent="0.2">
      <c r="A82" s="16" t="s">
        <v>123</v>
      </c>
      <c r="B82" s="14">
        <f t="shared" ref="B82:AQ82" si="16">SUM(B81)</f>
        <v>0</v>
      </c>
      <c r="C82" s="14">
        <f t="shared" si="16"/>
        <v>0</v>
      </c>
      <c r="D82" s="14">
        <f t="shared" si="16"/>
        <v>0</v>
      </c>
      <c r="E82" s="14">
        <f t="shared" si="16"/>
        <v>0</v>
      </c>
      <c r="F82" s="14">
        <f t="shared" si="16"/>
        <v>0</v>
      </c>
      <c r="G82" s="14">
        <f t="shared" si="16"/>
        <v>0</v>
      </c>
      <c r="H82" s="14">
        <f t="shared" si="16"/>
        <v>0</v>
      </c>
      <c r="I82" s="14">
        <f t="shared" si="16"/>
        <v>0</v>
      </c>
      <c r="J82" s="14">
        <f t="shared" si="16"/>
        <v>0</v>
      </c>
      <c r="K82" s="14">
        <f t="shared" si="16"/>
        <v>0</v>
      </c>
      <c r="L82" s="14">
        <f t="shared" si="16"/>
        <v>0</v>
      </c>
      <c r="M82" s="14">
        <f t="shared" si="16"/>
        <v>15025.64</v>
      </c>
      <c r="N82" s="14">
        <f t="shared" si="16"/>
        <v>0</v>
      </c>
      <c r="O82" s="14">
        <f t="shared" si="16"/>
        <v>0</v>
      </c>
      <c r="P82" s="14">
        <f t="shared" si="16"/>
        <v>0</v>
      </c>
      <c r="Q82" s="14">
        <f t="shared" si="16"/>
        <v>0</v>
      </c>
      <c r="R82" s="14">
        <f t="shared" si="16"/>
        <v>0</v>
      </c>
      <c r="S82" s="14">
        <f t="shared" si="16"/>
        <v>0</v>
      </c>
      <c r="T82" s="14">
        <f t="shared" si="16"/>
        <v>0</v>
      </c>
      <c r="U82" s="14">
        <f t="shared" si="16"/>
        <v>0</v>
      </c>
      <c r="V82" s="14">
        <f t="shared" si="16"/>
        <v>0</v>
      </c>
      <c r="W82" s="14">
        <f t="shared" si="16"/>
        <v>0</v>
      </c>
      <c r="X82" s="14">
        <f t="shared" si="16"/>
        <v>0</v>
      </c>
      <c r="Y82" s="14">
        <f t="shared" si="16"/>
        <v>2934.6</v>
      </c>
      <c r="Z82" s="14">
        <f t="shared" si="16"/>
        <v>0</v>
      </c>
      <c r="AA82" s="14">
        <f t="shared" si="16"/>
        <v>0</v>
      </c>
      <c r="AB82" s="14">
        <f t="shared" si="16"/>
        <v>0</v>
      </c>
      <c r="AC82" s="14">
        <f t="shared" si="16"/>
        <v>0</v>
      </c>
      <c r="AD82" s="14">
        <f t="shared" si="16"/>
        <v>0</v>
      </c>
      <c r="AE82" s="14">
        <f t="shared" si="16"/>
        <v>0</v>
      </c>
      <c r="AF82" s="14">
        <f t="shared" si="16"/>
        <v>0</v>
      </c>
      <c r="AG82" s="14">
        <f t="shared" si="16"/>
        <v>0</v>
      </c>
      <c r="AH82" s="14">
        <f t="shared" si="16"/>
        <v>0</v>
      </c>
      <c r="AI82" s="14">
        <f t="shared" si="16"/>
        <v>0</v>
      </c>
      <c r="AJ82" s="14">
        <f t="shared" si="16"/>
        <v>0</v>
      </c>
      <c r="AK82" s="14">
        <f t="shared" si="16"/>
        <v>-111.8</v>
      </c>
      <c r="AL82" s="14">
        <f t="shared" si="16"/>
        <v>0</v>
      </c>
      <c r="AM82" s="14">
        <f t="shared" si="16"/>
        <v>0</v>
      </c>
      <c r="AN82" s="14">
        <f t="shared" si="16"/>
        <v>0</v>
      </c>
      <c r="AO82" s="14">
        <f t="shared" si="16"/>
        <v>0</v>
      </c>
      <c r="AP82" s="14">
        <f t="shared" si="16"/>
        <v>0</v>
      </c>
      <c r="AQ82" s="14">
        <f t="shared" si="16"/>
        <v>17848.439999999999</v>
      </c>
    </row>
    <row r="83" spans="1:43" x14ac:dyDescent="0.2">
      <c r="A83" s="18" t="s">
        <v>124</v>
      </c>
      <c r="B83" s="14">
        <f t="shared" ref="B83:AQ83" si="17">0+0+0+0+B82</f>
        <v>0</v>
      </c>
      <c r="C83" s="14">
        <f t="shared" si="17"/>
        <v>0</v>
      </c>
      <c r="D83" s="14">
        <f t="shared" si="17"/>
        <v>0</v>
      </c>
      <c r="E83" s="14">
        <f t="shared" si="17"/>
        <v>0</v>
      </c>
      <c r="F83" s="14">
        <f t="shared" si="17"/>
        <v>0</v>
      </c>
      <c r="G83" s="14">
        <f t="shared" si="17"/>
        <v>0</v>
      </c>
      <c r="H83" s="14">
        <f t="shared" si="17"/>
        <v>0</v>
      </c>
      <c r="I83" s="14">
        <f t="shared" si="17"/>
        <v>0</v>
      </c>
      <c r="J83" s="14">
        <f t="shared" si="17"/>
        <v>0</v>
      </c>
      <c r="K83" s="14">
        <f t="shared" si="17"/>
        <v>0</v>
      </c>
      <c r="L83" s="14">
        <f t="shared" si="17"/>
        <v>0</v>
      </c>
      <c r="M83" s="14">
        <f t="shared" si="17"/>
        <v>15025.64</v>
      </c>
      <c r="N83" s="14">
        <f t="shared" si="17"/>
        <v>0</v>
      </c>
      <c r="O83" s="14">
        <f t="shared" si="17"/>
        <v>0</v>
      </c>
      <c r="P83" s="14">
        <f t="shared" si="17"/>
        <v>0</v>
      </c>
      <c r="Q83" s="14">
        <f t="shared" si="17"/>
        <v>0</v>
      </c>
      <c r="R83" s="14">
        <f t="shared" si="17"/>
        <v>0</v>
      </c>
      <c r="S83" s="14">
        <f t="shared" si="17"/>
        <v>0</v>
      </c>
      <c r="T83" s="14">
        <f t="shared" si="17"/>
        <v>0</v>
      </c>
      <c r="U83" s="14">
        <f t="shared" si="17"/>
        <v>0</v>
      </c>
      <c r="V83" s="14">
        <f t="shared" si="17"/>
        <v>0</v>
      </c>
      <c r="W83" s="14">
        <f t="shared" si="17"/>
        <v>0</v>
      </c>
      <c r="X83" s="14">
        <f t="shared" si="17"/>
        <v>0</v>
      </c>
      <c r="Y83" s="14">
        <f t="shared" si="17"/>
        <v>2934.6</v>
      </c>
      <c r="Z83" s="14">
        <f t="shared" si="17"/>
        <v>0</v>
      </c>
      <c r="AA83" s="14">
        <f t="shared" si="17"/>
        <v>0</v>
      </c>
      <c r="AB83" s="14">
        <f t="shared" si="17"/>
        <v>0</v>
      </c>
      <c r="AC83" s="14">
        <f t="shared" si="17"/>
        <v>0</v>
      </c>
      <c r="AD83" s="14">
        <f t="shared" si="17"/>
        <v>0</v>
      </c>
      <c r="AE83" s="14">
        <f t="shared" si="17"/>
        <v>0</v>
      </c>
      <c r="AF83" s="14">
        <f t="shared" si="17"/>
        <v>0</v>
      </c>
      <c r="AG83" s="14">
        <f t="shared" si="17"/>
        <v>0</v>
      </c>
      <c r="AH83" s="14">
        <f t="shared" si="17"/>
        <v>0</v>
      </c>
      <c r="AI83" s="14">
        <f t="shared" si="17"/>
        <v>0</v>
      </c>
      <c r="AJ83" s="14">
        <f t="shared" si="17"/>
        <v>0</v>
      </c>
      <c r="AK83" s="14">
        <f t="shared" si="17"/>
        <v>-111.8</v>
      </c>
      <c r="AL83" s="14">
        <f t="shared" si="17"/>
        <v>0</v>
      </c>
      <c r="AM83" s="14">
        <f t="shared" si="17"/>
        <v>0</v>
      </c>
      <c r="AN83" s="14">
        <f t="shared" si="17"/>
        <v>0</v>
      </c>
      <c r="AO83" s="14">
        <f t="shared" si="17"/>
        <v>0</v>
      </c>
      <c r="AP83" s="14">
        <f t="shared" si="17"/>
        <v>0</v>
      </c>
      <c r="AQ83" s="14">
        <f t="shared" si="17"/>
        <v>17848.439999999999</v>
      </c>
    </row>
    <row r="84" spans="1:43" x14ac:dyDescent="0.2">
      <c r="A84" s="5" t="s">
        <v>125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spans="1:43" x14ac:dyDescent="0.2">
      <c r="A85" s="20" t="s">
        <v>126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-1460.35</v>
      </c>
      <c r="N85" s="10">
        <v>0</v>
      </c>
      <c r="O85" s="10">
        <v>-157.1</v>
      </c>
      <c r="P85" s="10">
        <v>28.3</v>
      </c>
      <c r="Q85" s="10">
        <v>0</v>
      </c>
      <c r="R85" s="10">
        <v>-45.9</v>
      </c>
      <c r="S85" s="10">
        <v>0</v>
      </c>
      <c r="T85" s="10">
        <v>-841.5</v>
      </c>
      <c r="U85" s="10">
        <v>157.1</v>
      </c>
      <c r="V85" s="10">
        <v>0</v>
      </c>
      <c r="W85" s="10">
        <v>0</v>
      </c>
      <c r="X85" s="10">
        <v>0</v>
      </c>
      <c r="Y85" s="10">
        <v>690</v>
      </c>
      <c r="Z85" s="10">
        <v>0</v>
      </c>
      <c r="AA85" s="10">
        <v>0</v>
      </c>
      <c r="AB85" s="10">
        <v>-433.5</v>
      </c>
      <c r="AC85" s="10">
        <v>0</v>
      </c>
      <c r="AD85" s="10">
        <v>0</v>
      </c>
      <c r="AE85" s="10">
        <v>-824.1</v>
      </c>
      <c r="AF85" s="10">
        <v>0</v>
      </c>
      <c r="AG85" s="10">
        <v>0</v>
      </c>
      <c r="AH85" s="10">
        <v>0</v>
      </c>
      <c r="AI85" s="10">
        <v>433.5</v>
      </c>
      <c r="AJ85" s="10">
        <v>0</v>
      </c>
      <c r="AK85" s="10">
        <v>-35000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f>SUM(B85:AP85)</f>
        <v>-37453.550000000003</v>
      </c>
    </row>
    <row r="86" spans="1:43" x14ac:dyDescent="0.2">
      <c r="A86" s="20" t="s">
        <v>127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88.05</v>
      </c>
      <c r="AH86" s="10">
        <v>0</v>
      </c>
      <c r="AI86" s="10">
        <v>0</v>
      </c>
      <c r="AJ86" s="10">
        <v>0</v>
      </c>
      <c r="AK86" s="10">
        <v>-88.05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f>SUM(B86:AP86)</f>
        <v>0</v>
      </c>
    </row>
    <row r="87" spans="1:43" x14ac:dyDescent="0.2">
      <c r="A87" s="18" t="s">
        <v>128</v>
      </c>
      <c r="B87" s="14">
        <f t="shared" ref="B87:AQ87" si="18">SUM(B85:B86)</f>
        <v>0</v>
      </c>
      <c r="C87" s="14">
        <f t="shared" si="18"/>
        <v>0</v>
      </c>
      <c r="D87" s="14">
        <f t="shared" si="18"/>
        <v>0</v>
      </c>
      <c r="E87" s="14">
        <f t="shared" si="18"/>
        <v>0</v>
      </c>
      <c r="F87" s="14">
        <f t="shared" si="18"/>
        <v>0</v>
      </c>
      <c r="G87" s="14">
        <f t="shared" si="18"/>
        <v>0</v>
      </c>
      <c r="H87" s="14">
        <f t="shared" si="18"/>
        <v>0</v>
      </c>
      <c r="I87" s="14">
        <f t="shared" si="18"/>
        <v>0</v>
      </c>
      <c r="J87" s="14">
        <f t="shared" si="18"/>
        <v>0</v>
      </c>
      <c r="K87" s="14">
        <f t="shared" si="18"/>
        <v>0</v>
      </c>
      <c r="L87" s="14">
        <f t="shared" si="18"/>
        <v>0</v>
      </c>
      <c r="M87" s="14">
        <f t="shared" si="18"/>
        <v>-1460.35</v>
      </c>
      <c r="N87" s="14">
        <f t="shared" si="18"/>
        <v>0</v>
      </c>
      <c r="O87" s="14">
        <f t="shared" si="18"/>
        <v>-157.1</v>
      </c>
      <c r="P87" s="14">
        <f t="shared" si="18"/>
        <v>28.3</v>
      </c>
      <c r="Q87" s="14">
        <f t="shared" si="18"/>
        <v>0</v>
      </c>
      <c r="R87" s="14">
        <f t="shared" si="18"/>
        <v>-45.9</v>
      </c>
      <c r="S87" s="14">
        <f t="shared" si="18"/>
        <v>0</v>
      </c>
      <c r="T87" s="14">
        <f t="shared" si="18"/>
        <v>-841.5</v>
      </c>
      <c r="U87" s="14">
        <f t="shared" si="18"/>
        <v>157.1</v>
      </c>
      <c r="V87" s="14">
        <f t="shared" si="18"/>
        <v>0</v>
      </c>
      <c r="W87" s="14">
        <f t="shared" si="18"/>
        <v>0</v>
      </c>
      <c r="X87" s="14">
        <f t="shared" si="18"/>
        <v>0</v>
      </c>
      <c r="Y87" s="14">
        <f t="shared" si="18"/>
        <v>690</v>
      </c>
      <c r="Z87" s="14">
        <f t="shared" si="18"/>
        <v>0</v>
      </c>
      <c r="AA87" s="14">
        <f t="shared" si="18"/>
        <v>0</v>
      </c>
      <c r="AB87" s="14">
        <f t="shared" si="18"/>
        <v>-433.5</v>
      </c>
      <c r="AC87" s="14">
        <f t="shared" si="18"/>
        <v>0</v>
      </c>
      <c r="AD87" s="14">
        <f t="shared" si="18"/>
        <v>0</v>
      </c>
      <c r="AE87" s="14">
        <f t="shared" si="18"/>
        <v>-824.1</v>
      </c>
      <c r="AF87" s="14">
        <f t="shared" si="18"/>
        <v>0</v>
      </c>
      <c r="AG87" s="14">
        <f t="shared" si="18"/>
        <v>88.05</v>
      </c>
      <c r="AH87" s="14">
        <f t="shared" si="18"/>
        <v>0</v>
      </c>
      <c r="AI87" s="14">
        <f t="shared" si="18"/>
        <v>433.5</v>
      </c>
      <c r="AJ87" s="14">
        <f t="shared" si="18"/>
        <v>0</v>
      </c>
      <c r="AK87" s="14">
        <f t="shared" si="18"/>
        <v>-35088.050000000003</v>
      </c>
      <c r="AL87" s="14">
        <f t="shared" si="18"/>
        <v>0</v>
      </c>
      <c r="AM87" s="14">
        <f t="shared" si="18"/>
        <v>0</v>
      </c>
      <c r="AN87" s="14">
        <f t="shared" si="18"/>
        <v>0</v>
      </c>
      <c r="AO87" s="14">
        <f t="shared" si="18"/>
        <v>0</v>
      </c>
      <c r="AP87" s="14">
        <f t="shared" si="18"/>
        <v>0</v>
      </c>
      <c r="AQ87" s="14">
        <f t="shared" si="18"/>
        <v>-37453.550000000003</v>
      </c>
    </row>
    <row r="88" spans="1:43" x14ac:dyDescent="0.2">
      <c r="A88" s="21" t="s">
        <v>129</v>
      </c>
      <c r="B88" s="14">
        <f t="shared" ref="B88:AQ88" si="19">B78+B83+B87+0</f>
        <v>-11051.719999999998</v>
      </c>
      <c r="C88" s="14">
        <f t="shared" si="19"/>
        <v>-6022.8900000000031</v>
      </c>
      <c r="D88" s="14">
        <f t="shared" si="19"/>
        <v>35400.49</v>
      </c>
      <c r="E88" s="14">
        <f t="shared" si="19"/>
        <v>-13108.59</v>
      </c>
      <c r="F88" s="14">
        <f t="shared" si="19"/>
        <v>-2640.0499999999993</v>
      </c>
      <c r="G88" s="14">
        <f t="shared" si="19"/>
        <v>343.06999999999971</v>
      </c>
      <c r="H88" s="14">
        <f t="shared" si="19"/>
        <v>6940.2000000000007</v>
      </c>
      <c r="I88" s="14">
        <f t="shared" si="19"/>
        <v>4708.6099999999988</v>
      </c>
      <c r="J88" s="14">
        <f t="shared" si="19"/>
        <v>7257.3499999999985</v>
      </c>
      <c r="K88" s="14">
        <f t="shared" si="19"/>
        <v>1463.869999999999</v>
      </c>
      <c r="L88" s="14">
        <f t="shared" si="19"/>
        <v>28217.459999999992</v>
      </c>
      <c r="M88" s="14">
        <f t="shared" si="19"/>
        <v>-28960.629999999997</v>
      </c>
      <c r="N88" s="14">
        <f t="shared" si="19"/>
        <v>6197.3299999999981</v>
      </c>
      <c r="O88" s="14">
        <f t="shared" si="19"/>
        <v>1138.9599999999996</v>
      </c>
      <c r="P88" s="14">
        <f t="shared" si="19"/>
        <v>501.77999999999957</v>
      </c>
      <c r="Q88" s="14">
        <f t="shared" si="19"/>
        <v>4049.090000000002</v>
      </c>
      <c r="R88" s="14">
        <f t="shared" si="19"/>
        <v>9938.8700000000044</v>
      </c>
      <c r="S88" s="14">
        <f t="shared" si="19"/>
        <v>5666.239999999998</v>
      </c>
      <c r="T88" s="14">
        <f t="shared" si="19"/>
        <v>5556.7900000000027</v>
      </c>
      <c r="U88" s="14">
        <f t="shared" si="19"/>
        <v>9868.67</v>
      </c>
      <c r="V88" s="14">
        <f t="shared" si="19"/>
        <v>-1473.9500000000025</v>
      </c>
      <c r="W88" s="14">
        <f t="shared" si="19"/>
        <v>7448.9499999999971</v>
      </c>
      <c r="X88" s="14">
        <f t="shared" si="19"/>
        <v>-15341.489999999998</v>
      </c>
      <c r="Y88" s="14">
        <f t="shared" si="19"/>
        <v>-37516.220000000038</v>
      </c>
      <c r="Z88" s="14">
        <f t="shared" si="19"/>
        <v>66165.72</v>
      </c>
      <c r="AA88" s="14">
        <f t="shared" si="19"/>
        <v>53402.239999999991</v>
      </c>
      <c r="AB88" s="14">
        <f t="shared" si="19"/>
        <v>-141003.07</v>
      </c>
      <c r="AC88" s="14">
        <f t="shared" si="19"/>
        <v>17083.169999999984</v>
      </c>
      <c r="AD88" s="14">
        <f t="shared" si="19"/>
        <v>18815.14999999998</v>
      </c>
      <c r="AE88" s="14">
        <f t="shared" si="19"/>
        <v>20014.120000000024</v>
      </c>
      <c r="AF88" s="14">
        <f t="shared" si="19"/>
        <v>343618.73</v>
      </c>
      <c r="AG88" s="14">
        <f t="shared" si="19"/>
        <v>-205587.69</v>
      </c>
      <c r="AH88" s="14">
        <f t="shared" si="19"/>
        <v>14170.37999999999</v>
      </c>
      <c r="AI88" s="14">
        <f t="shared" si="19"/>
        <v>61626.400000000009</v>
      </c>
      <c r="AJ88" s="14">
        <f t="shared" si="19"/>
        <v>-3406.1999999999825</v>
      </c>
      <c r="AK88" s="14">
        <f t="shared" si="19"/>
        <v>-80023.439999999711</v>
      </c>
      <c r="AL88" s="14">
        <f t="shared" si="19"/>
        <v>-15193.820000000007</v>
      </c>
      <c r="AM88" s="14">
        <f t="shared" si="19"/>
        <v>-49395.340000000011</v>
      </c>
      <c r="AN88" s="14">
        <f t="shared" si="19"/>
        <v>16927.530000000021</v>
      </c>
      <c r="AO88" s="14">
        <f t="shared" si="19"/>
        <v>-21240.559999999998</v>
      </c>
      <c r="AP88" s="14">
        <f t="shared" si="19"/>
        <v>26740.509999999987</v>
      </c>
      <c r="AQ88" s="14">
        <f t="shared" si="19"/>
        <v>141296.02000000037</v>
      </c>
    </row>
  </sheetData>
  <mergeCells count="3">
    <mergeCell ref="A1:AQ1"/>
    <mergeCell ref="A2:AQ2"/>
    <mergeCell ref="A3:AQ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PGPLbyEntityandMonthQuart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2023-08-08T18:56:30Z</dcterms:created>
  <dcterms:modified xsi:type="dcterms:W3CDTF">2023-08-08T18:57:29Z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