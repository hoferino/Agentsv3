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3 - Legal Entity Reporting\PROMATIS-CH\"/>
    </mc:Choice>
  </mc:AlternateContent>
  <xr:revisionPtr revIDLastSave="0" documentId="13_ncr:40009_{DE3E9714-281B-4614-9168-5930568EA699}" xr6:coauthVersionLast="47" xr6:coauthVersionMax="47" xr10:uidLastSave="{00000000-0000-0000-0000-000000000000}"/>
  <bookViews>
    <workbookView xWindow="-28920" yWindow="-120" windowWidth="29040" windowHeight="15840"/>
  </bookViews>
  <sheets>
    <sheet name="PGBalanceSheetbyEntitya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95" i="1" l="1"/>
  <c r="BZ95" i="1"/>
  <c r="BY95" i="1"/>
  <c r="BX95" i="1"/>
  <c r="BW95" i="1"/>
  <c r="BV95" i="1"/>
  <c r="BU95" i="1"/>
  <c r="BT95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CA63" i="1"/>
  <c r="CA67" i="1" s="1"/>
  <c r="BZ63" i="1"/>
  <c r="BY63" i="1"/>
  <c r="BX63" i="1"/>
  <c r="BW63" i="1"/>
  <c r="BV63" i="1"/>
  <c r="BU63" i="1"/>
  <c r="BT63" i="1"/>
  <c r="BT67" i="1" s="1"/>
  <c r="BS63" i="1"/>
  <c r="BS67" i="1" s="1"/>
  <c r="BR63" i="1"/>
  <c r="BQ63" i="1"/>
  <c r="BP63" i="1"/>
  <c r="BO63" i="1"/>
  <c r="BO67" i="1" s="1"/>
  <c r="BN63" i="1"/>
  <c r="BM63" i="1"/>
  <c r="BL63" i="1"/>
  <c r="BL67" i="1" s="1"/>
  <c r="BK63" i="1"/>
  <c r="BK67" i="1" s="1"/>
  <c r="BJ63" i="1"/>
  <c r="BI63" i="1"/>
  <c r="BH63" i="1"/>
  <c r="BG63" i="1"/>
  <c r="BG67" i="1" s="1"/>
  <c r="BF63" i="1"/>
  <c r="BE63" i="1"/>
  <c r="BD63" i="1"/>
  <c r="BD67" i="1" s="1"/>
  <c r="BC63" i="1"/>
  <c r="BC67" i="1" s="1"/>
  <c r="BB63" i="1"/>
  <c r="BA63" i="1"/>
  <c r="AZ63" i="1"/>
  <c r="AY63" i="1"/>
  <c r="AX63" i="1"/>
  <c r="AW63" i="1"/>
  <c r="AV63" i="1"/>
  <c r="AV67" i="1" s="1"/>
  <c r="AU63" i="1"/>
  <c r="AU67" i="1" s="1"/>
  <c r="AT63" i="1"/>
  <c r="AS63" i="1"/>
  <c r="AR63" i="1"/>
  <c r="AQ63" i="1"/>
  <c r="AP63" i="1"/>
  <c r="AO63" i="1"/>
  <c r="AN63" i="1"/>
  <c r="AN67" i="1" s="1"/>
  <c r="AM63" i="1"/>
  <c r="AM67" i="1" s="1"/>
  <c r="AL63" i="1"/>
  <c r="AK63" i="1"/>
  <c r="AJ63" i="1"/>
  <c r="AI63" i="1"/>
  <c r="AI67" i="1" s="1"/>
  <c r="AH63" i="1"/>
  <c r="AG63" i="1"/>
  <c r="AF63" i="1"/>
  <c r="AF67" i="1" s="1"/>
  <c r="AE63" i="1"/>
  <c r="AE67" i="1" s="1"/>
  <c r="AD63" i="1"/>
  <c r="AC63" i="1"/>
  <c r="AB63" i="1"/>
  <c r="AA63" i="1"/>
  <c r="AA67" i="1" s="1"/>
  <c r="Z63" i="1"/>
  <c r="Y63" i="1"/>
  <c r="X63" i="1"/>
  <c r="X67" i="1" s="1"/>
  <c r="W63" i="1"/>
  <c r="W67" i="1" s="1"/>
  <c r="V63" i="1"/>
  <c r="U63" i="1"/>
  <c r="T63" i="1"/>
  <c r="S63" i="1"/>
  <c r="S67" i="1" s="1"/>
  <c r="R63" i="1"/>
  <c r="Q63" i="1"/>
  <c r="P63" i="1"/>
  <c r="P67" i="1" s="1"/>
  <c r="O63" i="1"/>
  <c r="O67" i="1" s="1"/>
  <c r="N63" i="1"/>
  <c r="M63" i="1"/>
  <c r="L63" i="1"/>
  <c r="K63" i="1"/>
  <c r="K67" i="1" s="1"/>
  <c r="J63" i="1"/>
  <c r="I63" i="1"/>
  <c r="H63" i="1"/>
  <c r="H67" i="1" s="1"/>
  <c r="G63" i="1"/>
  <c r="G67" i="1" s="1"/>
  <c r="F63" i="1"/>
  <c r="E63" i="1"/>
  <c r="D63" i="1"/>
  <c r="C63" i="1"/>
  <c r="C67" i="1" s="1"/>
  <c r="B63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CA54" i="1"/>
  <c r="BZ54" i="1"/>
  <c r="BY54" i="1"/>
  <c r="BX54" i="1"/>
  <c r="BX57" i="1" s="1"/>
  <c r="BW54" i="1"/>
  <c r="BW57" i="1" s="1"/>
  <c r="BV54" i="1"/>
  <c r="BV57" i="1" s="1"/>
  <c r="BU54" i="1"/>
  <c r="BU57" i="1" s="1"/>
  <c r="BT54" i="1"/>
  <c r="BS54" i="1"/>
  <c r="BR54" i="1"/>
  <c r="BQ54" i="1"/>
  <c r="BP54" i="1"/>
  <c r="BP57" i="1" s="1"/>
  <c r="BO54" i="1"/>
  <c r="BO57" i="1" s="1"/>
  <c r="BN54" i="1"/>
  <c r="BN57" i="1" s="1"/>
  <c r="BM54" i="1"/>
  <c r="BM57" i="1" s="1"/>
  <c r="BL54" i="1"/>
  <c r="BL57" i="1" s="1"/>
  <c r="BK54" i="1"/>
  <c r="BJ54" i="1"/>
  <c r="BI54" i="1"/>
  <c r="BH54" i="1"/>
  <c r="BH57" i="1" s="1"/>
  <c r="BG54" i="1"/>
  <c r="BG57" i="1" s="1"/>
  <c r="BF54" i="1"/>
  <c r="BF57" i="1" s="1"/>
  <c r="BE54" i="1"/>
  <c r="BE57" i="1" s="1"/>
  <c r="BD54" i="1"/>
  <c r="BC54" i="1"/>
  <c r="BB54" i="1"/>
  <c r="BA54" i="1"/>
  <c r="AZ54" i="1"/>
  <c r="AZ57" i="1" s="1"/>
  <c r="AY54" i="1"/>
  <c r="AY57" i="1" s="1"/>
  <c r="AX54" i="1"/>
  <c r="AX57" i="1" s="1"/>
  <c r="AW54" i="1"/>
  <c r="AW57" i="1" s="1"/>
  <c r="AV54" i="1"/>
  <c r="AU54" i="1"/>
  <c r="AT54" i="1"/>
  <c r="AS54" i="1"/>
  <c r="AR54" i="1"/>
  <c r="AR57" i="1" s="1"/>
  <c r="AQ54" i="1"/>
  <c r="AQ57" i="1" s="1"/>
  <c r="AP54" i="1"/>
  <c r="AP57" i="1" s="1"/>
  <c r="AO54" i="1"/>
  <c r="AO57" i="1" s="1"/>
  <c r="AN54" i="1"/>
  <c r="AM54" i="1"/>
  <c r="AL54" i="1"/>
  <c r="AK54" i="1"/>
  <c r="AJ54" i="1"/>
  <c r="AJ57" i="1" s="1"/>
  <c r="AI54" i="1"/>
  <c r="AI57" i="1" s="1"/>
  <c r="AH54" i="1"/>
  <c r="AH57" i="1" s="1"/>
  <c r="AG54" i="1"/>
  <c r="AG57" i="1" s="1"/>
  <c r="AF54" i="1"/>
  <c r="AF57" i="1" s="1"/>
  <c r="AE54" i="1"/>
  <c r="AD54" i="1"/>
  <c r="AC54" i="1"/>
  <c r="AB54" i="1"/>
  <c r="AB57" i="1" s="1"/>
  <c r="AA54" i="1"/>
  <c r="AA57" i="1" s="1"/>
  <c r="Z54" i="1"/>
  <c r="Z57" i="1" s="1"/>
  <c r="Y54" i="1"/>
  <c r="Y57" i="1" s="1"/>
  <c r="X54" i="1"/>
  <c r="W54" i="1"/>
  <c r="V54" i="1"/>
  <c r="U54" i="1"/>
  <c r="T54" i="1"/>
  <c r="T57" i="1" s="1"/>
  <c r="S54" i="1"/>
  <c r="S57" i="1" s="1"/>
  <c r="R54" i="1"/>
  <c r="R57" i="1" s="1"/>
  <c r="Q54" i="1"/>
  <c r="Q57" i="1" s="1"/>
  <c r="P54" i="1"/>
  <c r="P57" i="1" s="1"/>
  <c r="O54" i="1"/>
  <c r="N54" i="1"/>
  <c r="M54" i="1"/>
  <c r="L54" i="1"/>
  <c r="L57" i="1" s="1"/>
  <c r="K54" i="1"/>
  <c r="K57" i="1" s="1"/>
  <c r="J54" i="1"/>
  <c r="J57" i="1" s="1"/>
  <c r="I54" i="1"/>
  <c r="I57" i="1" s="1"/>
  <c r="H54" i="1"/>
  <c r="G54" i="1"/>
  <c r="F54" i="1"/>
  <c r="E54" i="1"/>
  <c r="D54" i="1"/>
  <c r="D57" i="1" s="1"/>
  <c r="C54" i="1"/>
  <c r="C57" i="1" s="1"/>
  <c r="B54" i="1"/>
  <c r="B57" i="1" s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BZ42" i="1"/>
  <c r="CA41" i="1"/>
  <c r="CA42" i="1" s="1"/>
  <c r="BZ41" i="1"/>
  <c r="BY41" i="1"/>
  <c r="BY42" i="1" s="1"/>
  <c r="BX41" i="1"/>
  <c r="BX42" i="1" s="1"/>
  <c r="BW41" i="1"/>
  <c r="BW42" i="1" s="1"/>
  <c r="BV41" i="1"/>
  <c r="BV42" i="1" s="1"/>
  <c r="BU41" i="1"/>
  <c r="BU42" i="1" s="1"/>
  <c r="BT41" i="1"/>
  <c r="BT42" i="1" s="1"/>
  <c r="BS41" i="1"/>
  <c r="BS42" i="1" s="1"/>
  <c r="BR41" i="1"/>
  <c r="BR42" i="1" s="1"/>
  <c r="BQ41" i="1"/>
  <c r="BQ42" i="1" s="1"/>
  <c r="BP41" i="1"/>
  <c r="BP42" i="1" s="1"/>
  <c r="BO41" i="1"/>
  <c r="BO42" i="1" s="1"/>
  <c r="BN41" i="1"/>
  <c r="BN42" i="1" s="1"/>
  <c r="BM41" i="1"/>
  <c r="BM42" i="1" s="1"/>
  <c r="BL41" i="1"/>
  <c r="BL42" i="1" s="1"/>
  <c r="BK41" i="1"/>
  <c r="BK42" i="1" s="1"/>
  <c r="BJ41" i="1"/>
  <c r="BJ42" i="1" s="1"/>
  <c r="BI41" i="1"/>
  <c r="BI42" i="1" s="1"/>
  <c r="BH41" i="1"/>
  <c r="BH42" i="1" s="1"/>
  <c r="BG41" i="1"/>
  <c r="BG42" i="1" s="1"/>
  <c r="BF41" i="1"/>
  <c r="BF42" i="1" s="1"/>
  <c r="BE41" i="1"/>
  <c r="BE42" i="1" s="1"/>
  <c r="BD41" i="1"/>
  <c r="BD42" i="1" s="1"/>
  <c r="BC41" i="1"/>
  <c r="BC42" i="1" s="1"/>
  <c r="BB41" i="1"/>
  <c r="BB42" i="1" s="1"/>
  <c r="BA41" i="1"/>
  <c r="BA42" i="1" s="1"/>
  <c r="AZ41" i="1"/>
  <c r="AZ42" i="1" s="1"/>
  <c r="AY41" i="1"/>
  <c r="AY42" i="1" s="1"/>
  <c r="AX41" i="1"/>
  <c r="AX42" i="1" s="1"/>
  <c r="AW41" i="1"/>
  <c r="AW42" i="1" s="1"/>
  <c r="AV41" i="1"/>
  <c r="AV42" i="1" s="1"/>
  <c r="AU41" i="1"/>
  <c r="AU42" i="1" s="1"/>
  <c r="AT41" i="1"/>
  <c r="AT42" i="1" s="1"/>
  <c r="AS41" i="1"/>
  <c r="AS42" i="1" s="1"/>
  <c r="AR41" i="1"/>
  <c r="AR42" i="1" s="1"/>
  <c r="AQ41" i="1"/>
  <c r="AQ42" i="1" s="1"/>
  <c r="AP41" i="1"/>
  <c r="AP42" i="1" s="1"/>
  <c r="AO41" i="1"/>
  <c r="AO42" i="1" s="1"/>
  <c r="AN41" i="1"/>
  <c r="AN42" i="1" s="1"/>
  <c r="AM41" i="1"/>
  <c r="AM42" i="1" s="1"/>
  <c r="AL41" i="1"/>
  <c r="AL42" i="1" s="1"/>
  <c r="AK41" i="1"/>
  <c r="AK42" i="1" s="1"/>
  <c r="AJ41" i="1"/>
  <c r="AJ42" i="1" s="1"/>
  <c r="AI41" i="1"/>
  <c r="AI42" i="1" s="1"/>
  <c r="AH41" i="1"/>
  <c r="AH42" i="1" s="1"/>
  <c r="AG41" i="1"/>
  <c r="AG42" i="1" s="1"/>
  <c r="AF41" i="1"/>
  <c r="AF42" i="1" s="1"/>
  <c r="AE41" i="1"/>
  <c r="AE42" i="1" s="1"/>
  <c r="AD41" i="1"/>
  <c r="AD42" i="1" s="1"/>
  <c r="AC41" i="1"/>
  <c r="AC42" i="1" s="1"/>
  <c r="AB41" i="1"/>
  <c r="AB42" i="1" s="1"/>
  <c r="AA41" i="1"/>
  <c r="AA42" i="1" s="1"/>
  <c r="Z41" i="1"/>
  <c r="Z42" i="1" s="1"/>
  <c r="Y41" i="1"/>
  <c r="Y42" i="1" s="1"/>
  <c r="X41" i="1"/>
  <c r="X42" i="1" s="1"/>
  <c r="W41" i="1"/>
  <c r="W42" i="1" s="1"/>
  <c r="V41" i="1"/>
  <c r="V42" i="1" s="1"/>
  <c r="U41" i="1"/>
  <c r="U42" i="1" s="1"/>
  <c r="T41" i="1"/>
  <c r="T42" i="1" s="1"/>
  <c r="S41" i="1"/>
  <c r="S42" i="1" s="1"/>
  <c r="R41" i="1"/>
  <c r="R42" i="1" s="1"/>
  <c r="Q41" i="1"/>
  <c r="Q42" i="1" s="1"/>
  <c r="P41" i="1"/>
  <c r="P42" i="1" s="1"/>
  <c r="O41" i="1"/>
  <c r="O42" i="1" s="1"/>
  <c r="N41" i="1"/>
  <c r="N42" i="1" s="1"/>
  <c r="M41" i="1"/>
  <c r="M42" i="1" s="1"/>
  <c r="L41" i="1"/>
  <c r="L42" i="1" s="1"/>
  <c r="K41" i="1"/>
  <c r="K42" i="1" s="1"/>
  <c r="J41" i="1"/>
  <c r="J42" i="1" s="1"/>
  <c r="I41" i="1"/>
  <c r="I42" i="1" s="1"/>
  <c r="H41" i="1"/>
  <c r="H42" i="1" s="1"/>
  <c r="G41" i="1"/>
  <c r="G42" i="1" s="1"/>
  <c r="F41" i="1"/>
  <c r="F42" i="1" s="1"/>
  <c r="E41" i="1"/>
  <c r="E42" i="1" s="1"/>
  <c r="D41" i="1"/>
  <c r="D42" i="1" s="1"/>
  <c r="C41" i="1"/>
  <c r="C42" i="1" s="1"/>
  <c r="B41" i="1"/>
  <c r="B42" i="1" s="1"/>
  <c r="CA36" i="1"/>
  <c r="CA37" i="1" s="1"/>
  <c r="BZ36" i="1"/>
  <c r="BZ37" i="1" s="1"/>
  <c r="BY36" i="1"/>
  <c r="BY37" i="1" s="1"/>
  <c r="BX36" i="1"/>
  <c r="BX37" i="1" s="1"/>
  <c r="BW36" i="1"/>
  <c r="BW37" i="1" s="1"/>
  <c r="BV36" i="1"/>
  <c r="BV37" i="1" s="1"/>
  <c r="BU36" i="1"/>
  <c r="BU37" i="1" s="1"/>
  <c r="BT36" i="1"/>
  <c r="BT37" i="1" s="1"/>
  <c r="BS36" i="1"/>
  <c r="BS37" i="1" s="1"/>
  <c r="BR36" i="1"/>
  <c r="BR37" i="1" s="1"/>
  <c r="BQ36" i="1"/>
  <c r="BQ37" i="1" s="1"/>
  <c r="BP36" i="1"/>
  <c r="BP37" i="1" s="1"/>
  <c r="BO36" i="1"/>
  <c r="BO37" i="1" s="1"/>
  <c r="BN36" i="1"/>
  <c r="BN37" i="1" s="1"/>
  <c r="BM36" i="1"/>
  <c r="BM37" i="1" s="1"/>
  <c r="BL36" i="1"/>
  <c r="BL37" i="1" s="1"/>
  <c r="BK36" i="1"/>
  <c r="BK37" i="1" s="1"/>
  <c r="BJ36" i="1"/>
  <c r="BJ37" i="1" s="1"/>
  <c r="BI36" i="1"/>
  <c r="BI37" i="1" s="1"/>
  <c r="BH36" i="1"/>
  <c r="BH37" i="1" s="1"/>
  <c r="BG36" i="1"/>
  <c r="BG37" i="1" s="1"/>
  <c r="BF36" i="1"/>
  <c r="BF37" i="1" s="1"/>
  <c r="BE36" i="1"/>
  <c r="BE37" i="1" s="1"/>
  <c r="BD36" i="1"/>
  <c r="BD37" i="1" s="1"/>
  <c r="BC36" i="1"/>
  <c r="BC37" i="1" s="1"/>
  <c r="BB36" i="1"/>
  <c r="BB37" i="1" s="1"/>
  <c r="BA36" i="1"/>
  <c r="BA37" i="1" s="1"/>
  <c r="AZ36" i="1"/>
  <c r="AZ37" i="1" s="1"/>
  <c r="AY36" i="1"/>
  <c r="AY37" i="1" s="1"/>
  <c r="AX36" i="1"/>
  <c r="AX37" i="1" s="1"/>
  <c r="AW36" i="1"/>
  <c r="AW37" i="1" s="1"/>
  <c r="AV36" i="1"/>
  <c r="AV37" i="1" s="1"/>
  <c r="AU36" i="1"/>
  <c r="AU37" i="1" s="1"/>
  <c r="AT36" i="1"/>
  <c r="AT37" i="1" s="1"/>
  <c r="AS36" i="1"/>
  <c r="AS37" i="1" s="1"/>
  <c r="AR36" i="1"/>
  <c r="AR37" i="1" s="1"/>
  <c r="AQ36" i="1"/>
  <c r="AQ37" i="1" s="1"/>
  <c r="AP36" i="1"/>
  <c r="AP37" i="1" s="1"/>
  <c r="AO36" i="1"/>
  <c r="AO37" i="1" s="1"/>
  <c r="AN36" i="1"/>
  <c r="AN37" i="1" s="1"/>
  <c r="AM36" i="1"/>
  <c r="AM37" i="1" s="1"/>
  <c r="AL36" i="1"/>
  <c r="AL37" i="1" s="1"/>
  <c r="AK36" i="1"/>
  <c r="AK37" i="1" s="1"/>
  <c r="AJ36" i="1"/>
  <c r="AJ37" i="1" s="1"/>
  <c r="AI36" i="1"/>
  <c r="AI37" i="1" s="1"/>
  <c r="AH36" i="1"/>
  <c r="AH37" i="1" s="1"/>
  <c r="AG36" i="1"/>
  <c r="AG37" i="1" s="1"/>
  <c r="AF36" i="1"/>
  <c r="AF37" i="1" s="1"/>
  <c r="AE36" i="1"/>
  <c r="AE37" i="1" s="1"/>
  <c r="AD36" i="1"/>
  <c r="AD37" i="1" s="1"/>
  <c r="AC36" i="1"/>
  <c r="AC37" i="1" s="1"/>
  <c r="AB36" i="1"/>
  <c r="AB37" i="1" s="1"/>
  <c r="AA36" i="1"/>
  <c r="AA37" i="1" s="1"/>
  <c r="Z36" i="1"/>
  <c r="Z37" i="1" s="1"/>
  <c r="Y36" i="1"/>
  <c r="Y37" i="1" s="1"/>
  <c r="X36" i="1"/>
  <c r="X37" i="1" s="1"/>
  <c r="W36" i="1"/>
  <c r="W37" i="1" s="1"/>
  <c r="V36" i="1"/>
  <c r="V37" i="1" s="1"/>
  <c r="U36" i="1"/>
  <c r="U37" i="1" s="1"/>
  <c r="T36" i="1"/>
  <c r="T37" i="1" s="1"/>
  <c r="S36" i="1"/>
  <c r="S37" i="1" s="1"/>
  <c r="R36" i="1"/>
  <c r="R37" i="1" s="1"/>
  <c r="Q36" i="1"/>
  <c r="Q37" i="1" s="1"/>
  <c r="P36" i="1"/>
  <c r="P37" i="1" s="1"/>
  <c r="O36" i="1"/>
  <c r="O37" i="1" s="1"/>
  <c r="N36" i="1"/>
  <c r="N37" i="1" s="1"/>
  <c r="M36" i="1"/>
  <c r="M37" i="1" s="1"/>
  <c r="L36" i="1"/>
  <c r="L37" i="1" s="1"/>
  <c r="K36" i="1"/>
  <c r="K37" i="1" s="1"/>
  <c r="J36" i="1"/>
  <c r="J37" i="1" s="1"/>
  <c r="I36" i="1"/>
  <c r="I37" i="1" s="1"/>
  <c r="H36" i="1"/>
  <c r="H37" i="1" s="1"/>
  <c r="G36" i="1"/>
  <c r="G37" i="1" s="1"/>
  <c r="F36" i="1"/>
  <c r="F37" i="1" s="1"/>
  <c r="E36" i="1"/>
  <c r="E37" i="1" s="1"/>
  <c r="D36" i="1"/>
  <c r="D37" i="1" s="1"/>
  <c r="C36" i="1"/>
  <c r="C37" i="1" s="1"/>
  <c r="B36" i="1"/>
  <c r="B37" i="1" s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CA21" i="1"/>
  <c r="BZ21" i="1"/>
  <c r="BZ32" i="1" s="1"/>
  <c r="BY21" i="1"/>
  <c r="BX21" i="1"/>
  <c r="BW21" i="1"/>
  <c r="BV21" i="1"/>
  <c r="BU21" i="1"/>
  <c r="BT21" i="1"/>
  <c r="BS21" i="1"/>
  <c r="BR21" i="1"/>
  <c r="BR32" i="1" s="1"/>
  <c r="BQ21" i="1"/>
  <c r="BP21" i="1"/>
  <c r="BO21" i="1"/>
  <c r="BN21" i="1"/>
  <c r="BM21" i="1"/>
  <c r="BL21" i="1"/>
  <c r="BK21" i="1"/>
  <c r="BJ21" i="1"/>
  <c r="BJ32" i="1" s="1"/>
  <c r="BI21" i="1"/>
  <c r="BH21" i="1"/>
  <c r="BG21" i="1"/>
  <c r="BF21" i="1"/>
  <c r="BE21" i="1"/>
  <c r="BD21" i="1"/>
  <c r="BC21" i="1"/>
  <c r="BB21" i="1"/>
  <c r="BB32" i="1" s="1"/>
  <c r="BA21" i="1"/>
  <c r="AZ21" i="1"/>
  <c r="AY21" i="1"/>
  <c r="AX21" i="1"/>
  <c r="AW21" i="1"/>
  <c r="AV21" i="1"/>
  <c r="AU21" i="1"/>
  <c r="AT21" i="1"/>
  <c r="AT32" i="1" s="1"/>
  <c r="AS21" i="1"/>
  <c r="AR21" i="1"/>
  <c r="AQ21" i="1"/>
  <c r="AP21" i="1"/>
  <c r="AO21" i="1"/>
  <c r="AN21" i="1"/>
  <c r="AM21" i="1"/>
  <c r="AL21" i="1"/>
  <c r="AL32" i="1" s="1"/>
  <c r="AK21" i="1"/>
  <c r="AJ21" i="1"/>
  <c r="AI21" i="1"/>
  <c r="AH21" i="1"/>
  <c r="AG21" i="1"/>
  <c r="AF21" i="1"/>
  <c r="AE21" i="1"/>
  <c r="AD21" i="1"/>
  <c r="AD32" i="1" s="1"/>
  <c r="AC21" i="1"/>
  <c r="AB21" i="1"/>
  <c r="AA21" i="1"/>
  <c r="Z21" i="1"/>
  <c r="Y21" i="1"/>
  <c r="X21" i="1"/>
  <c r="W21" i="1"/>
  <c r="V21" i="1"/>
  <c r="V32" i="1" s="1"/>
  <c r="U21" i="1"/>
  <c r="T21" i="1"/>
  <c r="S21" i="1"/>
  <c r="R21" i="1"/>
  <c r="Q21" i="1"/>
  <c r="P21" i="1"/>
  <c r="P32" i="1" s="1"/>
  <c r="P43" i="1" s="1"/>
  <c r="O21" i="1"/>
  <c r="N21" i="1"/>
  <c r="N32" i="1" s="1"/>
  <c r="M21" i="1"/>
  <c r="L21" i="1"/>
  <c r="K21" i="1"/>
  <c r="J21" i="1"/>
  <c r="I21" i="1"/>
  <c r="H21" i="1"/>
  <c r="H32" i="1" s="1"/>
  <c r="H43" i="1" s="1"/>
  <c r="G21" i="1"/>
  <c r="F21" i="1"/>
  <c r="F32" i="1" s="1"/>
  <c r="E21" i="1"/>
  <c r="D21" i="1"/>
  <c r="C21" i="1"/>
  <c r="B21" i="1"/>
  <c r="AH13" i="1"/>
  <c r="AH14" i="1" s="1"/>
  <c r="CA12" i="1"/>
  <c r="CA13" i="1" s="1"/>
  <c r="CA14" i="1" s="1"/>
  <c r="BZ12" i="1"/>
  <c r="BZ13" i="1" s="1"/>
  <c r="BZ14" i="1" s="1"/>
  <c r="BY12" i="1"/>
  <c r="BY13" i="1" s="1"/>
  <c r="BY14" i="1" s="1"/>
  <c r="BX12" i="1"/>
  <c r="BX13" i="1" s="1"/>
  <c r="BX14" i="1" s="1"/>
  <c r="BW12" i="1"/>
  <c r="BW13" i="1" s="1"/>
  <c r="BW14" i="1" s="1"/>
  <c r="BV12" i="1"/>
  <c r="BV13" i="1" s="1"/>
  <c r="BV14" i="1" s="1"/>
  <c r="BU12" i="1"/>
  <c r="BU13" i="1" s="1"/>
  <c r="BU14" i="1" s="1"/>
  <c r="BT12" i="1"/>
  <c r="BT13" i="1" s="1"/>
  <c r="BT14" i="1" s="1"/>
  <c r="BS12" i="1"/>
  <c r="BS13" i="1" s="1"/>
  <c r="BS14" i="1" s="1"/>
  <c r="BR12" i="1"/>
  <c r="BR13" i="1" s="1"/>
  <c r="BR14" i="1" s="1"/>
  <c r="BQ12" i="1"/>
  <c r="BQ13" i="1" s="1"/>
  <c r="BQ14" i="1" s="1"/>
  <c r="BP12" i="1"/>
  <c r="BP13" i="1" s="1"/>
  <c r="BP14" i="1" s="1"/>
  <c r="BO12" i="1"/>
  <c r="BO13" i="1" s="1"/>
  <c r="BO14" i="1" s="1"/>
  <c r="BN12" i="1"/>
  <c r="BN13" i="1" s="1"/>
  <c r="BN14" i="1" s="1"/>
  <c r="BM12" i="1"/>
  <c r="BM13" i="1" s="1"/>
  <c r="BM14" i="1" s="1"/>
  <c r="BL12" i="1"/>
  <c r="BL13" i="1" s="1"/>
  <c r="BL14" i="1" s="1"/>
  <c r="BK12" i="1"/>
  <c r="BK13" i="1" s="1"/>
  <c r="BK14" i="1" s="1"/>
  <c r="BJ12" i="1"/>
  <c r="BJ13" i="1" s="1"/>
  <c r="BJ14" i="1" s="1"/>
  <c r="BI12" i="1"/>
  <c r="BI13" i="1" s="1"/>
  <c r="BI14" i="1" s="1"/>
  <c r="BH12" i="1"/>
  <c r="BH13" i="1" s="1"/>
  <c r="BH14" i="1" s="1"/>
  <c r="BG12" i="1"/>
  <c r="BG13" i="1" s="1"/>
  <c r="BG14" i="1" s="1"/>
  <c r="BF12" i="1"/>
  <c r="BF13" i="1" s="1"/>
  <c r="BF14" i="1" s="1"/>
  <c r="BE12" i="1"/>
  <c r="BE13" i="1" s="1"/>
  <c r="BE14" i="1" s="1"/>
  <c r="BD12" i="1"/>
  <c r="BD13" i="1" s="1"/>
  <c r="BD14" i="1" s="1"/>
  <c r="BC12" i="1"/>
  <c r="BC13" i="1" s="1"/>
  <c r="BC14" i="1" s="1"/>
  <c r="BB12" i="1"/>
  <c r="BB13" i="1" s="1"/>
  <c r="BB14" i="1" s="1"/>
  <c r="BA12" i="1"/>
  <c r="BA13" i="1" s="1"/>
  <c r="BA14" i="1" s="1"/>
  <c r="AZ12" i="1"/>
  <c r="AZ13" i="1" s="1"/>
  <c r="AZ14" i="1" s="1"/>
  <c r="AY12" i="1"/>
  <c r="AY13" i="1" s="1"/>
  <c r="AY14" i="1" s="1"/>
  <c r="AX12" i="1"/>
  <c r="AX13" i="1" s="1"/>
  <c r="AX14" i="1" s="1"/>
  <c r="AW12" i="1"/>
  <c r="AW13" i="1" s="1"/>
  <c r="AW14" i="1" s="1"/>
  <c r="AV12" i="1"/>
  <c r="AV13" i="1" s="1"/>
  <c r="AV14" i="1" s="1"/>
  <c r="AU12" i="1"/>
  <c r="AU13" i="1" s="1"/>
  <c r="AU14" i="1" s="1"/>
  <c r="AT12" i="1"/>
  <c r="AT13" i="1" s="1"/>
  <c r="AT14" i="1" s="1"/>
  <c r="AS12" i="1"/>
  <c r="AS13" i="1" s="1"/>
  <c r="AS14" i="1" s="1"/>
  <c r="AR12" i="1"/>
  <c r="AR13" i="1" s="1"/>
  <c r="AR14" i="1" s="1"/>
  <c r="AQ12" i="1"/>
  <c r="AQ13" i="1" s="1"/>
  <c r="AQ14" i="1" s="1"/>
  <c r="AP12" i="1"/>
  <c r="AP13" i="1" s="1"/>
  <c r="AP14" i="1" s="1"/>
  <c r="AO12" i="1"/>
  <c r="AO13" i="1" s="1"/>
  <c r="AO14" i="1" s="1"/>
  <c r="AN12" i="1"/>
  <c r="AN13" i="1" s="1"/>
  <c r="AN14" i="1" s="1"/>
  <c r="AM12" i="1"/>
  <c r="AM13" i="1" s="1"/>
  <c r="AM14" i="1" s="1"/>
  <c r="AL12" i="1"/>
  <c r="AL13" i="1" s="1"/>
  <c r="AL14" i="1" s="1"/>
  <c r="AK12" i="1"/>
  <c r="AK13" i="1" s="1"/>
  <c r="AK14" i="1" s="1"/>
  <c r="AJ12" i="1"/>
  <c r="AJ13" i="1" s="1"/>
  <c r="AJ14" i="1" s="1"/>
  <c r="AI12" i="1"/>
  <c r="AI13" i="1" s="1"/>
  <c r="AI14" i="1" s="1"/>
  <c r="AH12" i="1"/>
  <c r="AG12" i="1"/>
  <c r="AG13" i="1" s="1"/>
  <c r="AG14" i="1" s="1"/>
  <c r="AF12" i="1"/>
  <c r="AF13" i="1" s="1"/>
  <c r="AF14" i="1" s="1"/>
  <c r="AE12" i="1"/>
  <c r="AE13" i="1" s="1"/>
  <c r="AE14" i="1" s="1"/>
  <c r="AD12" i="1"/>
  <c r="AD13" i="1" s="1"/>
  <c r="AD14" i="1" s="1"/>
  <c r="AC12" i="1"/>
  <c r="AC13" i="1" s="1"/>
  <c r="AC14" i="1" s="1"/>
  <c r="AB12" i="1"/>
  <c r="AB13" i="1" s="1"/>
  <c r="AB14" i="1" s="1"/>
  <c r="AA12" i="1"/>
  <c r="AA13" i="1" s="1"/>
  <c r="AA14" i="1" s="1"/>
  <c r="Z12" i="1"/>
  <c r="Z13" i="1" s="1"/>
  <c r="Z14" i="1" s="1"/>
  <c r="Y12" i="1"/>
  <c r="Y13" i="1" s="1"/>
  <c r="Y14" i="1" s="1"/>
  <c r="X12" i="1"/>
  <c r="X13" i="1" s="1"/>
  <c r="X14" i="1" s="1"/>
  <c r="W12" i="1"/>
  <c r="W13" i="1" s="1"/>
  <c r="W14" i="1" s="1"/>
  <c r="V12" i="1"/>
  <c r="V13" i="1" s="1"/>
  <c r="V14" i="1" s="1"/>
  <c r="U12" i="1"/>
  <c r="U13" i="1" s="1"/>
  <c r="U14" i="1" s="1"/>
  <c r="T12" i="1"/>
  <c r="T13" i="1" s="1"/>
  <c r="T14" i="1" s="1"/>
  <c r="S12" i="1"/>
  <c r="S13" i="1" s="1"/>
  <c r="S14" i="1" s="1"/>
  <c r="R12" i="1"/>
  <c r="R13" i="1" s="1"/>
  <c r="R14" i="1" s="1"/>
  <c r="Q12" i="1"/>
  <c r="Q13" i="1" s="1"/>
  <c r="Q14" i="1" s="1"/>
  <c r="P12" i="1"/>
  <c r="P13" i="1" s="1"/>
  <c r="P14" i="1" s="1"/>
  <c r="O12" i="1"/>
  <c r="O13" i="1" s="1"/>
  <c r="O14" i="1" s="1"/>
  <c r="N12" i="1"/>
  <c r="N13" i="1" s="1"/>
  <c r="N14" i="1" s="1"/>
  <c r="M12" i="1"/>
  <c r="M13" i="1" s="1"/>
  <c r="M14" i="1" s="1"/>
  <c r="L12" i="1"/>
  <c r="L13" i="1" s="1"/>
  <c r="L14" i="1" s="1"/>
  <c r="K12" i="1"/>
  <c r="K13" i="1" s="1"/>
  <c r="K14" i="1" s="1"/>
  <c r="J12" i="1"/>
  <c r="J13" i="1" s="1"/>
  <c r="J14" i="1" s="1"/>
  <c r="I12" i="1"/>
  <c r="I13" i="1" s="1"/>
  <c r="I14" i="1" s="1"/>
  <c r="H12" i="1"/>
  <c r="H13" i="1" s="1"/>
  <c r="H14" i="1" s="1"/>
  <c r="G12" i="1"/>
  <c r="G13" i="1" s="1"/>
  <c r="G14" i="1" s="1"/>
  <c r="F12" i="1"/>
  <c r="F13" i="1" s="1"/>
  <c r="F14" i="1" s="1"/>
  <c r="E12" i="1"/>
  <c r="E13" i="1" s="1"/>
  <c r="E14" i="1" s="1"/>
  <c r="D12" i="1"/>
  <c r="D13" i="1" s="1"/>
  <c r="D14" i="1" s="1"/>
  <c r="C12" i="1"/>
  <c r="C13" i="1" s="1"/>
  <c r="C14" i="1" s="1"/>
  <c r="B12" i="1"/>
  <c r="B13" i="1" s="1"/>
  <c r="B14" i="1" s="1"/>
  <c r="X91" i="1" l="1"/>
  <c r="AF91" i="1"/>
  <c r="AF97" i="1" s="1"/>
  <c r="BL91" i="1"/>
  <c r="G32" i="1"/>
  <c r="G43" i="1" s="1"/>
  <c r="O32" i="1"/>
  <c r="O43" i="1" s="1"/>
  <c r="O48" i="1" s="1"/>
  <c r="W32" i="1"/>
  <c r="W43" i="1" s="1"/>
  <c r="W48" i="1" s="1"/>
  <c r="N67" i="1"/>
  <c r="AD67" i="1"/>
  <c r="AL67" i="1"/>
  <c r="BB67" i="1"/>
  <c r="BZ67" i="1"/>
  <c r="Z32" i="1"/>
  <c r="Z43" i="1" s="1"/>
  <c r="I67" i="1"/>
  <c r="I97" i="1" s="1"/>
  <c r="Q67" i="1"/>
  <c r="Y67" i="1"/>
  <c r="AG67" i="1"/>
  <c r="AO67" i="1"/>
  <c r="AW67" i="1"/>
  <c r="BE67" i="1"/>
  <c r="BM67" i="1"/>
  <c r="BU67" i="1"/>
  <c r="BU97" i="1" s="1"/>
  <c r="F57" i="1"/>
  <c r="N57" i="1"/>
  <c r="V57" i="1"/>
  <c r="AD57" i="1"/>
  <c r="AL57" i="1"/>
  <c r="AT57" i="1"/>
  <c r="BB57" i="1"/>
  <c r="BJ57" i="1"/>
  <c r="BR57" i="1"/>
  <c r="BZ57" i="1"/>
  <c r="B67" i="1"/>
  <c r="J67" i="1"/>
  <c r="R67" i="1"/>
  <c r="Z67" i="1"/>
  <c r="AH67" i="1"/>
  <c r="AP67" i="1"/>
  <c r="AX67" i="1"/>
  <c r="BF67" i="1"/>
  <c r="BN67" i="1"/>
  <c r="BN97" i="1" s="1"/>
  <c r="BV67" i="1"/>
  <c r="BV97" i="1" s="1"/>
  <c r="G48" i="1"/>
  <c r="BH32" i="1"/>
  <c r="BX32" i="1"/>
  <c r="BX43" i="1" s="1"/>
  <c r="BX48" i="1" s="1"/>
  <c r="G91" i="1"/>
  <c r="O91" i="1"/>
  <c r="W91" i="1"/>
  <c r="AE91" i="1"/>
  <c r="AE97" i="1" s="1"/>
  <c r="AM91" i="1"/>
  <c r="AM97" i="1" s="1"/>
  <c r="AU91" i="1"/>
  <c r="BC91" i="1"/>
  <c r="BK91" i="1"/>
  <c r="BS91" i="1"/>
  <c r="CA91" i="1"/>
  <c r="AQ67" i="1"/>
  <c r="AQ97" i="1" s="1"/>
  <c r="AY67" i="1"/>
  <c r="BW67" i="1"/>
  <c r="E57" i="1"/>
  <c r="M57" i="1"/>
  <c r="U57" i="1"/>
  <c r="AC57" i="1"/>
  <c r="AK57" i="1"/>
  <c r="AS57" i="1"/>
  <c r="BA57" i="1"/>
  <c r="BI57" i="1"/>
  <c r="BQ57" i="1"/>
  <c r="BY57" i="1"/>
  <c r="H57" i="1"/>
  <c r="X57" i="1"/>
  <c r="AN57" i="1"/>
  <c r="AV57" i="1"/>
  <c r="BD57" i="1"/>
  <c r="BD97" i="1" s="1"/>
  <c r="BT57" i="1"/>
  <c r="BT97" i="1" s="1"/>
  <c r="BD91" i="1"/>
  <c r="BB43" i="1"/>
  <c r="BB48" i="1" s="1"/>
  <c r="F43" i="1"/>
  <c r="F48" i="1" s="1"/>
  <c r="N43" i="1"/>
  <c r="N48" i="1" s="1"/>
  <c r="V43" i="1"/>
  <c r="V48" i="1" s="1"/>
  <c r="AD43" i="1"/>
  <c r="AT43" i="1"/>
  <c r="BJ43" i="1"/>
  <c r="BR43" i="1"/>
  <c r="BR48" i="1" s="1"/>
  <c r="BZ43" i="1"/>
  <c r="BZ48" i="1" s="1"/>
  <c r="B32" i="1"/>
  <c r="B43" i="1" s="1"/>
  <c r="B48" i="1" s="1"/>
  <c r="J32" i="1"/>
  <c r="J43" i="1" s="1"/>
  <c r="J48" i="1" s="1"/>
  <c r="R32" i="1"/>
  <c r="R43" i="1" s="1"/>
  <c r="R48" i="1" s="1"/>
  <c r="E91" i="1"/>
  <c r="M91" i="1"/>
  <c r="U91" i="1"/>
  <c r="AC91" i="1"/>
  <c r="AK91" i="1"/>
  <c r="AS91" i="1"/>
  <c r="BA91" i="1"/>
  <c r="BI91" i="1"/>
  <c r="BQ91" i="1"/>
  <c r="BY91" i="1"/>
  <c r="AL43" i="1"/>
  <c r="AL48" i="1" s="1"/>
  <c r="I32" i="1"/>
  <c r="I43" i="1" s="1"/>
  <c r="I48" i="1" s="1"/>
  <c r="Q32" i="1"/>
  <c r="Q43" i="1" s="1"/>
  <c r="Q48" i="1" s="1"/>
  <c r="Y32" i="1"/>
  <c r="Y43" i="1" s="1"/>
  <c r="Y48" i="1" s="1"/>
  <c r="AG32" i="1"/>
  <c r="AG43" i="1" s="1"/>
  <c r="AG48" i="1" s="1"/>
  <c r="AO32" i="1"/>
  <c r="AO43" i="1" s="1"/>
  <c r="AO48" i="1" s="1"/>
  <c r="AW32" i="1"/>
  <c r="AW43" i="1" s="1"/>
  <c r="BE32" i="1"/>
  <c r="BE43" i="1" s="1"/>
  <c r="BE48" i="1" s="1"/>
  <c r="BM32" i="1"/>
  <c r="BM43" i="1" s="1"/>
  <c r="BM48" i="1" s="1"/>
  <c r="BU32" i="1"/>
  <c r="BU43" i="1" s="1"/>
  <c r="BU48" i="1" s="1"/>
  <c r="AI32" i="1"/>
  <c r="AI43" i="1" s="1"/>
  <c r="AI48" i="1" s="1"/>
  <c r="G57" i="1"/>
  <c r="G97" i="1" s="1"/>
  <c r="O57" i="1"/>
  <c r="O97" i="1" s="1"/>
  <c r="W57" i="1"/>
  <c r="AE57" i="1"/>
  <c r="AM57" i="1"/>
  <c r="AU57" i="1"/>
  <c r="AU97" i="1" s="1"/>
  <c r="BC57" i="1"/>
  <c r="BC97" i="1" s="1"/>
  <c r="BK57" i="1"/>
  <c r="BK97" i="1" s="1"/>
  <c r="BS57" i="1"/>
  <c r="BS97" i="1" s="1"/>
  <c r="CA57" i="1"/>
  <c r="CA97" i="1" s="1"/>
  <c r="F67" i="1"/>
  <c r="V67" i="1"/>
  <c r="AT67" i="1"/>
  <c r="BJ67" i="1"/>
  <c r="BR67" i="1"/>
  <c r="H91" i="1"/>
  <c r="P91" i="1"/>
  <c r="P97" i="1" s="1"/>
  <c r="AN91" i="1"/>
  <c r="AV91" i="1"/>
  <c r="BT91" i="1"/>
  <c r="H48" i="1"/>
  <c r="P48" i="1"/>
  <c r="E67" i="1"/>
  <c r="E97" i="1" s="1"/>
  <c r="M67" i="1"/>
  <c r="M97" i="1" s="1"/>
  <c r="U67" i="1"/>
  <c r="AC67" i="1"/>
  <c r="AK67" i="1"/>
  <c r="AS67" i="1"/>
  <c r="BA67" i="1"/>
  <c r="BI67" i="1"/>
  <c r="BQ67" i="1"/>
  <c r="BQ97" i="1" s="1"/>
  <c r="BY67" i="1"/>
  <c r="BY97" i="1" s="1"/>
  <c r="I91" i="1"/>
  <c r="Q91" i="1"/>
  <c r="Q97" i="1" s="1"/>
  <c r="Y91" i="1"/>
  <c r="AG91" i="1"/>
  <c r="AO91" i="1"/>
  <c r="AO97" i="1" s="1"/>
  <c r="AW91" i="1"/>
  <c r="AW97" i="1" s="1"/>
  <c r="BE91" i="1"/>
  <c r="BE97" i="1" s="1"/>
  <c r="BM91" i="1"/>
  <c r="BM97" i="1" s="1"/>
  <c r="BU91" i="1"/>
  <c r="C32" i="1"/>
  <c r="C43" i="1" s="1"/>
  <c r="C48" i="1" s="1"/>
  <c r="K32" i="1"/>
  <c r="K43" i="1" s="1"/>
  <c r="K48" i="1" s="1"/>
  <c r="S32" i="1"/>
  <c r="S43" i="1" s="1"/>
  <c r="S48" i="1" s="1"/>
  <c r="AA32" i="1"/>
  <c r="AA43" i="1" s="1"/>
  <c r="AA48" i="1" s="1"/>
  <c r="E32" i="1"/>
  <c r="E43" i="1" s="1"/>
  <c r="E48" i="1" s="1"/>
  <c r="M32" i="1"/>
  <c r="M43" i="1" s="1"/>
  <c r="M48" i="1" s="1"/>
  <c r="U32" i="1"/>
  <c r="U43" i="1" s="1"/>
  <c r="U48" i="1" s="1"/>
  <c r="AC32" i="1"/>
  <c r="AC43" i="1" s="1"/>
  <c r="AC48" i="1" s="1"/>
  <c r="Y97" i="1"/>
  <c r="B91" i="1"/>
  <c r="J91" i="1"/>
  <c r="J97" i="1" s="1"/>
  <c r="R91" i="1"/>
  <c r="R97" i="1" s="1"/>
  <c r="Z91" i="1"/>
  <c r="AH91" i="1"/>
  <c r="AP91" i="1"/>
  <c r="AX91" i="1"/>
  <c r="AX97" i="1" s="1"/>
  <c r="BF91" i="1"/>
  <c r="BN91" i="1"/>
  <c r="BV91" i="1"/>
  <c r="AV97" i="1"/>
  <c r="AW48" i="1"/>
  <c r="Z48" i="1"/>
  <c r="D32" i="1"/>
  <c r="D43" i="1" s="1"/>
  <c r="D48" i="1" s="1"/>
  <c r="L32" i="1"/>
  <c r="L43" i="1" s="1"/>
  <c r="L48" i="1" s="1"/>
  <c r="T32" i="1"/>
  <c r="T43" i="1" s="1"/>
  <c r="T48" i="1" s="1"/>
  <c r="AB32" i="1"/>
  <c r="AB43" i="1" s="1"/>
  <c r="AB48" i="1" s="1"/>
  <c r="AJ32" i="1"/>
  <c r="AJ43" i="1" s="1"/>
  <c r="AJ48" i="1" s="1"/>
  <c r="AR32" i="1"/>
  <c r="AR43" i="1" s="1"/>
  <c r="AR48" i="1" s="1"/>
  <c r="AZ32" i="1"/>
  <c r="AZ43" i="1" s="1"/>
  <c r="AZ48" i="1" s="1"/>
  <c r="BP32" i="1"/>
  <c r="BP43" i="1" s="1"/>
  <c r="BP48" i="1" s="1"/>
  <c r="C91" i="1"/>
  <c r="C97" i="1" s="1"/>
  <c r="K91" i="1"/>
  <c r="K97" i="1" s="1"/>
  <c r="S91" i="1"/>
  <c r="S97" i="1" s="1"/>
  <c r="AA91" i="1"/>
  <c r="AA97" i="1" s="1"/>
  <c r="AI91" i="1"/>
  <c r="AI97" i="1" s="1"/>
  <c r="AQ91" i="1"/>
  <c r="AY91" i="1"/>
  <c r="BG91" i="1"/>
  <c r="BG97" i="1" s="1"/>
  <c r="BO91" i="1"/>
  <c r="BO97" i="1" s="1"/>
  <c r="BW91" i="1"/>
  <c r="AD48" i="1"/>
  <c r="AT48" i="1"/>
  <c r="BJ48" i="1"/>
  <c r="AH32" i="1"/>
  <c r="AH43" i="1" s="1"/>
  <c r="AH48" i="1" s="1"/>
  <c r="AP32" i="1"/>
  <c r="AP43" i="1" s="1"/>
  <c r="AP48" i="1" s="1"/>
  <c r="AX32" i="1"/>
  <c r="AX43" i="1" s="1"/>
  <c r="AX48" i="1" s="1"/>
  <c r="BF32" i="1"/>
  <c r="BF43" i="1" s="1"/>
  <c r="BF48" i="1" s="1"/>
  <c r="BN32" i="1"/>
  <c r="BN43" i="1" s="1"/>
  <c r="BN48" i="1" s="1"/>
  <c r="BV32" i="1"/>
  <c r="BV43" i="1" s="1"/>
  <c r="BV48" i="1" s="1"/>
  <c r="BW32" i="1"/>
  <c r="BW43" i="1" s="1"/>
  <c r="BW48" i="1" s="1"/>
  <c r="BH43" i="1"/>
  <c r="BH48" i="1" s="1"/>
  <c r="BO32" i="1"/>
  <c r="BO43" i="1" s="1"/>
  <c r="BO48" i="1" s="1"/>
  <c r="AK32" i="1"/>
  <c r="AK43" i="1" s="1"/>
  <c r="AK48" i="1" s="1"/>
  <c r="AS32" i="1"/>
  <c r="AS43" i="1" s="1"/>
  <c r="AS48" i="1" s="1"/>
  <c r="BA32" i="1"/>
  <c r="BA43" i="1" s="1"/>
  <c r="BA48" i="1" s="1"/>
  <c r="BI32" i="1"/>
  <c r="BI43" i="1" s="1"/>
  <c r="BI48" i="1" s="1"/>
  <c r="BQ32" i="1"/>
  <c r="BQ43" i="1" s="1"/>
  <c r="BQ48" i="1" s="1"/>
  <c r="BY32" i="1"/>
  <c r="BY43" i="1" s="1"/>
  <c r="BY48" i="1" s="1"/>
  <c r="BL97" i="1"/>
  <c r="D67" i="1"/>
  <c r="L67" i="1"/>
  <c r="T67" i="1"/>
  <c r="AB67" i="1"/>
  <c r="AJ67" i="1"/>
  <c r="AR67" i="1"/>
  <c r="AZ67" i="1"/>
  <c r="BH67" i="1"/>
  <c r="BP67" i="1"/>
  <c r="BX67" i="1"/>
  <c r="AY32" i="1"/>
  <c r="AY43" i="1" s="1"/>
  <c r="AY48" i="1" s="1"/>
  <c r="D91" i="1"/>
  <c r="L91" i="1"/>
  <c r="T91" i="1"/>
  <c r="AB91" i="1"/>
  <c r="AJ91" i="1"/>
  <c r="AR91" i="1"/>
  <c r="AZ91" i="1"/>
  <c r="BH91" i="1"/>
  <c r="BP91" i="1"/>
  <c r="BX91" i="1"/>
  <c r="AQ32" i="1"/>
  <c r="AQ43" i="1" s="1"/>
  <c r="AQ48" i="1" s="1"/>
  <c r="AM32" i="1"/>
  <c r="AM43" i="1" s="1"/>
  <c r="AM48" i="1" s="1"/>
  <c r="BC32" i="1"/>
  <c r="BC43" i="1" s="1"/>
  <c r="BC48" i="1" s="1"/>
  <c r="BS32" i="1"/>
  <c r="BS43" i="1" s="1"/>
  <c r="BS48" i="1" s="1"/>
  <c r="CA32" i="1"/>
  <c r="CA43" i="1" s="1"/>
  <c r="CA48" i="1" s="1"/>
  <c r="Z97" i="1"/>
  <c r="BG32" i="1"/>
  <c r="BG43" i="1" s="1"/>
  <c r="BG48" i="1" s="1"/>
  <c r="AE32" i="1"/>
  <c r="AE43" i="1" s="1"/>
  <c r="AE48" i="1" s="1"/>
  <c r="AU32" i="1"/>
  <c r="AU43" i="1" s="1"/>
  <c r="AU48" i="1" s="1"/>
  <c r="BK32" i="1"/>
  <c r="BK43" i="1" s="1"/>
  <c r="BK48" i="1" s="1"/>
  <c r="X32" i="1"/>
  <c r="X43" i="1" s="1"/>
  <c r="X48" i="1" s="1"/>
  <c r="AF32" i="1"/>
  <c r="AF43" i="1" s="1"/>
  <c r="AF48" i="1" s="1"/>
  <c r="AN32" i="1"/>
  <c r="AN43" i="1" s="1"/>
  <c r="AN48" i="1" s="1"/>
  <c r="AV32" i="1"/>
  <c r="AV43" i="1" s="1"/>
  <c r="AV48" i="1" s="1"/>
  <c r="BD32" i="1"/>
  <c r="BD43" i="1" s="1"/>
  <c r="BD48" i="1" s="1"/>
  <c r="BL32" i="1"/>
  <c r="BL43" i="1" s="1"/>
  <c r="BL48" i="1" s="1"/>
  <c r="BT32" i="1"/>
  <c r="BT43" i="1" s="1"/>
  <c r="BT48" i="1" s="1"/>
  <c r="F91" i="1"/>
  <c r="N91" i="1"/>
  <c r="V91" i="1"/>
  <c r="AD91" i="1"/>
  <c r="AL91" i="1"/>
  <c r="AL97" i="1" s="1"/>
  <c r="AT91" i="1"/>
  <c r="BB91" i="1"/>
  <c r="BB97" i="1" s="1"/>
  <c r="BJ91" i="1"/>
  <c r="BJ97" i="1" s="1"/>
  <c r="BR91" i="1"/>
  <c r="BR97" i="1" s="1"/>
  <c r="BZ91" i="1"/>
  <c r="B97" i="1" l="1"/>
  <c r="AS97" i="1"/>
  <c r="BW97" i="1"/>
  <c r="BF97" i="1"/>
  <c r="BI97" i="1"/>
  <c r="X97" i="1"/>
  <c r="AD97" i="1"/>
  <c r="AJ97" i="1"/>
  <c r="AP97" i="1"/>
  <c r="AG97" i="1"/>
  <c r="V97" i="1"/>
  <c r="AY97" i="1"/>
  <c r="AH97" i="1"/>
  <c r="BA97" i="1"/>
  <c r="BZ97" i="1"/>
  <c r="N97" i="1"/>
  <c r="W97" i="1"/>
  <c r="AT97" i="1"/>
  <c r="AK97" i="1"/>
  <c r="BP97" i="1"/>
  <c r="D97" i="1"/>
  <c r="AC97" i="1"/>
  <c r="U97" i="1"/>
  <c r="AN97" i="1"/>
  <c r="AZ97" i="1"/>
  <c r="AR97" i="1"/>
  <c r="H97" i="1"/>
  <c r="F97" i="1"/>
  <c r="BX97" i="1"/>
  <c r="L97" i="1"/>
  <c r="BH97" i="1"/>
  <c r="AB97" i="1"/>
  <c r="T97" i="1"/>
</calcChain>
</file>

<file path=xl/sharedStrings.xml><?xml version="1.0" encoding="utf-8"?>
<sst xmlns="http://schemas.openxmlformats.org/spreadsheetml/2006/main" count="246" uniqueCount="168">
  <si>
    <t>Firma : PROMATIS AG</t>
  </si>
  <si>
    <t>PG Balance Sheet by Entity and Month/Quarter/Year</t>
  </si>
  <si>
    <t>End of Dez 2023</t>
  </si>
  <si>
    <t> 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</si>
  <si>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</si>
  <si>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</si>
  <si>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</si>
  <si>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</si>
  <si>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</si>
  <si>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</si>
  <si>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</si>
  <si>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</si>
  <si>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</si>
  <si>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</si>
  <si>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</si>
  <si>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</si>
  <si>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</si>
  <si>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</si>
  <si>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</si>
  <si>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</si>
  <si>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</si>
  <si>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</si>
  <si>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</si>
  <si>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</si>
  <si>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</si>
  <si>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</si>
  <si>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</si>
  <si>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</si>
  <si>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</si>
  <si>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</si>
  <si>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</si>
  <si>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</si>
  <si>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</si>
  <si>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</si>
  <si>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</si>
  <si>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</si>
  <si>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</si>
  <si>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</si>
  <si>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</si>
  <si>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</si>
  <si>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</si>
  <si>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</si>
  <si>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</si>
  <si>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</si>
  <si>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</si>
  <si>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</si>
  <si>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</si>
  <si>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</si>
  <si>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</si>
  <si>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</si>
  <si>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</si>
  <si>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</si>
  <si>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</si>
  <si>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</si>
  <si>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</si>
  <si>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</si>
  <si>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</si>
  <si>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</si>
  <si>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</si>
  <si>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</si>
  <si>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</si>
  <si>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</si>
  <si>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</si>
  <si>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</si>
  <si>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</si>
  <si>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</si>
  <si>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</si>
  <si>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</si>
  <si>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</si>
  <si>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</si>
  <si>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</si>
  <si>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</si>
  <si>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</si>
  <si>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</si>
  <si>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</si>
  <si>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</si>
  <si>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</si>
  <si>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</si>
  <si>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</si>
  <si>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Mrz 2023</t>
  </si>
  <si>
    <t>Apr 2023</t>
  </si>
  <si>
    <t>Mai 2023</t>
  </si>
  <si>
    <t>As of Dez 2023</t>
  </si>
  <si>
    <t>ASSETS</t>
  </si>
  <si>
    <t>A. Fixed assets</t>
  </si>
  <si>
    <t>II. Tangible assets</t>
  </si>
  <si>
    <t>3. Other equipment, operating and office equipment</t>
  </si>
  <si>
    <t>063000 - Operating equipment</t>
  </si>
  <si>
    <t>063500 - Office equipment</t>
  </si>
  <si>
    <t>Total Other equipment, operating and office equipment</t>
  </si>
  <si>
    <t>Total Tangible assets</t>
  </si>
  <si>
    <t>Total Fixed assets</t>
  </si>
  <si>
    <t>B. Current assets</t>
  </si>
  <si>
    <t>II. Trade receivables and other receivables</t>
  </si>
  <si>
    <t>1. Trade receivables</t>
  </si>
  <si>
    <t>120100 - Trade receivables</t>
  </si>
  <si>
    <t>124800 - Global valuation allowance on receivables due within 1 year</t>
  </si>
  <si>
    <t>Total Trade receivables</t>
  </si>
  <si>
    <t>2. Receivables from affiliated companies</t>
  </si>
  <si>
    <t>126000 - Receivables from affiliated companies</t>
  </si>
  <si>
    <t>Total Receivables from affiliated companies</t>
  </si>
  <si>
    <t>6. Other receivables and other assets</t>
  </si>
  <si>
    <t>135000 - Security deposits</t>
  </si>
  <si>
    <t>138200 - Assets to settle obligations comp. to post-employ. benefits</t>
  </si>
  <si>
    <t>138300 - Assets for offset. with obligatoins under s. 246(2) HGB</t>
  </si>
  <si>
    <t>145600 - Receivables from tax authorities</t>
  </si>
  <si>
    <t>145700 - Receivables from Bundesagentur für Arbeit</t>
  </si>
  <si>
    <t>Total Other receivables and other assets</t>
  </si>
  <si>
    <t>Total Trade receivables and other receivables</t>
  </si>
  <si>
    <t>III. Securities</t>
  </si>
  <si>
    <t>2. Other securities</t>
  </si>
  <si>
    <t>152500 - Other securities subject to immaterial changes in value</t>
  </si>
  <si>
    <t>Total Other securities</t>
  </si>
  <si>
    <t>Total Securities</t>
  </si>
  <si>
    <t>IV. Cash-in-hand, central / bank balances and cheques</t>
  </si>
  <si>
    <t>Bank</t>
  </si>
  <si>
    <t>180091 - ZKB 1100-6026.364 - PROMATIS CH</t>
  </si>
  <si>
    <t>Gesamt Bank</t>
  </si>
  <si>
    <t>Total Cash-in-hand, central / bank balances and cheques</t>
  </si>
  <si>
    <t>Total Current assets</t>
  </si>
  <si>
    <t>C. Prepaid expenses</t>
  </si>
  <si>
    <t>190000 - Prepaid expenses</t>
  </si>
  <si>
    <t>Total Prepaid expenses</t>
  </si>
  <si>
    <t>TOTAL ASSETS</t>
  </si>
  <si>
    <t>EQUITY &amp; LIABILITIES</t>
  </si>
  <si>
    <t>A. Equity</t>
  </si>
  <si>
    <t>I. Issued capital</t>
  </si>
  <si>
    <t>290000 - Subscribed capital</t>
  </si>
  <si>
    <t>Total Issued capital</t>
  </si>
  <si>
    <t>IV. Profit Brought Forward</t>
  </si>
  <si>
    <t>VI. Net profit/loss for the year</t>
  </si>
  <si>
    <t>Total Equity</t>
  </si>
  <si>
    <t>B. Provisions</t>
  </si>
  <si>
    <t>2. Provision for taxes</t>
  </si>
  <si>
    <t>302000 - Provisions for taxes</t>
  </si>
  <si>
    <t>304000 - Provision for corporate income tax</t>
  </si>
  <si>
    <t>Total Provision for taxes</t>
  </si>
  <si>
    <t>3. Other provisions</t>
  </si>
  <si>
    <t>307000 - Other provisions</t>
  </si>
  <si>
    <t>Total Other provisions</t>
  </si>
  <si>
    <t>Total Provisions</t>
  </si>
  <si>
    <t>C. Liabilities</t>
  </si>
  <si>
    <t>3. Payments received on account of purchase orders</t>
  </si>
  <si>
    <t>325000 - Payments received on account of orders (liabilities)</t>
  </si>
  <si>
    <t>Total Payments received on account of purchase orders</t>
  </si>
  <si>
    <t>4. Trade payables</t>
  </si>
  <si>
    <t>330000 - Trade payables</t>
  </si>
  <si>
    <t>330100 - Trade payables starting with 2016</t>
  </si>
  <si>
    <t>Total Trade payables</t>
  </si>
  <si>
    <t>6. Liabilities to affiliated companies</t>
  </si>
  <si>
    <t>340101 - Liabilities ag. PROMATIS software GmbH</t>
  </si>
  <si>
    <t>Total Liabilities to affiliated companies</t>
  </si>
  <si>
    <t>8. Other liabilities</t>
  </si>
  <si>
    <t>140600 - VAT on Purchases</t>
  </si>
  <si>
    <t>146000 - Cash in Transit</t>
  </si>
  <si>
    <t>361000 - Credit card settlements</t>
  </si>
  <si>
    <t>370000 - Liabilities from taxes and levies</t>
  </si>
  <si>
    <t>370100 - Liabilities from taxes and levies - due within 1 year</t>
  </si>
  <si>
    <t>372000 - Payroll liabilities</t>
  </si>
  <si>
    <t>380600 - VAT - standard rate</t>
  </si>
  <si>
    <t>382000 - VAT prepayments</t>
  </si>
  <si>
    <t>383200 - Back taxes, VAT return line 65</t>
  </si>
  <si>
    <t>Total Other liabilities</t>
  </si>
  <si>
    <t>Total Liabilities</t>
  </si>
  <si>
    <t>D. Deferred income</t>
  </si>
  <si>
    <t>390000 - Deferred Income - manual booking</t>
  </si>
  <si>
    <t>Total Deferred income</t>
  </si>
  <si>
    <t>TOTAL EQUITY &amp;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</si>
</sst>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SFr.&quot;#,##0.00"/>
  </numFmts>
  <fonts count="26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10"/>
      <color indexed="16"/>
      <name val="Arial"/>
    </font>
    <font>
      <b/>
      <sz val="8"/>
      <color indexed="8"/>
      <name val="Arial"/>
    </font>
    <font>
      <b/>
      <sz val="9"/>
      <color indexed="56"/>
      <name val="Arial"/>
    </font>
    <font>
      <sz val="8"/>
      <color indexed="8"/>
      <name val="Arial"/>
    </font>
    <font>
      <b/>
      <sz val="9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800000"/>
      </bottom>
      <diagonal/>
    </border>
    <border>
      <left/>
      <right/>
      <top style="dotted">
        <color rgb="FF969696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double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10" xfId="0" applyFont="1" applyBorder="1" applyAlignment="1">
      <alignment horizontal="left" vertical="center"/>
    </xf>
    <xf numFmtId="168" fontId="21" fillId="0" borderId="10" xfId="0" applyNumberFormat="1" applyFont="1" applyBorder="1" applyAlignment="1">
      <alignment horizontal="right" vertical="center"/>
    </xf>
    <xf numFmtId="0" fontId="23" fillId="0" borderId="0" xfId="0" applyFont="1" applyBorder="1" applyAlignment="1">
      <alignment horizontal="left" indent="1"/>
    </xf>
    <xf numFmtId="168" fontId="23" fillId="0" borderId="0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indent="2"/>
    </xf>
    <xf numFmtId="168" fontId="22" fillId="0" borderId="0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indent="3"/>
    </xf>
    <xf numFmtId="0" fontId="24" fillId="0" borderId="0" xfId="0" applyFont="1" applyBorder="1" applyAlignment="1">
      <alignment horizontal="left" indent="4"/>
    </xf>
    <xf numFmtId="4" fontId="24" fillId="0" borderId="0" xfId="0" applyNumberFormat="1" applyFont="1" applyBorder="1" applyAlignment="1">
      <alignment horizontal="right" vertical="center"/>
    </xf>
    <xf numFmtId="0" fontId="22" fillId="0" borderId="11" xfId="0" applyFont="1" applyBorder="1" applyAlignment="1">
      <alignment horizontal="left" indent="3"/>
    </xf>
    <xf numFmtId="4" fontId="22" fillId="0" borderId="11" xfId="0" applyNumberFormat="1" applyFont="1" applyBorder="1" applyAlignment="1">
      <alignment horizontal="right" vertical="center"/>
    </xf>
    <xf numFmtId="0" fontId="22" fillId="0" borderId="11" xfId="0" applyFont="1" applyBorder="1" applyAlignment="1">
      <alignment horizontal="left" indent="2"/>
    </xf>
    <xf numFmtId="168" fontId="22" fillId="0" borderId="11" xfId="0" applyNumberFormat="1" applyFont="1" applyBorder="1" applyAlignment="1">
      <alignment horizontal="right" vertical="center"/>
    </xf>
    <xf numFmtId="0" fontId="22" fillId="0" borderId="12" xfId="0" applyFont="1" applyBorder="1" applyAlignment="1">
      <alignment horizontal="left" indent="1"/>
    </xf>
    <xf numFmtId="168" fontId="22" fillId="0" borderId="12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indent="1"/>
    </xf>
    <xf numFmtId="168" fontId="24" fillId="0" borderId="0" xfId="0" applyNumberFormat="1" applyFont="1" applyBorder="1" applyAlignment="1">
      <alignment horizontal="right" vertical="center"/>
    </xf>
    <xf numFmtId="0" fontId="24" fillId="0" borderId="0" xfId="0" applyFont="1" applyBorder="1" applyAlignment="1">
      <alignment horizontal="left" indent="2"/>
    </xf>
    <xf numFmtId="0" fontId="22" fillId="0" borderId="11" xfId="0" applyFont="1" applyBorder="1" applyAlignment="1">
      <alignment horizontal="left" indent="1"/>
    </xf>
    <xf numFmtId="0" fontId="25" fillId="0" borderId="13" xfId="0" applyFont="1" applyBorder="1" applyAlignment="1">
      <alignment horizontal="left" vertical="center"/>
    </xf>
    <xf numFmtId="168" fontId="25" fillId="0" borderId="13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vertical="center"/>
    </xf>
    <xf numFmtId="0" fontId="24" fillId="0" borderId="0" xfId="0" applyFont="1" applyBorder="1" applyAlignment="1">
      <alignment horizontal="left" indent="3"/>
    </xf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97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RowHeight="11.25" x14ac:dyDescent="0.2"/>
  <cols>
    <col min="1" max="1" width="64.83203125" bestFit="1" customWidth="1"/>
    <col min="2" max="26" width="15.1640625" bestFit="1" customWidth="1"/>
    <col min="27" max="30" width="14.33203125" bestFit="1" customWidth="1"/>
    <col min="31" max="71" width="15.1640625" bestFit="1" customWidth="1"/>
    <col min="72" max="73" width="17" bestFit="1" customWidth="1"/>
    <col min="74" max="75" width="15.1640625" bestFit="1" customWidth="1"/>
    <col min="76" max="76" width="17" bestFit="1" customWidth="1"/>
    <col min="77" max="79" width="15.1640625" bestFit="1" customWidth="1"/>
  </cols>
  <sheetData>
    <row r="1" spans="1:79" s="27" customFormat="1" ht="15.75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</row>
    <row r="2" spans="1:79" s="27" customFormat="1" ht="18" x14ac:dyDescent="0.25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</row>
    <row r="3" spans="1:79" s="27" customFormat="1" ht="18" x14ac:dyDescent="0.25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</row>
    <row r="4" spans="1:79" x14ac:dyDescent="0.2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  <c r="AG4" s="2" t="s">
        <v>35</v>
      </c>
      <c r="AH4" s="2" t="s">
        <v>36</v>
      </c>
      <c r="AI4" s="2" t="s">
        <v>37</v>
      </c>
      <c r="AJ4" s="2" t="s">
        <v>38</v>
      </c>
      <c r="AK4" s="2" t="s">
        <v>39</v>
      </c>
      <c r="AL4" s="2" t="s">
        <v>40</v>
      </c>
      <c r="AM4" s="2" t="s">
        <v>41</v>
      </c>
      <c r="AN4" s="2" t="s">
        <v>42</v>
      </c>
      <c r="AO4" s="2" t="s">
        <v>43</v>
      </c>
      <c r="AP4" s="2" t="s">
        <v>44</v>
      </c>
      <c r="AQ4" s="2" t="s">
        <v>45</v>
      </c>
      <c r="AR4" s="2" t="s">
        <v>46</v>
      </c>
      <c r="AS4" s="2" t="s">
        <v>47</v>
      </c>
      <c r="AT4" s="2" t="s">
        <v>48</v>
      </c>
      <c r="AU4" s="2" t="s">
        <v>49</v>
      </c>
      <c r="AV4" s="2" t="s">
        <v>50</v>
      </c>
      <c r="AW4" s="2" t="s">
        <v>51</v>
      </c>
      <c r="AX4" s="2" t="s">
        <v>52</v>
      </c>
      <c r="AY4" s="2" t="s">
        <v>53</v>
      </c>
      <c r="AZ4" s="2" t="s">
        <v>54</v>
      </c>
      <c r="BA4" s="2" t="s">
        <v>55</v>
      </c>
      <c r="BB4" s="2" t="s">
        <v>56</v>
      </c>
      <c r="BC4" s="2" t="s">
        <v>57</v>
      </c>
      <c r="BD4" s="2" t="s">
        <v>58</v>
      </c>
      <c r="BE4" s="2" t="s">
        <v>59</v>
      </c>
      <c r="BF4" s="2" t="s">
        <v>60</v>
      </c>
      <c r="BG4" s="2" t="s">
        <v>61</v>
      </c>
      <c r="BH4" s="2" t="s">
        <v>62</v>
      </c>
      <c r="BI4" s="2" t="s">
        <v>63</v>
      </c>
      <c r="BJ4" s="2" t="s">
        <v>64</v>
      </c>
      <c r="BK4" s="2" t="s">
        <v>65</v>
      </c>
      <c r="BL4" s="2" t="s">
        <v>66</v>
      </c>
      <c r="BM4" s="2" t="s">
        <v>67</v>
      </c>
      <c r="BN4" s="2" t="s">
        <v>68</v>
      </c>
      <c r="BO4" s="2" t="s">
        <v>69</v>
      </c>
      <c r="BP4" s="2" t="s">
        <v>70</v>
      </c>
      <c r="BQ4" s="2" t="s">
        <v>71</v>
      </c>
      <c r="BR4" s="2" t="s">
        <v>72</v>
      </c>
      <c r="BS4" s="2" t="s">
        <v>73</v>
      </c>
      <c r="BT4" s="2" t="s">
        <v>74</v>
      </c>
      <c r="BU4" s="2" t="s">
        <v>75</v>
      </c>
      <c r="BV4" s="2" t="s">
        <v>76</v>
      </c>
      <c r="BW4" s="2" t="s">
        <v>77</v>
      </c>
      <c r="BX4" s="2" t="s">
        <v>78</v>
      </c>
      <c r="BY4" s="2" t="s">
        <v>79</v>
      </c>
      <c r="BZ4" s="2" t="s">
        <v>80</v>
      </c>
      <c r="CA4" s="2" t="s">
        <v>81</v>
      </c>
    </row>
    <row r="5" spans="1:79" x14ac:dyDescent="0.2">
      <c r="A5" s="1" t="s">
        <v>3</v>
      </c>
      <c r="B5" s="2" t="s">
        <v>82</v>
      </c>
      <c r="C5" s="2" t="s">
        <v>82</v>
      </c>
      <c r="D5" s="2" t="s">
        <v>82</v>
      </c>
      <c r="E5" s="2" t="s">
        <v>82</v>
      </c>
      <c r="F5" s="2" t="s">
        <v>82</v>
      </c>
      <c r="G5" s="2" t="s">
        <v>82</v>
      </c>
      <c r="H5" s="2" t="s">
        <v>82</v>
      </c>
      <c r="I5" s="2" t="s">
        <v>82</v>
      </c>
      <c r="J5" s="2" t="s">
        <v>82</v>
      </c>
      <c r="K5" s="2" t="s">
        <v>82</v>
      </c>
      <c r="L5" s="2" t="s">
        <v>82</v>
      </c>
      <c r="M5" s="2" t="s">
        <v>82</v>
      </c>
      <c r="N5" s="2" t="s">
        <v>82</v>
      </c>
      <c r="O5" s="2" t="s">
        <v>82</v>
      </c>
      <c r="P5" s="2" t="s">
        <v>82</v>
      </c>
      <c r="Q5" s="2" t="s">
        <v>82</v>
      </c>
      <c r="R5" s="2" t="s">
        <v>82</v>
      </c>
      <c r="S5" s="2" t="s">
        <v>82</v>
      </c>
      <c r="T5" s="2" t="s">
        <v>82</v>
      </c>
      <c r="U5" s="2" t="s">
        <v>82</v>
      </c>
      <c r="V5" s="2" t="s">
        <v>82</v>
      </c>
      <c r="W5" s="2" t="s">
        <v>82</v>
      </c>
      <c r="X5" s="2" t="s">
        <v>82</v>
      </c>
      <c r="Y5" s="2" t="s">
        <v>82</v>
      </c>
      <c r="Z5" s="2" t="s">
        <v>82</v>
      </c>
      <c r="AA5" s="2" t="s">
        <v>82</v>
      </c>
      <c r="AB5" s="2" t="s">
        <v>82</v>
      </c>
      <c r="AC5" s="2" t="s">
        <v>82</v>
      </c>
      <c r="AD5" s="2" t="s">
        <v>82</v>
      </c>
      <c r="AE5" s="2" t="s">
        <v>82</v>
      </c>
      <c r="AF5" s="2" t="s">
        <v>82</v>
      </c>
      <c r="AG5" s="2" t="s">
        <v>82</v>
      </c>
      <c r="AH5" s="2" t="s">
        <v>82</v>
      </c>
      <c r="AI5" s="2" t="s">
        <v>82</v>
      </c>
      <c r="AJ5" s="2" t="s">
        <v>82</v>
      </c>
      <c r="AK5" s="2" t="s">
        <v>82</v>
      </c>
      <c r="AL5" s="2" t="s">
        <v>82</v>
      </c>
      <c r="AM5" s="2" t="s">
        <v>82</v>
      </c>
      <c r="AN5" s="2" t="s">
        <v>82</v>
      </c>
      <c r="AO5" s="2" t="s">
        <v>82</v>
      </c>
      <c r="AP5" s="2" t="s">
        <v>82</v>
      </c>
      <c r="AQ5" s="2" t="s">
        <v>82</v>
      </c>
      <c r="AR5" s="2" t="s">
        <v>82</v>
      </c>
      <c r="AS5" s="2" t="s">
        <v>82</v>
      </c>
      <c r="AT5" s="2" t="s">
        <v>82</v>
      </c>
      <c r="AU5" s="2" t="s">
        <v>82</v>
      </c>
      <c r="AV5" s="2" t="s">
        <v>82</v>
      </c>
      <c r="AW5" s="2" t="s">
        <v>82</v>
      </c>
      <c r="AX5" s="2" t="s">
        <v>82</v>
      </c>
      <c r="AY5" s="2" t="s">
        <v>82</v>
      </c>
      <c r="AZ5" s="2" t="s">
        <v>82</v>
      </c>
      <c r="BA5" s="2" t="s">
        <v>82</v>
      </c>
      <c r="BB5" s="2" t="s">
        <v>82</v>
      </c>
      <c r="BC5" s="2" t="s">
        <v>82</v>
      </c>
      <c r="BD5" s="2" t="s">
        <v>82</v>
      </c>
      <c r="BE5" s="2" t="s">
        <v>82</v>
      </c>
      <c r="BF5" s="2" t="s">
        <v>82</v>
      </c>
      <c r="BG5" s="2" t="s">
        <v>82</v>
      </c>
      <c r="BH5" s="2" t="s">
        <v>82</v>
      </c>
      <c r="BI5" s="2" t="s">
        <v>82</v>
      </c>
      <c r="BJ5" s="2" t="s">
        <v>82</v>
      </c>
      <c r="BK5" s="2" t="s">
        <v>82</v>
      </c>
      <c r="BL5" s="2" t="s">
        <v>82</v>
      </c>
      <c r="BM5" s="2" t="s">
        <v>82</v>
      </c>
      <c r="BN5" s="2" t="s">
        <v>82</v>
      </c>
      <c r="BO5" s="2" t="s">
        <v>82</v>
      </c>
      <c r="BP5" s="2" t="s">
        <v>82</v>
      </c>
      <c r="BQ5" s="2" t="s">
        <v>82</v>
      </c>
      <c r="BR5" s="2" t="s">
        <v>82</v>
      </c>
      <c r="BS5" s="2" t="s">
        <v>82</v>
      </c>
      <c r="BT5" s="2" t="s">
        <v>82</v>
      </c>
      <c r="BU5" s="2" t="s">
        <v>82</v>
      </c>
      <c r="BV5" s="2" t="s">
        <v>82</v>
      </c>
      <c r="BW5" s="2" t="s">
        <v>82</v>
      </c>
      <c r="BX5" s="2" t="s">
        <v>82</v>
      </c>
      <c r="BY5" s="2" t="s">
        <v>82</v>
      </c>
      <c r="BZ5" s="2" t="s">
        <v>82</v>
      </c>
      <c r="CA5" s="2" t="s">
        <v>82</v>
      </c>
    </row>
    <row r="6" spans="1:79" ht="12.75" x14ac:dyDescent="0.2">
      <c r="A6" s="3" t="s">
        <v>83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</row>
    <row r="7" spans="1:79" ht="12" x14ac:dyDescent="0.2">
      <c r="A7" s="5" t="s">
        <v>84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</row>
    <row r="8" spans="1:79" x14ac:dyDescent="0.2">
      <c r="A8" s="7" t="s">
        <v>85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</row>
    <row r="9" spans="1:79" x14ac:dyDescent="0.2">
      <c r="A9" s="9" t="s">
        <v>86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</row>
    <row r="10" spans="1:79" x14ac:dyDescent="0.2">
      <c r="A10" s="10" t="s">
        <v>87</v>
      </c>
      <c r="B10" s="11">
        <v>1290</v>
      </c>
      <c r="C10" s="11">
        <v>1290</v>
      </c>
      <c r="D10" s="11">
        <v>1290</v>
      </c>
      <c r="E10" s="11">
        <v>1290</v>
      </c>
      <c r="F10" s="11">
        <v>1290</v>
      </c>
      <c r="G10" s="11">
        <v>1290</v>
      </c>
      <c r="H10" s="11">
        <v>1032</v>
      </c>
      <c r="I10" s="11">
        <v>989</v>
      </c>
      <c r="J10" s="11">
        <v>946</v>
      </c>
      <c r="K10" s="11">
        <v>903</v>
      </c>
      <c r="L10" s="11">
        <v>860</v>
      </c>
      <c r="M10" s="11">
        <v>817</v>
      </c>
      <c r="N10" s="11">
        <v>774</v>
      </c>
      <c r="O10" s="11">
        <v>774</v>
      </c>
      <c r="P10" s="11">
        <v>731</v>
      </c>
      <c r="Q10" s="11">
        <v>688</v>
      </c>
      <c r="R10" s="11">
        <v>602</v>
      </c>
      <c r="S10" s="11">
        <v>559</v>
      </c>
      <c r="T10" s="11">
        <v>516</v>
      </c>
      <c r="U10" s="11">
        <v>473</v>
      </c>
      <c r="V10" s="11">
        <v>430</v>
      </c>
      <c r="W10" s="11">
        <v>387</v>
      </c>
      <c r="X10" s="11">
        <v>344</v>
      </c>
      <c r="Y10" s="11">
        <v>301</v>
      </c>
      <c r="Z10" s="11">
        <v>258</v>
      </c>
      <c r="AA10" s="11">
        <v>215</v>
      </c>
      <c r="AB10" s="11">
        <v>172</v>
      </c>
      <c r="AC10" s="11">
        <v>129</v>
      </c>
      <c r="AD10" s="11">
        <v>86</v>
      </c>
      <c r="AE10" s="11">
        <v>43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  <c r="BK10" s="11">
        <v>0</v>
      </c>
      <c r="BL10" s="11">
        <v>0</v>
      </c>
      <c r="BM10" s="11">
        <v>0</v>
      </c>
      <c r="BN10" s="11">
        <v>0</v>
      </c>
      <c r="BO10" s="11">
        <v>0</v>
      </c>
      <c r="BP10" s="11">
        <v>0</v>
      </c>
      <c r="BQ10" s="11">
        <v>0</v>
      </c>
      <c r="BR10" s="11">
        <v>0</v>
      </c>
      <c r="BS10" s="11">
        <v>0</v>
      </c>
      <c r="BT10" s="11">
        <v>0</v>
      </c>
      <c r="BU10" s="11">
        <v>0</v>
      </c>
      <c r="BV10" s="11">
        <v>0</v>
      </c>
      <c r="BW10" s="11">
        <v>0</v>
      </c>
      <c r="BX10" s="11">
        <v>0</v>
      </c>
      <c r="BY10" s="11">
        <v>0</v>
      </c>
      <c r="BZ10" s="11">
        <v>0</v>
      </c>
      <c r="CA10" s="11">
        <v>0</v>
      </c>
    </row>
    <row r="11" spans="1:79" x14ac:dyDescent="0.2">
      <c r="A11" s="10" t="s">
        <v>88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1720</v>
      </c>
      <c r="AY11" s="11">
        <v>1720</v>
      </c>
      <c r="AZ11" s="11">
        <v>1720</v>
      </c>
      <c r="BA11" s="11">
        <v>1720</v>
      </c>
      <c r="BB11" s="11">
        <v>1720</v>
      </c>
      <c r="BC11" s="11">
        <v>1720</v>
      </c>
      <c r="BD11" s="11">
        <v>1720</v>
      </c>
      <c r="BE11" s="11">
        <v>1720</v>
      </c>
      <c r="BF11" s="11">
        <v>1720</v>
      </c>
      <c r="BG11" s="11">
        <v>1720</v>
      </c>
      <c r="BH11" s="11">
        <v>1720</v>
      </c>
      <c r="BI11" s="11">
        <v>1720</v>
      </c>
      <c r="BJ11" s="11">
        <v>0</v>
      </c>
      <c r="BK11" s="11">
        <v>0</v>
      </c>
      <c r="BL11" s="11">
        <v>0</v>
      </c>
      <c r="BM11" s="11">
        <v>0</v>
      </c>
      <c r="BN11" s="11">
        <v>0</v>
      </c>
      <c r="BO11" s="11">
        <v>0</v>
      </c>
      <c r="BP11" s="11">
        <v>0</v>
      </c>
      <c r="BQ11" s="11">
        <v>0</v>
      </c>
      <c r="BR11" s="11">
        <v>0</v>
      </c>
      <c r="BS11" s="11">
        <v>0</v>
      </c>
      <c r="BT11" s="11">
        <v>0</v>
      </c>
      <c r="BU11" s="11">
        <v>0</v>
      </c>
      <c r="BV11" s="11">
        <v>0</v>
      </c>
      <c r="BW11" s="11">
        <v>0</v>
      </c>
      <c r="BX11" s="11">
        <v>0</v>
      </c>
      <c r="BY11" s="11">
        <v>0</v>
      </c>
      <c r="BZ11" s="11">
        <v>0</v>
      </c>
      <c r="CA11" s="11">
        <v>0</v>
      </c>
    </row>
    <row r="12" spans="1:79" x14ac:dyDescent="0.2">
      <c r="A12" s="12" t="s">
        <v>89</v>
      </c>
      <c r="B12" s="13">
        <f t="shared" ref="B12:AG12" si="0">SUM(B10:B11)</f>
        <v>1290</v>
      </c>
      <c r="C12" s="13">
        <f t="shared" si="0"/>
        <v>1290</v>
      </c>
      <c r="D12" s="13">
        <f t="shared" si="0"/>
        <v>1290</v>
      </c>
      <c r="E12" s="13">
        <f t="shared" si="0"/>
        <v>1290</v>
      </c>
      <c r="F12" s="13">
        <f t="shared" si="0"/>
        <v>1290</v>
      </c>
      <c r="G12" s="13">
        <f t="shared" si="0"/>
        <v>1290</v>
      </c>
      <c r="H12" s="13">
        <f t="shared" si="0"/>
        <v>1032</v>
      </c>
      <c r="I12" s="13">
        <f t="shared" si="0"/>
        <v>989</v>
      </c>
      <c r="J12" s="13">
        <f t="shared" si="0"/>
        <v>946</v>
      </c>
      <c r="K12" s="13">
        <f t="shared" si="0"/>
        <v>903</v>
      </c>
      <c r="L12" s="13">
        <f t="shared" si="0"/>
        <v>860</v>
      </c>
      <c r="M12" s="13">
        <f t="shared" si="0"/>
        <v>817</v>
      </c>
      <c r="N12" s="13">
        <f t="shared" si="0"/>
        <v>774</v>
      </c>
      <c r="O12" s="13">
        <f t="shared" si="0"/>
        <v>774</v>
      </c>
      <c r="P12" s="13">
        <f t="shared" si="0"/>
        <v>731</v>
      </c>
      <c r="Q12" s="13">
        <f t="shared" si="0"/>
        <v>688</v>
      </c>
      <c r="R12" s="13">
        <f t="shared" si="0"/>
        <v>602</v>
      </c>
      <c r="S12" s="13">
        <f t="shared" si="0"/>
        <v>559</v>
      </c>
      <c r="T12" s="13">
        <f t="shared" si="0"/>
        <v>516</v>
      </c>
      <c r="U12" s="13">
        <f t="shared" si="0"/>
        <v>473</v>
      </c>
      <c r="V12" s="13">
        <f t="shared" si="0"/>
        <v>430</v>
      </c>
      <c r="W12" s="13">
        <f t="shared" si="0"/>
        <v>387</v>
      </c>
      <c r="X12" s="13">
        <f t="shared" si="0"/>
        <v>344</v>
      </c>
      <c r="Y12" s="13">
        <f t="shared" si="0"/>
        <v>301</v>
      </c>
      <c r="Z12" s="13">
        <f t="shared" si="0"/>
        <v>258</v>
      </c>
      <c r="AA12" s="13">
        <f t="shared" si="0"/>
        <v>215</v>
      </c>
      <c r="AB12" s="13">
        <f t="shared" si="0"/>
        <v>172</v>
      </c>
      <c r="AC12" s="13">
        <f t="shared" si="0"/>
        <v>129</v>
      </c>
      <c r="AD12" s="13">
        <f t="shared" si="0"/>
        <v>86</v>
      </c>
      <c r="AE12" s="13">
        <f t="shared" si="0"/>
        <v>43</v>
      </c>
      <c r="AF12" s="13">
        <f t="shared" si="0"/>
        <v>0</v>
      </c>
      <c r="AG12" s="13">
        <f t="shared" si="0"/>
        <v>0</v>
      </c>
      <c r="AH12" s="13">
        <f t="shared" ref="AH12:BM12" si="1">SUM(AH10:AH11)</f>
        <v>0</v>
      </c>
      <c r="AI12" s="13">
        <f t="shared" si="1"/>
        <v>0</v>
      </c>
      <c r="AJ12" s="13">
        <f t="shared" si="1"/>
        <v>0</v>
      </c>
      <c r="AK12" s="13">
        <f t="shared" si="1"/>
        <v>0</v>
      </c>
      <c r="AL12" s="13">
        <f t="shared" si="1"/>
        <v>0</v>
      </c>
      <c r="AM12" s="13">
        <f t="shared" si="1"/>
        <v>0</v>
      </c>
      <c r="AN12" s="13">
        <f t="shared" si="1"/>
        <v>0</v>
      </c>
      <c r="AO12" s="13">
        <f t="shared" si="1"/>
        <v>0</v>
      </c>
      <c r="AP12" s="13">
        <f t="shared" si="1"/>
        <v>0</v>
      </c>
      <c r="AQ12" s="13">
        <f t="shared" si="1"/>
        <v>0</v>
      </c>
      <c r="AR12" s="13">
        <f t="shared" si="1"/>
        <v>0</v>
      </c>
      <c r="AS12" s="13">
        <f t="shared" si="1"/>
        <v>0</v>
      </c>
      <c r="AT12" s="13">
        <f t="shared" si="1"/>
        <v>0</v>
      </c>
      <c r="AU12" s="13">
        <f t="shared" si="1"/>
        <v>0</v>
      </c>
      <c r="AV12" s="13">
        <f t="shared" si="1"/>
        <v>0</v>
      </c>
      <c r="AW12" s="13">
        <f t="shared" si="1"/>
        <v>0</v>
      </c>
      <c r="AX12" s="13">
        <f t="shared" si="1"/>
        <v>1720</v>
      </c>
      <c r="AY12" s="13">
        <f t="shared" si="1"/>
        <v>1720</v>
      </c>
      <c r="AZ12" s="13">
        <f t="shared" si="1"/>
        <v>1720</v>
      </c>
      <c r="BA12" s="13">
        <f t="shared" si="1"/>
        <v>1720</v>
      </c>
      <c r="BB12" s="13">
        <f t="shared" si="1"/>
        <v>1720</v>
      </c>
      <c r="BC12" s="13">
        <f t="shared" si="1"/>
        <v>1720</v>
      </c>
      <c r="BD12" s="13">
        <f t="shared" si="1"/>
        <v>1720</v>
      </c>
      <c r="BE12" s="13">
        <f t="shared" si="1"/>
        <v>1720</v>
      </c>
      <c r="BF12" s="13">
        <f t="shared" si="1"/>
        <v>1720</v>
      </c>
      <c r="BG12" s="13">
        <f t="shared" si="1"/>
        <v>1720</v>
      </c>
      <c r="BH12" s="13">
        <f t="shared" si="1"/>
        <v>1720</v>
      </c>
      <c r="BI12" s="13">
        <f t="shared" si="1"/>
        <v>1720</v>
      </c>
      <c r="BJ12" s="13">
        <f t="shared" si="1"/>
        <v>0</v>
      </c>
      <c r="BK12" s="13">
        <f t="shared" si="1"/>
        <v>0</v>
      </c>
      <c r="BL12" s="13">
        <f t="shared" si="1"/>
        <v>0</v>
      </c>
      <c r="BM12" s="13">
        <f t="shared" si="1"/>
        <v>0</v>
      </c>
      <c r="BN12" s="13">
        <f t="shared" ref="BN12:CS12" si="2">SUM(BN10:BN11)</f>
        <v>0</v>
      </c>
      <c r="BO12" s="13">
        <f t="shared" si="2"/>
        <v>0</v>
      </c>
      <c r="BP12" s="13">
        <f t="shared" si="2"/>
        <v>0</v>
      </c>
      <c r="BQ12" s="13">
        <f t="shared" si="2"/>
        <v>0</v>
      </c>
      <c r="BR12" s="13">
        <f t="shared" si="2"/>
        <v>0</v>
      </c>
      <c r="BS12" s="13">
        <f t="shared" si="2"/>
        <v>0</v>
      </c>
      <c r="BT12" s="13">
        <f t="shared" si="2"/>
        <v>0</v>
      </c>
      <c r="BU12" s="13">
        <f t="shared" si="2"/>
        <v>0</v>
      </c>
      <c r="BV12" s="13">
        <f t="shared" si="2"/>
        <v>0</v>
      </c>
      <c r="BW12" s="13">
        <f t="shared" si="2"/>
        <v>0</v>
      </c>
      <c r="BX12" s="13">
        <f t="shared" si="2"/>
        <v>0</v>
      </c>
      <c r="BY12" s="13">
        <f t="shared" si="2"/>
        <v>0</v>
      </c>
      <c r="BZ12" s="13">
        <f t="shared" si="2"/>
        <v>0</v>
      </c>
      <c r="CA12" s="13">
        <f t="shared" si="2"/>
        <v>0</v>
      </c>
    </row>
    <row r="13" spans="1:79" x14ac:dyDescent="0.2">
      <c r="A13" s="14" t="s">
        <v>90</v>
      </c>
      <c r="B13" s="15">
        <f t="shared" ref="B13:AG13" si="3">0+0+B12+0</f>
        <v>1290</v>
      </c>
      <c r="C13" s="15">
        <f t="shared" si="3"/>
        <v>1290</v>
      </c>
      <c r="D13" s="15">
        <f t="shared" si="3"/>
        <v>1290</v>
      </c>
      <c r="E13" s="15">
        <f t="shared" si="3"/>
        <v>1290</v>
      </c>
      <c r="F13" s="15">
        <f t="shared" si="3"/>
        <v>1290</v>
      </c>
      <c r="G13" s="15">
        <f t="shared" si="3"/>
        <v>1290</v>
      </c>
      <c r="H13" s="15">
        <f t="shared" si="3"/>
        <v>1032</v>
      </c>
      <c r="I13" s="15">
        <f t="shared" si="3"/>
        <v>989</v>
      </c>
      <c r="J13" s="15">
        <f t="shared" si="3"/>
        <v>946</v>
      </c>
      <c r="K13" s="15">
        <f t="shared" si="3"/>
        <v>903</v>
      </c>
      <c r="L13" s="15">
        <f t="shared" si="3"/>
        <v>860</v>
      </c>
      <c r="M13" s="15">
        <f t="shared" si="3"/>
        <v>817</v>
      </c>
      <c r="N13" s="15">
        <f t="shared" si="3"/>
        <v>774</v>
      </c>
      <c r="O13" s="15">
        <f t="shared" si="3"/>
        <v>774</v>
      </c>
      <c r="P13" s="15">
        <f t="shared" si="3"/>
        <v>731</v>
      </c>
      <c r="Q13" s="15">
        <f t="shared" si="3"/>
        <v>688</v>
      </c>
      <c r="R13" s="15">
        <f t="shared" si="3"/>
        <v>602</v>
      </c>
      <c r="S13" s="15">
        <f t="shared" si="3"/>
        <v>559</v>
      </c>
      <c r="T13" s="15">
        <f t="shared" si="3"/>
        <v>516</v>
      </c>
      <c r="U13" s="15">
        <f t="shared" si="3"/>
        <v>473</v>
      </c>
      <c r="V13" s="15">
        <f t="shared" si="3"/>
        <v>430</v>
      </c>
      <c r="W13" s="15">
        <f t="shared" si="3"/>
        <v>387</v>
      </c>
      <c r="X13" s="15">
        <f t="shared" si="3"/>
        <v>344</v>
      </c>
      <c r="Y13" s="15">
        <f t="shared" si="3"/>
        <v>301</v>
      </c>
      <c r="Z13" s="15">
        <f t="shared" si="3"/>
        <v>258</v>
      </c>
      <c r="AA13" s="15">
        <f t="shared" si="3"/>
        <v>215</v>
      </c>
      <c r="AB13" s="15">
        <f t="shared" si="3"/>
        <v>172</v>
      </c>
      <c r="AC13" s="15">
        <f t="shared" si="3"/>
        <v>129</v>
      </c>
      <c r="AD13" s="15">
        <f t="shared" si="3"/>
        <v>86</v>
      </c>
      <c r="AE13" s="15">
        <f t="shared" si="3"/>
        <v>43</v>
      </c>
      <c r="AF13" s="15">
        <f t="shared" si="3"/>
        <v>0</v>
      </c>
      <c r="AG13" s="15">
        <f t="shared" si="3"/>
        <v>0</v>
      </c>
      <c r="AH13" s="15">
        <f t="shared" ref="AH13:BM13" si="4">0+0+AH12+0</f>
        <v>0</v>
      </c>
      <c r="AI13" s="15">
        <f t="shared" si="4"/>
        <v>0</v>
      </c>
      <c r="AJ13" s="15">
        <f t="shared" si="4"/>
        <v>0</v>
      </c>
      <c r="AK13" s="15">
        <f t="shared" si="4"/>
        <v>0</v>
      </c>
      <c r="AL13" s="15">
        <f t="shared" si="4"/>
        <v>0</v>
      </c>
      <c r="AM13" s="15">
        <f t="shared" si="4"/>
        <v>0</v>
      </c>
      <c r="AN13" s="15">
        <f t="shared" si="4"/>
        <v>0</v>
      </c>
      <c r="AO13" s="15">
        <f t="shared" si="4"/>
        <v>0</v>
      </c>
      <c r="AP13" s="15">
        <f t="shared" si="4"/>
        <v>0</v>
      </c>
      <c r="AQ13" s="15">
        <f t="shared" si="4"/>
        <v>0</v>
      </c>
      <c r="AR13" s="15">
        <f t="shared" si="4"/>
        <v>0</v>
      </c>
      <c r="AS13" s="15">
        <f t="shared" si="4"/>
        <v>0</v>
      </c>
      <c r="AT13" s="15">
        <f t="shared" si="4"/>
        <v>0</v>
      </c>
      <c r="AU13" s="15">
        <f t="shared" si="4"/>
        <v>0</v>
      </c>
      <c r="AV13" s="15">
        <f t="shared" si="4"/>
        <v>0</v>
      </c>
      <c r="AW13" s="15">
        <f t="shared" si="4"/>
        <v>0</v>
      </c>
      <c r="AX13" s="15">
        <f t="shared" si="4"/>
        <v>1720</v>
      </c>
      <c r="AY13" s="15">
        <f t="shared" si="4"/>
        <v>1720</v>
      </c>
      <c r="AZ13" s="15">
        <f t="shared" si="4"/>
        <v>1720</v>
      </c>
      <c r="BA13" s="15">
        <f t="shared" si="4"/>
        <v>1720</v>
      </c>
      <c r="BB13" s="15">
        <f t="shared" si="4"/>
        <v>1720</v>
      </c>
      <c r="BC13" s="15">
        <f t="shared" si="4"/>
        <v>1720</v>
      </c>
      <c r="BD13" s="15">
        <f t="shared" si="4"/>
        <v>1720</v>
      </c>
      <c r="BE13" s="15">
        <f t="shared" si="4"/>
        <v>1720</v>
      </c>
      <c r="BF13" s="15">
        <f t="shared" si="4"/>
        <v>1720</v>
      </c>
      <c r="BG13" s="15">
        <f t="shared" si="4"/>
        <v>1720</v>
      </c>
      <c r="BH13" s="15">
        <f t="shared" si="4"/>
        <v>1720</v>
      </c>
      <c r="BI13" s="15">
        <f t="shared" si="4"/>
        <v>1720</v>
      </c>
      <c r="BJ13" s="15">
        <f t="shared" si="4"/>
        <v>0</v>
      </c>
      <c r="BK13" s="15">
        <f t="shared" si="4"/>
        <v>0</v>
      </c>
      <c r="BL13" s="15">
        <f t="shared" si="4"/>
        <v>0</v>
      </c>
      <c r="BM13" s="15">
        <f t="shared" si="4"/>
        <v>0</v>
      </c>
      <c r="BN13" s="15">
        <f t="shared" ref="BN13:CS13" si="5">0+0+BN12+0</f>
        <v>0</v>
      </c>
      <c r="BO13" s="15">
        <f t="shared" si="5"/>
        <v>0</v>
      </c>
      <c r="BP13" s="15">
        <f t="shared" si="5"/>
        <v>0</v>
      </c>
      <c r="BQ13" s="15">
        <f t="shared" si="5"/>
        <v>0</v>
      </c>
      <c r="BR13" s="15">
        <f t="shared" si="5"/>
        <v>0</v>
      </c>
      <c r="BS13" s="15">
        <f t="shared" si="5"/>
        <v>0</v>
      </c>
      <c r="BT13" s="15">
        <f t="shared" si="5"/>
        <v>0</v>
      </c>
      <c r="BU13" s="15">
        <f t="shared" si="5"/>
        <v>0</v>
      </c>
      <c r="BV13" s="15">
        <f t="shared" si="5"/>
        <v>0</v>
      </c>
      <c r="BW13" s="15">
        <f t="shared" si="5"/>
        <v>0</v>
      </c>
      <c r="BX13" s="15">
        <f t="shared" si="5"/>
        <v>0</v>
      </c>
      <c r="BY13" s="15">
        <f t="shared" si="5"/>
        <v>0</v>
      </c>
      <c r="BZ13" s="15">
        <f t="shared" si="5"/>
        <v>0</v>
      </c>
      <c r="CA13" s="15">
        <f t="shared" si="5"/>
        <v>0</v>
      </c>
    </row>
    <row r="14" spans="1:79" x14ac:dyDescent="0.2">
      <c r="A14" s="16" t="s">
        <v>91</v>
      </c>
      <c r="B14" s="17">
        <f t="shared" ref="B14:AG14" si="6">0+B13+0</f>
        <v>1290</v>
      </c>
      <c r="C14" s="17">
        <f t="shared" si="6"/>
        <v>1290</v>
      </c>
      <c r="D14" s="17">
        <f t="shared" si="6"/>
        <v>1290</v>
      </c>
      <c r="E14" s="17">
        <f t="shared" si="6"/>
        <v>1290</v>
      </c>
      <c r="F14" s="17">
        <f t="shared" si="6"/>
        <v>1290</v>
      </c>
      <c r="G14" s="17">
        <f t="shared" si="6"/>
        <v>1290</v>
      </c>
      <c r="H14" s="17">
        <f t="shared" si="6"/>
        <v>1032</v>
      </c>
      <c r="I14" s="17">
        <f t="shared" si="6"/>
        <v>989</v>
      </c>
      <c r="J14" s="17">
        <f t="shared" si="6"/>
        <v>946</v>
      </c>
      <c r="K14" s="17">
        <f t="shared" si="6"/>
        <v>903</v>
      </c>
      <c r="L14" s="17">
        <f t="shared" si="6"/>
        <v>860</v>
      </c>
      <c r="M14" s="17">
        <f t="shared" si="6"/>
        <v>817</v>
      </c>
      <c r="N14" s="17">
        <f t="shared" si="6"/>
        <v>774</v>
      </c>
      <c r="O14" s="17">
        <f t="shared" si="6"/>
        <v>774</v>
      </c>
      <c r="P14" s="17">
        <f t="shared" si="6"/>
        <v>731</v>
      </c>
      <c r="Q14" s="17">
        <f t="shared" si="6"/>
        <v>688</v>
      </c>
      <c r="R14" s="17">
        <f t="shared" si="6"/>
        <v>602</v>
      </c>
      <c r="S14" s="17">
        <f t="shared" si="6"/>
        <v>559</v>
      </c>
      <c r="T14" s="17">
        <f t="shared" si="6"/>
        <v>516</v>
      </c>
      <c r="U14" s="17">
        <f t="shared" si="6"/>
        <v>473</v>
      </c>
      <c r="V14" s="17">
        <f t="shared" si="6"/>
        <v>430</v>
      </c>
      <c r="W14" s="17">
        <f t="shared" si="6"/>
        <v>387</v>
      </c>
      <c r="X14" s="17">
        <f t="shared" si="6"/>
        <v>344</v>
      </c>
      <c r="Y14" s="17">
        <f t="shared" si="6"/>
        <v>301</v>
      </c>
      <c r="Z14" s="17">
        <f t="shared" si="6"/>
        <v>258</v>
      </c>
      <c r="AA14" s="17">
        <f t="shared" si="6"/>
        <v>215</v>
      </c>
      <c r="AB14" s="17">
        <f t="shared" si="6"/>
        <v>172</v>
      </c>
      <c r="AC14" s="17">
        <f t="shared" si="6"/>
        <v>129</v>
      </c>
      <c r="AD14" s="17">
        <f t="shared" si="6"/>
        <v>86</v>
      </c>
      <c r="AE14" s="17">
        <f t="shared" si="6"/>
        <v>43</v>
      </c>
      <c r="AF14" s="17">
        <f t="shared" si="6"/>
        <v>0</v>
      </c>
      <c r="AG14" s="17">
        <f t="shared" si="6"/>
        <v>0</v>
      </c>
      <c r="AH14" s="17">
        <f t="shared" ref="AH14:BM14" si="7">0+AH13+0</f>
        <v>0</v>
      </c>
      <c r="AI14" s="17">
        <f t="shared" si="7"/>
        <v>0</v>
      </c>
      <c r="AJ14" s="17">
        <f t="shared" si="7"/>
        <v>0</v>
      </c>
      <c r="AK14" s="17">
        <f t="shared" si="7"/>
        <v>0</v>
      </c>
      <c r="AL14" s="17">
        <f t="shared" si="7"/>
        <v>0</v>
      </c>
      <c r="AM14" s="17">
        <f t="shared" si="7"/>
        <v>0</v>
      </c>
      <c r="AN14" s="17">
        <f t="shared" si="7"/>
        <v>0</v>
      </c>
      <c r="AO14" s="17">
        <f t="shared" si="7"/>
        <v>0</v>
      </c>
      <c r="AP14" s="17">
        <f t="shared" si="7"/>
        <v>0</v>
      </c>
      <c r="AQ14" s="17">
        <f t="shared" si="7"/>
        <v>0</v>
      </c>
      <c r="AR14" s="17">
        <f t="shared" si="7"/>
        <v>0</v>
      </c>
      <c r="AS14" s="17">
        <f t="shared" si="7"/>
        <v>0</v>
      </c>
      <c r="AT14" s="17">
        <f t="shared" si="7"/>
        <v>0</v>
      </c>
      <c r="AU14" s="17">
        <f t="shared" si="7"/>
        <v>0</v>
      </c>
      <c r="AV14" s="17">
        <f t="shared" si="7"/>
        <v>0</v>
      </c>
      <c r="AW14" s="17">
        <f t="shared" si="7"/>
        <v>0</v>
      </c>
      <c r="AX14" s="17">
        <f t="shared" si="7"/>
        <v>1720</v>
      </c>
      <c r="AY14" s="17">
        <f t="shared" si="7"/>
        <v>1720</v>
      </c>
      <c r="AZ14" s="17">
        <f t="shared" si="7"/>
        <v>1720</v>
      </c>
      <c r="BA14" s="17">
        <f t="shared" si="7"/>
        <v>1720</v>
      </c>
      <c r="BB14" s="17">
        <f t="shared" si="7"/>
        <v>1720</v>
      </c>
      <c r="BC14" s="17">
        <f t="shared" si="7"/>
        <v>1720</v>
      </c>
      <c r="BD14" s="17">
        <f t="shared" si="7"/>
        <v>1720</v>
      </c>
      <c r="BE14" s="17">
        <f t="shared" si="7"/>
        <v>1720</v>
      </c>
      <c r="BF14" s="17">
        <f t="shared" si="7"/>
        <v>1720</v>
      </c>
      <c r="BG14" s="17">
        <f t="shared" si="7"/>
        <v>1720</v>
      </c>
      <c r="BH14" s="17">
        <f t="shared" si="7"/>
        <v>1720</v>
      </c>
      <c r="BI14" s="17">
        <f t="shared" si="7"/>
        <v>1720</v>
      </c>
      <c r="BJ14" s="17">
        <f t="shared" si="7"/>
        <v>0</v>
      </c>
      <c r="BK14" s="17">
        <f t="shared" si="7"/>
        <v>0</v>
      </c>
      <c r="BL14" s="17">
        <f t="shared" si="7"/>
        <v>0</v>
      </c>
      <c r="BM14" s="17">
        <f t="shared" si="7"/>
        <v>0</v>
      </c>
      <c r="BN14" s="17">
        <f t="shared" ref="BN14:CS14" si="8">0+BN13+0</f>
        <v>0</v>
      </c>
      <c r="BO14" s="17">
        <f t="shared" si="8"/>
        <v>0</v>
      </c>
      <c r="BP14" s="17">
        <f t="shared" si="8"/>
        <v>0</v>
      </c>
      <c r="BQ14" s="17">
        <f t="shared" si="8"/>
        <v>0</v>
      </c>
      <c r="BR14" s="17">
        <f t="shared" si="8"/>
        <v>0</v>
      </c>
      <c r="BS14" s="17">
        <f t="shared" si="8"/>
        <v>0</v>
      </c>
      <c r="BT14" s="17">
        <f t="shared" si="8"/>
        <v>0</v>
      </c>
      <c r="BU14" s="17">
        <f t="shared" si="8"/>
        <v>0</v>
      </c>
      <c r="BV14" s="17">
        <f t="shared" si="8"/>
        <v>0</v>
      </c>
      <c r="BW14" s="17">
        <f t="shared" si="8"/>
        <v>0</v>
      </c>
      <c r="BX14" s="17">
        <f t="shared" si="8"/>
        <v>0</v>
      </c>
      <c r="BY14" s="17">
        <f t="shared" si="8"/>
        <v>0</v>
      </c>
      <c r="BZ14" s="17">
        <f t="shared" si="8"/>
        <v>0</v>
      </c>
      <c r="CA14" s="17">
        <f t="shared" si="8"/>
        <v>0</v>
      </c>
    </row>
    <row r="15" spans="1:79" x14ac:dyDescent="0.2">
      <c r="A15" s="1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</row>
    <row r="16" spans="1:79" ht="12" x14ac:dyDescent="0.2">
      <c r="A16" s="5" t="s">
        <v>92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</row>
    <row r="17" spans="1:79" x14ac:dyDescent="0.2">
      <c r="A17" s="7" t="s">
        <v>93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</row>
    <row r="18" spans="1:79" x14ac:dyDescent="0.2">
      <c r="A18" s="9" t="s">
        <v>94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</row>
    <row r="19" spans="1:79" x14ac:dyDescent="0.2">
      <c r="A19" s="10" t="s">
        <v>95</v>
      </c>
      <c r="B19" s="19">
        <v>200</v>
      </c>
      <c r="C19" s="19">
        <v>200</v>
      </c>
      <c r="D19" s="19">
        <v>200</v>
      </c>
      <c r="E19" s="19">
        <v>200</v>
      </c>
      <c r="F19" s="19">
        <v>6404.72</v>
      </c>
      <c r="G19" s="19">
        <v>29970.639999999999</v>
      </c>
      <c r="H19" s="19">
        <v>36374.720000000001</v>
      </c>
      <c r="I19" s="19">
        <v>11182.100000000002</v>
      </c>
      <c r="J19" s="19">
        <v>14053.280000000002</v>
      </c>
      <c r="K19" s="19">
        <v>2084.4000000000033</v>
      </c>
      <c r="L19" s="19">
        <v>-1503.2399999999966</v>
      </c>
      <c r="M19" s="19">
        <v>-1503.2399999999966</v>
      </c>
      <c r="N19" s="19">
        <v>-1503.2399999999966</v>
      </c>
      <c r="O19" s="19">
        <v>-1503.2399999999966</v>
      </c>
      <c r="P19" s="19">
        <v>-1503.2399999999966</v>
      </c>
      <c r="Q19" s="19">
        <v>-1503.2399999999966</v>
      </c>
      <c r="R19" s="19">
        <v>-1503.2399999999966</v>
      </c>
      <c r="S19" s="19">
        <v>5174.1600000000035</v>
      </c>
      <c r="T19" s="19">
        <v>5174.1600000000035</v>
      </c>
      <c r="U19" s="19">
        <v>5174.1600000000035</v>
      </c>
      <c r="V19" s="19">
        <v>1189.2600000000034</v>
      </c>
      <c r="W19" s="19">
        <v>1189.2600000000034</v>
      </c>
      <c r="X19" s="19">
        <v>-1503.2399999999966</v>
      </c>
      <c r="Y19" s="19">
        <v>3741.6100000000038</v>
      </c>
      <c r="Z19" s="19">
        <v>56017.41</v>
      </c>
      <c r="AA19" s="19">
        <v>50772.560000000005</v>
      </c>
      <c r="AB19" s="19">
        <v>99.910000000003492</v>
      </c>
      <c r="AC19" s="19">
        <v>9645.9600000000028</v>
      </c>
      <c r="AD19" s="19">
        <v>34839.960000000006</v>
      </c>
      <c r="AE19" s="19">
        <v>73043.31</v>
      </c>
      <c r="AF19" s="19">
        <v>127445.75999999999</v>
      </c>
      <c r="AG19" s="19">
        <v>82099.509999999995</v>
      </c>
      <c r="AH19" s="19">
        <v>121617.20999999999</v>
      </c>
      <c r="AI19" s="19">
        <v>56502.209999999992</v>
      </c>
      <c r="AJ19" s="19">
        <v>91562.06</v>
      </c>
      <c r="AK19" s="19">
        <v>94516.959999999992</v>
      </c>
      <c r="AL19" s="19">
        <v>75172.959999999992</v>
      </c>
      <c r="AM19" s="19">
        <v>32472.80999999999</v>
      </c>
      <c r="AN19" s="19">
        <v>77687.659999999989</v>
      </c>
      <c r="AO19" s="19">
        <v>59703.859999999986</v>
      </c>
      <c r="AP19" s="19">
        <v>59703.859999999986</v>
      </c>
      <c r="AQ19" s="19">
        <v>7668.7099999999846</v>
      </c>
      <c r="AR19" s="19">
        <v>22535.609999999986</v>
      </c>
      <c r="AS19" s="19">
        <v>35722.909999999989</v>
      </c>
      <c r="AT19" s="19">
        <v>15081.959999999988</v>
      </c>
      <c r="AU19" s="19">
        <v>20435.009999999987</v>
      </c>
      <c r="AV19" s="19">
        <v>45687.259999999987</v>
      </c>
      <c r="AW19" s="19">
        <v>72295.00999999998</v>
      </c>
      <c r="AX19" s="19">
        <v>15125.14999999998</v>
      </c>
      <c r="AY19" s="19">
        <v>25268.549999999981</v>
      </c>
      <c r="AZ19" s="19">
        <v>43226.449999999983</v>
      </c>
      <c r="BA19" s="19">
        <v>18485.849999999984</v>
      </c>
      <c r="BB19" s="19">
        <v>40737.749999999985</v>
      </c>
      <c r="BC19" s="19">
        <v>43074.399999999987</v>
      </c>
      <c r="BD19" s="19">
        <v>49857.149999999987</v>
      </c>
      <c r="BE19" s="19">
        <v>94528.979999999981</v>
      </c>
      <c r="BF19" s="19">
        <v>56806.64999999998</v>
      </c>
      <c r="BG19" s="19">
        <v>110776.54999999999</v>
      </c>
      <c r="BH19" s="19">
        <v>113767.24999999999</v>
      </c>
      <c r="BI19" s="19">
        <v>130148.54999999999</v>
      </c>
      <c r="BJ19" s="19">
        <v>119610.44999999998</v>
      </c>
      <c r="BK19" s="19">
        <v>55937.89999999998</v>
      </c>
      <c r="BL19" s="19">
        <v>215257.72999999998</v>
      </c>
      <c r="BM19" s="19">
        <v>199280.12</v>
      </c>
      <c r="BN19" s="19">
        <v>412230.64</v>
      </c>
      <c r="BO19" s="19">
        <v>323052.38</v>
      </c>
      <c r="BP19" s="19">
        <v>404732.54000000004</v>
      </c>
      <c r="BQ19" s="19">
        <v>782631.29</v>
      </c>
      <c r="BR19" s="19">
        <v>302129.10000000003</v>
      </c>
      <c r="BS19" s="19">
        <v>379688.27</v>
      </c>
      <c r="BT19" s="19">
        <v>677369.92</v>
      </c>
      <c r="BU19" s="19">
        <v>444527.87000000005</v>
      </c>
      <c r="BV19" s="19">
        <v>687448.66</v>
      </c>
      <c r="BW19" s="19">
        <v>113700.66000000003</v>
      </c>
      <c r="BX19" s="19">
        <v>324274.39</v>
      </c>
      <c r="BY19" s="19">
        <v>420054.87</v>
      </c>
      <c r="BZ19" s="19">
        <v>328083.3</v>
      </c>
      <c r="CA19" s="19">
        <v>318016.69</v>
      </c>
    </row>
    <row r="20" spans="1:79" x14ac:dyDescent="0.2">
      <c r="A20" s="10" t="s">
        <v>96</v>
      </c>
      <c r="B20" s="19">
        <v>0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-34500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</row>
    <row r="21" spans="1:79" x14ac:dyDescent="0.2">
      <c r="A21" s="12" t="s">
        <v>97</v>
      </c>
      <c r="B21" s="13">
        <f t="shared" ref="B21:AG21" si="9">SUM(B19:B20)</f>
        <v>200</v>
      </c>
      <c r="C21" s="13">
        <f t="shared" si="9"/>
        <v>200</v>
      </c>
      <c r="D21" s="13">
        <f t="shared" si="9"/>
        <v>200</v>
      </c>
      <c r="E21" s="13">
        <f t="shared" si="9"/>
        <v>200</v>
      </c>
      <c r="F21" s="13">
        <f t="shared" si="9"/>
        <v>6404.72</v>
      </c>
      <c r="G21" s="13">
        <f t="shared" si="9"/>
        <v>29970.639999999999</v>
      </c>
      <c r="H21" s="13">
        <f t="shared" si="9"/>
        <v>36374.720000000001</v>
      </c>
      <c r="I21" s="13">
        <f t="shared" si="9"/>
        <v>11182.100000000002</v>
      </c>
      <c r="J21" s="13">
        <f t="shared" si="9"/>
        <v>14053.280000000002</v>
      </c>
      <c r="K21" s="13">
        <f t="shared" si="9"/>
        <v>2084.4000000000033</v>
      </c>
      <c r="L21" s="13">
        <f t="shared" si="9"/>
        <v>-1503.2399999999966</v>
      </c>
      <c r="M21" s="13">
        <f t="shared" si="9"/>
        <v>-1503.2399999999966</v>
      </c>
      <c r="N21" s="13">
        <f t="shared" si="9"/>
        <v>-1503.2399999999966</v>
      </c>
      <c r="O21" s="13">
        <f t="shared" si="9"/>
        <v>-1503.2399999999966</v>
      </c>
      <c r="P21" s="13">
        <f t="shared" si="9"/>
        <v>-1503.2399999999966</v>
      </c>
      <c r="Q21" s="13">
        <f t="shared" si="9"/>
        <v>-1503.2399999999966</v>
      </c>
      <c r="R21" s="13">
        <f t="shared" si="9"/>
        <v>-1503.2399999999966</v>
      </c>
      <c r="S21" s="13">
        <f t="shared" si="9"/>
        <v>5174.1600000000035</v>
      </c>
      <c r="T21" s="13">
        <f t="shared" si="9"/>
        <v>5174.1600000000035</v>
      </c>
      <c r="U21" s="13">
        <f t="shared" si="9"/>
        <v>5174.1600000000035</v>
      </c>
      <c r="V21" s="13">
        <f t="shared" si="9"/>
        <v>1189.2600000000034</v>
      </c>
      <c r="W21" s="13">
        <f t="shared" si="9"/>
        <v>1189.2600000000034</v>
      </c>
      <c r="X21" s="13">
        <f t="shared" si="9"/>
        <v>-1503.2399999999966</v>
      </c>
      <c r="Y21" s="13">
        <f t="shared" si="9"/>
        <v>3741.6100000000038</v>
      </c>
      <c r="Z21" s="13">
        <f t="shared" si="9"/>
        <v>56017.41</v>
      </c>
      <c r="AA21" s="13">
        <f t="shared" si="9"/>
        <v>50772.560000000005</v>
      </c>
      <c r="AB21" s="13">
        <f t="shared" si="9"/>
        <v>99.910000000003492</v>
      </c>
      <c r="AC21" s="13">
        <f t="shared" si="9"/>
        <v>9645.9600000000028</v>
      </c>
      <c r="AD21" s="13">
        <f t="shared" si="9"/>
        <v>34839.960000000006</v>
      </c>
      <c r="AE21" s="13">
        <f t="shared" si="9"/>
        <v>73043.31</v>
      </c>
      <c r="AF21" s="13">
        <f t="shared" si="9"/>
        <v>127445.75999999999</v>
      </c>
      <c r="AG21" s="13">
        <f t="shared" si="9"/>
        <v>82099.509999999995</v>
      </c>
      <c r="AH21" s="13">
        <f t="shared" ref="AH21:BM21" si="10">SUM(AH19:AH20)</f>
        <v>121617.20999999999</v>
      </c>
      <c r="AI21" s="13">
        <f t="shared" si="10"/>
        <v>56502.209999999992</v>
      </c>
      <c r="AJ21" s="13">
        <f t="shared" si="10"/>
        <v>91562.06</v>
      </c>
      <c r="AK21" s="13">
        <f t="shared" si="10"/>
        <v>94516.959999999992</v>
      </c>
      <c r="AL21" s="13">
        <f t="shared" si="10"/>
        <v>75172.959999999992</v>
      </c>
      <c r="AM21" s="13">
        <f t="shared" si="10"/>
        <v>32472.80999999999</v>
      </c>
      <c r="AN21" s="13">
        <f t="shared" si="10"/>
        <v>77687.659999999989</v>
      </c>
      <c r="AO21" s="13">
        <f t="shared" si="10"/>
        <v>59703.859999999986</v>
      </c>
      <c r="AP21" s="13">
        <f t="shared" si="10"/>
        <v>59703.859999999986</v>
      </c>
      <c r="AQ21" s="13">
        <f t="shared" si="10"/>
        <v>7668.7099999999846</v>
      </c>
      <c r="AR21" s="13">
        <f t="shared" si="10"/>
        <v>22535.609999999986</v>
      </c>
      <c r="AS21" s="13">
        <f t="shared" si="10"/>
        <v>35722.909999999989</v>
      </c>
      <c r="AT21" s="13">
        <f t="shared" si="10"/>
        <v>15081.959999999988</v>
      </c>
      <c r="AU21" s="13">
        <f t="shared" si="10"/>
        <v>20435.009999999987</v>
      </c>
      <c r="AV21" s="13">
        <f t="shared" si="10"/>
        <v>45687.259999999987</v>
      </c>
      <c r="AW21" s="13">
        <f t="shared" si="10"/>
        <v>72295.00999999998</v>
      </c>
      <c r="AX21" s="13">
        <f t="shared" si="10"/>
        <v>15125.14999999998</v>
      </c>
      <c r="AY21" s="13">
        <f t="shared" si="10"/>
        <v>25268.549999999981</v>
      </c>
      <c r="AZ21" s="13">
        <f t="shared" si="10"/>
        <v>43226.449999999983</v>
      </c>
      <c r="BA21" s="13">
        <f t="shared" si="10"/>
        <v>18485.849999999984</v>
      </c>
      <c r="BB21" s="13">
        <f t="shared" si="10"/>
        <v>40737.749999999985</v>
      </c>
      <c r="BC21" s="13">
        <f t="shared" si="10"/>
        <v>43074.399999999987</v>
      </c>
      <c r="BD21" s="13">
        <f t="shared" si="10"/>
        <v>49857.149999999987</v>
      </c>
      <c r="BE21" s="13">
        <f t="shared" si="10"/>
        <v>94528.979999999981</v>
      </c>
      <c r="BF21" s="13">
        <f t="shared" si="10"/>
        <v>56806.64999999998</v>
      </c>
      <c r="BG21" s="13">
        <f t="shared" si="10"/>
        <v>110776.54999999999</v>
      </c>
      <c r="BH21" s="13">
        <f t="shared" si="10"/>
        <v>113767.24999999999</v>
      </c>
      <c r="BI21" s="13">
        <f t="shared" si="10"/>
        <v>130148.54999999999</v>
      </c>
      <c r="BJ21" s="13">
        <f t="shared" si="10"/>
        <v>119610.44999999998</v>
      </c>
      <c r="BK21" s="13">
        <f t="shared" si="10"/>
        <v>55937.89999999998</v>
      </c>
      <c r="BL21" s="13">
        <f t="shared" si="10"/>
        <v>215257.72999999998</v>
      </c>
      <c r="BM21" s="13">
        <f t="shared" si="10"/>
        <v>199280.12</v>
      </c>
      <c r="BN21" s="13">
        <f t="shared" ref="BN21:CS21" si="11">SUM(BN19:BN20)</f>
        <v>412230.64</v>
      </c>
      <c r="BO21" s="13">
        <f t="shared" si="11"/>
        <v>323052.38</v>
      </c>
      <c r="BP21" s="13">
        <f t="shared" si="11"/>
        <v>404732.54000000004</v>
      </c>
      <c r="BQ21" s="13">
        <f t="shared" si="11"/>
        <v>782631.29</v>
      </c>
      <c r="BR21" s="13">
        <f t="shared" si="11"/>
        <v>302129.10000000003</v>
      </c>
      <c r="BS21" s="13">
        <f t="shared" si="11"/>
        <v>379688.27</v>
      </c>
      <c r="BT21" s="13">
        <f t="shared" si="11"/>
        <v>677369.92</v>
      </c>
      <c r="BU21" s="13">
        <f t="shared" si="11"/>
        <v>444527.87000000005</v>
      </c>
      <c r="BV21" s="13">
        <f t="shared" si="11"/>
        <v>652948.66</v>
      </c>
      <c r="BW21" s="13">
        <f t="shared" si="11"/>
        <v>113700.66000000003</v>
      </c>
      <c r="BX21" s="13">
        <f t="shared" si="11"/>
        <v>324274.39</v>
      </c>
      <c r="BY21" s="13">
        <f t="shared" si="11"/>
        <v>420054.87</v>
      </c>
      <c r="BZ21" s="13">
        <f t="shared" si="11"/>
        <v>328083.3</v>
      </c>
      <c r="CA21" s="13">
        <f t="shared" si="11"/>
        <v>318016.69</v>
      </c>
    </row>
    <row r="22" spans="1:79" x14ac:dyDescent="0.2">
      <c r="A22" s="9" t="s">
        <v>98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</row>
    <row r="23" spans="1:79" x14ac:dyDescent="0.2">
      <c r="A23" s="10" t="s">
        <v>99</v>
      </c>
      <c r="B23" s="19">
        <v>31685</v>
      </c>
      <c r="C23" s="19">
        <v>23895</v>
      </c>
      <c r="D23" s="19">
        <v>21802.5</v>
      </c>
      <c r="E23" s="19">
        <v>20115</v>
      </c>
      <c r="F23" s="19">
        <v>15997.5</v>
      </c>
      <c r="G23" s="19">
        <v>24570</v>
      </c>
      <c r="H23" s="19">
        <v>12420</v>
      </c>
      <c r="I23" s="19">
        <v>22882.5</v>
      </c>
      <c r="J23" s="19">
        <v>26392.5</v>
      </c>
      <c r="K23" s="19">
        <v>31030</v>
      </c>
      <c r="L23" s="19">
        <v>20030</v>
      </c>
      <c r="M23" s="19">
        <v>20055</v>
      </c>
      <c r="N23" s="19">
        <v>3500</v>
      </c>
      <c r="O23" s="19">
        <v>15000</v>
      </c>
      <c r="P23" s="19">
        <v>0</v>
      </c>
      <c r="Q23" s="19">
        <v>0</v>
      </c>
      <c r="R23" s="19">
        <v>22750</v>
      </c>
      <c r="S23" s="19">
        <v>0</v>
      </c>
      <c r="T23" s="19">
        <v>15000</v>
      </c>
      <c r="U23" s="19">
        <v>25650</v>
      </c>
      <c r="V23" s="19">
        <v>27600</v>
      </c>
      <c r="W23" s="19">
        <v>24000</v>
      </c>
      <c r="X23" s="19">
        <v>22650</v>
      </c>
      <c r="Y23" s="19">
        <v>23025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11170</v>
      </c>
      <c r="BC23" s="19">
        <v>11170</v>
      </c>
      <c r="BD23" s="19">
        <v>11170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>
        <v>0</v>
      </c>
      <c r="BW23" s="19">
        <v>0</v>
      </c>
      <c r="BX23" s="19">
        <v>0</v>
      </c>
      <c r="BY23" s="19">
        <v>0</v>
      </c>
      <c r="BZ23" s="19">
        <v>0</v>
      </c>
      <c r="CA23" s="19">
        <v>0</v>
      </c>
    </row>
    <row r="24" spans="1:79" x14ac:dyDescent="0.2">
      <c r="A24" s="12" t="s">
        <v>100</v>
      </c>
      <c r="B24" s="13">
        <f t="shared" ref="B24:AG24" si="12">SUM(B23)</f>
        <v>31685</v>
      </c>
      <c r="C24" s="13">
        <f t="shared" si="12"/>
        <v>23895</v>
      </c>
      <c r="D24" s="13">
        <f t="shared" si="12"/>
        <v>21802.5</v>
      </c>
      <c r="E24" s="13">
        <f t="shared" si="12"/>
        <v>20115</v>
      </c>
      <c r="F24" s="13">
        <f t="shared" si="12"/>
        <v>15997.5</v>
      </c>
      <c r="G24" s="13">
        <f t="shared" si="12"/>
        <v>24570</v>
      </c>
      <c r="H24" s="13">
        <f t="shared" si="12"/>
        <v>12420</v>
      </c>
      <c r="I24" s="13">
        <f t="shared" si="12"/>
        <v>22882.5</v>
      </c>
      <c r="J24" s="13">
        <f t="shared" si="12"/>
        <v>26392.5</v>
      </c>
      <c r="K24" s="13">
        <f t="shared" si="12"/>
        <v>31030</v>
      </c>
      <c r="L24" s="13">
        <f t="shared" si="12"/>
        <v>20030</v>
      </c>
      <c r="M24" s="13">
        <f t="shared" si="12"/>
        <v>20055</v>
      </c>
      <c r="N24" s="13">
        <f t="shared" si="12"/>
        <v>3500</v>
      </c>
      <c r="O24" s="13">
        <f t="shared" si="12"/>
        <v>15000</v>
      </c>
      <c r="P24" s="13">
        <f t="shared" si="12"/>
        <v>0</v>
      </c>
      <c r="Q24" s="13">
        <f t="shared" si="12"/>
        <v>0</v>
      </c>
      <c r="R24" s="13">
        <f t="shared" si="12"/>
        <v>22750</v>
      </c>
      <c r="S24" s="13">
        <f t="shared" si="12"/>
        <v>0</v>
      </c>
      <c r="T24" s="13">
        <f t="shared" si="12"/>
        <v>15000</v>
      </c>
      <c r="U24" s="13">
        <f t="shared" si="12"/>
        <v>25650</v>
      </c>
      <c r="V24" s="13">
        <f t="shared" si="12"/>
        <v>27600</v>
      </c>
      <c r="W24" s="13">
        <f t="shared" si="12"/>
        <v>24000</v>
      </c>
      <c r="X24" s="13">
        <f t="shared" si="12"/>
        <v>22650</v>
      </c>
      <c r="Y24" s="13">
        <f t="shared" si="12"/>
        <v>23025</v>
      </c>
      <c r="Z24" s="13">
        <f t="shared" si="12"/>
        <v>0</v>
      </c>
      <c r="AA24" s="13">
        <f t="shared" si="12"/>
        <v>0</v>
      </c>
      <c r="AB24" s="13">
        <f t="shared" si="12"/>
        <v>0</v>
      </c>
      <c r="AC24" s="13">
        <f t="shared" si="12"/>
        <v>0</v>
      </c>
      <c r="AD24" s="13">
        <f t="shared" si="12"/>
        <v>0</v>
      </c>
      <c r="AE24" s="13">
        <f t="shared" si="12"/>
        <v>0</v>
      </c>
      <c r="AF24" s="13">
        <f t="shared" si="12"/>
        <v>0</v>
      </c>
      <c r="AG24" s="13">
        <f t="shared" si="12"/>
        <v>0</v>
      </c>
      <c r="AH24" s="13">
        <f t="shared" ref="AH24:BM24" si="13">SUM(AH23)</f>
        <v>0</v>
      </c>
      <c r="AI24" s="13">
        <f t="shared" si="13"/>
        <v>0</v>
      </c>
      <c r="AJ24" s="13">
        <f t="shared" si="13"/>
        <v>0</v>
      </c>
      <c r="AK24" s="13">
        <f t="shared" si="13"/>
        <v>0</v>
      </c>
      <c r="AL24" s="13">
        <f t="shared" si="13"/>
        <v>0</v>
      </c>
      <c r="AM24" s="13">
        <f t="shared" si="13"/>
        <v>0</v>
      </c>
      <c r="AN24" s="13">
        <f t="shared" si="13"/>
        <v>0</v>
      </c>
      <c r="AO24" s="13">
        <f t="shared" si="13"/>
        <v>0</v>
      </c>
      <c r="AP24" s="13">
        <f t="shared" si="13"/>
        <v>0</v>
      </c>
      <c r="AQ24" s="13">
        <f t="shared" si="13"/>
        <v>0</v>
      </c>
      <c r="AR24" s="13">
        <f t="shared" si="13"/>
        <v>0</v>
      </c>
      <c r="AS24" s="13">
        <f t="shared" si="13"/>
        <v>0</v>
      </c>
      <c r="AT24" s="13">
        <f t="shared" si="13"/>
        <v>0</v>
      </c>
      <c r="AU24" s="13">
        <f t="shared" si="13"/>
        <v>0</v>
      </c>
      <c r="AV24" s="13">
        <f t="shared" si="13"/>
        <v>0</v>
      </c>
      <c r="AW24" s="13">
        <f t="shared" si="13"/>
        <v>0</v>
      </c>
      <c r="AX24" s="13">
        <f t="shared" si="13"/>
        <v>0</v>
      </c>
      <c r="AY24" s="13">
        <f t="shared" si="13"/>
        <v>0</v>
      </c>
      <c r="AZ24" s="13">
        <f t="shared" si="13"/>
        <v>0</v>
      </c>
      <c r="BA24" s="13">
        <f t="shared" si="13"/>
        <v>0</v>
      </c>
      <c r="BB24" s="13">
        <f t="shared" si="13"/>
        <v>11170</v>
      </c>
      <c r="BC24" s="13">
        <f t="shared" si="13"/>
        <v>11170</v>
      </c>
      <c r="BD24" s="13">
        <f t="shared" si="13"/>
        <v>11170</v>
      </c>
      <c r="BE24" s="13">
        <f t="shared" si="13"/>
        <v>0</v>
      </c>
      <c r="BF24" s="13">
        <f t="shared" si="13"/>
        <v>0</v>
      </c>
      <c r="BG24" s="13">
        <f t="shared" si="13"/>
        <v>0</v>
      </c>
      <c r="BH24" s="13">
        <f t="shared" si="13"/>
        <v>0</v>
      </c>
      <c r="BI24" s="13">
        <f t="shared" si="13"/>
        <v>0</v>
      </c>
      <c r="BJ24" s="13">
        <f t="shared" si="13"/>
        <v>0</v>
      </c>
      <c r="BK24" s="13">
        <f t="shared" si="13"/>
        <v>0</v>
      </c>
      <c r="BL24" s="13">
        <f t="shared" si="13"/>
        <v>0</v>
      </c>
      <c r="BM24" s="13">
        <f t="shared" si="13"/>
        <v>0</v>
      </c>
      <c r="BN24" s="13">
        <f t="shared" ref="BN24:CS24" si="14">SUM(BN23)</f>
        <v>0</v>
      </c>
      <c r="BO24" s="13">
        <f t="shared" si="14"/>
        <v>0</v>
      </c>
      <c r="BP24" s="13">
        <f t="shared" si="14"/>
        <v>0</v>
      </c>
      <c r="BQ24" s="13">
        <f t="shared" si="14"/>
        <v>0</v>
      </c>
      <c r="BR24" s="13">
        <f t="shared" si="14"/>
        <v>0</v>
      </c>
      <c r="BS24" s="13">
        <f t="shared" si="14"/>
        <v>0</v>
      </c>
      <c r="BT24" s="13">
        <f t="shared" si="14"/>
        <v>0</v>
      </c>
      <c r="BU24" s="13">
        <f t="shared" si="14"/>
        <v>0</v>
      </c>
      <c r="BV24" s="13">
        <f t="shared" si="14"/>
        <v>0</v>
      </c>
      <c r="BW24" s="13">
        <f t="shared" si="14"/>
        <v>0</v>
      </c>
      <c r="BX24" s="13">
        <f t="shared" si="14"/>
        <v>0</v>
      </c>
      <c r="BY24" s="13">
        <f t="shared" si="14"/>
        <v>0</v>
      </c>
      <c r="BZ24" s="13">
        <f t="shared" si="14"/>
        <v>0</v>
      </c>
      <c r="CA24" s="13">
        <f t="shared" si="14"/>
        <v>0</v>
      </c>
    </row>
    <row r="25" spans="1:79" x14ac:dyDescent="0.2">
      <c r="A25" s="9" t="s">
        <v>101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</row>
    <row r="26" spans="1:79" x14ac:dyDescent="0.2">
      <c r="A26" s="10" t="s">
        <v>102</v>
      </c>
      <c r="B26" s="19">
        <v>8872</v>
      </c>
      <c r="C26" s="19">
        <v>10141.700000000001</v>
      </c>
      <c r="D26" s="19">
        <v>10323.400000000001</v>
      </c>
      <c r="E26" s="19">
        <v>8872.0000000000018</v>
      </c>
      <c r="F26" s="19">
        <v>9776.7500000000018</v>
      </c>
      <c r="G26" s="19">
        <v>10745.150000000001</v>
      </c>
      <c r="H26" s="19">
        <v>8872.0000000000018</v>
      </c>
      <c r="I26" s="19">
        <v>10659.400000000001</v>
      </c>
      <c r="J26" s="19">
        <v>10940.050000000001</v>
      </c>
      <c r="K26" s="19">
        <v>8872</v>
      </c>
      <c r="L26" s="19">
        <v>9108.15</v>
      </c>
      <c r="M26" s="19">
        <v>9210</v>
      </c>
      <c r="N26" s="19">
        <v>8872</v>
      </c>
      <c r="O26" s="19">
        <v>10260.5</v>
      </c>
      <c r="P26" s="19">
        <v>10463.35</v>
      </c>
      <c r="Q26" s="19">
        <v>8872</v>
      </c>
      <c r="R26" s="19">
        <v>9167.15</v>
      </c>
      <c r="S26" s="19">
        <v>9411.0499999999993</v>
      </c>
      <c r="T26" s="19">
        <v>8872</v>
      </c>
      <c r="U26" s="19">
        <v>9143.35</v>
      </c>
      <c r="V26" s="19">
        <v>9200.35</v>
      </c>
      <c r="W26" s="19">
        <v>8872</v>
      </c>
      <c r="X26" s="19">
        <v>9068.4500000000007</v>
      </c>
      <c r="Y26" s="19">
        <v>9346.0500000000011</v>
      </c>
      <c r="Z26" s="19">
        <v>8872.0000000000018</v>
      </c>
      <c r="AA26" s="19">
        <v>10161.800000000001</v>
      </c>
      <c r="AB26" s="19">
        <v>10303.500000000002</v>
      </c>
      <c r="AC26" s="19">
        <v>8872.0000000000018</v>
      </c>
      <c r="AD26" s="19">
        <v>9131.2500000000018</v>
      </c>
      <c r="AE26" s="19">
        <v>11925.550000000003</v>
      </c>
      <c r="AF26" s="19">
        <v>8872.0000000000036</v>
      </c>
      <c r="AG26" s="19">
        <v>13149.640000000003</v>
      </c>
      <c r="AH26" s="19">
        <v>15939.210000000003</v>
      </c>
      <c r="AI26" s="19">
        <v>8872.0000000000036</v>
      </c>
      <c r="AJ26" s="19">
        <v>13625.100000000004</v>
      </c>
      <c r="AK26" s="19">
        <v>13911.800000000005</v>
      </c>
      <c r="AL26" s="19">
        <v>8872.0000000000036</v>
      </c>
      <c r="AM26" s="19">
        <v>8872.0000000000036</v>
      </c>
      <c r="AN26" s="19">
        <v>8872.0000000000036</v>
      </c>
      <c r="AO26" s="19">
        <v>16872.000000000004</v>
      </c>
      <c r="AP26" s="19">
        <v>17338.900000000005</v>
      </c>
      <c r="AQ26" s="19">
        <v>17601.650000000005</v>
      </c>
      <c r="AR26" s="19">
        <v>8000.0000000000055</v>
      </c>
      <c r="AS26" s="19">
        <v>8397.8000000000047</v>
      </c>
      <c r="AT26" s="19">
        <v>8636.1500000000051</v>
      </c>
      <c r="AU26" s="19">
        <v>8000.0000000000055</v>
      </c>
      <c r="AV26" s="19">
        <v>8000.0000000000055</v>
      </c>
      <c r="AW26" s="19">
        <v>8000.0000000000055</v>
      </c>
      <c r="AX26" s="19">
        <v>8000.0000000000055</v>
      </c>
      <c r="AY26" s="19">
        <v>8000.0000000000055</v>
      </c>
      <c r="AZ26" s="19">
        <v>8000.0000000000055</v>
      </c>
      <c r="BA26" s="19">
        <v>8000.0000000000055</v>
      </c>
      <c r="BB26" s="19">
        <v>8000.0000000000055</v>
      </c>
      <c r="BC26" s="19">
        <v>5.4569682106375694E-12</v>
      </c>
      <c r="BD26" s="19">
        <v>5.4569682106375694E-12</v>
      </c>
      <c r="BE26" s="19">
        <v>5.4569682106375694E-12</v>
      </c>
      <c r="BF26" s="19">
        <v>5.4569682106375694E-12</v>
      </c>
      <c r="BG26" s="19">
        <v>5.4569682106375694E-12</v>
      </c>
      <c r="BH26" s="19">
        <v>5.4569682106375694E-12</v>
      </c>
      <c r="BI26" s="19">
        <v>5.4569682106375694E-12</v>
      </c>
      <c r="BJ26" s="19">
        <v>5.4569682106375694E-12</v>
      </c>
      <c r="BK26" s="19">
        <v>5.4569682106375694E-12</v>
      </c>
      <c r="BL26" s="19">
        <v>5.4569682106375694E-12</v>
      </c>
      <c r="BM26" s="19">
        <v>5.4569682106375694E-12</v>
      </c>
      <c r="BN26" s="19">
        <v>5.4569682106375694E-12</v>
      </c>
      <c r="BO26" s="19">
        <v>5.4569682106375694E-12</v>
      </c>
      <c r="BP26" s="19">
        <v>5.4569682106375694E-12</v>
      </c>
      <c r="BQ26" s="19">
        <v>5.4569682106375694E-12</v>
      </c>
      <c r="BR26" s="19">
        <v>5.4569682106375694E-12</v>
      </c>
      <c r="BS26" s="19">
        <v>5.4569682106375694E-12</v>
      </c>
      <c r="BT26" s="19">
        <v>5.4569682106375694E-12</v>
      </c>
      <c r="BU26" s="19">
        <v>5.4569682106375694E-12</v>
      </c>
      <c r="BV26" s="19">
        <v>5.4569682106375694E-12</v>
      </c>
      <c r="BW26" s="19">
        <v>5.4569682106375694E-12</v>
      </c>
      <c r="BX26" s="19">
        <v>28500.000000000007</v>
      </c>
      <c r="BY26" s="19">
        <v>28500.000000000007</v>
      </c>
      <c r="BZ26" s="19">
        <v>28500.000000000007</v>
      </c>
      <c r="CA26" s="19">
        <v>28500.000000000007</v>
      </c>
    </row>
    <row r="27" spans="1:79" x14ac:dyDescent="0.2">
      <c r="A27" s="10" t="s">
        <v>103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926.75</v>
      </c>
      <c r="AY27" s="19">
        <v>926.75</v>
      </c>
      <c r="AZ27" s="19">
        <v>926.75</v>
      </c>
      <c r="BA27" s="19">
        <v>926.75</v>
      </c>
      <c r="BB27" s="19">
        <v>926.75</v>
      </c>
      <c r="BC27" s="19">
        <v>926.75</v>
      </c>
      <c r="BD27" s="19">
        <v>926.75</v>
      </c>
      <c r="BE27" s="19">
        <v>926.75</v>
      </c>
      <c r="BF27" s="19">
        <v>926.75</v>
      </c>
      <c r="BG27" s="19">
        <v>926.75</v>
      </c>
      <c r="BH27" s="19">
        <v>926.75</v>
      </c>
      <c r="BI27" s="19">
        <v>926.75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>
        <v>0</v>
      </c>
      <c r="BW27" s="19">
        <v>0</v>
      </c>
      <c r="BX27" s="19">
        <v>0</v>
      </c>
      <c r="BY27" s="19">
        <v>0</v>
      </c>
      <c r="BZ27" s="19">
        <v>0</v>
      </c>
      <c r="CA27" s="19">
        <v>0</v>
      </c>
    </row>
    <row r="28" spans="1:79" x14ac:dyDescent="0.2">
      <c r="A28" s="10" t="s">
        <v>104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677.45</v>
      </c>
      <c r="AY28" s="19">
        <v>677.45</v>
      </c>
      <c r="AZ28" s="19">
        <v>677.45</v>
      </c>
      <c r="BA28" s="19">
        <v>677.45</v>
      </c>
      <c r="BB28" s="19">
        <v>677.45</v>
      </c>
      <c r="BC28" s="19">
        <v>677.45</v>
      </c>
      <c r="BD28" s="19">
        <v>677.45</v>
      </c>
      <c r="BE28" s="19">
        <v>677.45</v>
      </c>
      <c r="BF28" s="19">
        <v>677.45</v>
      </c>
      <c r="BG28" s="19">
        <v>677.45</v>
      </c>
      <c r="BH28" s="19">
        <v>677.45</v>
      </c>
      <c r="BI28" s="19">
        <v>677.45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</row>
    <row r="29" spans="1:79" x14ac:dyDescent="0.2">
      <c r="A29" s="10" t="s">
        <v>105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-8397.11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-3476.45</v>
      </c>
      <c r="AW29" s="19">
        <v>-9.9999999999909051E-2</v>
      </c>
      <c r="AX29" s="19">
        <v>9.095502129241595E-14</v>
      </c>
      <c r="AY29" s="19">
        <v>9.095502129241595E-14</v>
      </c>
      <c r="AZ29" s="19">
        <v>4132.25</v>
      </c>
      <c r="BA29" s="19">
        <v>4132.26</v>
      </c>
      <c r="BB29" s="19">
        <v>484.46000000000004</v>
      </c>
      <c r="BC29" s="19">
        <v>4132.26</v>
      </c>
      <c r="BD29" s="19">
        <v>4132.26</v>
      </c>
      <c r="BE29" s="19">
        <v>4132.26</v>
      </c>
      <c r="BF29" s="19">
        <v>-3204.9399999999996</v>
      </c>
      <c r="BG29" s="19">
        <v>-3204.9399999999996</v>
      </c>
      <c r="BH29" s="19">
        <v>-3204.9399999999996</v>
      </c>
      <c r="BI29" s="19">
        <v>15138.560000000001</v>
      </c>
      <c r="BJ29" s="19">
        <v>1.8189894035458565E-12</v>
      </c>
      <c r="BK29" s="19">
        <v>1.8189894035458565E-12</v>
      </c>
      <c r="BL29" s="19">
        <v>12889.000000000002</v>
      </c>
      <c r="BM29" s="19">
        <v>-9609.2599999999966</v>
      </c>
      <c r="BN29" s="19">
        <v>-9609.2599999999966</v>
      </c>
      <c r="BO29" s="19">
        <v>12888.990000000003</v>
      </c>
      <c r="BP29" s="19">
        <v>-48237.679999999993</v>
      </c>
      <c r="BQ29" s="19">
        <v>-48237.679999999993</v>
      </c>
      <c r="BR29" s="19">
        <v>12888.970000000008</v>
      </c>
      <c r="BS29" s="19">
        <v>-54668.49</v>
      </c>
      <c r="BT29" s="19">
        <v>-54668.49</v>
      </c>
      <c r="BU29" s="19">
        <v>12888.96</v>
      </c>
      <c r="BV29" s="19">
        <v>0</v>
      </c>
      <c r="BW29" s="19">
        <v>0</v>
      </c>
      <c r="BX29" s="19">
        <v>0</v>
      </c>
      <c r="BY29" s="19">
        <v>-38953.589999999997</v>
      </c>
      <c r="BZ29" s="19">
        <v>-3.9999999993597157E-2</v>
      </c>
      <c r="CA29" s="19">
        <v>-3.9999999993597157E-2</v>
      </c>
    </row>
    <row r="30" spans="1:79" x14ac:dyDescent="0.2">
      <c r="A30" s="10" t="s">
        <v>106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16132.4</v>
      </c>
      <c r="AM30" s="19">
        <v>16132.4</v>
      </c>
      <c r="AN30" s="19">
        <v>16132.4</v>
      </c>
      <c r="AO30" s="19">
        <v>16132.4</v>
      </c>
      <c r="AP30" s="19">
        <v>16132.4</v>
      </c>
      <c r="AQ30" s="19">
        <v>16132.4</v>
      </c>
      <c r="AR30" s="19">
        <v>16132.4</v>
      </c>
      <c r="AS30" s="19">
        <v>16132.4</v>
      </c>
      <c r="AT30" s="19">
        <v>16132.4</v>
      </c>
      <c r="AU30" s="19">
        <v>16132.4</v>
      </c>
      <c r="AV30" s="19">
        <v>16132.4</v>
      </c>
      <c r="AW30" s="19">
        <v>16132.4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>
        <v>0</v>
      </c>
      <c r="BW30" s="19">
        <v>0</v>
      </c>
      <c r="BX30" s="19">
        <v>0</v>
      </c>
      <c r="BY30" s="19">
        <v>0</v>
      </c>
      <c r="BZ30" s="19">
        <v>0</v>
      </c>
      <c r="CA30" s="19">
        <v>0</v>
      </c>
    </row>
    <row r="31" spans="1:79" x14ac:dyDescent="0.2">
      <c r="A31" s="12" t="s">
        <v>107</v>
      </c>
      <c r="B31" s="13">
        <f t="shared" ref="B31:AG31" si="15">SUM(B26:B30)</f>
        <v>8872</v>
      </c>
      <c r="C31" s="13">
        <f t="shared" si="15"/>
        <v>10141.700000000001</v>
      </c>
      <c r="D31" s="13">
        <f t="shared" si="15"/>
        <v>10323.400000000001</v>
      </c>
      <c r="E31" s="13">
        <f t="shared" si="15"/>
        <v>8872.0000000000018</v>
      </c>
      <c r="F31" s="13">
        <f t="shared" si="15"/>
        <v>9776.7500000000018</v>
      </c>
      <c r="G31" s="13">
        <f t="shared" si="15"/>
        <v>10745.150000000001</v>
      </c>
      <c r="H31" s="13">
        <f t="shared" si="15"/>
        <v>8872.0000000000018</v>
      </c>
      <c r="I31" s="13">
        <f t="shared" si="15"/>
        <v>10659.400000000001</v>
      </c>
      <c r="J31" s="13">
        <f t="shared" si="15"/>
        <v>10940.050000000001</v>
      </c>
      <c r="K31" s="13">
        <f t="shared" si="15"/>
        <v>8872</v>
      </c>
      <c r="L31" s="13">
        <f t="shared" si="15"/>
        <v>9108.15</v>
      </c>
      <c r="M31" s="13">
        <f t="shared" si="15"/>
        <v>9210</v>
      </c>
      <c r="N31" s="13">
        <f t="shared" si="15"/>
        <v>8872</v>
      </c>
      <c r="O31" s="13">
        <f t="shared" si="15"/>
        <v>10260.5</v>
      </c>
      <c r="P31" s="13">
        <f t="shared" si="15"/>
        <v>10463.35</v>
      </c>
      <c r="Q31" s="13">
        <f t="shared" si="15"/>
        <v>8872</v>
      </c>
      <c r="R31" s="13">
        <f t="shared" si="15"/>
        <v>9167.15</v>
      </c>
      <c r="S31" s="13">
        <f t="shared" si="15"/>
        <v>9411.0499999999993</v>
      </c>
      <c r="T31" s="13">
        <f t="shared" si="15"/>
        <v>8872</v>
      </c>
      <c r="U31" s="13">
        <f t="shared" si="15"/>
        <v>9143.35</v>
      </c>
      <c r="V31" s="13">
        <f t="shared" si="15"/>
        <v>9200.35</v>
      </c>
      <c r="W31" s="13">
        <f t="shared" si="15"/>
        <v>8872</v>
      </c>
      <c r="X31" s="13">
        <f t="shared" si="15"/>
        <v>9068.4500000000007</v>
      </c>
      <c r="Y31" s="13">
        <f t="shared" si="15"/>
        <v>9346.0500000000011</v>
      </c>
      <c r="Z31" s="13">
        <f t="shared" si="15"/>
        <v>8872.0000000000018</v>
      </c>
      <c r="AA31" s="13">
        <f t="shared" si="15"/>
        <v>10161.800000000001</v>
      </c>
      <c r="AB31" s="13">
        <f t="shared" si="15"/>
        <v>10303.500000000002</v>
      </c>
      <c r="AC31" s="13">
        <f t="shared" si="15"/>
        <v>8872.0000000000018</v>
      </c>
      <c r="AD31" s="13">
        <f t="shared" si="15"/>
        <v>9131.2500000000018</v>
      </c>
      <c r="AE31" s="13">
        <f t="shared" si="15"/>
        <v>11925.550000000003</v>
      </c>
      <c r="AF31" s="13">
        <f t="shared" si="15"/>
        <v>8872.0000000000036</v>
      </c>
      <c r="AG31" s="13">
        <f t="shared" si="15"/>
        <v>13149.640000000003</v>
      </c>
      <c r="AH31" s="13">
        <f t="shared" ref="AH31:BM31" si="16">SUM(AH26:AH30)</f>
        <v>15939.210000000003</v>
      </c>
      <c r="AI31" s="13">
        <f t="shared" si="16"/>
        <v>8872.0000000000036</v>
      </c>
      <c r="AJ31" s="13">
        <f t="shared" si="16"/>
        <v>13625.100000000004</v>
      </c>
      <c r="AK31" s="13">
        <f t="shared" si="16"/>
        <v>13911.800000000005</v>
      </c>
      <c r="AL31" s="13">
        <f t="shared" si="16"/>
        <v>25004.400000000001</v>
      </c>
      <c r="AM31" s="13">
        <f t="shared" si="16"/>
        <v>16607.29</v>
      </c>
      <c r="AN31" s="13">
        <f t="shared" si="16"/>
        <v>25004.400000000001</v>
      </c>
      <c r="AO31" s="13">
        <f t="shared" si="16"/>
        <v>33004.400000000001</v>
      </c>
      <c r="AP31" s="13">
        <f t="shared" si="16"/>
        <v>33471.300000000003</v>
      </c>
      <c r="AQ31" s="13">
        <f t="shared" si="16"/>
        <v>33734.050000000003</v>
      </c>
      <c r="AR31" s="13">
        <f t="shared" si="16"/>
        <v>24132.400000000005</v>
      </c>
      <c r="AS31" s="13">
        <f t="shared" si="16"/>
        <v>24530.200000000004</v>
      </c>
      <c r="AT31" s="13">
        <f t="shared" si="16"/>
        <v>24768.550000000003</v>
      </c>
      <c r="AU31" s="13">
        <f t="shared" si="16"/>
        <v>24132.400000000005</v>
      </c>
      <c r="AV31" s="13">
        <f t="shared" si="16"/>
        <v>20655.950000000004</v>
      </c>
      <c r="AW31" s="13">
        <f t="shared" si="16"/>
        <v>24132.300000000003</v>
      </c>
      <c r="AX31" s="13">
        <f t="shared" si="16"/>
        <v>9604.2000000000062</v>
      </c>
      <c r="AY31" s="13">
        <f t="shared" si="16"/>
        <v>9604.2000000000062</v>
      </c>
      <c r="AZ31" s="13">
        <f t="shared" si="16"/>
        <v>13736.450000000006</v>
      </c>
      <c r="BA31" s="13">
        <f t="shared" si="16"/>
        <v>13736.460000000006</v>
      </c>
      <c r="BB31" s="13">
        <f t="shared" si="16"/>
        <v>10088.660000000007</v>
      </c>
      <c r="BC31" s="13">
        <f t="shared" si="16"/>
        <v>5736.4600000000055</v>
      </c>
      <c r="BD31" s="13">
        <f t="shared" si="16"/>
        <v>5736.4600000000055</v>
      </c>
      <c r="BE31" s="13">
        <f t="shared" si="16"/>
        <v>5736.4600000000055</v>
      </c>
      <c r="BF31" s="13">
        <f t="shared" si="16"/>
        <v>-1600.7399999999941</v>
      </c>
      <c r="BG31" s="13">
        <f t="shared" si="16"/>
        <v>-1600.7399999999941</v>
      </c>
      <c r="BH31" s="13">
        <f t="shared" si="16"/>
        <v>-1600.7399999999941</v>
      </c>
      <c r="BI31" s="13">
        <f t="shared" si="16"/>
        <v>16742.760000000006</v>
      </c>
      <c r="BJ31" s="13">
        <f t="shared" si="16"/>
        <v>7.2759576141834259E-12</v>
      </c>
      <c r="BK31" s="13">
        <f t="shared" si="16"/>
        <v>7.2759576141834259E-12</v>
      </c>
      <c r="BL31" s="13">
        <f t="shared" si="16"/>
        <v>12889.000000000007</v>
      </c>
      <c r="BM31" s="13">
        <f t="shared" si="16"/>
        <v>-9609.2599999999911</v>
      </c>
      <c r="BN31" s="13">
        <f t="shared" ref="BN31:CS31" si="17">SUM(BN26:BN30)</f>
        <v>-9609.2599999999911</v>
      </c>
      <c r="BO31" s="13">
        <f t="shared" si="17"/>
        <v>12888.990000000009</v>
      </c>
      <c r="BP31" s="13">
        <f t="shared" si="17"/>
        <v>-48237.679999999986</v>
      </c>
      <c r="BQ31" s="13">
        <f t="shared" si="17"/>
        <v>-48237.679999999986</v>
      </c>
      <c r="BR31" s="13">
        <f t="shared" si="17"/>
        <v>12888.970000000014</v>
      </c>
      <c r="BS31" s="13">
        <f t="shared" si="17"/>
        <v>-54668.489999999991</v>
      </c>
      <c r="BT31" s="13">
        <f t="shared" si="17"/>
        <v>-54668.489999999991</v>
      </c>
      <c r="BU31" s="13">
        <f t="shared" si="17"/>
        <v>12888.960000000005</v>
      </c>
      <c r="BV31" s="13">
        <f t="shared" si="17"/>
        <v>5.4569682106375694E-12</v>
      </c>
      <c r="BW31" s="13">
        <f t="shared" si="17"/>
        <v>5.4569682106375694E-12</v>
      </c>
      <c r="BX31" s="13">
        <f t="shared" si="17"/>
        <v>28500.000000000007</v>
      </c>
      <c r="BY31" s="13">
        <f t="shared" si="17"/>
        <v>-10453.589999999989</v>
      </c>
      <c r="BZ31" s="13">
        <f t="shared" si="17"/>
        <v>28499.960000000014</v>
      </c>
      <c r="CA31" s="13">
        <f t="shared" si="17"/>
        <v>28499.960000000014</v>
      </c>
    </row>
    <row r="32" spans="1:79" x14ac:dyDescent="0.2">
      <c r="A32" s="14" t="s">
        <v>108</v>
      </c>
      <c r="B32" s="15">
        <f t="shared" ref="B32:AG32" si="18">B21+B24+0+0+0+B31</f>
        <v>40757</v>
      </c>
      <c r="C32" s="15">
        <f t="shared" si="18"/>
        <v>34236.699999999997</v>
      </c>
      <c r="D32" s="15">
        <f t="shared" si="18"/>
        <v>32325.9</v>
      </c>
      <c r="E32" s="15">
        <f t="shared" si="18"/>
        <v>29187</v>
      </c>
      <c r="F32" s="15">
        <f t="shared" si="18"/>
        <v>32178.97</v>
      </c>
      <c r="G32" s="15">
        <f t="shared" si="18"/>
        <v>65285.79</v>
      </c>
      <c r="H32" s="15">
        <f t="shared" si="18"/>
        <v>57666.720000000001</v>
      </c>
      <c r="I32" s="15">
        <f t="shared" si="18"/>
        <v>44724.000000000007</v>
      </c>
      <c r="J32" s="15">
        <f t="shared" si="18"/>
        <v>51385.83</v>
      </c>
      <c r="K32" s="15">
        <f t="shared" si="18"/>
        <v>41986.400000000001</v>
      </c>
      <c r="L32" s="15">
        <f t="shared" si="18"/>
        <v>27634.910000000003</v>
      </c>
      <c r="M32" s="15">
        <f t="shared" si="18"/>
        <v>27761.760000000002</v>
      </c>
      <c r="N32" s="15">
        <f t="shared" si="18"/>
        <v>10868.760000000004</v>
      </c>
      <c r="O32" s="15">
        <f t="shared" si="18"/>
        <v>23757.260000000002</v>
      </c>
      <c r="P32" s="15">
        <f t="shared" si="18"/>
        <v>8960.1100000000042</v>
      </c>
      <c r="Q32" s="15">
        <f t="shared" si="18"/>
        <v>7368.7600000000039</v>
      </c>
      <c r="R32" s="15">
        <f t="shared" si="18"/>
        <v>30413.910000000003</v>
      </c>
      <c r="S32" s="15">
        <f t="shared" si="18"/>
        <v>14585.210000000003</v>
      </c>
      <c r="T32" s="15">
        <f t="shared" si="18"/>
        <v>29046.160000000003</v>
      </c>
      <c r="U32" s="15">
        <f t="shared" si="18"/>
        <v>39967.51</v>
      </c>
      <c r="V32" s="15">
        <f t="shared" si="18"/>
        <v>37989.61</v>
      </c>
      <c r="W32" s="15">
        <f t="shared" si="18"/>
        <v>34061.26</v>
      </c>
      <c r="X32" s="15">
        <f t="shared" si="18"/>
        <v>30215.210000000003</v>
      </c>
      <c r="Y32" s="15">
        <f t="shared" si="18"/>
        <v>36112.660000000003</v>
      </c>
      <c r="Z32" s="15">
        <f t="shared" si="18"/>
        <v>64889.41</v>
      </c>
      <c r="AA32" s="15">
        <f t="shared" si="18"/>
        <v>60934.360000000008</v>
      </c>
      <c r="AB32" s="15">
        <f t="shared" si="18"/>
        <v>10403.410000000005</v>
      </c>
      <c r="AC32" s="15">
        <f t="shared" si="18"/>
        <v>18517.960000000006</v>
      </c>
      <c r="AD32" s="15">
        <f t="shared" si="18"/>
        <v>43971.210000000006</v>
      </c>
      <c r="AE32" s="15">
        <f t="shared" si="18"/>
        <v>84968.86</v>
      </c>
      <c r="AF32" s="15">
        <f t="shared" si="18"/>
        <v>136317.76000000001</v>
      </c>
      <c r="AG32" s="15">
        <f t="shared" si="18"/>
        <v>95249.15</v>
      </c>
      <c r="AH32" s="15">
        <f t="shared" ref="AH32:BM32" si="19">AH21+AH24+0+0+0+AH31</f>
        <v>137556.41999999998</v>
      </c>
      <c r="AI32" s="15">
        <f t="shared" si="19"/>
        <v>65374.209999999992</v>
      </c>
      <c r="AJ32" s="15">
        <f t="shared" si="19"/>
        <v>105187.16</v>
      </c>
      <c r="AK32" s="15">
        <f t="shared" si="19"/>
        <v>108428.76</v>
      </c>
      <c r="AL32" s="15">
        <f t="shared" si="19"/>
        <v>100177.35999999999</v>
      </c>
      <c r="AM32" s="15">
        <f t="shared" si="19"/>
        <v>49080.099999999991</v>
      </c>
      <c r="AN32" s="15">
        <f t="shared" si="19"/>
        <v>102692.06</v>
      </c>
      <c r="AO32" s="15">
        <f t="shared" si="19"/>
        <v>92708.25999999998</v>
      </c>
      <c r="AP32" s="15">
        <f t="shared" si="19"/>
        <v>93175.159999999989</v>
      </c>
      <c r="AQ32" s="15">
        <f t="shared" si="19"/>
        <v>41402.759999999987</v>
      </c>
      <c r="AR32" s="15">
        <f t="shared" si="19"/>
        <v>46668.009999999995</v>
      </c>
      <c r="AS32" s="15">
        <f t="shared" si="19"/>
        <v>60253.109999999993</v>
      </c>
      <c r="AT32" s="15">
        <f t="shared" si="19"/>
        <v>39850.509999999995</v>
      </c>
      <c r="AU32" s="15">
        <f t="shared" si="19"/>
        <v>44567.409999999989</v>
      </c>
      <c r="AV32" s="15">
        <f t="shared" si="19"/>
        <v>66343.209999999992</v>
      </c>
      <c r="AW32" s="15">
        <f t="shared" si="19"/>
        <v>96427.309999999983</v>
      </c>
      <c r="AX32" s="15">
        <f t="shared" si="19"/>
        <v>24729.349999999984</v>
      </c>
      <c r="AY32" s="15">
        <f t="shared" si="19"/>
        <v>34872.749999999985</v>
      </c>
      <c r="AZ32" s="15">
        <f t="shared" si="19"/>
        <v>56962.899999999987</v>
      </c>
      <c r="BA32" s="15">
        <f t="shared" si="19"/>
        <v>32222.30999999999</v>
      </c>
      <c r="BB32" s="15">
        <f t="shared" si="19"/>
        <v>61996.409999999989</v>
      </c>
      <c r="BC32" s="15">
        <f t="shared" si="19"/>
        <v>59980.859999999993</v>
      </c>
      <c r="BD32" s="15">
        <f t="shared" si="19"/>
        <v>66763.609999999986</v>
      </c>
      <c r="BE32" s="15">
        <f t="shared" si="19"/>
        <v>100265.43999999999</v>
      </c>
      <c r="BF32" s="15">
        <f t="shared" si="19"/>
        <v>55205.909999999989</v>
      </c>
      <c r="BG32" s="15">
        <f t="shared" si="19"/>
        <v>109175.81</v>
      </c>
      <c r="BH32" s="15">
        <f t="shared" si="19"/>
        <v>112166.51</v>
      </c>
      <c r="BI32" s="15">
        <f t="shared" si="19"/>
        <v>146891.31</v>
      </c>
      <c r="BJ32" s="15">
        <f t="shared" si="19"/>
        <v>119610.44999999998</v>
      </c>
      <c r="BK32" s="15">
        <f t="shared" si="19"/>
        <v>55937.899999999987</v>
      </c>
      <c r="BL32" s="15">
        <f t="shared" si="19"/>
        <v>228146.72999999998</v>
      </c>
      <c r="BM32" s="15">
        <f t="shared" si="19"/>
        <v>189670.86000000002</v>
      </c>
      <c r="BN32" s="15">
        <f t="shared" ref="BN32:CS32" si="20">BN21+BN24+0+0+0+BN31</f>
        <v>402621.38</v>
      </c>
      <c r="BO32" s="15">
        <f t="shared" si="20"/>
        <v>335941.37</v>
      </c>
      <c r="BP32" s="15">
        <f t="shared" si="20"/>
        <v>356494.86000000004</v>
      </c>
      <c r="BQ32" s="15">
        <f t="shared" si="20"/>
        <v>734393.6100000001</v>
      </c>
      <c r="BR32" s="15">
        <f t="shared" si="20"/>
        <v>315018.07000000007</v>
      </c>
      <c r="BS32" s="15">
        <f t="shared" si="20"/>
        <v>325019.78000000003</v>
      </c>
      <c r="BT32" s="15">
        <f t="shared" si="20"/>
        <v>622701.43000000005</v>
      </c>
      <c r="BU32" s="15">
        <f t="shared" si="20"/>
        <v>457416.83000000007</v>
      </c>
      <c r="BV32" s="15">
        <f t="shared" si="20"/>
        <v>652948.66</v>
      </c>
      <c r="BW32" s="15">
        <f t="shared" si="20"/>
        <v>113700.66000000003</v>
      </c>
      <c r="BX32" s="15">
        <f t="shared" si="20"/>
        <v>352774.39</v>
      </c>
      <c r="BY32" s="15">
        <f t="shared" si="20"/>
        <v>409601.28000000003</v>
      </c>
      <c r="BZ32" s="15">
        <f t="shared" si="20"/>
        <v>356583.26</v>
      </c>
      <c r="CA32" s="15">
        <f t="shared" si="20"/>
        <v>346516.65</v>
      </c>
    </row>
    <row r="33" spans="1:79" x14ac:dyDescent="0.2">
      <c r="A33" s="7" t="s">
        <v>109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</row>
    <row r="34" spans="1:79" x14ac:dyDescent="0.2">
      <c r="A34" s="9" t="s">
        <v>110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</row>
    <row r="35" spans="1:79" x14ac:dyDescent="0.2">
      <c r="A35" s="10" t="s">
        <v>111</v>
      </c>
      <c r="B35" s="19">
        <v>0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2000</v>
      </c>
      <c r="AP35" s="19">
        <v>2000</v>
      </c>
      <c r="AQ35" s="19">
        <v>1965</v>
      </c>
      <c r="AR35" s="19">
        <v>1930</v>
      </c>
      <c r="AS35" s="19">
        <v>1895</v>
      </c>
      <c r="AT35" s="19">
        <v>1860</v>
      </c>
      <c r="AU35" s="19">
        <v>1825</v>
      </c>
      <c r="AV35" s="19">
        <v>1790</v>
      </c>
      <c r="AW35" s="19">
        <v>1755</v>
      </c>
      <c r="AX35" s="19">
        <v>0</v>
      </c>
      <c r="AY35" s="19">
        <v>-35</v>
      </c>
      <c r="AZ35" s="19">
        <v>-70</v>
      </c>
      <c r="BA35" s="19">
        <v>-1720</v>
      </c>
      <c r="BB35" s="19">
        <v>-1720</v>
      </c>
      <c r="BC35" s="19">
        <v>-1720</v>
      </c>
      <c r="BD35" s="19">
        <v>-1720</v>
      </c>
      <c r="BE35" s="19">
        <v>-1720</v>
      </c>
      <c r="BF35" s="19">
        <v>-1720</v>
      </c>
      <c r="BG35" s="19">
        <v>-1720</v>
      </c>
      <c r="BH35" s="19">
        <v>-1720</v>
      </c>
      <c r="BI35" s="19">
        <v>-1720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25462.07</v>
      </c>
      <c r="BZ35" s="19">
        <v>24401.15</v>
      </c>
      <c r="CA35" s="19">
        <v>25739.43</v>
      </c>
    </row>
    <row r="36" spans="1:79" x14ac:dyDescent="0.2">
      <c r="A36" s="12" t="s">
        <v>112</v>
      </c>
      <c r="B36" s="15">
        <f t="shared" ref="B36:AG36" si="21">SUM(B35)</f>
        <v>0</v>
      </c>
      <c r="C36" s="15">
        <f t="shared" si="21"/>
        <v>0</v>
      </c>
      <c r="D36" s="15">
        <f t="shared" si="21"/>
        <v>0</v>
      </c>
      <c r="E36" s="15">
        <f t="shared" si="21"/>
        <v>0</v>
      </c>
      <c r="F36" s="15">
        <f t="shared" si="21"/>
        <v>0</v>
      </c>
      <c r="G36" s="15">
        <f t="shared" si="21"/>
        <v>0</v>
      </c>
      <c r="H36" s="15">
        <f t="shared" si="21"/>
        <v>0</v>
      </c>
      <c r="I36" s="15">
        <f t="shared" si="21"/>
        <v>0</v>
      </c>
      <c r="J36" s="15">
        <f t="shared" si="21"/>
        <v>0</v>
      </c>
      <c r="K36" s="15">
        <f t="shared" si="21"/>
        <v>0</v>
      </c>
      <c r="L36" s="15">
        <f t="shared" si="21"/>
        <v>0</v>
      </c>
      <c r="M36" s="15">
        <f t="shared" si="21"/>
        <v>0</v>
      </c>
      <c r="N36" s="15">
        <f t="shared" si="21"/>
        <v>0</v>
      </c>
      <c r="O36" s="15">
        <f t="shared" si="21"/>
        <v>0</v>
      </c>
      <c r="P36" s="15">
        <f t="shared" si="21"/>
        <v>0</v>
      </c>
      <c r="Q36" s="15">
        <f t="shared" si="21"/>
        <v>0</v>
      </c>
      <c r="R36" s="15">
        <f t="shared" si="21"/>
        <v>0</v>
      </c>
      <c r="S36" s="15">
        <f t="shared" si="21"/>
        <v>0</v>
      </c>
      <c r="T36" s="15">
        <f t="shared" si="21"/>
        <v>0</v>
      </c>
      <c r="U36" s="15">
        <f t="shared" si="21"/>
        <v>0</v>
      </c>
      <c r="V36" s="15">
        <f t="shared" si="21"/>
        <v>0</v>
      </c>
      <c r="W36" s="15">
        <f t="shared" si="21"/>
        <v>0</v>
      </c>
      <c r="X36" s="15">
        <f t="shared" si="21"/>
        <v>0</v>
      </c>
      <c r="Y36" s="15">
        <f t="shared" si="21"/>
        <v>0</v>
      </c>
      <c r="Z36" s="15">
        <f t="shared" si="21"/>
        <v>0</v>
      </c>
      <c r="AA36" s="15">
        <f t="shared" si="21"/>
        <v>0</v>
      </c>
      <c r="AB36" s="15">
        <f t="shared" si="21"/>
        <v>0</v>
      </c>
      <c r="AC36" s="15">
        <f t="shared" si="21"/>
        <v>0</v>
      </c>
      <c r="AD36" s="15">
        <f t="shared" si="21"/>
        <v>0</v>
      </c>
      <c r="AE36" s="15">
        <f t="shared" si="21"/>
        <v>0</v>
      </c>
      <c r="AF36" s="15">
        <f t="shared" si="21"/>
        <v>0</v>
      </c>
      <c r="AG36" s="15">
        <f t="shared" si="21"/>
        <v>0</v>
      </c>
      <c r="AH36" s="15">
        <f t="shared" ref="AH36:BM36" si="22">SUM(AH35)</f>
        <v>0</v>
      </c>
      <c r="AI36" s="15">
        <f t="shared" si="22"/>
        <v>0</v>
      </c>
      <c r="AJ36" s="15">
        <f t="shared" si="22"/>
        <v>0</v>
      </c>
      <c r="AK36" s="15">
        <f t="shared" si="22"/>
        <v>0</v>
      </c>
      <c r="AL36" s="15">
        <f t="shared" si="22"/>
        <v>0</v>
      </c>
      <c r="AM36" s="15">
        <f t="shared" si="22"/>
        <v>0</v>
      </c>
      <c r="AN36" s="15">
        <f t="shared" si="22"/>
        <v>0</v>
      </c>
      <c r="AO36" s="15">
        <f t="shared" si="22"/>
        <v>2000</v>
      </c>
      <c r="AP36" s="15">
        <f t="shared" si="22"/>
        <v>2000</v>
      </c>
      <c r="AQ36" s="15">
        <f t="shared" si="22"/>
        <v>1965</v>
      </c>
      <c r="AR36" s="15">
        <f t="shared" si="22"/>
        <v>1930</v>
      </c>
      <c r="AS36" s="15">
        <f t="shared" si="22"/>
        <v>1895</v>
      </c>
      <c r="AT36" s="15">
        <f t="shared" si="22"/>
        <v>1860</v>
      </c>
      <c r="AU36" s="15">
        <f t="shared" si="22"/>
        <v>1825</v>
      </c>
      <c r="AV36" s="15">
        <f t="shared" si="22"/>
        <v>1790</v>
      </c>
      <c r="AW36" s="15">
        <f t="shared" si="22"/>
        <v>1755</v>
      </c>
      <c r="AX36" s="15">
        <f t="shared" si="22"/>
        <v>0</v>
      </c>
      <c r="AY36" s="15">
        <f t="shared" si="22"/>
        <v>-35</v>
      </c>
      <c r="AZ36" s="15">
        <f t="shared" si="22"/>
        <v>-70</v>
      </c>
      <c r="BA36" s="15">
        <f t="shared" si="22"/>
        <v>-1720</v>
      </c>
      <c r="BB36" s="15">
        <f t="shared" si="22"/>
        <v>-1720</v>
      </c>
      <c r="BC36" s="15">
        <f t="shared" si="22"/>
        <v>-1720</v>
      </c>
      <c r="BD36" s="15">
        <f t="shared" si="22"/>
        <v>-1720</v>
      </c>
      <c r="BE36" s="15">
        <f t="shared" si="22"/>
        <v>-1720</v>
      </c>
      <c r="BF36" s="15">
        <f t="shared" si="22"/>
        <v>-1720</v>
      </c>
      <c r="BG36" s="15">
        <f t="shared" si="22"/>
        <v>-1720</v>
      </c>
      <c r="BH36" s="15">
        <f t="shared" si="22"/>
        <v>-1720</v>
      </c>
      <c r="BI36" s="15">
        <f t="shared" si="22"/>
        <v>-1720</v>
      </c>
      <c r="BJ36" s="15">
        <f t="shared" si="22"/>
        <v>0</v>
      </c>
      <c r="BK36" s="15">
        <f t="shared" si="22"/>
        <v>0</v>
      </c>
      <c r="BL36" s="15">
        <f t="shared" si="22"/>
        <v>0</v>
      </c>
      <c r="BM36" s="15">
        <f t="shared" si="22"/>
        <v>0</v>
      </c>
      <c r="BN36" s="15">
        <f t="shared" ref="BN36:CS36" si="23">SUM(BN35)</f>
        <v>0</v>
      </c>
      <c r="BO36" s="15">
        <f t="shared" si="23"/>
        <v>0</v>
      </c>
      <c r="BP36" s="15">
        <f t="shared" si="23"/>
        <v>0</v>
      </c>
      <c r="BQ36" s="15">
        <f t="shared" si="23"/>
        <v>0</v>
      </c>
      <c r="BR36" s="15">
        <f t="shared" si="23"/>
        <v>0</v>
      </c>
      <c r="BS36" s="15">
        <f t="shared" si="23"/>
        <v>0</v>
      </c>
      <c r="BT36" s="15">
        <f t="shared" si="23"/>
        <v>0</v>
      </c>
      <c r="BU36" s="15">
        <f t="shared" si="23"/>
        <v>0</v>
      </c>
      <c r="BV36" s="15">
        <f t="shared" si="23"/>
        <v>0</v>
      </c>
      <c r="BW36" s="15">
        <f t="shared" si="23"/>
        <v>0</v>
      </c>
      <c r="BX36" s="15">
        <f t="shared" si="23"/>
        <v>0</v>
      </c>
      <c r="BY36" s="15">
        <f t="shared" si="23"/>
        <v>25462.07</v>
      </c>
      <c r="BZ36" s="15">
        <f t="shared" si="23"/>
        <v>24401.15</v>
      </c>
      <c r="CA36" s="15">
        <f t="shared" si="23"/>
        <v>25739.43</v>
      </c>
    </row>
    <row r="37" spans="1:79" x14ac:dyDescent="0.2">
      <c r="A37" s="14" t="s">
        <v>113</v>
      </c>
      <c r="B37" s="15">
        <f t="shared" ref="B37:AG37" si="24">0+B36</f>
        <v>0</v>
      </c>
      <c r="C37" s="15">
        <f t="shared" si="24"/>
        <v>0</v>
      </c>
      <c r="D37" s="15">
        <f t="shared" si="24"/>
        <v>0</v>
      </c>
      <c r="E37" s="15">
        <f t="shared" si="24"/>
        <v>0</v>
      </c>
      <c r="F37" s="15">
        <f t="shared" si="24"/>
        <v>0</v>
      </c>
      <c r="G37" s="15">
        <f t="shared" si="24"/>
        <v>0</v>
      </c>
      <c r="H37" s="15">
        <f t="shared" si="24"/>
        <v>0</v>
      </c>
      <c r="I37" s="15">
        <f t="shared" si="24"/>
        <v>0</v>
      </c>
      <c r="J37" s="15">
        <f t="shared" si="24"/>
        <v>0</v>
      </c>
      <c r="K37" s="15">
        <f t="shared" si="24"/>
        <v>0</v>
      </c>
      <c r="L37" s="15">
        <f t="shared" si="24"/>
        <v>0</v>
      </c>
      <c r="M37" s="15">
        <f t="shared" si="24"/>
        <v>0</v>
      </c>
      <c r="N37" s="15">
        <f t="shared" si="24"/>
        <v>0</v>
      </c>
      <c r="O37" s="15">
        <f t="shared" si="24"/>
        <v>0</v>
      </c>
      <c r="P37" s="15">
        <f t="shared" si="24"/>
        <v>0</v>
      </c>
      <c r="Q37" s="15">
        <f t="shared" si="24"/>
        <v>0</v>
      </c>
      <c r="R37" s="15">
        <f t="shared" si="24"/>
        <v>0</v>
      </c>
      <c r="S37" s="15">
        <f t="shared" si="24"/>
        <v>0</v>
      </c>
      <c r="T37" s="15">
        <f t="shared" si="24"/>
        <v>0</v>
      </c>
      <c r="U37" s="15">
        <f t="shared" si="24"/>
        <v>0</v>
      </c>
      <c r="V37" s="15">
        <f t="shared" si="24"/>
        <v>0</v>
      </c>
      <c r="W37" s="15">
        <f t="shared" si="24"/>
        <v>0</v>
      </c>
      <c r="X37" s="15">
        <f t="shared" si="24"/>
        <v>0</v>
      </c>
      <c r="Y37" s="15">
        <f t="shared" si="24"/>
        <v>0</v>
      </c>
      <c r="Z37" s="15">
        <f t="shared" si="24"/>
        <v>0</v>
      </c>
      <c r="AA37" s="15">
        <f t="shared" si="24"/>
        <v>0</v>
      </c>
      <c r="AB37" s="15">
        <f t="shared" si="24"/>
        <v>0</v>
      </c>
      <c r="AC37" s="15">
        <f t="shared" si="24"/>
        <v>0</v>
      </c>
      <c r="AD37" s="15">
        <f t="shared" si="24"/>
        <v>0</v>
      </c>
      <c r="AE37" s="15">
        <f t="shared" si="24"/>
        <v>0</v>
      </c>
      <c r="AF37" s="15">
        <f t="shared" si="24"/>
        <v>0</v>
      </c>
      <c r="AG37" s="15">
        <f t="shared" si="24"/>
        <v>0</v>
      </c>
      <c r="AH37" s="15">
        <f t="shared" ref="AH37:BM37" si="25">0+AH36</f>
        <v>0</v>
      </c>
      <c r="AI37" s="15">
        <f t="shared" si="25"/>
        <v>0</v>
      </c>
      <c r="AJ37" s="15">
        <f t="shared" si="25"/>
        <v>0</v>
      </c>
      <c r="AK37" s="15">
        <f t="shared" si="25"/>
        <v>0</v>
      </c>
      <c r="AL37" s="15">
        <f t="shared" si="25"/>
        <v>0</v>
      </c>
      <c r="AM37" s="15">
        <f t="shared" si="25"/>
        <v>0</v>
      </c>
      <c r="AN37" s="15">
        <f t="shared" si="25"/>
        <v>0</v>
      </c>
      <c r="AO37" s="15">
        <f t="shared" si="25"/>
        <v>2000</v>
      </c>
      <c r="AP37" s="15">
        <f t="shared" si="25"/>
        <v>2000</v>
      </c>
      <c r="AQ37" s="15">
        <f t="shared" si="25"/>
        <v>1965</v>
      </c>
      <c r="AR37" s="15">
        <f t="shared" si="25"/>
        <v>1930</v>
      </c>
      <c r="AS37" s="15">
        <f t="shared" si="25"/>
        <v>1895</v>
      </c>
      <c r="AT37" s="15">
        <f t="shared" si="25"/>
        <v>1860</v>
      </c>
      <c r="AU37" s="15">
        <f t="shared" si="25"/>
        <v>1825</v>
      </c>
      <c r="AV37" s="15">
        <f t="shared" si="25"/>
        <v>1790</v>
      </c>
      <c r="AW37" s="15">
        <f t="shared" si="25"/>
        <v>1755</v>
      </c>
      <c r="AX37" s="15">
        <f t="shared" si="25"/>
        <v>0</v>
      </c>
      <c r="AY37" s="15">
        <f t="shared" si="25"/>
        <v>-35</v>
      </c>
      <c r="AZ37" s="15">
        <f t="shared" si="25"/>
        <v>-70</v>
      </c>
      <c r="BA37" s="15">
        <f t="shared" si="25"/>
        <v>-1720</v>
      </c>
      <c r="BB37" s="15">
        <f t="shared" si="25"/>
        <v>-1720</v>
      </c>
      <c r="BC37" s="15">
        <f t="shared" si="25"/>
        <v>-1720</v>
      </c>
      <c r="BD37" s="15">
        <f t="shared" si="25"/>
        <v>-1720</v>
      </c>
      <c r="BE37" s="15">
        <f t="shared" si="25"/>
        <v>-1720</v>
      </c>
      <c r="BF37" s="15">
        <f t="shared" si="25"/>
        <v>-1720</v>
      </c>
      <c r="BG37" s="15">
        <f t="shared" si="25"/>
        <v>-1720</v>
      </c>
      <c r="BH37" s="15">
        <f t="shared" si="25"/>
        <v>-1720</v>
      </c>
      <c r="BI37" s="15">
        <f t="shared" si="25"/>
        <v>-1720</v>
      </c>
      <c r="BJ37" s="15">
        <f t="shared" si="25"/>
        <v>0</v>
      </c>
      <c r="BK37" s="15">
        <f t="shared" si="25"/>
        <v>0</v>
      </c>
      <c r="BL37" s="15">
        <f t="shared" si="25"/>
        <v>0</v>
      </c>
      <c r="BM37" s="15">
        <f t="shared" si="25"/>
        <v>0</v>
      </c>
      <c r="BN37" s="15">
        <f t="shared" ref="BN37:CS37" si="26">0+BN36</f>
        <v>0</v>
      </c>
      <c r="BO37" s="15">
        <f t="shared" si="26"/>
        <v>0</v>
      </c>
      <c r="BP37" s="15">
        <f t="shared" si="26"/>
        <v>0</v>
      </c>
      <c r="BQ37" s="15">
        <f t="shared" si="26"/>
        <v>0</v>
      </c>
      <c r="BR37" s="15">
        <f t="shared" si="26"/>
        <v>0</v>
      </c>
      <c r="BS37" s="15">
        <f t="shared" si="26"/>
        <v>0</v>
      </c>
      <c r="BT37" s="15">
        <f t="shared" si="26"/>
        <v>0</v>
      </c>
      <c r="BU37" s="15">
        <f t="shared" si="26"/>
        <v>0</v>
      </c>
      <c r="BV37" s="15">
        <f t="shared" si="26"/>
        <v>0</v>
      </c>
      <c r="BW37" s="15">
        <f t="shared" si="26"/>
        <v>0</v>
      </c>
      <c r="BX37" s="15">
        <f t="shared" si="26"/>
        <v>0</v>
      </c>
      <c r="BY37" s="15">
        <f t="shared" si="26"/>
        <v>25462.07</v>
      </c>
      <c r="BZ37" s="15">
        <f t="shared" si="26"/>
        <v>24401.15</v>
      </c>
      <c r="CA37" s="15">
        <f t="shared" si="26"/>
        <v>25739.43</v>
      </c>
    </row>
    <row r="38" spans="1:79" x14ac:dyDescent="0.2">
      <c r="A38" s="7" t="s">
        <v>114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</row>
    <row r="39" spans="1:79" x14ac:dyDescent="0.2">
      <c r="A39" s="9" t="s">
        <v>115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</row>
    <row r="40" spans="1:79" x14ac:dyDescent="0.2">
      <c r="A40" s="10" t="s">
        <v>116</v>
      </c>
      <c r="B40" s="19">
        <v>65166.720000000001</v>
      </c>
      <c r="C40" s="19">
        <v>77780.41</v>
      </c>
      <c r="D40" s="19">
        <v>96832.52</v>
      </c>
      <c r="E40" s="19">
        <v>119331.96</v>
      </c>
      <c r="F40" s="19">
        <v>119700.01000000001</v>
      </c>
      <c r="G40" s="19">
        <v>132104.64000000001</v>
      </c>
      <c r="H40" s="19">
        <v>146442.81000000003</v>
      </c>
      <c r="I40" s="19">
        <v>155464.71000000002</v>
      </c>
      <c r="J40" s="19">
        <v>170836.91000000003</v>
      </c>
      <c r="K40" s="19">
        <v>168452.20000000004</v>
      </c>
      <c r="L40" s="19">
        <v>182933.64000000004</v>
      </c>
      <c r="M40" s="19">
        <v>195287.79000000004</v>
      </c>
      <c r="N40" s="19">
        <v>176570.57000000004</v>
      </c>
      <c r="O40" s="19">
        <v>135949.58000000005</v>
      </c>
      <c r="P40" s="19">
        <v>132202.13000000003</v>
      </c>
      <c r="Q40" s="19">
        <v>123725.98000000004</v>
      </c>
      <c r="R40" s="19">
        <v>94314.780000000042</v>
      </c>
      <c r="S40" s="19">
        <v>104162.76000000004</v>
      </c>
      <c r="T40" s="19">
        <v>85172.310000000041</v>
      </c>
      <c r="U40" s="19">
        <v>75668.09000000004</v>
      </c>
      <c r="V40" s="19">
        <v>95213.640000000043</v>
      </c>
      <c r="W40" s="19">
        <v>113794.79000000004</v>
      </c>
      <c r="X40" s="19">
        <v>92876.890000000043</v>
      </c>
      <c r="Y40" s="19">
        <v>84493.740000000049</v>
      </c>
      <c r="Z40" s="19">
        <v>56847.510000000053</v>
      </c>
      <c r="AA40" s="19">
        <v>27526.560000000052</v>
      </c>
      <c r="AB40" s="19">
        <v>81646.910000000047</v>
      </c>
      <c r="AC40" s="19">
        <v>65974.310000000041</v>
      </c>
      <c r="AD40" s="19">
        <v>44732.030000000042</v>
      </c>
      <c r="AE40" s="19">
        <v>43603.330000000045</v>
      </c>
      <c r="AF40" s="19">
        <v>24021.230000000047</v>
      </c>
      <c r="AG40" s="19">
        <v>73484.910000000047</v>
      </c>
      <c r="AH40" s="19">
        <v>57839.060000000049</v>
      </c>
      <c r="AI40" s="19">
        <v>166856.18000000005</v>
      </c>
      <c r="AJ40" s="19">
        <v>137708.34000000005</v>
      </c>
      <c r="AK40" s="19">
        <v>66516.850000000049</v>
      </c>
      <c r="AL40" s="19">
        <v>88504.740000000049</v>
      </c>
      <c r="AM40" s="19">
        <v>63579.040000000052</v>
      </c>
      <c r="AN40" s="19">
        <v>36995.930000000051</v>
      </c>
      <c r="AO40" s="19">
        <v>89723.270000000048</v>
      </c>
      <c r="AP40" s="19">
        <v>73287.420000000042</v>
      </c>
      <c r="AQ40" s="19">
        <v>119795.52000000005</v>
      </c>
      <c r="AR40" s="19">
        <v>112969.94000000005</v>
      </c>
      <c r="AS40" s="19">
        <v>112564.79000000005</v>
      </c>
      <c r="AT40" s="19">
        <v>76053.840000000055</v>
      </c>
      <c r="AU40" s="19">
        <v>91986.690000000061</v>
      </c>
      <c r="AV40" s="19">
        <v>63506.790000000059</v>
      </c>
      <c r="AW40" s="19">
        <v>72289.540000000066</v>
      </c>
      <c r="AX40" s="19">
        <v>94637.900000000067</v>
      </c>
      <c r="AY40" s="19">
        <v>89446.800000000061</v>
      </c>
      <c r="AZ40" s="19">
        <v>69866.45000000007</v>
      </c>
      <c r="BA40" s="19">
        <v>95362.620000000068</v>
      </c>
      <c r="BB40" s="19">
        <v>82813.110000000073</v>
      </c>
      <c r="BC40" s="19">
        <v>111063.03000000007</v>
      </c>
      <c r="BD40" s="19">
        <v>152814.53000000009</v>
      </c>
      <c r="BE40" s="19">
        <v>128500.13000000009</v>
      </c>
      <c r="BF40" s="19">
        <v>150663.93000000008</v>
      </c>
      <c r="BG40" s="19">
        <v>138718.33000000007</v>
      </c>
      <c r="BH40" s="19">
        <v>190788.13000000006</v>
      </c>
      <c r="BI40" s="19">
        <v>286006.4800000001</v>
      </c>
      <c r="BJ40" s="19">
        <v>79884.620000000112</v>
      </c>
      <c r="BK40" s="19">
        <v>201665.12000000011</v>
      </c>
      <c r="BL40" s="19">
        <v>189837.6700000001</v>
      </c>
      <c r="BM40" s="19">
        <v>303914.81000000011</v>
      </c>
      <c r="BN40" s="19">
        <v>73484.450000000128</v>
      </c>
      <c r="BO40" s="19">
        <v>143221.33000000013</v>
      </c>
      <c r="BP40" s="19">
        <v>322457.21000000014</v>
      </c>
      <c r="BQ40" s="19">
        <v>62152.840000000142</v>
      </c>
      <c r="BR40" s="19">
        <v>267625.89000000013</v>
      </c>
      <c r="BS40" s="19">
        <v>439912.69000000012</v>
      </c>
      <c r="BT40" s="19">
        <v>496928.93000000011</v>
      </c>
      <c r="BU40" s="19">
        <v>992010.8600000001</v>
      </c>
      <c r="BV40" s="19">
        <v>173033.58000000007</v>
      </c>
      <c r="BW40" s="19">
        <v>821801.89000000013</v>
      </c>
      <c r="BX40" s="19">
        <v>761707.83000000007</v>
      </c>
      <c r="BY40" s="19">
        <v>208722.08000000007</v>
      </c>
      <c r="BZ40" s="19">
        <v>385917.89000000007</v>
      </c>
      <c r="CA40" s="19">
        <v>466722.10000000009</v>
      </c>
    </row>
    <row r="41" spans="1:79" x14ac:dyDescent="0.2">
      <c r="A41" s="12" t="s">
        <v>117</v>
      </c>
      <c r="B41" s="15">
        <f t="shared" ref="B41:AG41" si="27">SUM(B40)</f>
        <v>65166.720000000001</v>
      </c>
      <c r="C41" s="15">
        <f t="shared" si="27"/>
        <v>77780.41</v>
      </c>
      <c r="D41" s="15">
        <f t="shared" si="27"/>
        <v>96832.52</v>
      </c>
      <c r="E41" s="15">
        <f t="shared" si="27"/>
        <v>119331.96</v>
      </c>
      <c r="F41" s="15">
        <f t="shared" si="27"/>
        <v>119700.01000000001</v>
      </c>
      <c r="G41" s="15">
        <f t="shared" si="27"/>
        <v>132104.64000000001</v>
      </c>
      <c r="H41" s="15">
        <f t="shared" si="27"/>
        <v>146442.81000000003</v>
      </c>
      <c r="I41" s="15">
        <f t="shared" si="27"/>
        <v>155464.71000000002</v>
      </c>
      <c r="J41" s="15">
        <f t="shared" si="27"/>
        <v>170836.91000000003</v>
      </c>
      <c r="K41" s="15">
        <f t="shared" si="27"/>
        <v>168452.20000000004</v>
      </c>
      <c r="L41" s="15">
        <f t="shared" si="27"/>
        <v>182933.64000000004</v>
      </c>
      <c r="M41" s="15">
        <f t="shared" si="27"/>
        <v>195287.79000000004</v>
      </c>
      <c r="N41" s="15">
        <f t="shared" si="27"/>
        <v>176570.57000000004</v>
      </c>
      <c r="O41" s="15">
        <f t="shared" si="27"/>
        <v>135949.58000000005</v>
      </c>
      <c r="P41" s="15">
        <f t="shared" si="27"/>
        <v>132202.13000000003</v>
      </c>
      <c r="Q41" s="15">
        <f t="shared" si="27"/>
        <v>123725.98000000004</v>
      </c>
      <c r="R41" s="15">
        <f t="shared" si="27"/>
        <v>94314.780000000042</v>
      </c>
      <c r="S41" s="15">
        <f t="shared" si="27"/>
        <v>104162.76000000004</v>
      </c>
      <c r="T41" s="15">
        <f t="shared" si="27"/>
        <v>85172.310000000041</v>
      </c>
      <c r="U41" s="15">
        <f t="shared" si="27"/>
        <v>75668.09000000004</v>
      </c>
      <c r="V41" s="15">
        <f t="shared" si="27"/>
        <v>95213.640000000043</v>
      </c>
      <c r="W41" s="15">
        <f t="shared" si="27"/>
        <v>113794.79000000004</v>
      </c>
      <c r="X41" s="15">
        <f t="shared" si="27"/>
        <v>92876.890000000043</v>
      </c>
      <c r="Y41" s="15">
        <f t="shared" si="27"/>
        <v>84493.740000000049</v>
      </c>
      <c r="Z41" s="15">
        <f t="shared" si="27"/>
        <v>56847.510000000053</v>
      </c>
      <c r="AA41" s="15">
        <f t="shared" si="27"/>
        <v>27526.560000000052</v>
      </c>
      <c r="AB41" s="15">
        <f t="shared" si="27"/>
        <v>81646.910000000047</v>
      </c>
      <c r="AC41" s="15">
        <f t="shared" si="27"/>
        <v>65974.310000000041</v>
      </c>
      <c r="AD41" s="15">
        <f t="shared" si="27"/>
        <v>44732.030000000042</v>
      </c>
      <c r="AE41" s="15">
        <f t="shared" si="27"/>
        <v>43603.330000000045</v>
      </c>
      <c r="AF41" s="15">
        <f t="shared" si="27"/>
        <v>24021.230000000047</v>
      </c>
      <c r="AG41" s="15">
        <f t="shared" si="27"/>
        <v>73484.910000000047</v>
      </c>
      <c r="AH41" s="15">
        <f t="shared" ref="AH41:BM41" si="28">SUM(AH40)</f>
        <v>57839.060000000049</v>
      </c>
      <c r="AI41" s="15">
        <f t="shared" si="28"/>
        <v>166856.18000000005</v>
      </c>
      <c r="AJ41" s="15">
        <f t="shared" si="28"/>
        <v>137708.34000000005</v>
      </c>
      <c r="AK41" s="15">
        <f t="shared" si="28"/>
        <v>66516.850000000049</v>
      </c>
      <c r="AL41" s="15">
        <f t="shared" si="28"/>
        <v>88504.740000000049</v>
      </c>
      <c r="AM41" s="15">
        <f t="shared" si="28"/>
        <v>63579.040000000052</v>
      </c>
      <c r="AN41" s="15">
        <f t="shared" si="28"/>
        <v>36995.930000000051</v>
      </c>
      <c r="AO41" s="15">
        <f t="shared" si="28"/>
        <v>89723.270000000048</v>
      </c>
      <c r="AP41" s="15">
        <f t="shared" si="28"/>
        <v>73287.420000000042</v>
      </c>
      <c r="AQ41" s="15">
        <f t="shared" si="28"/>
        <v>119795.52000000005</v>
      </c>
      <c r="AR41" s="15">
        <f t="shared" si="28"/>
        <v>112969.94000000005</v>
      </c>
      <c r="AS41" s="15">
        <f t="shared" si="28"/>
        <v>112564.79000000005</v>
      </c>
      <c r="AT41" s="15">
        <f t="shared" si="28"/>
        <v>76053.840000000055</v>
      </c>
      <c r="AU41" s="15">
        <f t="shared" si="28"/>
        <v>91986.690000000061</v>
      </c>
      <c r="AV41" s="15">
        <f t="shared" si="28"/>
        <v>63506.790000000059</v>
      </c>
      <c r="AW41" s="15">
        <f t="shared" si="28"/>
        <v>72289.540000000066</v>
      </c>
      <c r="AX41" s="15">
        <f t="shared" si="28"/>
        <v>94637.900000000067</v>
      </c>
      <c r="AY41" s="15">
        <f t="shared" si="28"/>
        <v>89446.800000000061</v>
      </c>
      <c r="AZ41" s="15">
        <f t="shared" si="28"/>
        <v>69866.45000000007</v>
      </c>
      <c r="BA41" s="15">
        <f t="shared" si="28"/>
        <v>95362.620000000068</v>
      </c>
      <c r="BB41" s="15">
        <f t="shared" si="28"/>
        <v>82813.110000000073</v>
      </c>
      <c r="BC41" s="15">
        <f t="shared" si="28"/>
        <v>111063.03000000007</v>
      </c>
      <c r="BD41" s="15">
        <f t="shared" si="28"/>
        <v>152814.53000000009</v>
      </c>
      <c r="BE41" s="15">
        <f t="shared" si="28"/>
        <v>128500.13000000009</v>
      </c>
      <c r="BF41" s="15">
        <f t="shared" si="28"/>
        <v>150663.93000000008</v>
      </c>
      <c r="BG41" s="15">
        <f t="shared" si="28"/>
        <v>138718.33000000007</v>
      </c>
      <c r="BH41" s="15">
        <f t="shared" si="28"/>
        <v>190788.13000000006</v>
      </c>
      <c r="BI41" s="15">
        <f t="shared" si="28"/>
        <v>286006.4800000001</v>
      </c>
      <c r="BJ41" s="15">
        <f t="shared" si="28"/>
        <v>79884.620000000112</v>
      </c>
      <c r="BK41" s="15">
        <f t="shared" si="28"/>
        <v>201665.12000000011</v>
      </c>
      <c r="BL41" s="15">
        <f t="shared" si="28"/>
        <v>189837.6700000001</v>
      </c>
      <c r="BM41" s="15">
        <f t="shared" si="28"/>
        <v>303914.81000000011</v>
      </c>
      <c r="BN41" s="15">
        <f t="shared" ref="BN41:CS41" si="29">SUM(BN40)</f>
        <v>73484.450000000128</v>
      </c>
      <c r="BO41" s="15">
        <f t="shared" si="29"/>
        <v>143221.33000000013</v>
      </c>
      <c r="BP41" s="15">
        <f t="shared" si="29"/>
        <v>322457.21000000014</v>
      </c>
      <c r="BQ41" s="15">
        <f t="shared" si="29"/>
        <v>62152.840000000142</v>
      </c>
      <c r="BR41" s="15">
        <f t="shared" si="29"/>
        <v>267625.89000000013</v>
      </c>
      <c r="BS41" s="15">
        <f t="shared" si="29"/>
        <v>439912.69000000012</v>
      </c>
      <c r="BT41" s="15">
        <f t="shared" si="29"/>
        <v>496928.93000000011</v>
      </c>
      <c r="BU41" s="15">
        <f t="shared" si="29"/>
        <v>992010.8600000001</v>
      </c>
      <c r="BV41" s="15">
        <f t="shared" si="29"/>
        <v>173033.58000000007</v>
      </c>
      <c r="BW41" s="15">
        <f t="shared" si="29"/>
        <v>821801.89000000013</v>
      </c>
      <c r="BX41" s="15">
        <f t="shared" si="29"/>
        <v>761707.83000000007</v>
      </c>
      <c r="BY41" s="15">
        <f t="shared" si="29"/>
        <v>208722.08000000007</v>
      </c>
      <c r="BZ41" s="15">
        <f t="shared" si="29"/>
        <v>385917.89000000007</v>
      </c>
      <c r="CA41" s="15">
        <f t="shared" si="29"/>
        <v>466722.10000000009</v>
      </c>
    </row>
    <row r="42" spans="1:79" x14ac:dyDescent="0.2">
      <c r="A42" s="14" t="s">
        <v>118</v>
      </c>
      <c r="B42" s="15">
        <f t="shared" ref="B42:AG42" si="30">0+0+B41</f>
        <v>65166.720000000001</v>
      </c>
      <c r="C42" s="15">
        <f t="shared" si="30"/>
        <v>77780.41</v>
      </c>
      <c r="D42" s="15">
        <f t="shared" si="30"/>
        <v>96832.52</v>
      </c>
      <c r="E42" s="15">
        <f t="shared" si="30"/>
        <v>119331.96</v>
      </c>
      <c r="F42" s="15">
        <f t="shared" si="30"/>
        <v>119700.01000000001</v>
      </c>
      <c r="G42" s="15">
        <f t="shared" si="30"/>
        <v>132104.64000000001</v>
      </c>
      <c r="H42" s="15">
        <f t="shared" si="30"/>
        <v>146442.81000000003</v>
      </c>
      <c r="I42" s="15">
        <f t="shared" si="30"/>
        <v>155464.71000000002</v>
      </c>
      <c r="J42" s="15">
        <f t="shared" si="30"/>
        <v>170836.91000000003</v>
      </c>
      <c r="K42" s="15">
        <f t="shared" si="30"/>
        <v>168452.20000000004</v>
      </c>
      <c r="L42" s="15">
        <f t="shared" si="30"/>
        <v>182933.64000000004</v>
      </c>
      <c r="M42" s="15">
        <f t="shared" si="30"/>
        <v>195287.79000000004</v>
      </c>
      <c r="N42" s="15">
        <f t="shared" si="30"/>
        <v>176570.57000000004</v>
      </c>
      <c r="O42" s="15">
        <f t="shared" si="30"/>
        <v>135949.58000000005</v>
      </c>
      <c r="P42" s="15">
        <f t="shared" si="30"/>
        <v>132202.13000000003</v>
      </c>
      <c r="Q42" s="15">
        <f t="shared" si="30"/>
        <v>123725.98000000004</v>
      </c>
      <c r="R42" s="15">
        <f t="shared" si="30"/>
        <v>94314.780000000042</v>
      </c>
      <c r="S42" s="15">
        <f t="shared" si="30"/>
        <v>104162.76000000004</v>
      </c>
      <c r="T42" s="15">
        <f t="shared" si="30"/>
        <v>85172.310000000041</v>
      </c>
      <c r="U42" s="15">
        <f t="shared" si="30"/>
        <v>75668.09000000004</v>
      </c>
      <c r="V42" s="15">
        <f t="shared" si="30"/>
        <v>95213.640000000043</v>
      </c>
      <c r="W42" s="15">
        <f t="shared" si="30"/>
        <v>113794.79000000004</v>
      </c>
      <c r="X42" s="15">
        <f t="shared" si="30"/>
        <v>92876.890000000043</v>
      </c>
      <c r="Y42" s="15">
        <f t="shared" si="30"/>
        <v>84493.740000000049</v>
      </c>
      <c r="Z42" s="15">
        <f t="shared" si="30"/>
        <v>56847.510000000053</v>
      </c>
      <c r="AA42" s="15">
        <f t="shared" si="30"/>
        <v>27526.560000000052</v>
      </c>
      <c r="AB42" s="15">
        <f t="shared" si="30"/>
        <v>81646.910000000047</v>
      </c>
      <c r="AC42" s="15">
        <f t="shared" si="30"/>
        <v>65974.310000000041</v>
      </c>
      <c r="AD42" s="15">
        <f t="shared" si="30"/>
        <v>44732.030000000042</v>
      </c>
      <c r="AE42" s="15">
        <f t="shared" si="30"/>
        <v>43603.330000000045</v>
      </c>
      <c r="AF42" s="15">
        <f t="shared" si="30"/>
        <v>24021.230000000047</v>
      </c>
      <c r="AG42" s="15">
        <f t="shared" si="30"/>
        <v>73484.910000000047</v>
      </c>
      <c r="AH42" s="15">
        <f t="shared" ref="AH42:BM42" si="31">0+0+AH41</f>
        <v>57839.060000000049</v>
      </c>
      <c r="AI42" s="15">
        <f t="shared" si="31"/>
        <v>166856.18000000005</v>
      </c>
      <c r="AJ42" s="15">
        <f t="shared" si="31"/>
        <v>137708.34000000005</v>
      </c>
      <c r="AK42" s="15">
        <f t="shared" si="31"/>
        <v>66516.850000000049</v>
      </c>
      <c r="AL42" s="15">
        <f t="shared" si="31"/>
        <v>88504.740000000049</v>
      </c>
      <c r="AM42" s="15">
        <f t="shared" si="31"/>
        <v>63579.040000000052</v>
      </c>
      <c r="AN42" s="15">
        <f t="shared" si="31"/>
        <v>36995.930000000051</v>
      </c>
      <c r="AO42" s="15">
        <f t="shared" si="31"/>
        <v>89723.270000000048</v>
      </c>
      <c r="AP42" s="15">
        <f t="shared" si="31"/>
        <v>73287.420000000042</v>
      </c>
      <c r="AQ42" s="15">
        <f t="shared" si="31"/>
        <v>119795.52000000005</v>
      </c>
      <c r="AR42" s="15">
        <f t="shared" si="31"/>
        <v>112969.94000000005</v>
      </c>
      <c r="AS42" s="15">
        <f t="shared" si="31"/>
        <v>112564.79000000005</v>
      </c>
      <c r="AT42" s="15">
        <f t="shared" si="31"/>
        <v>76053.840000000055</v>
      </c>
      <c r="AU42" s="15">
        <f t="shared" si="31"/>
        <v>91986.690000000061</v>
      </c>
      <c r="AV42" s="15">
        <f t="shared" si="31"/>
        <v>63506.790000000059</v>
      </c>
      <c r="AW42" s="15">
        <f t="shared" si="31"/>
        <v>72289.540000000066</v>
      </c>
      <c r="AX42" s="15">
        <f t="shared" si="31"/>
        <v>94637.900000000067</v>
      </c>
      <c r="AY42" s="15">
        <f t="shared" si="31"/>
        <v>89446.800000000061</v>
      </c>
      <c r="AZ42" s="15">
        <f t="shared" si="31"/>
        <v>69866.45000000007</v>
      </c>
      <c r="BA42" s="15">
        <f t="shared" si="31"/>
        <v>95362.620000000068</v>
      </c>
      <c r="BB42" s="15">
        <f t="shared" si="31"/>
        <v>82813.110000000073</v>
      </c>
      <c r="BC42" s="15">
        <f t="shared" si="31"/>
        <v>111063.03000000007</v>
      </c>
      <c r="BD42" s="15">
        <f t="shared" si="31"/>
        <v>152814.53000000009</v>
      </c>
      <c r="BE42" s="15">
        <f t="shared" si="31"/>
        <v>128500.13000000009</v>
      </c>
      <c r="BF42" s="15">
        <f t="shared" si="31"/>
        <v>150663.93000000008</v>
      </c>
      <c r="BG42" s="15">
        <f t="shared" si="31"/>
        <v>138718.33000000007</v>
      </c>
      <c r="BH42" s="15">
        <f t="shared" si="31"/>
        <v>190788.13000000006</v>
      </c>
      <c r="BI42" s="15">
        <f t="shared" si="31"/>
        <v>286006.4800000001</v>
      </c>
      <c r="BJ42" s="15">
        <f t="shared" si="31"/>
        <v>79884.620000000112</v>
      </c>
      <c r="BK42" s="15">
        <f t="shared" si="31"/>
        <v>201665.12000000011</v>
      </c>
      <c r="BL42" s="15">
        <f t="shared" si="31"/>
        <v>189837.6700000001</v>
      </c>
      <c r="BM42" s="15">
        <f t="shared" si="31"/>
        <v>303914.81000000011</v>
      </c>
      <c r="BN42" s="15">
        <f t="shared" ref="BN42:CS42" si="32">0+0+BN41</f>
        <v>73484.450000000128</v>
      </c>
      <c r="BO42" s="15">
        <f t="shared" si="32"/>
        <v>143221.33000000013</v>
      </c>
      <c r="BP42" s="15">
        <f t="shared" si="32"/>
        <v>322457.21000000014</v>
      </c>
      <c r="BQ42" s="15">
        <f t="shared" si="32"/>
        <v>62152.840000000142</v>
      </c>
      <c r="BR42" s="15">
        <f t="shared" si="32"/>
        <v>267625.89000000013</v>
      </c>
      <c r="BS42" s="15">
        <f t="shared" si="32"/>
        <v>439912.69000000012</v>
      </c>
      <c r="BT42" s="15">
        <f t="shared" si="32"/>
        <v>496928.93000000011</v>
      </c>
      <c r="BU42" s="15">
        <f t="shared" si="32"/>
        <v>992010.8600000001</v>
      </c>
      <c r="BV42" s="15">
        <f t="shared" si="32"/>
        <v>173033.58000000007</v>
      </c>
      <c r="BW42" s="15">
        <f t="shared" si="32"/>
        <v>821801.89000000013</v>
      </c>
      <c r="BX42" s="15">
        <f t="shared" si="32"/>
        <v>761707.83000000007</v>
      </c>
      <c r="BY42" s="15">
        <f t="shared" si="32"/>
        <v>208722.08000000007</v>
      </c>
      <c r="BZ42" s="15">
        <f t="shared" si="32"/>
        <v>385917.89000000007</v>
      </c>
      <c r="CA42" s="15">
        <f t="shared" si="32"/>
        <v>466722.10000000009</v>
      </c>
    </row>
    <row r="43" spans="1:79" x14ac:dyDescent="0.2">
      <c r="A43" s="16" t="s">
        <v>119</v>
      </c>
      <c r="B43" s="17">
        <f t="shared" ref="B43:AG43" si="33">0+B32+B37+B42</f>
        <v>105923.72</v>
      </c>
      <c r="C43" s="17">
        <f t="shared" si="33"/>
        <v>112017.11</v>
      </c>
      <c r="D43" s="17">
        <f t="shared" si="33"/>
        <v>129158.42000000001</v>
      </c>
      <c r="E43" s="17">
        <f t="shared" si="33"/>
        <v>148518.96000000002</v>
      </c>
      <c r="F43" s="17">
        <f t="shared" si="33"/>
        <v>151878.98000000001</v>
      </c>
      <c r="G43" s="17">
        <f t="shared" si="33"/>
        <v>197390.43000000002</v>
      </c>
      <c r="H43" s="17">
        <f t="shared" si="33"/>
        <v>204109.53000000003</v>
      </c>
      <c r="I43" s="17">
        <f t="shared" si="33"/>
        <v>200188.71000000002</v>
      </c>
      <c r="J43" s="17">
        <f t="shared" si="33"/>
        <v>222222.74000000005</v>
      </c>
      <c r="K43" s="17">
        <f t="shared" si="33"/>
        <v>210438.60000000003</v>
      </c>
      <c r="L43" s="17">
        <f t="shared" si="33"/>
        <v>210568.55000000005</v>
      </c>
      <c r="M43" s="17">
        <f t="shared" si="33"/>
        <v>223049.55000000005</v>
      </c>
      <c r="N43" s="17">
        <f t="shared" si="33"/>
        <v>187439.33000000005</v>
      </c>
      <c r="O43" s="17">
        <f t="shared" si="33"/>
        <v>159706.84000000005</v>
      </c>
      <c r="P43" s="17">
        <f t="shared" si="33"/>
        <v>141162.24000000005</v>
      </c>
      <c r="Q43" s="17">
        <f t="shared" si="33"/>
        <v>131094.74000000005</v>
      </c>
      <c r="R43" s="17">
        <f t="shared" si="33"/>
        <v>124728.69000000005</v>
      </c>
      <c r="S43" s="17">
        <f t="shared" si="33"/>
        <v>118747.97000000004</v>
      </c>
      <c r="T43" s="17">
        <f t="shared" si="33"/>
        <v>114218.47000000004</v>
      </c>
      <c r="U43" s="17">
        <f t="shared" si="33"/>
        <v>115635.60000000003</v>
      </c>
      <c r="V43" s="17">
        <f t="shared" si="33"/>
        <v>133203.25000000006</v>
      </c>
      <c r="W43" s="17">
        <f t="shared" si="33"/>
        <v>147856.05000000005</v>
      </c>
      <c r="X43" s="17">
        <f t="shared" si="33"/>
        <v>123092.10000000005</v>
      </c>
      <c r="Y43" s="17">
        <f t="shared" si="33"/>
        <v>120606.40000000005</v>
      </c>
      <c r="Z43" s="17">
        <f t="shared" si="33"/>
        <v>121736.92000000006</v>
      </c>
      <c r="AA43" s="17">
        <f t="shared" si="33"/>
        <v>88460.920000000056</v>
      </c>
      <c r="AB43" s="17">
        <f t="shared" si="33"/>
        <v>92050.320000000051</v>
      </c>
      <c r="AC43" s="17">
        <f t="shared" si="33"/>
        <v>84492.270000000048</v>
      </c>
      <c r="AD43" s="17">
        <f t="shared" si="33"/>
        <v>88703.240000000049</v>
      </c>
      <c r="AE43" s="17">
        <f t="shared" si="33"/>
        <v>128572.19000000005</v>
      </c>
      <c r="AF43" s="17">
        <f t="shared" si="33"/>
        <v>160338.99000000005</v>
      </c>
      <c r="AG43" s="17">
        <f t="shared" si="33"/>
        <v>168734.06000000006</v>
      </c>
      <c r="AH43" s="17">
        <f t="shared" ref="AH43:BM43" si="34">0+AH32+AH37+AH42</f>
        <v>195395.48000000004</v>
      </c>
      <c r="AI43" s="17">
        <f t="shared" si="34"/>
        <v>232230.39000000004</v>
      </c>
      <c r="AJ43" s="17">
        <f t="shared" si="34"/>
        <v>242895.50000000006</v>
      </c>
      <c r="AK43" s="17">
        <f t="shared" si="34"/>
        <v>174945.61000000004</v>
      </c>
      <c r="AL43" s="17">
        <f t="shared" si="34"/>
        <v>188682.10000000003</v>
      </c>
      <c r="AM43" s="17">
        <f t="shared" si="34"/>
        <v>112659.14000000004</v>
      </c>
      <c r="AN43" s="17">
        <f t="shared" si="34"/>
        <v>139687.99000000005</v>
      </c>
      <c r="AO43" s="17">
        <f t="shared" si="34"/>
        <v>184431.53000000003</v>
      </c>
      <c r="AP43" s="17">
        <f t="shared" si="34"/>
        <v>168462.58000000002</v>
      </c>
      <c r="AQ43" s="17">
        <f t="shared" si="34"/>
        <v>163163.28000000003</v>
      </c>
      <c r="AR43" s="17">
        <f t="shared" si="34"/>
        <v>161567.95000000004</v>
      </c>
      <c r="AS43" s="17">
        <f t="shared" si="34"/>
        <v>174712.90000000005</v>
      </c>
      <c r="AT43" s="17">
        <f t="shared" si="34"/>
        <v>117764.35000000005</v>
      </c>
      <c r="AU43" s="17">
        <f t="shared" si="34"/>
        <v>138379.10000000003</v>
      </c>
      <c r="AV43" s="17">
        <f t="shared" si="34"/>
        <v>131640.00000000006</v>
      </c>
      <c r="AW43" s="17">
        <f t="shared" si="34"/>
        <v>170471.85000000003</v>
      </c>
      <c r="AX43" s="17">
        <f t="shared" si="34"/>
        <v>119367.25000000006</v>
      </c>
      <c r="AY43" s="17">
        <f t="shared" si="34"/>
        <v>124284.55000000005</v>
      </c>
      <c r="AZ43" s="17">
        <f t="shared" si="34"/>
        <v>126759.35000000006</v>
      </c>
      <c r="BA43" s="17">
        <f t="shared" si="34"/>
        <v>125864.93000000005</v>
      </c>
      <c r="BB43" s="17">
        <f t="shared" si="34"/>
        <v>143089.52000000008</v>
      </c>
      <c r="BC43" s="17">
        <f t="shared" si="34"/>
        <v>169323.89000000007</v>
      </c>
      <c r="BD43" s="17">
        <f t="shared" si="34"/>
        <v>217858.14000000007</v>
      </c>
      <c r="BE43" s="17">
        <f t="shared" si="34"/>
        <v>227045.57000000007</v>
      </c>
      <c r="BF43" s="17">
        <f t="shared" si="34"/>
        <v>204149.84000000008</v>
      </c>
      <c r="BG43" s="17">
        <f t="shared" si="34"/>
        <v>246174.14000000007</v>
      </c>
      <c r="BH43" s="17">
        <f t="shared" si="34"/>
        <v>301234.64000000007</v>
      </c>
      <c r="BI43" s="17">
        <f t="shared" si="34"/>
        <v>431177.7900000001</v>
      </c>
      <c r="BJ43" s="17">
        <f t="shared" si="34"/>
        <v>199495.07000000009</v>
      </c>
      <c r="BK43" s="17">
        <f t="shared" si="34"/>
        <v>257603.02000000011</v>
      </c>
      <c r="BL43" s="17">
        <f t="shared" si="34"/>
        <v>417984.40000000008</v>
      </c>
      <c r="BM43" s="17">
        <f t="shared" si="34"/>
        <v>493585.67000000016</v>
      </c>
      <c r="BN43" s="17">
        <f t="shared" ref="BN43:CS43" si="35">0+BN32+BN37+BN42</f>
        <v>476105.83000000013</v>
      </c>
      <c r="BO43" s="17">
        <f t="shared" si="35"/>
        <v>479162.70000000013</v>
      </c>
      <c r="BP43" s="17">
        <f t="shared" si="35"/>
        <v>678952.07000000018</v>
      </c>
      <c r="BQ43" s="17">
        <f t="shared" si="35"/>
        <v>796546.45000000019</v>
      </c>
      <c r="BR43" s="17">
        <f t="shared" si="35"/>
        <v>582643.9600000002</v>
      </c>
      <c r="BS43" s="17">
        <f t="shared" si="35"/>
        <v>764932.4700000002</v>
      </c>
      <c r="BT43" s="17">
        <f t="shared" si="35"/>
        <v>1119630.3600000001</v>
      </c>
      <c r="BU43" s="17">
        <f t="shared" si="35"/>
        <v>1449427.6900000002</v>
      </c>
      <c r="BV43" s="17">
        <f t="shared" si="35"/>
        <v>825982.24000000011</v>
      </c>
      <c r="BW43" s="17">
        <f t="shared" si="35"/>
        <v>935502.55000000016</v>
      </c>
      <c r="BX43" s="17">
        <f t="shared" si="35"/>
        <v>1114482.2200000002</v>
      </c>
      <c r="BY43" s="17">
        <f t="shared" si="35"/>
        <v>643785.43000000017</v>
      </c>
      <c r="BZ43" s="17">
        <f t="shared" si="35"/>
        <v>766902.3</v>
      </c>
      <c r="CA43" s="17">
        <f t="shared" si="35"/>
        <v>838978.18000000017</v>
      </c>
    </row>
    <row r="44" spans="1:79" x14ac:dyDescent="0.2">
      <c r="A44" s="1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</row>
    <row r="45" spans="1:79" ht="12" x14ac:dyDescent="0.2">
      <c r="A45" s="5" t="s">
        <v>120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</row>
    <row r="46" spans="1:79" x14ac:dyDescent="0.2">
      <c r="A46" s="20" t="s">
        <v>121</v>
      </c>
      <c r="B46" s="19">
        <v>566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1248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2787.8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367.36</v>
      </c>
      <c r="AY46" s="19">
        <v>367.36</v>
      </c>
      <c r="AZ46" s="19">
        <v>367.36</v>
      </c>
      <c r="BA46" s="19">
        <v>367.36</v>
      </c>
      <c r="BB46" s="19">
        <v>367.36</v>
      </c>
      <c r="BC46" s="19">
        <v>367.36</v>
      </c>
      <c r="BD46" s="19">
        <v>367.36</v>
      </c>
      <c r="BE46" s="19">
        <v>367.36</v>
      </c>
      <c r="BF46" s="19">
        <v>367.36</v>
      </c>
      <c r="BG46" s="19">
        <v>367.36</v>
      </c>
      <c r="BH46" s="19">
        <v>367.36</v>
      </c>
      <c r="BI46" s="19">
        <v>367.36</v>
      </c>
      <c r="BJ46" s="19">
        <v>690</v>
      </c>
      <c r="BK46" s="19">
        <v>690</v>
      </c>
      <c r="BL46" s="19">
        <v>690</v>
      </c>
      <c r="BM46" s="19">
        <v>690</v>
      </c>
      <c r="BN46" s="19">
        <v>690</v>
      </c>
      <c r="BO46" s="19">
        <v>690</v>
      </c>
      <c r="BP46" s="19">
        <v>690</v>
      </c>
      <c r="BQ46" s="19">
        <v>690</v>
      </c>
      <c r="BR46" s="19">
        <v>690</v>
      </c>
      <c r="BS46" s="19">
        <v>690</v>
      </c>
      <c r="BT46" s="19">
        <v>690</v>
      </c>
      <c r="BU46" s="19">
        <v>690</v>
      </c>
      <c r="BV46" s="19">
        <v>0</v>
      </c>
      <c r="BW46" s="19">
        <v>0</v>
      </c>
      <c r="BX46" s="19">
        <v>0</v>
      </c>
      <c r="BY46" s="19">
        <v>0</v>
      </c>
      <c r="BZ46" s="19">
        <v>0</v>
      </c>
      <c r="CA46" s="19">
        <v>0</v>
      </c>
    </row>
    <row r="47" spans="1:79" x14ac:dyDescent="0.2">
      <c r="A47" s="21" t="s">
        <v>122</v>
      </c>
      <c r="B47" s="15">
        <f t="shared" ref="B47:AG47" si="36">SUM(B46)</f>
        <v>566</v>
      </c>
      <c r="C47" s="15">
        <f t="shared" si="36"/>
        <v>0</v>
      </c>
      <c r="D47" s="15">
        <f t="shared" si="36"/>
        <v>0</v>
      </c>
      <c r="E47" s="15">
        <f t="shared" si="36"/>
        <v>0</v>
      </c>
      <c r="F47" s="15">
        <f t="shared" si="36"/>
        <v>0</v>
      </c>
      <c r="G47" s="15">
        <f t="shared" si="36"/>
        <v>0</v>
      </c>
      <c r="H47" s="15">
        <f t="shared" si="36"/>
        <v>0</v>
      </c>
      <c r="I47" s="15">
        <f t="shared" si="36"/>
        <v>0</v>
      </c>
      <c r="J47" s="15">
        <f t="shared" si="36"/>
        <v>0</v>
      </c>
      <c r="K47" s="15">
        <f t="shared" si="36"/>
        <v>0</v>
      </c>
      <c r="L47" s="15">
        <f t="shared" si="36"/>
        <v>0</v>
      </c>
      <c r="M47" s="15">
        <f t="shared" si="36"/>
        <v>0</v>
      </c>
      <c r="N47" s="15">
        <f t="shared" si="36"/>
        <v>0</v>
      </c>
      <c r="O47" s="15">
        <f t="shared" si="36"/>
        <v>0</v>
      </c>
      <c r="P47" s="15">
        <f t="shared" si="36"/>
        <v>0</v>
      </c>
      <c r="Q47" s="15">
        <f t="shared" si="36"/>
        <v>0</v>
      </c>
      <c r="R47" s="15">
        <f t="shared" si="36"/>
        <v>0</v>
      </c>
      <c r="S47" s="15">
        <f t="shared" si="36"/>
        <v>0</v>
      </c>
      <c r="T47" s="15">
        <f t="shared" si="36"/>
        <v>0</v>
      </c>
      <c r="U47" s="15">
        <f t="shared" si="36"/>
        <v>0</v>
      </c>
      <c r="V47" s="15">
        <f t="shared" si="36"/>
        <v>0</v>
      </c>
      <c r="W47" s="15">
        <f t="shared" si="36"/>
        <v>0</v>
      </c>
      <c r="X47" s="15">
        <f t="shared" si="36"/>
        <v>0</v>
      </c>
      <c r="Y47" s="15">
        <f t="shared" si="36"/>
        <v>0</v>
      </c>
      <c r="Z47" s="15">
        <f t="shared" si="36"/>
        <v>1248</v>
      </c>
      <c r="AA47" s="15">
        <f t="shared" si="36"/>
        <v>0</v>
      </c>
      <c r="AB47" s="15">
        <f t="shared" si="36"/>
        <v>0</v>
      </c>
      <c r="AC47" s="15">
        <f t="shared" si="36"/>
        <v>0</v>
      </c>
      <c r="AD47" s="15">
        <f t="shared" si="36"/>
        <v>0</v>
      </c>
      <c r="AE47" s="15">
        <f t="shared" si="36"/>
        <v>0</v>
      </c>
      <c r="AF47" s="15">
        <f t="shared" si="36"/>
        <v>0</v>
      </c>
      <c r="AG47" s="15">
        <f t="shared" si="36"/>
        <v>0</v>
      </c>
      <c r="AH47" s="15">
        <f t="shared" ref="AH47:BM47" si="37">SUM(AH46)</f>
        <v>0</v>
      </c>
      <c r="AI47" s="15">
        <f t="shared" si="37"/>
        <v>0</v>
      </c>
      <c r="AJ47" s="15">
        <f t="shared" si="37"/>
        <v>0</v>
      </c>
      <c r="AK47" s="15">
        <f t="shared" si="37"/>
        <v>0</v>
      </c>
      <c r="AL47" s="15">
        <f t="shared" si="37"/>
        <v>2787.8</v>
      </c>
      <c r="AM47" s="15">
        <f t="shared" si="37"/>
        <v>0</v>
      </c>
      <c r="AN47" s="15">
        <f t="shared" si="37"/>
        <v>0</v>
      </c>
      <c r="AO47" s="15">
        <f t="shared" si="37"/>
        <v>0</v>
      </c>
      <c r="AP47" s="15">
        <f t="shared" si="37"/>
        <v>0</v>
      </c>
      <c r="AQ47" s="15">
        <f t="shared" si="37"/>
        <v>0</v>
      </c>
      <c r="AR47" s="15">
        <f t="shared" si="37"/>
        <v>0</v>
      </c>
      <c r="AS47" s="15">
        <f t="shared" si="37"/>
        <v>0</v>
      </c>
      <c r="AT47" s="15">
        <f t="shared" si="37"/>
        <v>0</v>
      </c>
      <c r="AU47" s="15">
        <f t="shared" si="37"/>
        <v>0</v>
      </c>
      <c r="AV47" s="15">
        <f t="shared" si="37"/>
        <v>0</v>
      </c>
      <c r="AW47" s="15">
        <f t="shared" si="37"/>
        <v>0</v>
      </c>
      <c r="AX47" s="15">
        <f t="shared" si="37"/>
        <v>367.36</v>
      </c>
      <c r="AY47" s="15">
        <f t="shared" si="37"/>
        <v>367.36</v>
      </c>
      <c r="AZ47" s="15">
        <f t="shared" si="37"/>
        <v>367.36</v>
      </c>
      <c r="BA47" s="15">
        <f t="shared" si="37"/>
        <v>367.36</v>
      </c>
      <c r="BB47" s="15">
        <f t="shared" si="37"/>
        <v>367.36</v>
      </c>
      <c r="BC47" s="15">
        <f t="shared" si="37"/>
        <v>367.36</v>
      </c>
      <c r="BD47" s="15">
        <f t="shared" si="37"/>
        <v>367.36</v>
      </c>
      <c r="BE47" s="15">
        <f t="shared" si="37"/>
        <v>367.36</v>
      </c>
      <c r="BF47" s="15">
        <f t="shared" si="37"/>
        <v>367.36</v>
      </c>
      <c r="BG47" s="15">
        <f t="shared" si="37"/>
        <v>367.36</v>
      </c>
      <c r="BH47" s="15">
        <f t="shared" si="37"/>
        <v>367.36</v>
      </c>
      <c r="BI47" s="15">
        <f t="shared" si="37"/>
        <v>367.36</v>
      </c>
      <c r="BJ47" s="15">
        <f t="shared" si="37"/>
        <v>690</v>
      </c>
      <c r="BK47" s="15">
        <f t="shared" si="37"/>
        <v>690</v>
      </c>
      <c r="BL47" s="15">
        <f t="shared" si="37"/>
        <v>690</v>
      </c>
      <c r="BM47" s="15">
        <f t="shared" si="37"/>
        <v>690</v>
      </c>
      <c r="BN47" s="15">
        <f t="shared" ref="BN47:CS47" si="38">SUM(BN46)</f>
        <v>690</v>
      </c>
      <c r="BO47" s="15">
        <f t="shared" si="38"/>
        <v>690</v>
      </c>
      <c r="BP47" s="15">
        <f t="shared" si="38"/>
        <v>690</v>
      </c>
      <c r="BQ47" s="15">
        <f t="shared" si="38"/>
        <v>690</v>
      </c>
      <c r="BR47" s="15">
        <f t="shared" si="38"/>
        <v>690</v>
      </c>
      <c r="BS47" s="15">
        <f t="shared" si="38"/>
        <v>690</v>
      </c>
      <c r="BT47" s="15">
        <f t="shared" si="38"/>
        <v>690</v>
      </c>
      <c r="BU47" s="15">
        <f t="shared" si="38"/>
        <v>690</v>
      </c>
      <c r="BV47" s="15">
        <f t="shared" si="38"/>
        <v>0</v>
      </c>
      <c r="BW47" s="15">
        <f t="shared" si="38"/>
        <v>0</v>
      </c>
      <c r="BX47" s="15">
        <f t="shared" si="38"/>
        <v>0</v>
      </c>
      <c r="BY47" s="15">
        <f t="shared" si="38"/>
        <v>0</v>
      </c>
      <c r="BZ47" s="15">
        <f t="shared" si="38"/>
        <v>0</v>
      </c>
      <c r="CA47" s="15">
        <f t="shared" si="38"/>
        <v>0</v>
      </c>
    </row>
    <row r="48" spans="1:79" ht="12.75" thickTop="1" x14ac:dyDescent="0.2">
      <c r="A48" s="22" t="s">
        <v>123</v>
      </c>
      <c r="B48" s="23">
        <f t="shared" ref="B48:AG48" si="39">B14+B15+B43+B44+B47+0</f>
        <v>107779.72</v>
      </c>
      <c r="C48" s="23">
        <f t="shared" si="39"/>
        <v>113307.11</v>
      </c>
      <c r="D48" s="23">
        <f t="shared" si="39"/>
        <v>130448.42000000001</v>
      </c>
      <c r="E48" s="23">
        <f t="shared" si="39"/>
        <v>149808.96000000002</v>
      </c>
      <c r="F48" s="23">
        <f t="shared" si="39"/>
        <v>153168.98000000001</v>
      </c>
      <c r="G48" s="23">
        <f t="shared" si="39"/>
        <v>198680.43000000002</v>
      </c>
      <c r="H48" s="23">
        <f t="shared" si="39"/>
        <v>205141.53000000003</v>
      </c>
      <c r="I48" s="23">
        <f t="shared" si="39"/>
        <v>201177.71000000002</v>
      </c>
      <c r="J48" s="23">
        <f t="shared" si="39"/>
        <v>223168.74000000005</v>
      </c>
      <c r="K48" s="23">
        <f t="shared" si="39"/>
        <v>211341.60000000003</v>
      </c>
      <c r="L48" s="23">
        <f t="shared" si="39"/>
        <v>211428.55000000005</v>
      </c>
      <c r="M48" s="23">
        <f t="shared" si="39"/>
        <v>223866.55000000005</v>
      </c>
      <c r="N48" s="23">
        <f t="shared" si="39"/>
        <v>188213.33000000005</v>
      </c>
      <c r="O48" s="23">
        <f t="shared" si="39"/>
        <v>160480.84000000005</v>
      </c>
      <c r="P48" s="23">
        <f t="shared" si="39"/>
        <v>141893.24000000005</v>
      </c>
      <c r="Q48" s="23">
        <f t="shared" si="39"/>
        <v>131782.74000000005</v>
      </c>
      <c r="R48" s="23">
        <f t="shared" si="39"/>
        <v>125330.69000000005</v>
      </c>
      <c r="S48" s="23">
        <f t="shared" si="39"/>
        <v>119306.97000000004</v>
      </c>
      <c r="T48" s="23">
        <f t="shared" si="39"/>
        <v>114734.47000000004</v>
      </c>
      <c r="U48" s="23">
        <f t="shared" si="39"/>
        <v>116108.60000000003</v>
      </c>
      <c r="V48" s="23">
        <f t="shared" si="39"/>
        <v>133633.25000000006</v>
      </c>
      <c r="W48" s="23">
        <f t="shared" si="39"/>
        <v>148243.05000000005</v>
      </c>
      <c r="X48" s="23">
        <f t="shared" si="39"/>
        <v>123436.10000000005</v>
      </c>
      <c r="Y48" s="23">
        <f t="shared" si="39"/>
        <v>120907.40000000005</v>
      </c>
      <c r="Z48" s="23">
        <f t="shared" si="39"/>
        <v>123242.92000000006</v>
      </c>
      <c r="AA48" s="23">
        <f t="shared" si="39"/>
        <v>88675.920000000056</v>
      </c>
      <c r="AB48" s="23">
        <f t="shared" si="39"/>
        <v>92222.320000000051</v>
      </c>
      <c r="AC48" s="23">
        <f t="shared" si="39"/>
        <v>84621.270000000048</v>
      </c>
      <c r="AD48" s="23">
        <f t="shared" si="39"/>
        <v>88789.240000000049</v>
      </c>
      <c r="AE48" s="23">
        <f t="shared" si="39"/>
        <v>128615.19000000005</v>
      </c>
      <c r="AF48" s="23">
        <f t="shared" si="39"/>
        <v>160338.99000000005</v>
      </c>
      <c r="AG48" s="23">
        <f t="shared" si="39"/>
        <v>168734.06000000006</v>
      </c>
      <c r="AH48" s="23">
        <f t="shared" ref="AH48:BM48" si="40">AH14+AH15+AH43+AH44+AH47+0</f>
        <v>195395.48000000004</v>
      </c>
      <c r="AI48" s="23">
        <f t="shared" si="40"/>
        <v>232230.39000000004</v>
      </c>
      <c r="AJ48" s="23">
        <f t="shared" si="40"/>
        <v>242895.50000000006</v>
      </c>
      <c r="AK48" s="23">
        <f t="shared" si="40"/>
        <v>174945.61000000004</v>
      </c>
      <c r="AL48" s="23">
        <f t="shared" si="40"/>
        <v>191469.90000000002</v>
      </c>
      <c r="AM48" s="23">
        <f t="shared" si="40"/>
        <v>112659.14000000004</v>
      </c>
      <c r="AN48" s="23">
        <f t="shared" si="40"/>
        <v>139687.99000000005</v>
      </c>
      <c r="AO48" s="23">
        <f t="shared" si="40"/>
        <v>184431.53000000003</v>
      </c>
      <c r="AP48" s="23">
        <f t="shared" si="40"/>
        <v>168462.58000000002</v>
      </c>
      <c r="AQ48" s="23">
        <f t="shared" si="40"/>
        <v>163163.28000000003</v>
      </c>
      <c r="AR48" s="23">
        <f t="shared" si="40"/>
        <v>161567.95000000004</v>
      </c>
      <c r="AS48" s="23">
        <f t="shared" si="40"/>
        <v>174712.90000000005</v>
      </c>
      <c r="AT48" s="23">
        <f t="shared" si="40"/>
        <v>117764.35000000005</v>
      </c>
      <c r="AU48" s="23">
        <f t="shared" si="40"/>
        <v>138379.10000000003</v>
      </c>
      <c r="AV48" s="23">
        <f t="shared" si="40"/>
        <v>131640.00000000006</v>
      </c>
      <c r="AW48" s="23">
        <f t="shared" si="40"/>
        <v>170471.85000000003</v>
      </c>
      <c r="AX48" s="23">
        <f t="shared" si="40"/>
        <v>121454.61000000006</v>
      </c>
      <c r="AY48" s="23">
        <f t="shared" si="40"/>
        <v>126371.91000000005</v>
      </c>
      <c r="AZ48" s="23">
        <f t="shared" si="40"/>
        <v>128846.71000000006</v>
      </c>
      <c r="BA48" s="23">
        <f t="shared" si="40"/>
        <v>127952.29000000005</v>
      </c>
      <c r="BB48" s="23">
        <f t="shared" si="40"/>
        <v>145176.88000000006</v>
      </c>
      <c r="BC48" s="23">
        <f t="shared" si="40"/>
        <v>171411.25000000006</v>
      </c>
      <c r="BD48" s="23">
        <f t="shared" si="40"/>
        <v>219945.50000000006</v>
      </c>
      <c r="BE48" s="23">
        <f t="shared" si="40"/>
        <v>229132.93000000005</v>
      </c>
      <c r="BF48" s="23">
        <f t="shared" si="40"/>
        <v>206237.20000000007</v>
      </c>
      <c r="BG48" s="23">
        <f t="shared" si="40"/>
        <v>248261.50000000006</v>
      </c>
      <c r="BH48" s="23">
        <f t="shared" si="40"/>
        <v>303322.00000000006</v>
      </c>
      <c r="BI48" s="23">
        <f t="shared" si="40"/>
        <v>433265.15000000008</v>
      </c>
      <c r="BJ48" s="23">
        <f t="shared" si="40"/>
        <v>200185.07000000009</v>
      </c>
      <c r="BK48" s="23">
        <f t="shared" si="40"/>
        <v>258293.02000000011</v>
      </c>
      <c r="BL48" s="23">
        <f t="shared" si="40"/>
        <v>418674.40000000008</v>
      </c>
      <c r="BM48" s="23">
        <f t="shared" si="40"/>
        <v>494275.67000000016</v>
      </c>
      <c r="BN48" s="23">
        <f t="shared" ref="BN48:CS48" si="41">BN14+BN15+BN43+BN44+BN47+0</f>
        <v>476795.83000000013</v>
      </c>
      <c r="BO48" s="23">
        <f t="shared" si="41"/>
        <v>479852.70000000013</v>
      </c>
      <c r="BP48" s="23">
        <f t="shared" si="41"/>
        <v>679642.07000000018</v>
      </c>
      <c r="BQ48" s="23">
        <f t="shared" si="41"/>
        <v>797236.45000000019</v>
      </c>
      <c r="BR48" s="23">
        <f t="shared" si="41"/>
        <v>583333.9600000002</v>
      </c>
      <c r="BS48" s="23">
        <f t="shared" si="41"/>
        <v>765622.4700000002</v>
      </c>
      <c r="BT48" s="23">
        <f t="shared" si="41"/>
        <v>1120320.3600000001</v>
      </c>
      <c r="BU48" s="23">
        <f t="shared" si="41"/>
        <v>1450117.6900000002</v>
      </c>
      <c r="BV48" s="23">
        <f t="shared" si="41"/>
        <v>825982.24000000011</v>
      </c>
      <c r="BW48" s="23">
        <f t="shared" si="41"/>
        <v>935502.55000000016</v>
      </c>
      <c r="BX48" s="23">
        <f t="shared" si="41"/>
        <v>1114482.2200000002</v>
      </c>
      <c r="BY48" s="23">
        <f t="shared" si="41"/>
        <v>643785.43000000017</v>
      </c>
      <c r="BZ48" s="23">
        <f t="shared" si="41"/>
        <v>766902.3</v>
      </c>
      <c r="CA48" s="23">
        <f t="shared" si="41"/>
        <v>838978.18000000017</v>
      </c>
    </row>
    <row r="49" spans="1:79" x14ac:dyDescent="0.2">
      <c r="A49" s="24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</row>
    <row r="50" spans="1:79" x14ac:dyDescent="0.2">
      <c r="A50" s="3" t="s">
        <v>124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</row>
    <row r="51" spans="1:79" ht="12" x14ac:dyDescent="0.2">
      <c r="A51" s="5" t="s">
        <v>125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</row>
    <row r="52" spans="1:79" x14ac:dyDescent="0.2">
      <c r="A52" s="7" t="s">
        <v>126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</row>
    <row r="53" spans="1:79" x14ac:dyDescent="0.2">
      <c r="A53" s="25" t="s">
        <v>127</v>
      </c>
      <c r="B53" s="19">
        <v>100000</v>
      </c>
      <c r="C53" s="19">
        <v>100000</v>
      </c>
      <c r="D53" s="19">
        <v>100000</v>
      </c>
      <c r="E53" s="19">
        <v>100000</v>
      </c>
      <c r="F53" s="19">
        <v>100000</v>
      </c>
      <c r="G53" s="19">
        <v>100000</v>
      </c>
      <c r="H53" s="19">
        <v>100000</v>
      </c>
      <c r="I53" s="19">
        <v>100000</v>
      </c>
      <c r="J53" s="19">
        <v>100000</v>
      </c>
      <c r="K53" s="19">
        <v>100000</v>
      </c>
      <c r="L53" s="19">
        <v>100000</v>
      </c>
      <c r="M53" s="19">
        <v>100000</v>
      </c>
      <c r="N53" s="19">
        <v>100000</v>
      </c>
      <c r="O53" s="19">
        <v>100000</v>
      </c>
      <c r="P53" s="19">
        <v>100000</v>
      </c>
      <c r="Q53" s="19">
        <v>100000</v>
      </c>
      <c r="R53" s="19">
        <v>100000</v>
      </c>
      <c r="S53" s="19">
        <v>100000</v>
      </c>
      <c r="T53" s="19">
        <v>100000</v>
      </c>
      <c r="U53" s="19">
        <v>100000</v>
      </c>
      <c r="V53" s="19">
        <v>100000</v>
      </c>
      <c r="W53" s="19">
        <v>100000</v>
      </c>
      <c r="X53" s="19">
        <v>100000</v>
      </c>
      <c r="Y53" s="19">
        <v>100000</v>
      </c>
      <c r="Z53" s="19">
        <v>100000</v>
      </c>
      <c r="AA53" s="19">
        <v>100000</v>
      </c>
      <c r="AB53" s="19">
        <v>100000</v>
      </c>
      <c r="AC53" s="19">
        <v>100000</v>
      </c>
      <c r="AD53" s="19">
        <v>100000</v>
      </c>
      <c r="AE53" s="19">
        <v>100000</v>
      </c>
      <c r="AF53" s="19">
        <v>100000</v>
      </c>
      <c r="AG53" s="19">
        <v>100000</v>
      </c>
      <c r="AH53" s="19">
        <v>100000</v>
      </c>
      <c r="AI53" s="19">
        <v>100000</v>
      </c>
      <c r="AJ53" s="19">
        <v>100000</v>
      </c>
      <c r="AK53" s="19">
        <v>100000</v>
      </c>
      <c r="AL53" s="19">
        <v>100000</v>
      </c>
      <c r="AM53" s="19">
        <v>100000</v>
      </c>
      <c r="AN53" s="19">
        <v>100000</v>
      </c>
      <c r="AO53" s="19">
        <v>100000</v>
      </c>
      <c r="AP53" s="19">
        <v>100000</v>
      </c>
      <c r="AQ53" s="19">
        <v>100000</v>
      </c>
      <c r="AR53" s="19">
        <v>100000</v>
      </c>
      <c r="AS53" s="19">
        <v>100000</v>
      </c>
      <c r="AT53" s="19">
        <v>100000</v>
      </c>
      <c r="AU53" s="19">
        <v>100000</v>
      </c>
      <c r="AV53" s="19">
        <v>100000</v>
      </c>
      <c r="AW53" s="19">
        <v>100000</v>
      </c>
      <c r="AX53" s="19">
        <v>100000</v>
      </c>
      <c r="AY53" s="19">
        <v>100000</v>
      </c>
      <c r="AZ53" s="19">
        <v>100000</v>
      </c>
      <c r="BA53" s="19">
        <v>100000</v>
      </c>
      <c r="BB53" s="19">
        <v>100000</v>
      </c>
      <c r="BC53" s="19">
        <v>100000</v>
      </c>
      <c r="BD53" s="19">
        <v>100000</v>
      </c>
      <c r="BE53" s="19">
        <v>100000</v>
      </c>
      <c r="BF53" s="19">
        <v>100000</v>
      </c>
      <c r="BG53" s="19">
        <v>100000</v>
      </c>
      <c r="BH53" s="19">
        <v>100000</v>
      </c>
      <c r="BI53" s="19">
        <v>100000</v>
      </c>
      <c r="BJ53" s="19">
        <v>100000</v>
      </c>
      <c r="BK53" s="19">
        <v>100000</v>
      </c>
      <c r="BL53" s="19">
        <v>100000</v>
      </c>
      <c r="BM53" s="19">
        <v>100000</v>
      </c>
      <c r="BN53" s="19">
        <v>100000</v>
      </c>
      <c r="BO53" s="19">
        <v>100000</v>
      </c>
      <c r="BP53" s="19">
        <v>100000</v>
      </c>
      <c r="BQ53" s="19">
        <v>100000</v>
      </c>
      <c r="BR53" s="19">
        <v>100000</v>
      </c>
      <c r="BS53" s="19">
        <v>100000</v>
      </c>
      <c r="BT53" s="19">
        <v>100000</v>
      </c>
      <c r="BU53" s="19">
        <v>100000</v>
      </c>
      <c r="BV53" s="19">
        <v>100000</v>
      </c>
      <c r="BW53" s="19">
        <v>100000</v>
      </c>
      <c r="BX53" s="19">
        <v>100000</v>
      </c>
      <c r="BY53" s="19">
        <v>100000</v>
      </c>
      <c r="BZ53" s="19">
        <v>100000</v>
      </c>
      <c r="CA53" s="19">
        <v>100000</v>
      </c>
    </row>
    <row r="54" spans="1:79" x14ac:dyDescent="0.2">
      <c r="A54" s="14" t="s">
        <v>128</v>
      </c>
      <c r="B54" s="15">
        <f t="shared" ref="B54:AG54" si="42">SUM(B53)</f>
        <v>100000</v>
      </c>
      <c r="C54" s="15">
        <f t="shared" si="42"/>
        <v>100000</v>
      </c>
      <c r="D54" s="15">
        <f t="shared" si="42"/>
        <v>100000</v>
      </c>
      <c r="E54" s="15">
        <f t="shared" si="42"/>
        <v>100000</v>
      </c>
      <c r="F54" s="15">
        <f t="shared" si="42"/>
        <v>100000</v>
      </c>
      <c r="G54" s="15">
        <f t="shared" si="42"/>
        <v>100000</v>
      </c>
      <c r="H54" s="15">
        <f t="shared" si="42"/>
        <v>100000</v>
      </c>
      <c r="I54" s="15">
        <f t="shared" si="42"/>
        <v>100000</v>
      </c>
      <c r="J54" s="15">
        <f t="shared" si="42"/>
        <v>100000</v>
      </c>
      <c r="K54" s="15">
        <f t="shared" si="42"/>
        <v>100000</v>
      </c>
      <c r="L54" s="15">
        <f t="shared" si="42"/>
        <v>100000</v>
      </c>
      <c r="M54" s="15">
        <f t="shared" si="42"/>
        <v>100000</v>
      </c>
      <c r="N54" s="15">
        <f t="shared" si="42"/>
        <v>100000</v>
      </c>
      <c r="O54" s="15">
        <f t="shared" si="42"/>
        <v>100000</v>
      </c>
      <c r="P54" s="15">
        <f t="shared" si="42"/>
        <v>100000</v>
      </c>
      <c r="Q54" s="15">
        <f t="shared" si="42"/>
        <v>100000</v>
      </c>
      <c r="R54" s="15">
        <f t="shared" si="42"/>
        <v>100000</v>
      </c>
      <c r="S54" s="15">
        <f t="shared" si="42"/>
        <v>100000</v>
      </c>
      <c r="T54" s="15">
        <f t="shared" si="42"/>
        <v>100000</v>
      </c>
      <c r="U54" s="15">
        <f t="shared" si="42"/>
        <v>100000</v>
      </c>
      <c r="V54" s="15">
        <f t="shared" si="42"/>
        <v>100000</v>
      </c>
      <c r="W54" s="15">
        <f t="shared" si="42"/>
        <v>100000</v>
      </c>
      <c r="X54" s="15">
        <f t="shared" si="42"/>
        <v>100000</v>
      </c>
      <c r="Y54" s="15">
        <f t="shared" si="42"/>
        <v>100000</v>
      </c>
      <c r="Z54" s="15">
        <f t="shared" si="42"/>
        <v>100000</v>
      </c>
      <c r="AA54" s="15">
        <f t="shared" si="42"/>
        <v>100000</v>
      </c>
      <c r="AB54" s="15">
        <f t="shared" si="42"/>
        <v>100000</v>
      </c>
      <c r="AC54" s="15">
        <f t="shared" si="42"/>
        <v>100000</v>
      </c>
      <c r="AD54" s="15">
        <f t="shared" si="42"/>
        <v>100000</v>
      </c>
      <c r="AE54" s="15">
        <f t="shared" si="42"/>
        <v>100000</v>
      </c>
      <c r="AF54" s="15">
        <f t="shared" si="42"/>
        <v>100000</v>
      </c>
      <c r="AG54" s="15">
        <f t="shared" si="42"/>
        <v>100000</v>
      </c>
      <c r="AH54" s="15">
        <f t="shared" ref="AH54:BM54" si="43">SUM(AH53)</f>
        <v>100000</v>
      </c>
      <c r="AI54" s="15">
        <f t="shared" si="43"/>
        <v>100000</v>
      </c>
      <c r="AJ54" s="15">
        <f t="shared" si="43"/>
        <v>100000</v>
      </c>
      <c r="AK54" s="15">
        <f t="shared" si="43"/>
        <v>100000</v>
      </c>
      <c r="AL54" s="15">
        <f t="shared" si="43"/>
        <v>100000</v>
      </c>
      <c r="AM54" s="15">
        <f t="shared" si="43"/>
        <v>100000</v>
      </c>
      <c r="AN54" s="15">
        <f t="shared" si="43"/>
        <v>100000</v>
      </c>
      <c r="AO54" s="15">
        <f t="shared" si="43"/>
        <v>100000</v>
      </c>
      <c r="AP54" s="15">
        <f t="shared" si="43"/>
        <v>100000</v>
      </c>
      <c r="AQ54" s="15">
        <f t="shared" si="43"/>
        <v>100000</v>
      </c>
      <c r="AR54" s="15">
        <f t="shared" si="43"/>
        <v>100000</v>
      </c>
      <c r="AS54" s="15">
        <f t="shared" si="43"/>
        <v>100000</v>
      </c>
      <c r="AT54" s="15">
        <f t="shared" si="43"/>
        <v>100000</v>
      </c>
      <c r="AU54" s="15">
        <f t="shared" si="43"/>
        <v>100000</v>
      </c>
      <c r="AV54" s="15">
        <f t="shared" si="43"/>
        <v>100000</v>
      </c>
      <c r="AW54" s="15">
        <f t="shared" si="43"/>
        <v>100000</v>
      </c>
      <c r="AX54" s="15">
        <f t="shared" si="43"/>
        <v>100000</v>
      </c>
      <c r="AY54" s="15">
        <f t="shared" si="43"/>
        <v>100000</v>
      </c>
      <c r="AZ54" s="15">
        <f t="shared" si="43"/>
        <v>100000</v>
      </c>
      <c r="BA54" s="15">
        <f t="shared" si="43"/>
        <v>100000</v>
      </c>
      <c r="BB54" s="15">
        <f t="shared" si="43"/>
        <v>100000</v>
      </c>
      <c r="BC54" s="15">
        <f t="shared" si="43"/>
        <v>100000</v>
      </c>
      <c r="BD54" s="15">
        <f t="shared" si="43"/>
        <v>100000</v>
      </c>
      <c r="BE54" s="15">
        <f t="shared" si="43"/>
        <v>100000</v>
      </c>
      <c r="BF54" s="15">
        <f t="shared" si="43"/>
        <v>100000</v>
      </c>
      <c r="BG54" s="15">
        <f t="shared" si="43"/>
        <v>100000</v>
      </c>
      <c r="BH54" s="15">
        <f t="shared" si="43"/>
        <v>100000</v>
      </c>
      <c r="BI54" s="15">
        <f t="shared" si="43"/>
        <v>100000</v>
      </c>
      <c r="BJ54" s="15">
        <f t="shared" si="43"/>
        <v>100000</v>
      </c>
      <c r="BK54" s="15">
        <f t="shared" si="43"/>
        <v>100000</v>
      </c>
      <c r="BL54" s="15">
        <f t="shared" si="43"/>
        <v>100000</v>
      </c>
      <c r="BM54" s="15">
        <f t="shared" si="43"/>
        <v>100000</v>
      </c>
      <c r="BN54" s="15">
        <f t="shared" ref="BN54:CS54" si="44">SUM(BN53)</f>
        <v>100000</v>
      </c>
      <c r="BO54" s="15">
        <f t="shared" si="44"/>
        <v>100000</v>
      </c>
      <c r="BP54" s="15">
        <f t="shared" si="44"/>
        <v>100000</v>
      </c>
      <c r="BQ54" s="15">
        <f t="shared" si="44"/>
        <v>100000</v>
      </c>
      <c r="BR54" s="15">
        <f t="shared" si="44"/>
        <v>100000</v>
      </c>
      <c r="BS54" s="15">
        <f t="shared" si="44"/>
        <v>100000</v>
      </c>
      <c r="BT54" s="15">
        <f t="shared" si="44"/>
        <v>100000</v>
      </c>
      <c r="BU54" s="15">
        <f t="shared" si="44"/>
        <v>100000</v>
      </c>
      <c r="BV54" s="15">
        <f t="shared" si="44"/>
        <v>100000</v>
      </c>
      <c r="BW54" s="15">
        <f t="shared" si="44"/>
        <v>100000</v>
      </c>
      <c r="BX54" s="15">
        <f t="shared" si="44"/>
        <v>100000</v>
      </c>
      <c r="BY54" s="15">
        <f t="shared" si="44"/>
        <v>100000</v>
      </c>
      <c r="BZ54" s="15">
        <f t="shared" si="44"/>
        <v>100000</v>
      </c>
      <c r="CA54" s="15">
        <f t="shared" si="44"/>
        <v>100000</v>
      </c>
    </row>
    <row r="55" spans="1:79" x14ac:dyDescent="0.2">
      <c r="A55" s="14" t="s">
        <v>129</v>
      </c>
      <c r="B55" s="15">
        <f>+-5709.28-B56</f>
        <v>-5709.28</v>
      </c>
      <c r="C55" s="15">
        <f>1427.36-C56</f>
        <v>1427.36</v>
      </c>
      <c r="D55" s="15">
        <f>18697.67-D56</f>
        <v>18697.669999999998</v>
      </c>
      <c r="E55" s="15">
        <f>19086.11-E56</f>
        <v>19086.11</v>
      </c>
      <c r="F55" s="15">
        <f>25386.22-F56</f>
        <v>25386.22</v>
      </c>
      <c r="G55" s="15">
        <f>47276.56-G56</f>
        <v>47276.56</v>
      </c>
      <c r="H55" s="15">
        <f>38291.5099999999-H56</f>
        <v>38291.5099999999</v>
      </c>
      <c r="I55" s="15">
        <f>35536.3999999999-I56</f>
        <v>35536.3999999999</v>
      </c>
      <c r="J55" s="15">
        <f>50375.9299999999-J56</f>
        <v>50375.929999999898</v>
      </c>
      <c r="K55" s="15">
        <f>61892.7699999999-K56</f>
        <v>61892.769999999902</v>
      </c>
      <c r="L55" s="15">
        <f>69293.2499999999-L56</f>
        <v>69293.249999999898</v>
      </c>
      <c r="M55" s="15">
        <f>78220.83-M56</f>
        <v>78220.83</v>
      </c>
      <c r="N55" s="15">
        <f>72663.48-N56</f>
        <v>72663.48</v>
      </c>
      <c r="O55" s="15">
        <f>52437.14-O56</f>
        <v>52437.14</v>
      </c>
      <c r="P55" s="15">
        <f>33337.79-P56</f>
        <v>33337.79</v>
      </c>
      <c r="Q55" s="15">
        <f>28210.59-Q56</f>
        <v>28210.59</v>
      </c>
      <c r="R55" s="15">
        <f>33803.87-R56</f>
        <v>33803.870000000003</v>
      </c>
      <c r="S55" s="15">
        <f>21410.77-S56</f>
        <v>21410.77</v>
      </c>
      <c r="T55" s="15">
        <f>12107.5699999999-T56</f>
        <v>12107.5699999999</v>
      </c>
      <c r="U55" s="15">
        <f>20737.95-U56</f>
        <v>20737.95</v>
      </c>
      <c r="V55" s="15">
        <f>30846.5-V56</f>
        <v>30846.5</v>
      </c>
      <c r="W55" s="15">
        <f>25831.8500000001-W56</f>
        <v>25831.8500000001</v>
      </c>
      <c r="X55" s="15">
        <f>15091.25-X56</f>
        <v>15091.25</v>
      </c>
      <c r="Y55" s="15">
        <f>7317.72000000009-Y56</f>
        <v>7317.7200000000903</v>
      </c>
      <c r="Z55" s="15">
        <f>31361.42-Z56</f>
        <v>31361.42</v>
      </c>
      <c r="AA55" s="15">
        <f>10265.32-AA56</f>
        <v>10265.32</v>
      </c>
      <c r="AB55" s="15">
        <f>3697.9200000001-AB56</f>
        <v>3697.9200000001001</v>
      </c>
      <c r="AC55" s="15">
        <f>+-10424.0799999999-AC56</f>
        <v>-10424.0799999999</v>
      </c>
      <c r="AD55" s="15">
        <f>+-4341.01000000002-AD56</f>
        <v>-4341.0100000000202</v>
      </c>
      <c r="AE55" s="15">
        <f>+-8365.55999999996-AE56</f>
        <v>-8365.5599999999595</v>
      </c>
      <c r="AF55" s="15">
        <f>+-19540.7099999998-AF56</f>
        <v>-19540.709999999799</v>
      </c>
      <c r="AG55" s="15">
        <f>+-24912.7299999999-AG56</f>
        <v>-24912.729999999901</v>
      </c>
      <c r="AH55" s="15">
        <f>+-33801.0899999999-AH56</f>
        <v>-33801.089999999902</v>
      </c>
      <c r="AI55" s="15">
        <f>+-53746.48-AI56</f>
        <v>-53746.48</v>
      </c>
      <c r="AJ55" s="15">
        <f>+-43176.0300000001-AJ56</f>
        <v>-43176.030000000101</v>
      </c>
      <c r="AK55" s="15">
        <f>+-20630.4-AK56</f>
        <v>-20630.400000000001</v>
      </c>
      <c r="AL55" s="15">
        <f>+-17384.62-AL56</f>
        <v>-17384.62</v>
      </c>
      <c r="AM55" s="15">
        <f>+-28436.34-AM56</f>
        <v>-28436.34</v>
      </c>
      <c r="AN55" s="15">
        <f>+-34459.2300000002-AN56</f>
        <v>-34459.2300000002</v>
      </c>
      <c r="AO55" s="15">
        <f>941.259999999871-AO56</f>
        <v>941.25999999987096</v>
      </c>
      <c r="AP55" s="15">
        <f>+-12167.3300000001-AP56</f>
        <v>-12167.3300000001</v>
      </c>
      <c r="AQ55" s="15">
        <f>+-14807.3800000004-AQ56</f>
        <v>-14807.380000000399</v>
      </c>
      <c r="AR55" s="15">
        <f>+-14464.3100000004-AR56</f>
        <v>-14464.3100000004</v>
      </c>
      <c r="AS55" s="15">
        <f>+-7524.11000000022-AS56</f>
        <v>-7524.1100000002198</v>
      </c>
      <c r="AT55" s="15">
        <f>+-2815.50000000026-AT56</f>
        <v>-2815.5000000002601</v>
      </c>
      <c r="AU55" s="15">
        <f>4441.84999999973-AU56</f>
        <v>4441.8499999997302</v>
      </c>
      <c r="AV55" s="15">
        <f>5905.7199999996-AV56</f>
        <v>5905.7199999996001</v>
      </c>
      <c r="AW55" s="15">
        <f>34123.1799999997-AW56</f>
        <v>34123.179999999702</v>
      </c>
      <c r="AX55" s="15">
        <f>5162.54999999975-AX56</f>
        <v>5162.5499999997501</v>
      </c>
      <c r="AY55" s="15">
        <f>11359.8799999998-AY56</f>
        <v>11359.879999999799</v>
      </c>
      <c r="AZ55" s="15">
        <f>12498.8399999999-AZ56</f>
        <v>12498.8399999999</v>
      </c>
      <c r="BA55" s="15">
        <f>13000.62-BA56</f>
        <v>13000.62</v>
      </c>
      <c r="BB55" s="15">
        <f>17049.7099999997-BB56</f>
        <v>17049.709999999701</v>
      </c>
      <c r="BC55" s="15">
        <f>26988.58-BC56</f>
        <v>26988.58</v>
      </c>
      <c r="BD55" s="15">
        <f>32654.8199999998-BD56</f>
        <v>32654.8199999998</v>
      </c>
      <c r="BE55" s="15">
        <f>38211.6099999998-BE56</f>
        <v>38211.609999999797</v>
      </c>
      <c r="BF55" s="15">
        <f>48080.2799999999-BF56</f>
        <v>48080.279999999897</v>
      </c>
      <c r="BG55" s="15">
        <f>46606.33-BG56</f>
        <v>46606.33</v>
      </c>
      <c r="BH55" s="15">
        <f>54055.2799999997-BH56</f>
        <v>54055.279999999701</v>
      </c>
      <c r="BI55" s="15">
        <f>38713.79-BI56</f>
        <v>38713.79</v>
      </c>
      <c r="BJ55" s="15">
        <f>1197.56999999981-BJ56</f>
        <v>1197.5699999998101</v>
      </c>
      <c r="BK55" s="15">
        <f>67363.2899999999-BK56</f>
        <v>67363.289999999906</v>
      </c>
      <c r="BL55" s="15">
        <f>120765.53-BL56</f>
        <v>120765.53</v>
      </c>
      <c r="BM55" s="15">
        <f>+-20237.5400000001-BM56</f>
        <v>-20237.540000000099</v>
      </c>
      <c r="BN55" s="15">
        <f>+-3154.37000000007-BN56</f>
        <v>-3154.3700000000699</v>
      </c>
      <c r="BO55" s="15">
        <f>15660.7800000001-BO56</f>
        <v>15660.780000000101</v>
      </c>
      <c r="BP55" s="15">
        <f>35674.9-BP56</f>
        <v>35674.9</v>
      </c>
      <c r="BQ55" s="15">
        <f>379293.63-BQ56</f>
        <v>379293.63</v>
      </c>
      <c r="BR55" s="15">
        <f>173705.94-BR56</f>
        <v>173705.94</v>
      </c>
      <c r="BS55" s="15">
        <f>187876.32-BS56</f>
        <v>187876.32</v>
      </c>
      <c r="BT55" s="15">
        <f>249502.72-BT56</f>
        <v>249502.72</v>
      </c>
      <c r="BU55" s="15">
        <f>246096.52-BU56</f>
        <v>246096.52</v>
      </c>
      <c r="BV55" s="15">
        <f>166073.08-BV56</f>
        <v>166073.07999999999</v>
      </c>
      <c r="BW55" s="15">
        <f>229354.76-BW56</f>
        <v>244548.58000000002</v>
      </c>
      <c r="BX55" s="15">
        <f>179959.420000001-BX56</f>
        <v>244548.58000000101</v>
      </c>
      <c r="BY55" s="15">
        <f>196886.950000001-BY56</f>
        <v>244548.58000000101</v>
      </c>
      <c r="BZ55" s="15">
        <f>175646.390000001-BZ56</f>
        <v>244548.58000000101</v>
      </c>
      <c r="CA55" s="15">
        <f>202386.900000001-CA56</f>
        <v>244548.58000000103</v>
      </c>
    </row>
    <row r="56" spans="1:79" x14ac:dyDescent="0.2">
      <c r="A56" s="7" t="s">
        <v>130</v>
      </c>
      <c r="B56" s="19">
        <v>0</v>
      </c>
      <c r="C56" s="19">
        <v>0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  <c r="AF56" s="19">
        <v>0</v>
      </c>
      <c r="AG56" s="19">
        <v>0</v>
      </c>
      <c r="AH56" s="19">
        <v>0</v>
      </c>
      <c r="AI56" s="19">
        <v>0</v>
      </c>
      <c r="AJ56" s="19">
        <v>0</v>
      </c>
      <c r="AK56" s="19">
        <v>0</v>
      </c>
      <c r="AL56" s="19">
        <v>0</v>
      </c>
      <c r="AM56" s="19">
        <v>0</v>
      </c>
      <c r="AN56" s="19">
        <v>0</v>
      </c>
      <c r="AO56" s="19">
        <v>0</v>
      </c>
      <c r="AP56" s="19">
        <v>0</v>
      </c>
      <c r="AQ56" s="19">
        <v>0</v>
      </c>
      <c r="AR56" s="19">
        <v>0</v>
      </c>
      <c r="AS56" s="19">
        <v>0</v>
      </c>
      <c r="AT56" s="19">
        <v>0</v>
      </c>
      <c r="AU56" s="19">
        <v>0</v>
      </c>
      <c r="AV56" s="19">
        <v>0</v>
      </c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>
        <v>0</v>
      </c>
      <c r="BC56" s="19">
        <v>0</v>
      </c>
      <c r="BD56" s="19">
        <v>0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>
        <v>0</v>
      </c>
      <c r="BM56" s="19">
        <v>0</v>
      </c>
      <c r="BN56" s="19">
        <v>0</v>
      </c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>
        <v>0</v>
      </c>
      <c r="BW56" s="19">
        <v>-15193.820000000007</v>
      </c>
      <c r="BX56" s="19">
        <v>-64589.160000000018</v>
      </c>
      <c r="BY56" s="19">
        <v>-47661.63</v>
      </c>
      <c r="BZ56" s="19">
        <v>-68902.19</v>
      </c>
      <c r="CA56" s="19">
        <v>-42161.680000000015</v>
      </c>
    </row>
    <row r="57" spans="1:79" x14ac:dyDescent="0.2">
      <c r="A57" s="16" t="s">
        <v>131</v>
      </c>
      <c r="B57" s="17">
        <f t="shared" ref="B57:AG57" si="45">B54+0+0+B55+0+B56</f>
        <v>94290.72</v>
      </c>
      <c r="C57" s="17">
        <f t="shared" si="45"/>
        <v>101427.36</v>
      </c>
      <c r="D57" s="17">
        <f t="shared" si="45"/>
        <v>118697.67</v>
      </c>
      <c r="E57" s="17">
        <f t="shared" si="45"/>
        <v>119086.11</v>
      </c>
      <c r="F57" s="17">
        <f t="shared" si="45"/>
        <v>125386.22</v>
      </c>
      <c r="G57" s="17">
        <f t="shared" si="45"/>
        <v>147276.56</v>
      </c>
      <c r="H57" s="17">
        <f t="shared" si="45"/>
        <v>138291.50999999989</v>
      </c>
      <c r="I57" s="17">
        <f t="shared" si="45"/>
        <v>135536.39999999991</v>
      </c>
      <c r="J57" s="17">
        <f t="shared" si="45"/>
        <v>150375.92999999991</v>
      </c>
      <c r="K57" s="17">
        <f t="shared" si="45"/>
        <v>161892.7699999999</v>
      </c>
      <c r="L57" s="17">
        <f t="shared" si="45"/>
        <v>169293.24999999988</v>
      </c>
      <c r="M57" s="17">
        <f t="shared" si="45"/>
        <v>178220.83000000002</v>
      </c>
      <c r="N57" s="17">
        <f t="shared" si="45"/>
        <v>172663.47999999998</v>
      </c>
      <c r="O57" s="17">
        <f t="shared" si="45"/>
        <v>152437.14000000001</v>
      </c>
      <c r="P57" s="17">
        <f t="shared" si="45"/>
        <v>133337.79</v>
      </c>
      <c r="Q57" s="17">
        <f t="shared" si="45"/>
        <v>128210.59</v>
      </c>
      <c r="R57" s="17">
        <f t="shared" si="45"/>
        <v>133803.87</v>
      </c>
      <c r="S57" s="17">
        <f t="shared" si="45"/>
        <v>121410.77</v>
      </c>
      <c r="T57" s="17">
        <f t="shared" si="45"/>
        <v>112107.56999999991</v>
      </c>
      <c r="U57" s="17">
        <f t="shared" si="45"/>
        <v>120737.95</v>
      </c>
      <c r="V57" s="17">
        <f t="shared" si="45"/>
        <v>130846.5</v>
      </c>
      <c r="W57" s="17">
        <f t="shared" si="45"/>
        <v>125831.85000000009</v>
      </c>
      <c r="X57" s="17">
        <f t="shared" si="45"/>
        <v>115091.25</v>
      </c>
      <c r="Y57" s="17">
        <f t="shared" si="45"/>
        <v>107317.72000000009</v>
      </c>
      <c r="Z57" s="17">
        <f t="shared" si="45"/>
        <v>131361.41999999998</v>
      </c>
      <c r="AA57" s="17">
        <f t="shared" si="45"/>
        <v>110265.32</v>
      </c>
      <c r="AB57" s="17">
        <f t="shared" si="45"/>
        <v>103697.9200000001</v>
      </c>
      <c r="AC57" s="17">
        <f t="shared" si="45"/>
        <v>89575.9200000001</v>
      </c>
      <c r="AD57" s="17">
        <f t="shared" si="45"/>
        <v>95658.989999999976</v>
      </c>
      <c r="AE57" s="17">
        <f t="shared" si="45"/>
        <v>91634.440000000046</v>
      </c>
      <c r="AF57" s="17">
        <f t="shared" si="45"/>
        <v>80459.290000000197</v>
      </c>
      <c r="AG57" s="17">
        <f t="shared" si="45"/>
        <v>75087.270000000106</v>
      </c>
      <c r="AH57" s="17">
        <f t="shared" ref="AH57:BM57" si="46">AH54+0+0+AH55+0+AH56</f>
        <v>66198.910000000091</v>
      </c>
      <c r="AI57" s="17">
        <f t="shared" si="46"/>
        <v>46253.52</v>
      </c>
      <c r="AJ57" s="17">
        <f t="shared" si="46"/>
        <v>56823.969999999899</v>
      </c>
      <c r="AK57" s="17">
        <f t="shared" si="46"/>
        <v>79369.600000000006</v>
      </c>
      <c r="AL57" s="17">
        <f t="shared" si="46"/>
        <v>82615.38</v>
      </c>
      <c r="AM57" s="17">
        <f t="shared" si="46"/>
        <v>71563.66</v>
      </c>
      <c r="AN57" s="17">
        <f t="shared" si="46"/>
        <v>65540.7699999998</v>
      </c>
      <c r="AO57" s="17">
        <f t="shared" si="46"/>
        <v>100941.25999999986</v>
      </c>
      <c r="AP57" s="17">
        <f t="shared" si="46"/>
        <v>87832.669999999896</v>
      </c>
      <c r="AQ57" s="17">
        <f t="shared" si="46"/>
        <v>85192.619999999602</v>
      </c>
      <c r="AR57" s="17">
        <f t="shared" si="46"/>
        <v>85535.689999999595</v>
      </c>
      <c r="AS57" s="17">
        <f t="shared" si="46"/>
        <v>92475.889999999781</v>
      </c>
      <c r="AT57" s="17">
        <f t="shared" si="46"/>
        <v>97184.499999999738</v>
      </c>
      <c r="AU57" s="17">
        <f t="shared" si="46"/>
        <v>104441.84999999973</v>
      </c>
      <c r="AV57" s="17">
        <f t="shared" si="46"/>
        <v>105905.71999999959</v>
      </c>
      <c r="AW57" s="17">
        <f t="shared" si="46"/>
        <v>134123.1799999997</v>
      </c>
      <c r="AX57" s="17">
        <f t="shared" si="46"/>
        <v>105162.54999999976</v>
      </c>
      <c r="AY57" s="17">
        <f t="shared" si="46"/>
        <v>111359.8799999998</v>
      </c>
      <c r="AZ57" s="17">
        <f t="shared" si="46"/>
        <v>112498.83999999989</v>
      </c>
      <c r="BA57" s="17">
        <f t="shared" si="46"/>
        <v>113000.62</v>
      </c>
      <c r="BB57" s="17">
        <f t="shared" si="46"/>
        <v>117049.7099999997</v>
      </c>
      <c r="BC57" s="17">
        <f t="shared" si="46"/>
        <v>126988.58</v>
      </c>
      <c r="BD57" s="17">
        <f t="shared" si="46"/>
        <v>132654.8199999998</v>
      </c>
      <c r="BE57" s="17">
        <f t="shared" si="46"/>
        <v>138211.60999999981</v>
      </c>
      <c r="BF57" s="17">
        <f t="shared" si="46"/>
        <v>148080.27999999991</v>
      </c>
      <c r="BG57" s="17">
        <f t="shared" si="46"/>
        <v>146606.33000000002</v>
      </c>
      <c r="BH57" s="17">
        <f t="shared" si="46"/>
        <v>154055.27999999971</v>
      </c>
      <c r="BI57" s="17">
        <f t="shared" si="46"/>
        <v>138713.79</v>
      </c>
      <c r="BJ57" s="17">
        <f t="shared" si="46"/>
        <v>101197.5699999998</v>
      </c>
      <c r="BK57" s="17">
        <f t="shared" si="46"/>
        <v>167363.28999999992</v>
      </c>
      <c r="BL57" s="17">
        <f t="shared" si="46"/>
        <v>220765.53</v>
      </c>
      <c r="BM57" s="17">
        <f t="shared" si="46"/>
        <v>79762.459999999905</v>
      </c>
      <c r="BN57" s="17">
        <f t="shared" ref="BN57:CS57" si="47">BN54+0+0+BN55+0+BN56</f>
        <v>96845.629999999932</v>
      </c>
      <c r="BO57" s="17">
        <f t="shared" si="47"/>
        <v>115660.7800000001</v>
      </c>
      <c r="BP57" s="17">
        <f t="shared" si="47"/>
        <v>135674.9</v>
      </c>
      <c r="BQ57" s="17">
        <f t="shared" si="47"/>
        <v>479293.63</v>
      </c>
      <c r="BR57" s="17">
        <f t="shared" si="47"/>
        <v>273705.94</v>
      </c>
      <c r="BS57" s="17">
        <f t="shared" si="47"/>
        <v>287876.32</v>
      </c>
      <c r="BT57" s="17">
        <f t="shared" si="47"/>
        <v>349502.71999999997</v>
      </c>
      <c r="BU57" s="17">
        <f t="shared" si="47"/>
        <v>346096.52</v>
      </c>
      <c r="BV57" s="17">
        <f t="shared" si="47"/>
        <v>266073.07999999996</v>
      </c>
      <c r="BW57" s="17">
        <f t="shared" si="47"/>
        <v>329354.76</v>
      </c>
      <c r="BX57" s="17">
        <f t="shared" si="47"/>
        <v>279959.42000000097</v>
      </c>
      <c r="BY57" s="17">
        <f t="shared" si="47"/>
        <v>296886.950000001</v>
      </c>
      <c r="BZ57" s="17">
        <f t="shared" si="47"/>
        <v>275646.390000001</v>
      </c>
      <c r="CA57" s="17">
        <f t="shared" si="47"/>
        <v>302386.90000000101</v>
      </c>
    </row>
    <row r="58" spans="1:79" x14ac:dyDescent="0.2">
      <c r="A58" s="1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79" ht="12" x14ac:dyDescent="0.2">
      <c r="A59" s="5" t="s">
        <v>132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</row>
    <row r="60" spans="1:79" x14ac:dyDescent="0.2">
      <c r="A60" s="7" t="s">
        <v>133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  <row r="61" spans="1:79" x14ac:dyDescent="0.2">
      <c r="A61" s="25" t="s">
        <v>134</v>
      </c>
      <c r="B61" s="19">
        <v>0</v>
      </c>
      <c r="C61" s="19">
        <v>0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0</v>
      </c>
      <c r="AG61" s="19">
        <v>0</v>
      </c>
      <c r="AH61" s="19">
        <v>0</v>
      </c>
      <c r="AI61" s="19">
        <v>0</v>
      </c>
      <c r="AJ61" s="19">
        <v>0</v>
      </c>
      <c r="AK61" s="19">
        <v>0</v>
      </c>
      <c r="AL61" s="19">
        <v>0</v>
      </c>
      <c r="AM61" s="19">
        <v>0</v>
      </c>
      <c r="AN61" s="19">
        <v>0</v>
      </c>
      <c r="AO61" s="19">
        <v>0</v>
      </c>
      <c r="AP61" s="19">
        <v>0</v>
      </c>
      <c r="AQ61" s="19">
        <v>0</v>
      </c>
      <c r="AR61" s="19">
        <v>0</v>
      </c>
      <c r="AS61" s="19">
        <v>0</v>
      </c>
      <c r="AT61" s="19">
        <v>0</v>
      </c>
      <c r="AU61" s="19">
        <v>0</v>
      </c>
      <c r="AV61" s="19">
        <v>0</v>
      </c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>
        <v>0</v>
      </c>
      <c r="BC61" s="19">
        <v>0</v>
      </c>
      <c r="BD61" s="19">
        <v>0</v>
      </c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>
        <v>0</v>
      </c>
      <c r="BM61" s="19">
        <v>0</v>
      </c>
      <c r="BN61" s="19">
        <v>0</v>
      </c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>
        <v>33639.9</v>
      </c>
      <c r="BW61" s="19">
        <v>0</v>
      </c>
      <c r="BX61" s="19">
        <v>0</v>
      </c>
      <c r="BY61" s="19">
        <v>0</v>
      </c>
      <c r="BZ61" s="19">
        <v>0</v>
      </c>
      <c r="CA61" s="19">
        <v>0</v>
      </c>
    </row>
    <row r="62" spans="1:79" x14ac:dyDescent="0.2">
      <c r="A62" s="25" t="s">
        <v>135</v>
      </c>
      <c r="B62" s="19">
        <v>0</v>
      </c>
      <c r="C62" s="19">
        <v>0</v>
      </c>
      <c r="D62" s="19">
        <v>0</v>
      </c>
      <c r="E62" s="19">
        <v>0</v>
      </c>
      <c r="F62" s="19">
        <v>0</v>
      </c>
      <c r="G62" s="19">
        <v>0</v>
      </c>
      <c r="H62" s="19">
        <v>10752</v>
      </c>
      <c r="I62" s="19">
        <v>10752</v>
      </c>
      <c r="J62" s="19">
        <v>13752</v>
      </c>
      <c r="K62" s="19">
        <v>-8448</v>
      </c>
      <c r="L62" s="19">
        <v>-4648</v>
      </c>
      <c r="M62" s="19">
        <v>-2648</v>
      </c>
      <c r="N62" s="19">
        <v>-5576</v>
      </c>
      <c r="O62" s="19">
        <v>-5576</v>
      </c>
      <c r="P62" s="19">
        <v>-5576</v>
      </c>
      <c r="Q62" s="19">
        <v>-5576</v>
      </c>
      <c r="R62" s="19">
        <v>-5576</v>
      </c>
      <c r="S62" s="19">
        <v>-5576</v>
      </c>
      <c r="T62" s="19">
        <v>-5576</v>
      </c>
      <c r="U62" s="19">
        <v>-5576</v>
      </c>
      <c r="V62" s="19">
        <v>-5576</v>
      </c>
      <c r="W62" s="19">
        <v>-5576</v>
      </c>
      <c r="X62" s="19">
        <v>-5576</v>
      </c>
      <c r="Y62" s="19">
        <v>-5576</v>
      </c>
      <c r="Z62" s="19">
        <v>-5576</v>
      </c>
      <c r="AA62" s="19">
        <v>-5576</v>
      </c>
      <c r="AB62" s="19">
        <v>-5576</v>
      </c>
      <c r="AC62" s="19">
        <v>-5576</v>
      </c>
      <c r="AD62" s="19">
        <v>-802</v>
      </c>
      <c r="AE62" s="19">
        <v>-802</v>
      </c>
      <c r="AF62" s="19">
        <v>-802</v>
      </c>
      <c r="AG62" s="19">
        <v>-802</v>
      </c>
      <c r="AH62" s="19">
        <v>-802</v>
      </c>
      <c r="AI62" s="19">
        <v>-802</v>
      </c>
      <c r="AJ62" s="19">
        <v>-802</v>
      </c>
      <c r="AK62" s="19">
        <v>-802</v>
      </c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0</v>
      </c>
      <c r="AS62" s="19">
        <v>0</v>
      </c>
      <c r="AT62" s="19">
        <v>0</v>
      </c>
      <c r="AU62" s="19">
        <v>0</v>
      </c>
      <c r="AV62" s="19">
        <v>0</v>
      </c>
      <c r="AW62" s="19">
        <v>0</v>
      </c>
      <c r="AX62" s="19">
        <v>1250</v>
      </c>
      <c r="AY62" s="19">
        <v>1250</v>
      </c>
      <c r="AZ62" s="19">
        <v>1250</v>
      </c>
      <c r="BA62" s="19">
        <v>1250</v>
      </c>
      <c r="BB62" s="19">
        <v>1250</v>
      </c>
      <c r="BC62" s="19">
        <v>0</v>
      </c>
      <c r="BD62" s="19">
        <v>0</v>
      </c>
      <c r="BE62" s="19">
        <v>0</v>
      </c>
      <c r="BF62" s="19">
        <v>0</v>
      </c>
      <c r="BG62" s="19">
        <v>0</v>
      </c>
      <c r="BH62" s="19">
        <v>0</v>
      </c>
      <c r="BI62" s="19">
        <v>0</v>
      </c>
      <c r="BJ62" s="19">
        <v>0</v>
      </c>
      <c r="BK62" s="19">
        <v>0</v>
      </c>
      <c r="BL62" s="19">
        <v>0</v>
      </c>
      <c r="BM62" s="19">
        <v>0</v>
      </c>
      <c r="BN62" s="19">
        <v>0</v>
      </c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>
        <v>0</v>
      </c>
      <c r="BW62" s="19">
        <v>0</v>
      </c>
      <c r="BX62" s="19">
        <v>0</v>
      </c>
      <c r="BY62" s="19">
        <v>0</v>
      </c>
      <c r="BZ62" s="19">
        <v>0</v>
      </c>
      <c r="CA62" s="19">
        <v>9.75</v>
      </c>
    </row>
    <row r="63" spans="1:79" x14ac:dyDescent="0.2">
      <c r="A63" s="14" t="s">
        <v>136</v>
      </c>
      <c r="B63" s="15">
        <f t="shared" ref="B63:AG63" si="48">SUM(B61:B62)</f>
        <v>0</v>
      </c>
      <c r="C63" s="15">
        <f t="shared" si="48"/>
        <v>0</v>
      </c>
      <c r="D63" s="15">
        <f t="shared" si="48"/>
        <v>0</v>
      </c>
      <c r="E63" s="15">
        <f t="shared" si="48"/>
        <v>0</v>
      </c>
      <c r="F63" s="15">
        <f t="shared" si="48"/>
        <v>0</v>
      </c>
      <c r="G63" s="15">
        <f t="shared" si="48"/>
        <v>0</v>
      </c>
      <c r="H63" s="15">
        <f t="shared" si="48"/>
        <v>10752</v>
      </c>
      <c r="I63" s="15">
        <f t="shared" si="48"/>
        <v>10752</v>
      </c>
      <c r="J63" s="15">
        <f t="shared" si="48"/>
        <v>13752</v>
      </c>
      <c r="K63" s="15">
        <f t="shared" si="48"/>
        <v>-8448</v>
      </c>
      <c r="L63" s="15">
        <f t="shared" si="48"/>
        <v>-4648</v>
      </c>
      <c r="M63" s="15">
        <f t="shared" si="48"/>
        <v>-2648</v>
      </c>
      <c r="N63" s="15">
        <f t="shared" si="48"/>
        <v>-5576</v>
      </c>
      <c r="O63" s="15">
        <f t="shared" si="48"/>
        <v>-5576</v>
      </c>
      <c r="P63" s="15">
        <f t="shared" si="48"/>
        <v>-5576</v>
      </c>
      <c r="Q63" s="15">
        <f t="shared" si="48"/>
        <v>-5576</v>
      </c>
      <c r="R63" s="15">
        <f t="shared" si="48"/>
        <v>-5576</v>
      </c>
      <c r="S63" s="15">
        <f t="shared" si="48"/>
        <v>-5576</v>
      </c>
      <c r="T63" s="15">
        <f t="shared" si="48"/>
        <v>-5576</v>
      </c>
      <c r="U63" s="15">
        <f t="shared" si="48"/>
        <v>-5576</v>
      </c>
      <c r="V63" s="15">
        <f t="shared" si="48"/>
        <v>-5576</v>
      </c>
      <c r="W63" s="15">
        <f t="shared" si="48"/>
        <v>-5576</v>
      </c>
      <c r="X63" s="15">
        <f t="shared" si="48"/>
        <v>-5576</v>
      </c>
      <c r="Y63" s="15">
        <f t="shared" si="48"/>
        <v>-5576</v>
      </c>
      <c r="Z63" s="15">
        <f t="shared" si="48"/>
        <v>-5576</v>
      </c>
      <c r="AA63" s="15">
        <f t="shared" si="48"/>
        <v>-5576</v>
      </c>
      <c r="AB63" s="15">
        <f t="shared" si="48"/>
        <v>-5576</v>
      </c>
      <c r="AC63" s="15">
        <f t="shared" si="48"/>
        <v>-5576</v>
      </c>
      <c r="AD63" s="15">
        <f t="shared" si="48"/>
        <v>-802</v>
      </c>
      <c r="AE63" s="15">
        <f t="shared" si="48"/>
        <v>-802</v>
      </c>
      <c r="AF63" s="15">
        <f t="shared" si="48"/>
        <v>-802</v>
      </c>
      <c r="AG63" s="15">
        <f t="shared" si="48"/>
        <v>-802</v>
      </c>
      <c r="AH63" s="15">
        <f t="shared" ref="AH63:BM63" si="49">SUM(AH61:AH62)</f>
        <v>-802</v>
      </c>
      <c r="AI63" s="15">
        <f t="shared" si="49"/>
        <v>-802</v>
      </c>
      <c r="AJ63" s="15">
        <f t="shared" si="49"/>
        <v>-802</v>
      </c>
      <c r="AK63" s="15">
        <f t="shared" si="49"/>
        <v>-802</v>
      </c>
      <c r="AL63" s="15">
        <f t="shared" si="49"/>
        <v>0</v>
      </c>
      <c r="AM63" s="15">
        <f t="shared" si="49"/>
        <v>0</v>
      </c>
      <c r="AN63" s="15">
        <f t="shared" si="49"/>
        <v>0</v>
      </c>
      <c r="AO63" s="15">
        <f t="shared" si="49"/>
        <v>0</v>
      </c>
      <c r="AP63" s="15">
        <f t="shared" si="49"/>
        <v>0</v>
      </c>
      <c r="AQ63" s="15">
        <f t="shared" si="49"/>
        <v>0</v>
      </c>
      <c r="AR63" s="15">
        <f t="shared" si="49"/>
        <v>0</v>
      </c>
      <c r="AS63" s="15">
        <f t="shared" si="49"/>
        <v>0</v>
      </c>
      <c r="AT63" s="15">
        <f t="shared" si="49"/>
        <v>0</v>
      </c>
      <c r="AU63" s="15">
        <f t="shared" si="49"/>
        <v>0</v>
      </c>
      <c r="AV63" s="15">
        <f t="shared" si="49"/>
        <v>0</v>
      </c>
      <c r="AW63" s="15">
        <f t="shared" si="49"/>
        <v>0</v>
      </c>
      <c r="AX63" s="15">
        <f t="shared" si="49"/>
        <v>1250</v>
      </c>
      <c r="AY63" s="15">
        <f t="shared" si="49"/>
        <v>1250</v>
      </c>
      <c r="AZ63" s="15">
        <f t="shared" si="49"/>
        <v>1250</v>
      </c>
      <c r="BA63" s="15">
        <f t="shared" si="49"/>
        <v>1250</v>
      </c>
      <c r="BB63" s="15">
        <f t="shared" si="49"/>
        <v>1250</v>
      </c>
      <c r="BC63" s="15">
        <f t="shared" si="49"/>
        <v>0</v>
      </c>
      <c r="BD63" s="15">
        <f t="shared" si="49"/>
        <v>0</v>
      </c>
      <c r="BE63" s="15">
        <f t="shared" si="49"/>
        <v>0</v>
      </c>
      <c r="BF63" s="15">
        <f t="shared" si="49"/>
        <v>0</v>
      </c>
      <c r="BG63" s="15">
        <f t="shared" si="49"/>
        <v>0</v>
      </c>
      <c r="BH63" s="15">
        <f t="shared" si="49"/>
        <v>0</v>
      </c>
      <c r="BI63" s="15">
        <f t="shared" si="49"/>
        <v>0</v>
      </c>
      <c r="BJ63" s="15">
        <f t="shared" si="49"/>
        <v>0</v>
      </c>
      <c r="BK63" s="15">
        <f t="shared" si="49"/>
        <v>0</v>
      </c>
      <c r="BL63" s="15">
        <f t="shared" si="49"/>
        <v>0</v>
      </c>
      <c r="BM63" s="15">
        <f t="shared" si="49"/>
        <v>0</v>
      </c>
      <c r="BN63" s="15">
        <f t="shared" ref="BN63:CS63" si="50">SUM(BN61:BN62)</f>
        <v>0</v>
      </c>
      <c r="BO63" s="15">
        <f t="shared" si="50"/>
        <v>0</v>
      </c>
      <c r="BP63" s="15">
        <f t="shared" si="50"/>
        <v>0</v>
      </c>
      <c r="BQ63" s="15">
        <f t="shared" si="50"/>
        <v>0</v>
      </c>
      <c r="BR63" s="15">
        <f t="shared" si="50"/>
        <v>0</v>
      </c>
      <c r="BS63" s="15">
        <f t="shared" si="50"/>
        <v>0</v>
      </c>
      <c r="BT63" s="15">
        <f t="shared" si="50"/>
        <v>0</v>
      </c>
      <c r="BU63" s="15">
        <f t="shared" si="50"/>
        <v>0</v>
      </c>
      <c r="BV63" s="15">
        <f t="shared" si="50"/>
        <v>33639.9</v>
      </c>
      <c r="BW63" s="15">
        <f t="shared" si="50"/>
        <v>0</v>
      </c>
      <c r="BX63" s="15">
        <f t="shared" si="50"/>
        <v>0</v>
      </c>
      <c r="BY63" s="15">
        <f t="shared" si="50"/>
        <v>0</v>
      </c>
      <c r="BZ63" s="15">
        <f t="shared" si="50"/>
        <v>0</v>
      </c>
      <c r="CA63" s="15">
        <f t="shared" si="50"/>
        <v>9.75</v>
      </c>
    </row>
    <row r="64" spans="1:79" x14ac:dyDescent="0.2">
      <c r="A64" s="7" t="s">
        <v>137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</row>
    <row r="65" spans="1:79" x14ac:dyDescent="0.2">
      <c r="A65" s="25" t="s">
        <v>138</v>
      </c>
      <c r="B65" s="19">
        <v>0</v>
      </c>
      <c r="C65" s="19">
        <v>0</v>
      </c>
      <c r="D65" s="19">
        <v>0</v>
      </c>
      <c r="E65" s="19">
        <v>0</v>
      </c>
      <c r="F65" s="19">
        <v>0</v>
      </c>
      <c r="G65" s="19">
        <v>0</v>
      </c>
      <c r="H65" s="19">
        <v>1999</v>
      </c>
      <c r="I65" s="19">
        <v>199</v>
      </c>
      <c r="J65" s="19">
        <v>199</v>
      </c>
      <c r="K65" s="19">
        <v>-12239</v>
      </c>
      <c r="L65" s="19">
        <v>-9293</v>
      </c>
      <c r="M65" s="19">
        <v>-4547</v>
      </c>
      <c r="N65" s="19">
        <v>0</v>
      </c>
      <c r="O65" s="19">
        <v>-9449</v>
      </c>
      <c r="P65" s="19">
        <v>-4703</v>
      </c>
      <c r="Q65" s="19">
        <v>-11885</v>
      </c>
      <c r="R65" s="19">
        <v>-9492</v>
      </c>
      <c r="S65" s="19">
        <v>-4746</v>
      </c>
      <c r="T65" s="19">
        <v>-12138</v>
      </c>
      <c r="U65" s="19">
        <v>-9492</v>
      </c>
      <c r="V65" s="19">
        <v>-4746</v>
      </c>
      <c r="W65" s="19">
        <v>-12438</v>
      </c>
      <c r="X65" s="19">
        <v>-9492</v>
      </c>
      <c r="Y65" s="19">
        <v>-4746</v>
      </c>
      <c r="Z65" s="19">
        <v>0</v>
      </c>
      <c r="AA65" s="19">
        <v>-9492</v>
      </c>
      <c r="AB65" s="19">
        <v>-4746</v>
      </c>
      <c r="AC65" s="19">
        <v>-12438</v>
      </c>
      <c r="AD65" s="19">
        <v>-9492</v>
      </c>
      <c r="AE65" s="19">
        <v>-4746</v>
      </c>
      <c r="AF65" s="19">
        <v>-12438</v>
      </c>
      <c r="AG65" s="19">
        <v>-9492</v>
      </c>
      <c r="AH65" s="19">
        <v>-4746</v>
      </c>
      <c r="AI65" s="19">
        <v>2000</v>
      </c>
      <c r="AJ65" s="19">
        <v>-9508</v>
      </c>
      <c r="AK65" s="19">
        <v>-4754</v>
      </c>
      <c r="AL65" s="19">
        <v>0</v>
      </c>
      <c r="AM65" s="19">
        <v>-7817</v>
      </c>
      <c r="AN65" s="19">
        <v>-3062</v>
      </c>
      <c r="AO65" s="19">
        <v>41.5</v>
      </c>
      <c r="AP65" s="19">
        <v>-5501.45</v>
      </c>
      <c r="AQ65" s="19">
        <v>-9244.4</v>
      </c>
      <c r="AR65" s="19">
        <v>-11187.35</v>
      </c>
      <c r="AS65" s="19">
        <v>-11374.300000000001</v>
      </c>
      <c r="AT65" s="19">
        <v>-14949.45</v>
      </c>
      <c r="AU65" s="19">
        <v>-3702.4500000000007</v>
      </c>
      <c r="AV65" s="19">
        <v>-10195.400000000001</v>
      </c>
      <c r="AW65" s="19">
        <v>-3497.5000000000018</v>
      </c>
      <c r="AX65" s="19">
        <v>-1.8189894035458565E-12</v>
      </c>
      <c r="AY65" s="19">
        <v>635.71999999999821</v>
      </c>
      <c r="AZ65" s="19">
        <v>-1392.1400000000017</v>
      </c>
      <c r="BA65" s="19">
        <v>367.35999999999831</v>
      </c>
      <c r="BB65" s="19">
        <v>367.35999999999831</v>
      </c>
      <c r="BC65" s="19">
        <v>367.35999999999831</v>
      </c>
      <c r="BD65" s="19">
        <v>367.35999999999831</v>
      </c>
      <c r="BE65" s="19">
        <v>367.35999999999831</v>
      </c>
      <c r="BF65" s="19">
        <v>367.35999999999831</v>
      </c>
      <c r="BG65" s="19">
        <v>367.35999999999831</v>
      </c>
      <c r="BH65" s="19">
        <v>367.35999999999831</v>
      </c>
      <c r="BI65" s="19">
        <v>367.35999999999831</v>
      </c>
      <c r="BJ65" s="19">
        <v>-1.7053025658242404E-12</v>
      </c>
      <c r="BK65" s="19">
        <v>-1.7053025658242404E-12</v>
      </c>
      <c r="BL65" s="19">
        <v>-1.7053025658242404E-12</v>
      </c>
      <c r="BM65" s="19">
        <v>-1.7053025658242404E-12</v>
      </c>
      <c r="BN65" s="19">
        <v>-1.7053025658242404E-12</v>
      </c>
      <c r="BO65" s="19">
        <v>-1.7053025658242404E-12</v>
      </c>
      <c r="BP65" s="19">
        <v>-1.7053025658242404E-12</v>
      </c>
      <c r="BQ65" s="19">
        <v>-1.7053025658242404E-12</v>
      </c>
      <c r="BR65" s="19">
        <v>-1.7053025658242404E-12</v>
      </c>
      <c r="BS65" s="19">
        <v>-1.7053025658242404E-12</v>
      </c>
      <c r="BT65" s="19">
        <v>-1.7053025658242404E-12</v>
      </c>
      <c r="BU65" s="19">
        <v>-1.7053025658242404E-12</v>
      </c>
      <c r="BV65" s="19">
        <v>-1.7053025658242404E-12</v>
      </c>
      <c r="BW65" s="19">
        <v>-1.7053025658242404E-12</v>
      </c>
      <c r="BX65" s="19">
        <v>-1.7053025658242404E-12</v>
      </c>
      <c r="BY65" s="19">
        <v>-1.7053025658242404E-12</v>
      </c>
      <c r="BZ65" s="19">
        <v>-1.7053025658242404E-12</v>
      </c>
      <c r="CA65" s="19">
        <v>-1.7053025658242404E-12</v>
      </c>
    </row>
    <row r="66" spans="1:79" x14ac:dyDescent="0.2">
      <c r="A66" s="14" t="s">
        <v>139</v>
      </c>
      <c r="B66" s="15">
        <f t="shared" ref="B66:AG66" si="51">SUM(B65)</f>
        <v>0</v>
      </c>
      <c r="C66" s="15">
        <f t="shared" si="51"/>
        <v>0</v>
      </c>
      <c r="D66" s="15">
        <f t="shared" si="51"/>
        <v>0</v>
      </c>
      <c r="E66" s="15">
        <f t="shared" si="51"/>
        <v>0</v>
      </c>
      <c r="F66" s="15">
        <f t="shared" si="51"/>
        <v>0</v>
      </c>
      <c r="G66" s="15">
        <f t="shared" si="51"/>
        <v>0</v>
      </c>
      <c r="H66" s="15">
        <f t="shared" si="51"/>
        <v>1999</v>
      </c>
      <c r="I66" s="15">
        <f t="shared" si="51"/>
        <v>199</v>
      </c>
      <c r="J66" s="15">
        <f t="shared" si="51"/>
        <v>199</v>
      </c>
      <c r="K66" s="15">
        <f t="shared" si="51"/>
        <v>-12239</v>
      </c>
      <c r="L66" s="15">
        <f t="shared" si="51"/>
        <v>-9293</v>
      </c>
      <c r="M66" s="15">
        <f t="shared" si="51"/>
        <v>-4547</v>
      </c>
      <c r="N66" s="15">
        <f t="shared" si="51"/>
        <v>0</v>
      </c>
      <c r="O66" s="15">
        <f t="shared" si="51"/>
        <v>-9449</v>
      </c>
      <c r="P66" s="15">
        <f t="shared" si="51"/>
        <v>-4703</v>
      </c>
      <c r="Q66" s="15">
        <f t="shared" si="51"/>
        <v>-11885</v>
      </c>
      <c r="R66" s="15">
        <f t="shared" si="51"/>
        <v>-9492</v>
      </c>
      <c r="S66" s="15">
        <f t="shared" si="51"/>
        <v>-4746</v>
      </c>
      <c r="T66" s="15">
        <f t="shared" si="51"/>
        <v>-12138</v>
      </c>
      <c r="U66" s="15">
        <f t="shared" si="51"/>
        <v>-9492</v>
      </c>
      <c r="V66" s="15">
        <f t="shared" si="51"/>
        <v>-4746</v>
      </c>
      <c r="W66" s="15">
        <f t="shared" si="51"/>
        <v>-12438</v>
      </c>
      <c r="X66" s="15">
        <f t="shared" si="51"/>
        <v>-9492</v>
      </c>
      <c r="Y66" s="15">
        <f t="shared" si="51"/>
        <v>-4746</v>
      </c>
      <c r="Z66" s="15">
        <f t="shared" si="51"/>
        <v>0</v>
      </c>
      <c r="AA66" s="15">
        <f t="shared" si="51"/>
        <v>-9492</v>
      </c>
      <c r="AB66" s="15">
        <f t="shared" si="51"/>
        <v>-4746</v>
      </c>
      <c r="AC66" s="15">
        <f t="shared" si="51"/>
        <v>-12438</v>
      </c>
      <c r="AD66" s="15">
        <f t="shared" si="51"/>
        <v>-9492</v>
      </c>
      <c r="AE66" s="15">
        <f t="shared" si="51"/>
        <v>-4746</v>
      </c>
      <c r="AF66" s="15">
        <f t="shared" si="51"/>
        <v>-12438</v>
      </c>
      <c r="AG66" s="15">
        <f t="shared" si="51"/>
        <v>-9492</v>
      </c>
      <c r="AH66" s="15">
        <f t="shared" ref="AH66:BM66" si="52">SUM(AH65)</f>
        <v>-4746</v>
      </c>
      <c r="AI66" s="15">
        <f t="shared" si="52"/>
        <v>2000</v>
      </c>
      <c r="AJ66" s="15">
        <f t="shared" si="52"/>
        <v>-9508</v>
      </c>
      <c r="AK66" s="15">
        <f t="shared" si="52"/>
        <v>-4754</v>
      </c>
      <c r="AL66" s="15">
        <f t="shared" si="52"/>
        <v>0</v>
      </c>
      <c r="AM66" s="15">
        <f t="shared" si="52"/>
        <v>-7817</v>
      </c>
      <c r="AN66" s="15">
        <f t="shared" si="52"/>
        <v>-3062</v>
      </c>
      <c r="AO66" s="15">
        <f t="shared" si="52"/>
        <v>41.5</v>
      </c>
      <c r="AP66" s="15">
        <f t="shared" si="52"/>
        <v>-5501.45</v>
      </c>
      <c r="AQ66" s="15">
        <f t="shared" si="52"/>
        <v>-9244.4</v>
      </c>
      <c r="AR66" s="15">
        <f t="shared" si="52"/>
        <v>-11187.35</v>
      </c>
      <c r="AS66" s="15">
        <f t="shared" si="52"/>
        <v>-11374.300000000001</v>
      </c>
      <c r="AT66" s="15">
        <f t="shared" si="52"/>
        <v>-14949.45</v>
      </c>
      <c r="AU66" s="15">
        <f t="shared" si="52"/>
        <v>-3702.4500000000007</v>
      </c>
      <c r="AV66" s="15">
        <f t="shared" si="52"/>
        <v>-10195.400000000001</v>
      </c>
      <c r="AW66" s="15">
        <f t="shared" si="52"/>
        <v>-3497.5000000000018</v>
      </c>
      <c r="AX66" s="15">
        <f t="shared" si="52"/>
        <v>-1.8189894035458565E-12</v>
      </c>
      <c r="AY66" s="15">
        <f t="shared" si="52"/>
        <v>635.71999999999821</v>
      </c>
      <c r="AZ66" s="15">
        <f t="shared" si="52"/>
        <v>-1392.1400000000017</v>
      </c>
      <c r="BA66" s="15">
        <f t="shared" si="52"/>
        <v>367.35999999999831</v>
      </c>
      <c r="BB66" s="15">
        <f t="shared" si="52"/>
        <v>367.35999999999831</v>
      </c>
      <c r="BC66" s="15">
        <f t="shared" si="52"/>
        <v>367.35999999999831</v>
      </c>
      <c r="BD66" s="15">
        <f t="shared" si="52"/>
        <v>367.35999999999831</v>
      </c>
      <c r="BE66" s="15">
        <f t="shared" si="52"/>
        <v>367.35999999999831</v>
      </c>
      <c r="BF66" s="15">
        <f t="shared" si="52"/>
        <v>367.35999999999831</v>
      </c>
      <c r="BG66" s="15">
        <f t="shared" si="52"/>
        <v>367.35999999999831</v>
      </c>
      <c r="BH66" s="15">
        <f t="shared" si="52"/>
        <v>367.35999999999831</v>
      </c>
      <c r="BI66" s="15">
        <f t="shared" si="52"/>
        <v>367.35999999999831</v>
      </c>
      <c r="BJ66" s="15">
        <f t="shared" si="52"/>
        <v>-1.7053025658242404E-12</v>
      </c>
      <c r="BK66" s="15">
        <f t="shared" si="52"/>
        <v>-1.7053025658242404E-12</v>
      </c>
      <c r="BL66" s="15">
        <f t="shared" si="52"/>
        <v>-1.7053025658242404E-12</v>
      </c>
      <c r="BM66" s="15">
        <f t="shared" si="52"/>
        <v>-1.7053025658242404E-12</v>
      </c>
      <c r="BN66" s="15">
        <f t="shared" ref="BN66:CS66" si="53">SUM(BN65)</f>
        <v>-1.7053025658242404E-12</v>
      </c>
      <c r="BO66" s="15">
        <f t="shared" si="53"/>
        <v>-1.7053025658242404E-12</v>
      </c>
      <c r="BP66" s="15">
        <f t="shared" si="53"/>
        <v>-1.7053025658242404E-12</v>
      </c>
      <c r="BQ66" s="15">
        <f t="shared" si="53"/>
        <v>-1.7053025658242404E-12</v>
      </c>
      <c r="BR66" s="15">
        <f t="shared" si="53"/>
        <v>-1.7053025658242404E-12</v>
      </c>
      <c r="BS66" s="15">
        <f t="shared" si="53"/>
        <v>-1.7053025658242404E-12</v>
      </c>
      <c r="BT66" s="15">
        <f t="shared" si="53"/>
        <v>-1.7053025658242404E-12</v>
      </c>
      <c r="BU66" s="15">
        <f t="shared" si="53"/>
        <v>-1.7053025658242404E-12</v>
      </c>
      <c r="BV66" s="15">
        <f t="shared" si="53"/>
        <v>-1.7053025658242404E-12</v>
      </c>
      <c r="BW66" s="15">
        <f t="shared" si="53"/>
        <v>-1.7053025658242404E-12</v>
      </c>
      <c r="BX66" s="15">
        <f t="shared" si="53"/>
        <v>-1.7053025658242404E-12</v>
      </c>
      <c r="BY66" s="15">
        <f t="shared" si="53"/>
        <v>-1.7053025658242404E-12</v>
      </c>
      <c r="BZ66" s="15">
        <f t="shared" si="53"/>
        <v>-1.7053025658242404E-12</v>
      </c>
      <c r="CA66" s="15">
        <f t="shared" si="53"/>
        <v>-1.7053025658242404E-12</v>
      </c>
    </row>
    <row r="67" spans="1:79" x14ac:dyDescent="0.2">
      <c r="A67" s="16" t="s">
        <v>140</v>
      </c>
      <c r="B67" s="17">
        <f t="shared" ref="B67:AG67" si="54">0+B63+B66</f>
        <v>0</v>
      </c>
      <c r="C67" s="17">
        <f t="shared" si="54"/>
        <v>0</v>
      </c>
      <c r="D67" s="17">
        <f t="shared" si="54"/>
        <v>0</v>
      </c>
      <c r="E67" s="17">
        <f t="shared" si="54"/>
        <v>0</v>
      </c>
      <c r="F67" s="17">
        <f t="shared" si="54"/>
        <v>0</v>
      </c>
      <c r="G67" s="17">
        <f t="shared" si="54"/>
        <v>0</v>
      </c>
      <c r="H67" s="17">
        <f t="shared" si="54"/>
        <v>12751</v>
      </c>
      <c r="I67" s="17">
        <f t="shared" si="54"/>
        <v>10951</v>
      </c>
      <c r="J67" s="17">
        <f t="shared" si="54"/>
        <v>13951</v>
      </c>
      <c r="K67" s="17">
        <f t="shared" si="54"/>
        <v>-20687</v>
      </c>
      <c r="L67" s="17">
        <f t="shared" si="54"/>
        <v>-13941</v>
      </c>
      <c r="M67" s="17">
        <f t="shared" si="54"/>
        <v>-7195</v>
      </c>
      <c r="N67" s="17">
        <f t="shared" si="54"/>
        <v>-5576</v>
      </c>
      <c r="O67" s="17">
        <f t="shared" si="54"/>
        <v>-15025</v>
      </c>
      <c r="P67" s="17">
        <f t="shared" si="54"/>
        <v>-10279</v>
      </c>
      <c r="Q67" s="17">
        <f t="shared" si="54"/>
        <v>-17461</v>
      </c>
      <c r="R67" s="17">
        <f t="shared" si="54"/>
        <v>-15068</v>
      </c>
      <c r="S67" s="17">
        <f t="shared" si="54"/>
        <v>-10322</v>
      </c>
      <c r="T67" s="17">
        <f t="shared" si="54"/>
        <v>-17714</v>
      </c>
      <c r="U67" s="17">
        <f t="shared" si="54"/>
        <v>-15068</v>
      </c>
      <c r="V67" s="17">
        <f t="shared" si="54"/>
        <v>-10322</v>
      </c>
      <c r="W67" s="17">
        <f t="shared" si="54"/>
        <v>-18014</v>
      </c>
      <c r="X67" s="17">
        <f t="shared" si="54"/>
        <v>-15068</v>
      </c>
      <c r="Y67" s="17">
        <f t="shared" si="54"/>
        <v>-10322</v>
      </c>
      <c r="Z67" s="17">
        <f t="shared" si="54"/>
        <v>-5576</v>
      </c>
      <c r="AA67" s="17">
        <f t="shared" si="54"/>
        <v>-15068</v>
      </c>
      <c r="AB67" s="17">
        <f t="shared" si="54"/>
        <v>-10322</v>
      </c>
      <c r="AC67" s="17">
        <f t="shared" si="54"/>
        <v>-18014</v>
      </c>
      <c r="AD67" s="17">
        <f t="shared" si="54"/>
        <v>-10294</v>
      </c>
      <c r="AE67" s="17">
        <f t="shared" si="54"/>
        <v>-5548</v>
      </c>
      <c r="AF67" s="17">
        <f t="shared" si="54"/>
        <v>-13240</v>
      </c>
      <c r="AG67" s="17">
        <f t="shared" si="54"/>
        <v>-10294</v>
      </c>
      <c r="AH67" s="17">
        <f t="shared" ref="AH67:BM67" si="55">0+AH63+AH66</f>
        <v>-5548</v>
      </c>
      <c r="AI67" s="17">
        <f t="shared" si="55"/>
        <v>1198</v>
      </c>
      <c r="AJ67" s="17">
        <f t="shared" si="55"/>
        <v>-10310</v>
      </c>
      <c r="AK67" s="17">
        <f t="shared" si="55"/>
        <v>-5556</v>
      </c>
      <c r="AL67" s="17">
        <f t="shared" si="55"/>
        <v>0</v>
      </c>
      <c r="AM67" s="17">
        <f t="shared" si="55"/>
        <v>-7817</v>
      </c>
      <c r="AN67" s="17">
        <f t="shared" si="55"/>
        <v>-3062</v>
      </c>
      <c r="AO67" s="17">
        <f t="shared" si="55"/>
        <v>41.5</v>
      </c>
      <c r="AP67" s="17">
        <f t="shared" si="55"/>
        <v>-5501.45</v>
      </c>
      <c r="AQ67" s="17">
        <f t="shared" si="55"/>
        <v>-9244.4</v>
      </c>
      <c r="AR67" s="17">
        <f t="shared" si="55"/>
        <v>-11187.35</v>
      </c>
      <c r="AS67" s="17">
        <f t="shared" si="55"/>
        <v>-11374.300000000001</v>
      </c>
      <c r="AT67" s="17">
        <f t="shared" si="55"/>
        <v>-14949.45</v>
      </c>
      <c r="AU67" s="17">
        <f t="shared" si="55"/>
        <v>-3702.4500000000007</v>
      </c>
      <c r="AV67" s="17">
        <f t="shared" si="55"/>
        <v>-10195.400000000001</v>
      </c>
      <c r="AW67" s="17">
        <f t="shared" si="55"/>
        <v>-3497.5000000000018</v>
      </c>
      <c r="AX67" s="17">
        <f t="shared" si="55"/>
        <v>1249.9999999999982</v>
      </c>
      <c r="AY67" s="17">
        <f t="shared" si="55"/>
        <v>1885.7199999999982</v>
      </c>
      <c r="AZ67" s="17">
        <f t="shared" si="55"/>
        <v>-142.14000000000169</v>
      </c>
      <c r="BA67" s="17">
        <f t="shared" si="55"/>
        <v>1617.3599999999983</v>
      </c>
      <c r="BB67" s="17">
        <f t="shared" si="55"/>
        <v>1617.3599999999983</v>
      </c>
      <c r="BC67" s="17">
        <f t="shared" si="55"/>
        <v>367.35999999999831</v>
      </c>
      <c r="BD67" s="17">
        <f t="shared" si="55"/>
        <v>367.35999999999831</v>
      </c>
      <c r="BE67" s="17">
        <f t="shared" si="55"/>
        <v>367.35999999999831</v>
      </c>
      <c r="BF67" s="17">
        <f t="shared" si="55"/>
        <v>367.35999999999831</v>
      </c>
      <c r="BG67" s="17">
        <f t="shared" si="55"/>
        <v>367.35999999999831</v>
      </c>
      <c r="BH67" s="17">
        <f t="shared" si="55"/>
        <v>367.35999999999831</v>
      </c>
      <c r="BI67" s="17">
        <f t="shared" si="55"/>
        <v>367.35999999999831</v>
      </c>
      <c r="BJ67" s="17">
        <f t="shared" si="55"/>
        <v>-1.7053025658242404E-12</v>
      </c>
      <c r="BK67" s="17">
        <f t="shared" si="55"/>
        <v>-1.7053025658242404E-12</v>
      </c>
      <c r="BL67" s="17">
        <f t="shared" si="55"/>
        <v>-1.7053025658242404E-12</v>
      </c>
      <c r="BM67" s="17">
        <f t="shared" si="55"/>
        <v>-1.7053025658242404E-12</v>
      </c>
      <c r="BN67" s="17">
        <f t="shared" ref="BN67:CS67" si="56">0+BN63+BN66</f>
        <v>-1.7053025658242404E-12</v>
      </c>
      <c r="BO67" s="17">
        <f t="shared" si="56"/>
        <v>-1.7053025658242404E-12</v>
      </c>
      <c r="BP67" s="17">
        <f t="shared" si="56"/>
        <v>-1.7053025658242404E-12</v>
      </c>
      <c r="BQ67" s="17">
        <f t="shared" si="56"/>
        <v>-1.7053025658242404E-12</v>
      </c>
      <c r="BR67" s="17">
        <f t="shared" si="56"/>
        <v>-1.7053025658242404E-12</v>
      </c>
      <c r="BS67" s="17">
        <f t="shared" si="56"/>
        <v>-1.7053025658242404E-12</v>
      </c>
      <c r="BT67" s="17">
        <f t="shared" si="56"/>
        <v>-1.7053025658242404E-12</v>
      </c>
      <c r="BU67" s="17">
        <f t="shared" si="56"/>
        <v>-1.7053025658242404E-12</v>
      </c>
      <c r="BV67" s="17">
        <f t="shared" si="56"/>
        <v>33639.9</v>
      </c>
      <c r="BW67" s="17">
        <f t="shared" si="56"/>
        <v>-1.7053025658242404E-12</v>
      </c>
      <c r="BX67" s="17">
        <f t="shared" si="56"/>
        <v>-1.7053025658242404E-12</v>
      </c>
      <c r="BY67" s="17">
        <f t="shared" si="56"/>
        <v>-1.7053025658242404E-12</v>
      </c>
      <c r="BZ67" s="17">
        <f t="shared" si="56"/>
        <v>-1.7053025658242404E-12</v>
      </c>
      <c r="CA67" s="17">
        <f t="shared" si="56"/>
        <v>9.7499999999982947</v>
      </c>
    </row>
    <row r="68" spans="1:79" x14ac:dyDescent="0.2">
      <c r="A68" s="1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</row>
    <row r="69" spans="1:79" ht="12" x14ac:dyDescent="0.2">
      <c r="A69" s="5" t="s">
        <v>141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</row>
    <row r="70" spans="1:79" x14ac:dyDescent="0.2">
      <c r="A70" s="7" t="s">
        <v>142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</row>
    <row r="71" spans="1:79" x14ac:dyDescent="0.2">
      <c r="A71" s="25" t="s">
        <v>143</v>
      </c>
      <c r="B71" s="19">
        <v>0</v>
      </c>
      <c r="C71" s="19">
        <v>0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0</v>
      </c>
      <c r="AS71" s="19">
        <v>0</v>
      </c>
      <c r="AT71" s="19">
        <v>0</v>
      </c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>
        <v>0</v>
      </c>
      <c r="BC71" s="19">
        <v>0</v>
      </c>
      <c r="BD71" s="19">
        <v>0</v>
      </c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>
        <v>0</v>
      </c>
      <c r="BM71" s="19">
        <v>0</v>
      </c>
      <c r="BN71" s="19">
        <v>0</v>
      </c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10</v>
      </c>
      <c r="BV71" s="19">
        <v>2450.71</v>
      </c>
      <c r="BW71" s="19">
        <v>2450.71</v>
      </c>
      <c r="BX71" s="19">
        <v>2450.71</v>
      </c>
      <c r="BY71" s="19">
        <v>2450.71</v>
      </c>
      <c r="BZ71" s="19">
        <v>2496.21</v>
      </c>
      <c r="CA71" s="19">
        <v>2893.71</v>
      </c>
    </row>
    <row r="72" spans="1:79" x14ac:dyDescent="0.2">
      <c r="A72" s="14" t="s">
        <v>144</v>
      </c>
      <c r="B72" s="15">
        <f t="shared" ref="B72:AG72" si="57">SUM(B71)</f>
        <v>0</v>
      </c>
      <c r="C72" s="15">
        <f t="shared" si="57"/>
        <v>0</v>
      </c>
      <c r="D72" s="15">
        <f t="shared" si="57"/>
        <v>0</v>
      </c>
      <c r="E72" s="15">
        <f t="shared" si="57"/>
        <v>0</v>
      </c>
      <c r="F72" s="15">
        <f t="shared" si="57"/>
        <v>0</v>
      </c>
      <c r="G72" s="15">
        <f t="shared" si="57"/>
        <v>0</v>
      </c>
      <c r="H72" s="15">
        <f t="shared" si="57"/>
        <v>0</v>
      </c>
      <c r="I72" s="15">
        <f t="shared" si="57"/>
        <v>0</v>
      </c>
      <c r="J72" s="15">
        <f t="shared" si="57"/>
        <v>0</v>
      </c>
      <c r="K72" s="15">
        <f t="shared" si="57"/>
        <v>0</v>
      </c>
      <c r="L72" s="15">
        <f t="shared" si="57"/>
        <v>0</v>
      </c>
      <c r="M72" s="15">
        <f t="shared" si="57"/>
        <v>0</v>
      </c>
      <c r="N72" s="15">
        <f t="shared" si="57"/>
        <v>0</v>
      </c>
      <c r="O72" s="15">
        <f t="shared" si="57"/>
        <v>0</v>
      </c>
      <c r="P72" s="15">
        <f t="shared" si="57"/>
        <v>0</v>
      </c>
      <c r="Q72" s="15">
        <f t="shared" si="57"/>
        <v>0</v>
      </c>
      <c r="R72" s="15">
        <f t="shared" si="57"/>
        <v>0</v>
      </c>
      <c r="S72" s="15">
        <f t="shared" si="57"/>
        <v>0</v>
      </c>
      <c r="T72" s="15">
        <f t="shared" si="57"/>
        <v>0</v>
      </c>
      <c r="U72" s="15">
        <f t="shared" si="57"/>
        <v>0</v>
      </c>
      <c r="V72" s="15">
        <f t="shared" si="57"/>
        <v>0</v>
      </c>
      <c r="W72" s="15">
        <f t="shared" si="57"/>
        <v>0</v>
      </c>
      <c r="X72" s="15">
        <f t="shared" si="57"/>
        <v>0</v>
      </c>
      <c r="Y72" s="15">
        <f t="shared" si="57"/>
        <v>0</v>
      </c>
      <c r="Z72" s="15">
        <f t="shared" si="57"/>
        <v>0</v>
      </c>
      <c r="AA72" s="15">
        <f t="shared" si="57"/>
        <v>0</v>
      </c>
      <c r="AB72" s="15">
        <f t="shared" si="57"/>
        <v>0</v>
      </c>
      <c r="AC72" s="15">
        <f t="shared" si="57"/>
        <v>0</v>
      </c>
      <c r="AD72" s="15">
        <f t="shared" si="57"/>
        <v>0</v>
      </c>
      <c r="AE72" s="15">
        <f t="shared" si="57"/>
        <v>0</v>
      </c>
      <c r="AF72" s="15">
        <f t="shared" si="57"/>
        <v>0</v>
      </c>
      <c r="AG72" s="15">
        <f t="shared" si="57"/>
        <v>0</v>
      </c>
      <c r="AH72" s="15">
        <f t="shared" ref="AH72:BM72" si="58">SUM(AH71)</f>
        <v>0</v>
      </c>
      <c r="AI72" s="15">
        <f t="shared" si="58"/>
        <v>0</v>
      </c>
      <c r="AJ72" s="15">
        <f t="shared" si="58"/>
        <v>0</v>
      </c>
      <c r="AK72" s="15">
        <f t="shared" si="58"/>
        <v>0</v>
      </c>
      <c r="AL72" s="15">
        <f t="shared" si="58"/>
        <v>0</v>
      </c>
      <c r="AM72" s="15">
        <f t="shared" si="58"/>
        <v>0</v>
      </c>
      <c r="AN72" s="15">
        <f t="shared" si="58"/>
        <v>0</v>
      </c>
      <c r="AO72" s="15">
        <f t="shared" si="58"/>
        <v>0</v>
      </c>
      <c r="AP72" s="15">
        <f t="shared" si="58"/>
        <v>0</v>
      </c>
      <c r="AQ72" s="15">
        <f t="shared" si="58"/>
        <v>0</v>
      </c>
      <c r="AR72" s="15">
        <f t="shared" si="58"/>
        <v>0</v>
      </c>
      <c r="AS72" s="15">
        <f t="shared" si="58"/>
        <v>0</v>
      </c>
      <c r="AT72" s="15">
        <f t="shared" si="58"/>
        <v>0</v>
      </c>
      <c r="AU72" s="15">
        <f t="shared" si="58"/>
        <v>0</v>
      </c>
      <c r="AV72" s="15">
        <f t="shared" si="58"/>
        <v>0</v>
      </c>
      <c r="AW72" s="15">
        <f t="shared" si="58"/>
        <v>0</v>
      </c>
      <c r="AX72" s="15">
        <f t="shared" si="58"/>
        <v>0</v>
      </c>
      <c r="AY72" s="15">
        <f t="shared" si="58"/>
        <v>0</v>
      </c>
      <c r="AZ72" s="15">
        <f t="shared" si="58"/>
        <v>0</v>
      </c>
      <c r="BA72" s="15">
        <f t="shared" si="58"/>
        <v>0</v>
      </c>
      <c r="BB72" s="15">
        <f t="shared" si="58"/>
        <v>0</v>
      </c>
      <c r="BC72" s="15">
        <f t="shared" si="58"/>
        <v>0</v>
      </c>
      <c r="BD72" s="15">
        <f t="shared" si="58"/>
        <v>0</v>
      </c>
      <c r="BE72" s="15">
        <f t="shared" si="58"/>
        <v>0</v>
      </c>
      <c r="BF72" s="15">
        <f t="shared" si="58"/>
        <v>0</v>
      </c>
      <c r="BG72" s="15">
        <f t="shared" si="58"/>
        <v>0</v>
      </c>
      <c r="BH72" s="15">
        <f t="shared" si="58"/>
        <v>0</v>
      </c>
      <c r="BI72" s="15">
        <f t="shared" si="58"/>
        <v>0</v>
      </c>
      <c r="BJ72" s="15">
        <f t="shared" si="58"/>
        <v>0</v>
      </c>
      <c r="BK72" s="15">
        <f t="shared" si="58"/>
        <v>0</v>
      </c>
      <c r="BL72" s="15">
        <f t="shared" si="58"/>
        <v>0</v>
      </c>
      <c r="BM72" s="15">
        <f t="shared" si="58"/>
        <v>0</v>
      </c>
      <c r="BN72" s="15">
        <f t="shared" ref="BN72:CS72" si="59">SUM(BN71)</f>
        <v>0</v>
      </c>
      <c r="BO72" s="15">
        <f t="shared" si="59"/>
        <v>0</v>
      </c>
      <c r="BP72" s="15">
        <f t="shared" si="59"/>
        <v>0</v>
      </c>
      <c r="BQ72" s="15">
        <f t="shared" si="59"/>
        <v>0</v>
      </c>
      <c r="BR72" s="15">
        <f t="shared" si="59"/>
        <v>0</v>
      </c>
      <c r="BS72" s="15">
        <f t="shared" si="59"/>
        <v>0</v>
      </c>
      <c r="BT72" s="15">
        <f t="shared" si="59"/>
        <v>0</v>
      </c>
      <c r="BU72" s="15">
        <f t="shared" si="59"/>
        <v>10</v>
      </c>
      <c r="BV72" s="15">
        <f t="shared" si="59"/>
        <v>2450.71</v>
      </c>
      <c r="BW72" s="15">
        <f t="shared" si="59"/>
        <v>2450.71</v>
      </c>
      <c r="BX72" s="15">
        <f t="shared" si="59"/>
        <v>2450.71</v>
      </c>
      <c r="BY72" s="15">
        <f t="shared" si="59"/>
        <v>2450.71</v>
      </c>
      <c r="BZ72" s="15">
        <f t="shared" si="59"/>
        <v>2496.21</v>
      </c>
      <c r="CA72" s="15">
        <f t="shared" si="59"/>
        <v>2893.71</v>
      </c>
    </row>
    <row r="73" spans="1:79" x14ac:dyDescent="0.2">
      <c r="A73" s="7" t="s">
        <v>145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</row>
    <row r="74" spans="1:79" x14ac:dyDescent="0.2">
      <c r="A74" s="25" t="s">
        <v>146</v>
      </c>
      <c r="B74" s="19">
        <v>164.65</v>
      </c>
      <c r="C74" s="19">
        <v>1778.7</v>
      </c>
      <c r="D74" s="19">
        <v>3541.75</v>
      </c>
      <c r="E74" s="19">
        <v>17550.849999999999</v>
      </c>
      <c r="F74" s="19">
        <v>9540.57</v>
      </c>
      <c r="G74" s="19">
        <v>17603.2</v>
      </c>
      <c r="H74" s="19">
        <v>14070</v>
      </c>
      <c r="I74" s="19">
        <v>6712.76</v>
      </c>
      <c r="J74" s="19">
        <v>7275.31</v>
      </c>
      <c r="K74" s="19">
        <v>19571.8</v>
      </c>
      <c r="L74" s="19">
        <v>2196.0499999999993</v>
      </c>
      <c r="M74" s="19">
        <v>115.89999999999918</v>
      </c>
      <c r="N74" s="19">
        <v>2157.8499999999995</v>
      </c>
      <c r="O74" s="19">
        <v>5189.3999999999996</v>
      </c>
      <c r="P74" s="19">
        <v>9057.75</v>
      </c>
      <c r="Q74" s="19">
        <v>18612.7</v>
      </c>
      <c r="R74" s="19">
        <v>2516.6000000000004</v>
      </c>
      <c r="S74" s="19">
        <v>2200.0000000000005</v>
      </c>
      <c r="T74" s="19">
        <v>15370.15</v>
      </c>
      <c r="U74" s="19">
        <v>2565.2999999999993</v>
      </c>
      <c r="V74" s="19">
        <v>81.199999999999363</v>
      </c>
      <c r="W74" s="19">
        <v>25458.600000000002</v>
      </c>
      <c r="X74" s="19">
        <v>2789.9000000000015</v>
      </c>
      <c r="Y74" s="19">
        <v>3107.9800000000014</v>
      </c>
      <c r="Z74" s="19">
        <v>3169.2500000000014</v>
      </c>
      <c r="AA74" s="19">
        <v>1794.2000000000014</v>
      </c>
      <c r="AB74" s="19">
        <v>973.95000000000141</v>
      </c>
      <c r="AC74" s="19">
        <v>17047.600000000002</v>
      </c>
      <c r="AD74" s="19">
        <v>2343.0000000000018</v>
      </c>
      <c r="AE74" s="19">
        <v>4852.7500000000018</v>
      </c>
      <c r="AF74" s="19">
        <v>16727.120000000003</v>
      </c>
      <c r="AG74" s="19">
        <v>1715.9100000000035</v>
      </c>
      <c r="AH74" s="19">
        <v>1327.5800000000036</v>
      </c>
      <c r="AI74" s="19">
        <v>1402.5000000000036</v>
      </c>
      <c r="AJ74" s="19">
        <v>4875.7500000000036</v>
      </c>
      <c r="AK74" s="19">
        <v>1667.8300000000036</v>
      </c>
      <c r="AL74" s="19">
        <v>3472.1300000000037</v>
      </c>
      <c r="AM74" s="19">
        <v>2630.6600000000035</v>
      </c>
      <c r="AN74" s="19">
        <v>1022.1100000000035</v>
      </c>
      <c r="AO74" s="19">
        <v>2425.7100000000037</v>
      </c>
      <c r="AP74" s="19">
        <v>3515.2500000000036</v>
      </c>
      <c r="AQ74" s="19">
        <v>610.85000000000355</v>
      </c>
      <c r="AR74" s="19">
        <v>333.80000000000354</v>
      </c>
      <c r="AS74" s="19">
        <v>2238.6500000000033</v>
      </c>
      <c r="AT74" s="19">
        <v>3368.3000000000034</v>
      </c>
      <c r="AU74" s="19">
        <v>1437.3500000000033</v>
      </c>
      <c r="AV74" s="19">
        <v>-1552.7499999999966</v>
      </c>
      <c r="AW74" s="19">
        <v>1689.8000000000036</v>
      </c>
      <c r="AX74" s="19">
        <v>3682.5500000000038</v>
      </c>
      <c r="AY74" s="19">
        <v>1429.6500000000037</v>
      </c>
      <c r="AZ74" s="19">
        <v>3657.5000000000036</v>
      </c>
      <c r="BA74" s="19">
        <v>211.10000000000355</v>
      </c>
      <c r="BB74" s="19">
        <v>861.35000000000355</v>
      </c>
      <c r="BC74" s="19">
        <v>1453.0000000000036</v>
      </c>
      <c r="BD74" s="19">
        <v>4421.3100000000031</v>
      </c>
      <c r="BE74" s="19">
        <v>2424.1900000000032</v>
      </c>
      <c r="BF74" s="19">
        <v>1516.5000000000032</v>
      </c>
      <c r="BG74" s="19">
        <v>1879.5500000000031</v>
      </c>
      <c r="BH74" s="19">
        <v>420.75000000000318</v>
      </c>
      <c r="BI74" s="19">
        <v>57107.94</v>
      </c>
      <c r="BJ74" s="19">
        <v>1769.9500000000044</v>
      </c>
      <c r="BK74" s="19">
        <v>5400.0000000000045</v>
      </c>
      <c r="BL74" s="19">
        <v>1313.9500000000044</v>
      </c>
      <c r="BM74" s="19">
        <v>10933.990000000005</v>
      </c>
      <c r="BN74" s="19">
        <v>33618.490000000005</v>
      </c>
      <c r="BO74" s="19">
        <v>34734.44</v>
      </c>
      <c r="BP74" s="19">
        <v>34048.44</v>
      </c>
      <c r="BQ74" s="19">
        <v>40652.490000000005</v>
      </c>
      <c r="BR74" s="19">
        <v>32275.890000000007</v>
      </c>
      <c r="BS74" s="19">
        <v>59765.350000000006</v>
      </c>
      <c r="BT74" s="19">
        <v>6948.8000000000029</v>
      </c>
      <c r="BU74" s="19">
        <v>65689.149999999994</v>
      </c>
      <c r="BV74" s="19">
        <v>10242.799999999996</v>
      </c>
      <c r="BW74" s="19">
        <v>88291.65</v>
      </c>
      <c r="BX74" s="19">
        <v>188008.13</v>
      </c>
      <c r="BY74" s="19">
        <v>110375.19</v>
      </c>
      <c r="BZ74" s="19">
        <v>103186.77</v>
      </c>
      <c r="CA74" s="19">
        <v>33701.910000000003</v>
      </c>
    </row>
    <row r="75" spans="1:79" x14ac:dyDescent="0.2">
      <c r="A75" s="25" t="s">
        <v>147</v>
      </c>
      <c r="B75" s="19">
        <v>0</v>
      </c>
      <c r="C75" s="19">
        <v>0</v>
      </c>
      <c r="D75" s="19">
        <v>149.80000000000001</v>
      </c>
      <c r="E75" s="19">
        <v>149.80000000000001</v>
      </c>
      <c r="F75" s="19">
        <v>1383.94</v>
      </c>
      <c r="G75" s="19">
        <v>4424.82</v>
      </c>
      <c r="H75" s="19">
        <v>2828.6699999999996</v>
      </c>
      <c r="I75" s="19">
        <v>2828.6699999999996</v>
      </c>
      <c r="J75" s="19">
        <v>2828.6699999999996</v>
      </c>
      <c r="K75" s="19">
        <v>2828.6699999999996</v>
      </c>
      <c r="L75" s="19">
        <v>2828.6699999999996</v>
      </c>
      <c r="M75" s="19">
        <v>2828.6699999999996</v>
      </c>
      <c r="N75" s="19">
        <v>-4.5474735088646412E-13</v>
      </c>
      <c r="O75" s="19">
        <v>-4.5474735088646412E-13</v>
      </c>
      <c r="P75" s="19">
        <v>-4.5474735088646412E-13</v>
      </c>
      <c r="Q75" s="19">
        <v>-4.5474735088646412E-13</v>
      </c>
      <c r="R75" s="19">
        <v>112.16999999999955</v>
      </c>
      <c r="S75" s="19">
        <v>-4.5474735088646412E-13</v>
      </c>
      <c r="T75" s="19">
        <v>-4.5474735088646412E-13</v>
      </c>
      <c r="U75" s="19">
        <v>-4.5474735088646412E-13</v>
      </c>
      <c r="V75" s="19">
        <v>-4.5474735088646412E-13</v>
      </c>
      <c r="W75" s="19">
        <v>-4.5474735088646412E-13</v>
      </c>
      <c r="X75" s="19">
        <v>-4.5474735088646412E-13</v>
      </c>
      <c r="Y75" s="19">
        <v>-4.5474735088646412E-13</v>
      </c>
      <c r="Z75" s="19">
        <v>-4.5474735088646412E-13</v>
      </c>
      <c r="AA75" s="19">
        <v>-4.5474735088646412E-13</v>
      </c>
      <c r="AB75" s="19">
        <v>-4.5474735088646412E-13</v>
      </c>
      <c r="AC75" s="19">
        <v>-4.5474735088646412E-13</v>
      </c>
      <c r="AD75" s="19">
        <v>-4.5474735088646412E-13</v>
      </c>
      <c r="AE75" s="19">
        <v>30950.7</v>
      </c>
      <c r="AF75" s="19">
        <v>68969.930000000008</v>
      </c>
      <c r="AG75" s="19">
        <v>87922.080000000016</v>
      </c>
      <c r="AH75" s="19">
        <v>121561.32</v>
      </c>
      <c r="AI75" s="19">
        <v>170196.96000000002</v>
      </c>
      <c r="AJ75" s="19">
        <v>174020.06000000003</v>
      </c>
      <c r="AK75" s="19">
        <v>90477.97000000003</v>
      </c>
      <c r="AL75" s="19">
        <v>89168.780000000028</v>
      </c>
      <c r="AM75" s="19">
        <v>20834.170000000027</v>
      </c>
      <c r="AN75" s="19">
        <v>48184.010000000024</v>
      </c>
      <c r="AO75" s="19">
        <v>48184.010000000024</v>
      </c>
      <c r="AP75" s="19">
        <v>48184.010000000024</v>
      </c>
      <c r="AQ75" s="19">
        <v>48184.010000000024</v>
      </c>
      <c r="AR75" s="19">
        <v>48184.010000000024</v>
      </c>
      <c r="AS75" s="19">
        <v>48184.010000000024</v>
      </c>
      <c r="AT75" s="19">
        <v>2.1827872842550278E-11</v>
      </c>
      <c r="AU75" s="19">
        <v>2.1827872842550278E-11</v>
      </c>
      <c r="AV75" s="19">
        <v>2.1827872842550278E-11</v>
      </c>
      <c r="AW75" s="19">
        <v>2.1827872842550278E-11</v>
      </c>
      <c r="AX75" s="19">
        <v>2.1827872842550278E-11</v>
      </c>
      <c r="AY75" s="19">
        <v>2.1827872842550278E-11</v>
      </c>
      <c r="AZ75" s="19">
        <v>2.1827872842550278E-11</v>
      </c>
      <c r="BA75" s="19">
        <v>2.1827872842550278E-11</v>
      </c>
      <c r="BB75" s="19">
        <v>2.1827872842550278E-11</v>
      </c>
      <c r="BC75" s="19">
        <v>2.1827872842550278E-11</v>
      </c>
      <c r="BD75" s="19">
        <v>2.1827872842550278E-11</v>
      </c>
      <c r="BE75" s="19">
        <v>2.1827872842550278E-11</v>
      </c>
      <c r="BF75" s="19">
        <v>2.1827872842550278E-11</v>
      </c>
      <c r="BG75" s="19">
        <v>2.1827872842550278E-11</v>
      </c>
      <c r="BH75" s="19">
        <v>2.1827872842550278E-11</v>
      </c>
      <c r="BI75" s="19">
        <v>2.1827872842550278E-11</v>
      </c>
      <c r="BJ75" s="19">
        <v>2.1827872842550278E-11</v>
      </c>
      <c r="BK75" s="19">
        <v>2.1827872842550278E-11</v>
      </c>
      <c r="BL75" s="19">
        <v>2.1827872842550278E-11</v>
      </c>
      <c r="BM75" s="19">
        <v>2.1827872842550278E-11</v>
      </c>
      <c r="BN75" s="19">
        <v>2.1827872842550278E-11</v>
      </c>
      <c r="BO75" s="19">
        <v>2.1827872842550278E-11</v>
      </c>
      <c r="BP75" s="19">
        <v>2.1827872842550278E-11</v>
      </c>
      <c r="BQ75" s="19">
        <v>2.1827872842550278E-11</v>
      </c>
      <c r="BR75" s="19">
        <v>2.1827872842550278E-11</v>
      </c>
      <c r="BS75" s="19">
        <v>2.1827872842550278E-11</v>
      </c>
      <c r="BT75" s="19">
        <v>2.1827872842550278E-11</v>
      </c>
      <c r="BU75" s="19">
        <v>2.1827872842550278E-11</v>
      </c>
      <c r="BV75" s="19">
        <v>2.1827872842550278E-11</v>
      </c>
      <c r="BW75" s="19">
        <v>2.1827872842550278E-11</v>
      </c>
      <c r="BX75" s="19">
        <v>2.1827872842550278E-11</v>
      </c>
      <c r="BY75" s="19">
        <v>2.1827872842550278E-11</v>
      </c>
      <c r="BZ75" s="19">
        <v>2.1827872842550278E-11</v>
      </c>
      <c r="CA75" s="19">
        <v>2.1827872842550278E-11</v>
      </c>
    </row>
    <row r="76" spans="1:79" x14ac:dyDescent="0.2">
      <c r="A76" s="14" t="s">
        <v>148</v>
      </c>
      <c r="B76" s="15">
        <f t="shared" ref="B76:AG76" si="60">SUM(B74:B75)</f>
        <v>164.65</v>
      </c>
      <c r="C76" s="15">
        <f t="shared" si="60"/>
        <v>1778.7</v>
      </c>
      <c r="D76" s="15">
        <f t="shared" si="60"/>
        <v>3691.55</v>
      </c>
      <c r="E76" s="15">
        <f t="shared" si="60"/>
        <v>17700.649999999998</v>
      </c>
      <c r="F76" s="15">
        <f t="shared" si="60"/>
        <v>10924.51</v>
      </c>
      <c r="G76" s="15">
        <f t="shared" si="60"/>
        <v>22028.02</v>
      </c>
      <c r="H76" s="15">
        <f t="shared" si="60"/>
        <v>16898.669999999998</v>
      </c>
      <c r="I76" s="15">
        <f t="shared" si="60"/>
        <v>9541.43</v>
      </c>
      <c r="J76" s="15">
        <f t="shared" si="60"/>
        <v>10103.98</v>
      </c>
      <c r="K76" s="15">
        <f t="shared" si="60"/>
        <v>22400.469999999998</v>
      </c>
      <c r="L76" s="15">
        <f t="shared" si="60"/>
        <v>5024.7199999999993</v>
      </c>
      <c r="M76" s="15">
        <f t="shared" si="60"/>
        <v>2944.5699999999988</v>
      </c>
      <c r="N76" s="15">
        <f t="shared" si="60"/>
        <v>2157.849999999999</v>
      </c>
      <c r="O76" s="15">
        <f t="shared" si="60"/>
        <v>5189.3999999999996</v>
      </c>
      <c r="P76" s="15">
        <f t="shared" si="60"/>
        <v>9057.75</v>
      </c>
      <c r="Q76" s="15">
        <f t="shared" si="60"/>
        <v>18612.7</v>
      </c>
      <c r="R76" s="15">
        <f t="shared" si="60"/>
        <v>2628.77</v>
      </c>
      <c r="S76" s="15">
        <f t="shared" si="60"/>
        <v>2200</v>
      </c>
      <c r="T76" s="15">
        <f t="shared" si="60"/>
        <v>15370.15</v>
      </c>
      <c r="U76" s="15">
        <f t="shared" si="60"/>
        <v>2565.2999999999988</v>
      </c>
      <c r="V76" s="15">
        <f t="shared" si="60"/>
        <v>81.199999999998909</v>
      </c>
      <c r="W76" s="15">
        <f t="shared" si="60"/>
        <v>25458.600000000002</v>
      </c>
      <c r="X76" s="15">
        <f t="shared" si="60"/>
        <v>2789.900000000001</v>
      </c>
      <c r="Y76" s="15">
        <f t="shared" si="60"/>
        <v>3107.9800000000009</v>
      </c>
      <c r="Z76" s="15">
        <f t="shared" si="60"/>
        <v>3169.2500000000009</v>
      </c>
      <c r="AA76" s="15">
        <f t="shared" si="60"/>
        <v>1794.200000000001</v>
      </c>
      <c r="AB76" s="15">
        <f t="shared" si="60"/>
        <v>973.95000000000095</v>
      </c>
      <c r="AC76" s="15">
        <f t="shared" si="60"/>
        <v>17047.600000000002</v>
      </c>
      <c r="AD76" s="15">
        <f t="shared" si="60"/>
        <v>2343.0000000000014</v>
      </c>
      <c r="AE76" s="15">
        <f t="shared" si="60"/>
        <v>35803.450000000004</v>
      </c>
      <c r="AF76" s="15">
        <f t="shared" si="60"/>
        <v>85697.050000000017</v>
      </c>
      <c r="AG76" s="15">
        <f t="shared" si="60"/>
        <v>89637.99000000002</v>
      </c>
      <c r="AH76" s="15">
        <f t="shared" ref="AH76:BM76" si="61">SUM(AH74:AH75)</f>
        <v>122888.90000000001</v>
      </c>
      <c r="AI76" s="15">
        <f t="shared" si="61"/>
        <v>171599.46000000002</v>
      </c>
      <c r="AJ76" s="15">
        <f t="shared" si="61"/>
        <v>178895.81000000003</v>
      </c>
      <c r="AK76" s="15">
        <f t="shared" si="61"/>
        <v>92145.800000000032</v>
      </c>
      <c r="AL76" s="15">
        <f t="shared" si="61"/>
        <v>92640.910000000033</v>
      </c>
      <c r="AM76" s="15">
        <f t="shared" si="61"/>
        <v>23464.830000000031</v>
      </c>
      <c r="AN76" s="15">
        <f t="shared" si="61"/>
        <v>49206.120000000024</v>
      </c>
      <c r="AO76" s="15">
        <f t="shared" si="61"/>
        <v>50609.72000000003</v>
      </c>
      <c r="AP76" s="15">
        <f t="shared" si="61"/>
        <v>51699.260000000024</v>
      </c>
      <c r="AQ76" s="15">
        <f t="shared" si="61"/>
        <v>48794.86000000003</v>
      </c>
      <c r="AR76" s="15">
        <f t="shared" si="61"/>
        <v>48517.810000000027</v>
      </c>
      <c r="AS76" s="15">
        <f t="shared" si="61"/>
        <v>50422.660000000025</v>
      </c>
      <c r="AT76" s="15">
        <f t="shared" si="61"/>
        <v>3368.3000000000252</v>
      </c>
      <c r="AU76" s="15">
        <f t="shared" si="61"/>
        <v>1437.3500000000251</v>
      </c>
      <c r="AV76" s="15">
        <f t="shared" si="61"/>
        <v>-1552.7499999999748</v>
      </c>
      <c r="AW76" s="15">
        <f t="shared" si="61"/>
        <v>1689.8000000000254</v>
      </c>
      <c r="AX76" s="15">
        <f t="shared" si="61"/>
        <v>3682.5500000000256</v>
      </c>
      <c r="AY76" s="15">
        <f t="shared" si="61"/>
        <v>1429.6500000000256</v>
      </c>
      <c r="AZ76" s="15">
        <f t="shared" si="61"/>
        <v>3657.5000000000255</v>
      </c>
      <c r="BA76" s="15">
        <f t="shared" si="61"/>
        <v>211.10000000002537</v>
      </c>
      <c r="BB76" s="15">
        <f t="shared" si="61"/>
        <v>861.35000000002537</v>
      </c>
      <c r="BC76" s="15">
        <f t="shared" si="61"/>
        <v>1453.0000000000255</v>
      </c>
      <c r="BD76" s="15">
        <f t="shared" si="61"/>
        <v>4421.310000000025</v>
      </c>
      <c r="BE76" s="15">
        <f t="shared" si="61"/>
        <v>2424.1900000000251</v>
      </c>
      <c r="BF76" s="15">
        <f t="shared" si="61"/>
        <v>1516.500000000025</v>
      </c>
      <c r="BG76" s="15">
        <f t="shared" si="61"/>
        <v>1879.550000000025</v>
      </c>
      <c r="BH76" s="15">
        <f t="shared" si="61"/>
        <v>420.75000000002501</v>
      </c>
      <c r="BI76" s="15">
        <f t="shared" si="61"/>
        <v>57107.940000000024</v>
      </c>
      <c r="BJ76" s="15">
        <f t="shared" si="61"/>
        <v>1769.9500000000262</v>
      </c>
      <c r="BK76" s="15">
        <f t="shared" si="61"/>
        <v>5400.0000000000264</v>
      </c>
      <c r="BL76" s="15">
        <f t="shared" si="61"/>
        <v>1313.9500000000262</v>
      </c>
      <c r="BM76" s="15">
        <f t="shared" si="61"/>
        <v>10933.990000000027</v>
      </c>
      <c r="BN76" s="15">
        <f t="shared" ref="BN76:CS76" si="62">SUM(BN74:BN75)</f>
        <v>33618.490000000027</v>
      </c>
      <c r="BO76" s="15">
        <f t="shared" si="62"/>
        <v>34734.440000000024</v>
      </c>
      <c r="BP76" s="15">
        <f t="shared" si="62"/>
        <v>34048.440000000024</v>
      </c>
      <c r="BQ76" s="15">
        <f t="shared" si="62"/>
        <v>40652.490000000027</v>
      </c>
      <c r="BR76" s="15">
        <f t="shared" si="62"/>
        <v>32275.890000000029</v>
      </c>
      <c r="BS76" s="15">
        <f t="shared" si="62"/>
        <v>59765.350000000028</v>
      </c>
      <c r="BT76" s="15">
        <f t="shared" si="62"/>
        <v>6948.8000000000247</v>
      </c>
      <c r="BU76" s="15">
        <f t="shared" si="62"/>
        <v>65689.150000000023</v>
      </c>
      <c r="BV76" s="15">
        <f t="shared" si="62"/>
        <v>10242.800000000017</v>
      </c>
      <c r="BW76" s="15">
        <f t="shared" si="62"/>
        <v>88291.650000000023</v>
      </c>
      <c r="BX76" s="15">
        <f t="shared" si="62"/>
        <v>188008.13000000003</v>
      </c>
      <c r="BY76" s="15">
        <f t="shared" si="62"/>
        <v>110375.19000000003</v>
      </c>
      <c r="BZ76" s="15">
        <f t="shared" si="62"/>
        <v>103186.77000000002</v>
      </c>
      <c r="CA76" s="15">
        <f t="shared" si="62"/>
        <v>33701.910000000025</v>
      </c>
    </row>
    <row r="77" spans="1:79" x14ac:dyDescent="0.2">
      <c r="A77" s="7" t="s">
        <v>149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</row>
    <row r="78" spans="1:79" x14ac:dyDescent="0.2">
      <c r="A78" s="25" t="s">
        <v>150</v>
      </c>
      <c r="B78" s="19">
        <v>0</v>
      </c>
      <c r="C78" s="19">
        <v>0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14968.8</v>
      </c>
      <c r="BC78" s="19">
        <v>31670</v>
      </c>
      <c r="BD78" s="19">
        <v>68310</v>
      </c>
      <c r="BE78" s="19">
        <v>70770.009999999995</v>
      </c>
      <c r="BF78" s="19">
        <v>42200</v>
      </c>
      <c r="BG78" s="19">
        <v>81610</v>
      </c>
      <c r="BH78" s="19">
        <v>126590</v>
      </c>
      <c r="BI78" s="19">
        <v>209880</v>
      </c>
      <c r="BJ78" s="19">
        <v>68400</v>
      </c>
      <c r="BK78" s="19">
        <v>70075</v>
      </c>
      <c r="BL78" s="19">
        <v>167792</v>
      </c>
      <c r="BM78" s="19">
        <v>390484.01</v>
      </c>
      <c r="BN78" s="19">
        <v>313403</v>
      </c>
      <c r="BO78" s="19">
        <v>272740</v>
      </c>
      <c r="BP78" s="19">
        <v>483434</v>
      </c>
      <c r="BQ78" s="19">
        <v>210694</v>
      </c>
      <c r="BR78" s="19">
        <v>188056.6</v>
      </c>
      <c r="BS78" s="19">
        <v>389600.99</v>
      </c>
      <c r="BT78" s="19">
        <v>686016</v>
      </c>
      <c r="BU78" s="19">
        <v>935404</v>
      </c>
      <c r="BV78" s="19">
        <v>389471</v>
      </c>
      <c r="BW78" s="19">
        <v>471979</v>
      </c>
      <c r="BX78" s="19">
        <v>618203</v>
      </c>
      <c r="BY78" s="19">
        <v>217714.99</v>
      </c>
      <c r="BZ78" s="19">
        <v>347818</v>
      </c>
      <c r="CA78" s="19">
        <v>446082.99</v>
      </c>
    </row>
    <row r="79" spans="1:79" x14ac:dyDescent="0.2">
      <c r="A79" s="14" t="s">
        <v>151</v>
      </c>
      <c r="B79" s="15">
        <f t="shared" ref="B79:AG79" si="63">SUM(B78)</f>
        <v>0</v>
      </c>
      <c r="C79" s="15">
        <f t="shared" si="63"/>
        <v>0</v>
      </c>
      <c r="D79" s="15">
        <f t="shared" si="63"/>
        <v>0</v>
      </c>
      <c r="E79" s="15">
        <f t="shared" si="63"/>
        <v>0</v>
      </c>
      <c r="F79" s="15">
        <f t="shared" si="63"/>
        <v>0</v>
      </c>
      <c r="G79" s="15">
        <f t="shared" si="63"/>
        <v>0</v>
      </c>
      <c r="H79" s="15">
        <f t="shared" si="63"/>
        <v>0</v>
      </c>
      <c r="I79" s="15">
        <f t="shared" si="63"/>
        <v>0</v>
      </c>
      <c r="J79" s="15">
        <f t="shared" si="63"/>
        <v>0</v>
      </c>
      <c r="K79" s="15">
        <f t="shared" si="63"/>
        <v>0</v>
      </c>
      <c r="L79" s="15">
        <f t="shared" si="63"/>
        <v>0</v>
      </c>
      <c r="M79" s="15">
        <f t="shared" si="63"/>
        <v>0</v>
      </c>
      <c r="N79" s="15">
        <f t="shared" si="63"/>
        <v>0</v>
      </c>
      <c r="O79" s="15">
        <f t="shared" si="63"/>
        <v>0</v>
      </c>
      <c r="P79" s="15">
        <f t="shared" si="63"/>
        <v>0</v>
      </c>
      <c r="Q79" s="15">
        <f t="shared" si="63"/>
        <v>0</v>
      </c>
      <c r="R79" s="15">
        <f t="shared" si="63"/>
        <v>0</v>
      </c>
      <c r="S79" s="15">
        <f t="shared" si="63"/>
        <v>0</v>
      </c>
      <c r="T79" s="15">
        <f t="shared" si="63"/>
        <v>0</v>
      </c>
      <c r="U79" s="15">
        <f t="shared" si="63"/>
        <v>0</v>
      </c>
      <c r="V79" s="15">
        <f t="shared" si="63"/>
        <v>0</v>
      </c>
      <c r="W79" s="15">
        <f t="shared" si="63"/>
        <v>0</v>
      </c>
      <c r="X79" s="15">
        <f t="shared" si="63"/>
        <v>0</v>
      </c>
      <c r="Y79" s="15">
        <f t="shared" si="63"/>
        <v>0</v>
      </c>
      <c r="Z79" s="15">
        <f t="shared" si="63"/>
        <v>0</v>
      </c>
      <c r="AA79" s="15">
        <f t="shared" si="63"/>
        <v>0</v>
      </c>
      <c r="AB79" s="15">
        <f t="shared" si="63"/>
        <v>0</v>
      </c>
      <c r="AC79" s="15">
        <f t="shared" si="63"/>
        <v>0</v>
      </c>
      <c r="AD79" s="15">
        <f t="shared" si="63"/>
        <v>0</v>
      </c>
      <c r="AE79" s="15">
        <f t="shared" si="63"/>
        <v>0</v>
      </c>
      <c r="AF79" s="15">
        <f t="shared" si="63"/>
        <v>0</v>
      </c>
      <c r="AG79" s="15">
        <f t="shared" si="63"/>
        <v>0</v>
      </c>
      <c r="AH79" s="15">
        <f t="shared" ref="AH79:BM79" si="64">SUM(AH78)</f>
        <v>0</v>
      </c>
      <c r="AI79" s="15">
        <f t="shared" si="64"/>
        <v>0</v>
      </c>
      <c r="AJ79" s="15">
        <f t="shared" si="64"/>
        <v>0</v>
      </c>
      <c r="AK79" s="15">
        <f t="shared" si="64"/>
        <v>0</v>
      </c>
      <c r="AL79" s="15">
        <f t="shared" si="64"/>
        <v>0</v>
      </c>
      <c r="AM79" s="15">
        <f t="shared" si="64"/>
        <v>0</v>
      </c>
      <c r="AN79" s="15">
        <f t="shared" si="64"/>
        <v>0</v>
      </c>
      <c r="AO79" s="15">
        <f t="shared" si="64"/>
        <v>0</v>
      </c>
      <c r="AP79" s="15">
        <f t="shared" si="64"/>
        <v>0</v>
      </c>
      <c r="AQ79" s="15">
        <f t="shared" si="64"/>
        <v>0</v>
      </c>
      <c r="AR79" s="15">
        <f t="shared" si="64"/>
        <v>0</v>
      </c>
      <c r="AS79" s="15">
        <f t="shared" si="64"/>
        <v>0</v>
      </c>
      <c r="AT79" s="15">
        <f t="shared" si="64"/>
        <v>0</v>
      </c>
      <c r="AU79" s="15">
        <f t="shared" si="64"/>
        <v>0</v>
      </c>
      <c r="AV79" s="15">
        <f t="shared" si="64"/>
        <v>0</v>
      </c>
      <c r="AW79" s="15">
        <f t="shared" si="64"/>
        <v>0</v>
      </c>
      <c r="AX79" s="15">
        <f t="shared" si="64"/>
        <v>0</v>
      </c>
      <c r="AY79" s="15">
        <f t="shared" si="64"/>
        <v>0</v>
      </c>
      <c r="AZ79" s="15">
        <f t="shared" si="64"/>
        <v>0</v>
      </c>
      <c r="BA79" s="15">
        <f t="shared" si="64"/>
        <v>0</v>
      </c>
      <c r="BB79" s="15">
        <f t="shared" si="64"/>
        <v>14968.8</v>
      </c>
      <c r="BC79" s="15">
        <f t="shared" si="64"/>
        <v>31670</v>
      </c>
      <c r="BD79" s="15">
        <f t="shared" si="64"/>
        <v>68310</v>
      </c>
      <c r="BE79" s="15">
        <f t="shared" si="64"/>
        <v>70770.009999999995</v>
      </c>
      <c r="BF79" s="15">
        <f t="shared" si="64"/>
        <v>42200</v>
      </c>
      <c r="BG79" s="15">
        <f t="shared" si="64"/>
        <v>81610</v>
      </c>
      <c r="BH79" s="15">
        <f t="shared" si="64"/>
        <v>126590</v>
      </c>
      <c r="BI79" s="15">
        <f t="shared" si="64"/>
        <v>209880</v>
      </c>
      <c r="BJ79" s="15">
        <f t="shared" si="64"/>
        <v>68400</v>
      </c>
      <c r="BK79" s="15">
        <f t="shared" si="64"/>
        <v>70075</v>
      </c>
      <c r="BL79" s="15">
        <f t="shared" si="64"/>
        <v>167792</v>
      </c>
      <c r="BM79" s="15">
        <f t="shared" si="64"/>
        <v>390484.01</v>
      </c>
      <c r="BN79" s="15">
        <f t="shared" ref="BN79:CS79" si="65">SUM(BN78)</f>
        <v>313403</v>
      </c>
      <c r="BO79" s="15">
        <f t="shared" si="65"/>
        <v>272740</v>
      </c>
      <c r="BP79" s="15">
        <f t="shared" si="65"/>
        <v>483434</v>
      </c>
      <c r="BQ79" s="15">
        <f t="shared" si="65"/>
        <v>210694</v>
      </c>
      <c r="BR79" s="15">
        <f t="shared" si="65"/>
        <v>188056.6</v>
      </c>
      <c r="BS79" s="15">
        <f t="shared" si="65"/>
        <v>389600.99</v>
      </c>
      <c r="BT79" s="15">
        <f t="shared" si="65"/>
        <v>686016</v>
      </c>
      <c r="BU79" s="15">
        <f t="shared" si="65"/>
        <v>935404</v>
      </c>
      <c r="BV79" s="15">
        <f t="shared" si="65"/>
        <v>389471</v>
      </c>
      <c r="BW79" s="15">
        <f t="shared" si="65"/>
        <v>471979</v>
      </c>
      <c r="BX79" s="15">
        <f t="shared" si="65"/>
        <v>618203</v>
      </c>
      <c r="BY79" s="15">
        <f t="shared" si="65"/>
        <v>217714.99</v>
      </c>
      <c r="BZ79" s="15">
        <f t="shared" si="65"/>
        <v>347818</v>
      </c>
      <c r="CA79" s="15">
        <f t="shared" si="65"/>
        <v>446082.99</v>
      </c>
    </row>
    <row r="80" spans="1:79" x14ac:dyDescent="0.2">
      <c r="A80" s="7" t="s">
        <v>152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</row>
    <row r="81" spans="1:79" x14ac:dyDescent="0.2">
      <c r="A81" s="25" t="s">
        <v>153</v>
      </c>
      <c r="B81" s="19">
        <v>0</v>
      </c>
      <c r="C81" s="19">
        <v>0</v>
      </c>
      <c r="D81" s="19">
        <v>0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-2866.98</v>
      </c>
      <c r="AN81" s="19">
        <v>-5174.67</v>
      </c>
      <c r="AO81" s="19">
        <v>0</v>
      </c>
      <c r="AP81" s="19">
        <v>0</v>
      </c>
      <c r="AQ81" s="19">
        <v>0</v>
      </c>
      <c r="AR81" s="19">
        <v>0</v>
      </c>
      <c r="AS81" s="19">
        <v>0</v>
      </c>
      <c r="AT81" s="19">
        <v>0</v>
      </c>
      <c r="AU81" s="19">
        <v>3476.45</v>
      </c>
      <c r="AV81" s="19">
        <v>-357.17000000000007</v>
      </c>
      <c r="AW81" s="19">
        <v>-572.18000000000006</v>
      </c>
      <c r="AX81" s="19">
        <v>-1.1368683772161603E-13</v>
      </c>
      <c r="AY81" s="19">
        <v>-231.75000000000011</v>
      </c>
      <c r="AZ81" s="19">
        <v>-700.30000000000018</v>
      </c>
      <c r="BA81" s="19">
        <v>-764.30000000000018</v>
      </c>
      <c r="BB81" s="19">
        <v>-550.05000000000018</v>
      </c>
      <c r="BC81" s="19">
        <v>-593.00000000000023</v>
      </c>
      <c r="BD81" s="19">
        <v>-3719.13</v>
      </c>
      <c r="BE81" s="19">
        <v>-6411.74</v>
      </c>
      <c r="BF81" s="19">
        <v>-6029.0599999999995</v>
      </c>
      <c r="BG81" s="19">
        <v>-9134.1299999999992</v>
      </c>
      <c r="BH81" s="19">
        <v>-12847.89</v>
      </c>
      <c r="BI81" s="19">
        <v>-16911.14</v>
      </c>
      <c r="BJ81" s="19">
        <v>0</v>
      </c>
      <c r="BK81" s="19">
        <v>-1165.08</v>
      </c>
      <c r="BL81" s="19">
        <v>-1323.6999999999998</v>
      </c>
      <c r="BM81" s="19">
        <v>2.2737367544323206E-13</v>
      </c>
      <c r="BN81" s="19">
        <v>-2374.5500000000002</v>
      </c>
      <c r="BO81" s="19">
        <v>-5500.52</v>
      </c>
      <c r="BP81" s="19">
        <v>-225.38000000000011</v>
      </c>
      <c r="BQ81" s="19">
        <v>-2885.34</v>
      </c>
      <c r="BR81" s="19">
        <v>-5347.58</v>
      </c>
      <c r="BS81" s="19">
        <v>-225.38000000000011</v>
      </c>
      <c r="BT81" s="19">
        <v>929.12999999999988</v>
      </c>
      <c r="BU81" s="19">
        <v>-5605.42</v>
      </c>
      <c r="BV81" s="19">
        <v>0</v>
      </c>
      <c r="BW81" s="19">
        <v>-289.23</v>
      </c>
      <c r="BX81" s="19">
        <v>-5358.09</v>
      </c>
      <c r="BY81" s="19">
        <v>-1.0000000000218279E-2</v>
      </c>
      <c r="BZ81" s="19">
        <v>-2633.15</v>
      </c>
      <c r="CA81" s="19">
        <v>-3394.42</v>
      </c>
    </row>
    <row r="82" spans="1:79" x14ac:dyDescent="0.2">
      <c r="A82" s="25" t="s">
        <v>154</v>
      </c>
      <c r="B82" s="19">
        <v>0</v>
      </c>
      <c r="C82" s="19">
        <v>0</v>
      </c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>
        <v>0</v>
      </c>
      <c r="AS82" s="19">
        <v>0</v>
      </c>
      <c r="AT82" s="19">
        <v>0</v>
      </c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>
        <v>0</v>
      </c>
      <c r="BC82" s="19">
        <v>0</v>
      </c>
      <c r="BD82" s="19">
        <v>0</v>
      </c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>
        <v>0</v>
      </c>
      <c r="BM82" s="19">
        <v>0</v>
      </c>
      <c r="BN82" s="19">
        <v>0</v>
      </c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>
        <v>0</v>
      </c>
      <c r="BW82" s="19">
        <v>0</v>
      </c>
      <c r="BX82" s="19">
        <v>0</v>
      </c>
      <c r="BY82" s="19">
        <v>0</v>
      </c>
      <c r="BZ82" s="19">
        <v>0</v>
      </c>
      <c r="CA82" s="19">
        <v>-991.6</v>
      </c>
    </row>
    <row r="83" spans="1:79" x14ac:dyDescent="0.2">
      <c r="A83" s="25" t="s">
        <v>155</v>
      </c>
      <c r="B83" s="19">
        <v>0</v>
      </c>
      <c r="C83" s="19">
        <v>0</v>
      </c>
      <c r="D83" s="19">
        <v>660.95</v>
      </c>
      <c r="E83" s="19">
        <v>0</v>
      </c>
      <c r="F83" s="19">
        <v>1237.55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246.2</v>
      </c>
      <c r="M83" s="19">
        <v>0</v>
      </c>
      <c r="N83" s="19">
        <v>0</v>
      </c>
      <c r="O83" s="19">
        <v>0</v>
      </c>
      <c r="P83" s="19">
        <v>464</v>
      </c>
      <c r="Q83" s="19">
        <v>0</v>
      </c>
      <c r="R83" s="19">
        <v>1943.25</v>
      </c>
      <c r="S83" s="19">
        <v>1293.75</v>
      </c>
      <c r="T83" s="19">
        <v>0</v>
      </c>
      <c r="U83" s="19">
        <v>0</v>
      </c>
      <c r="V83" s="19">
        <v>0</v>
      </c>
      <c r="W83" s="19">
        <v>820.95</v>
      </c>
      <c r="X83" s="19">
        <v>0</v>
      </c>
      <c r="Y83" s="19">
        <v>0</v>
      </c>
      <c r="Z83" s="19">
        <v>0</v>
      </c>
      <c r="AA83" s="19">
        <v>856.35</v>
      </c>
      <c r="AB83" s="19">
        <v>0</v>
      </c>
      <c r="AC83" s="19">
        <v>0</v>
      </c>
      <c r="AD83" s="19">
        <v>613.20000000000005</v>
      </c>
      <c r="AE83" s="19">
        <v>0</v>
      </c>
      <c r="AF83" s="19">
        <v>1251</v>
      </c>
      <c r="AG83" s="19">
        <v>0</v>
      </c>
      <c r="AH83" s="19">
        <v>0</v>
      </c>
      <c r="AI83" s="19">
        <v>1193.5</v>
      </c>
      <c r="AJ83" s="19">
        <v>0</v>
      </c>
      <c r="AK83" s="19">
        <v>0</v>
      </c>
      <c r="AL83" s="19">
        <v>0</v>
      </c>
      <c r="AM83" s="19">
        <v>1218.5</v>
      </c>
      <c r="AN83" s="19">
        <v>602.65</v>
      </c>
      <c r="AO83" s="19">
        <v>895.4</v>
      </c>
      <c r="AP83" s="19">
        <v>107.5</v>
      </c>
      <c r="AQ83" s="19">
        <v>58.9</v>
      </c>
      <c r="AR83" s="19">
        <v>305.39999999999998</v>
      </c>
      <c r="AS83" s="19">
        <v>248.49999999999997</v>
      </c>
      <c r="AT83" s="19">
        <v>297.29999999999995</v>
      </c>
      <c r="AU83" s="19">
        <v>351.65</v>
      </c>
      <c r="AV83" s="19">
        <v>233.29999999999998</v>
      </c>
      <c r="AW83" s="19">
        <v>184.39999999999998</v>
      </c>
      <c r="AX83" s="19">
        <v>362.59999999999997</v>
      </c>
      <c r="AY83" s="19">
        <v>-5.6843418860808015E-14</v>
      </c>
      <c r="AZ83" s="19">
        <v>-5.6843418860808015E-14</v>
      </c>
      <c r="BA83" s="19">
        <v>-5.6843418860808015E-14</v>
      </c>
      <c r="BB83" s="19">
        <v>-5.6843418860808015E-14</v>
      </c>
      <c r="BC83" s="19">
        <v>-5.6843418860808015E-14</v>
      </c>
      <c r="BD83" s="19">
        <v>-5.6843418860808015E-14</v>
      </c>
      <c r="BE83" s="19">
        <v>-5.6843418860808015E-14</v>
      </c>
      <c r="BF83" s="19">
        <v>-5.6843418860808015E-14</v>
      </c>
      <c r="BG83" s="19">
        <v>-5.6843418860808015E-14</v>
      </c>
      <c r="BH83" s="19">
        <v>-5.6843418860808015E-14</v>
      </c>
      <c r="BI83" s="19">
        <v>-5.6843418860808015E-14</v>
      </c>
      <c r="BJ83" s="19">
        <v>-5.6843418860808015E-14</v>
      </c>
      <c r="BK83" s="19">
        <v>-5.6843418860808015E-14</v>
      </c>
      <c r="BL83" s="19">
        <v>-5.6843418860808015E-14</v>
      </c>
      <c r="BM83" s="19">
        <v>-5.6843418860808015E-14</v>
      </c>
      <c r="BN83" s="19">
        <v>-5.6843418860808015E-14</v>
      </c>
      <c r="BO83" s="19">
        <v>-5.6843418860808015E-14</v>
      </c>
      <c r="BP83" s="19">
        <v>-5.6843418860808015E-14</v>
      </c>
      <c r="BQ83" s="19">
        <v>-5.6843418860808015E-14</v>
      </c>
      <c r="BR83" s="19">
        <v>-5.6843418860808015E-14</v>
      </c>
      <c r="BS83" s="19">
        <v>-5.6843418860808015E-14</v>
      </c>
      <c r="BT83" s="19">
        <v>-5.6843418860808015E-14</v>
      </c>
      <c r="BU83" s="19">
        <v>-5.6843418860808015E-14</v>
      </c>
      <c r="BV83" s="19">
        <v>-5.6843418860808015E-14</v>
      </c>
      <c r="BW83" s="19">
        <v>-5.6843418860808015E-14</v>
      </c>
      <c r="BX83" s="19">
        <v>-5.6843418860808015E-14</v>
      </c>
      <c r="BY83" s="19">
        <v>-5.6843418860808015E-14</v>
      </c>
      <c r="BZ83" s="19">
        <v>-5.6843418860808015E-14</v>
      </c>
      <c r="CA83" s="19">
        <v>-5.6843418860808015E-14</v>
      </c>
    </row>
    <row r="84" spans="1:79" x14ac:dyDescent="0.2">
      <c r="A84" s="25" t="s">
        <v>156</v>
      </c>
      <c r="B84" s="19">
        <v>9356.9</v>
      </c>
      <c r="C84" s="19">
        <v>5948.0999999999995</v>
      </c>
      <c r="D84" s="19">
        <v>3888.0999999999995</v>
      </c>
      <c r="E84" s="19">
        <v>11478.9</v>
      </c>
      <c r="F84" s="19">
        <v>15633.3</v>
      </c>
      <c r="G84" s="19">
        <v>23621.699999999997</v>
      </c>
      <c r="H84" s="19">
        <v>31770.549999999996</v>
      </c>
      <c r="I84" s="19">
        <v>37124.1</v>
      </c>
      <c r="J84" s="19">
        <v>41004.049999999996</v>
      </c>
      <c r="K84" s="19">
        <v>44718.549999999996</v>
      </c>
      <c r="L84" s="19">
        <v>46894.45</v>
      </c>
      <c r="M84" s="19">
        <v>45247.049999999996</v>
      </c>
      <c r="N84" s="19">
        <v>9628.9499999999971</v>
      </c>
      <c r="O84" s="19">
        <v>10610.999999999996</v>
      </c>
      <c r="P84" s="19">
        <v>1290.149999999996</v>
      </c>
      <c r="Q84" s="19">
        <v>-1350.100000000004</v>
      </c>
      <c r="R84" s="19">
        <v>-243.75000000000409</v>
      </c>
      <c r="S84" s="19">
        <v>1919.4499999999957</v>
      </c>
      <c r="T84" s="19">
        <v>2911.2999999999956</v>
      </c>
      <c r="U84" s="19">
        <v>5074.4999999999955</v>
      </c>
      <c r="V84" s="19">
        <v>7237.6999999999953</v>
      </c>
      <c r="W84" s="19">
        <v>9393.8499999999949</v>
      </c>
      <c r="X84" s="19">
        <v>12728.599999999995</v>
      </c>
      <c r="Y84" s="19">
        <v>15279.949999999995</v>
      </c>
      <c r="Z84" s="19">
        <v>-16001.600000000004</v>
      </c>
      <c r="AA84" s="19">
        <v>-20885.800000000003</v>
      </c>
      <c r="AB84" s="19">
        <v>-5676.3500000000022</v>
      </c>
      <c r="AC84" s="19">
        <v>-6543.050000000002</v>
      </c>
      <c r="AD84" s="19">
        <v>-7552.1500000000024</v>
      </c>
      <c r="AE84" s="19">
        <v>-8561.2500000000018</v>
      </c>
      <c r="AF84" s="19">
        <v>-9607.9000000000015</v>
      </c>
      <c r="AG84" s="19">
        <v>-10617.000000000002</v>
      </c>
      <c r="AH84" s="19">
        <v>-11626.100000000002</v>
      </c>
      <c r="AI84" s="19">
        <v>-8897.6000000000022</v>
      </c>
      <c r="AJ84" s="19">
        <v>-9159.9000000000015</v>
      </c>
      <c r="AK84" s="19">
        <v>-6481.7000000000016</v>
      </c>
      <c r="AL84" s="19">
        <v>4.999999999836291E-2</v>
      </c>
      <c r="AM84" s="19">
        <v>14343.05</v>
      </c>
      <c r="AN84" s="19">
        <v>14364.949999999999</v>
      </c>
      <c r="AO84" s="19">
        <v>17240.8</v>
      </c>
      <c r="AP84" s="19">
        <v>20113.75</v>
      </c>
      <c r="AQ84" s="19">
        <v>22986.7</v>
      </c>
      <c r="AR84" s="19">
        <v>21274.45</v>
      </c>
      <c r="AS84" s="19">
        <v>24147.4</v>
      </c>
      <c r="AT84" s="19">
        <v>22435.15</v>
      </c>
      <c r="AU84" s="19">
        <v>25308.100000000002</v>
      </c>
      <c r="AV84" s="19">
        <v>28181.050000000003</v>
      </c>
      <c r="AW84" s="19">
        <v>26468.800000000003</v>
      </c>
      <c r="AX84" s="19">
        <v>76.400000000001455</v>
      </c>
      <c r="AY84" s="19">
        <v>-1326.6499999999985</v>
      </c>
      <c r="AZ84" s="19">
        <v>1546.7500000000016</v>
      </c>
      <c r="BA84" s="19">
        <v>-1148.1999999999982</v>
      </c>
      <c r="BB84" s="19">
        <v>-984.79999999999825</v>
      </c>
      <c r="BC84" s="19">
        <v>-984.79999999999825</v>
      </c>
      <c r="BD84" s="19">
        <v>-984.79999999999825</v>
      </c>
      <c r="BE84" s="19">
        <v>-984.79999999999825</v>
      </c>
      <c r="BF84" s="19">
        <v>-984.79999999999825</v>
      </c>
      <c r="BG84" s="19">
        <v>-1047.6499999999983</v>
      </c>
      <c r="BH84" s="19">
        <v>-1047.6499999999983</v>
      </c>
      <c r="BI84" s="19">
        <v>-1047.6499999999983</v>
      </c>
      <c r="BJ84" s="19">
        <v>-968.39999999999827</v>
      </c>
      <c r="BK84" s="19">
        <v>-3438.9499999999985</v>
      </c>
      <c r="BL84" s="19">
        <v>-1726.9499999999985</v>
      </c>
      <c r="BM84" s="19">
        <v>-1726.9499999999985</v>
      </c>
      <c r="BN84" s="19">
        <v>-1726.9499999999985</v>
      </c>
      <c r="BO84" s="19">
        <v>420.80000000000155</v>
      </c>
      <c r="BP84" s="19">
        <v>7189.6000000000022</v>
      </c>
      <c r="BQ84" s="19">
        <v>15066.700000000003</v>
      </c>
      <c r="BR84" s="19">
        <v>19891.650000000001</v>
      </c>
      <c r="BS84" s="19">
        <v>6002.130000000001</v>
      </c>
      <c r="BT84" s="19">
        <v>13007.25</v>
      </c>
      <c r="BU84" s="19">
        <v>20645.55</v>
      </c>
      <c r="BV84" s="19">
        <v>33486.25</v>
      </c>
      <c r="BW84" s="19">
        <v>26331.7</v>
      </c>
      <c r="BX84" s="19">
        <v>-23898.499999999996</v>
      </c>
      <c r="BY84" s="19">
        <v>-16849.899999999994</v>
      </c>
      <c r="BZ84" s="19">
        <v>-10862.049999999994</v>
      </c>
      <c r="CA84" s="19">
        <v>-8748.9999999999927</v>
      </c>
    </row>
    <row r="85" spans="1:79" x14ac:dyDescent="0.2">
      <c r="A85" s="25" t="s">
        <v>157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>
        <v>0</v>
      </c>
      <c r="AS85" s="19">
        <v>0</v>
      </c>
      <c r="AT85" s="19">
        <v>0</v>
      </c>
      <c r="AU85" s="19">
        <v>0</v>
      </c>
      <c r="AV85" s="19">
        <v>0</v>
      </c>
      <c r="AW85" s="19">
        <v>0</v>
      </c>
      <c r="AX85" s="19">
        <v>772.75</v>
      </c>
      <c r="AY85" s="19">
        <v>772.75</v>
      </c>
      <c r="AZ85" s="19">
        <v>772.75</v>
      </c>
      <c r="BA85" s="19">
        <v>772.75</v>
      </c>
      <c r="BB85" s="19">
        <v>772.75</v>
      </c>
      <c r="BC85" s="19">
        <v>772.75</v>
      </c>
      <c r="BD85" s="19">
        <v>772.75</v>
      </c>
      <c r="BE85" s="19">
        <v>772.75</v>
      </c>
      <c r="BF85" s="19">
        <v>772.75</v>
      </c>
      <c r="BG85" s="19">
        <v>772.75</v>
      </c>
      <c r="BH85" s="19">
        <v>772.75</v>
      </c>
      <c r="BI85" s="19">
        <v>772.75</v>
      </c>
      <c r="BJ85" s="19">
        <v>-743.59999999999991</v>
      </c>
      <c r="BK85" s="19">
        <v>-743.59999999999991</v>
      </c>
      <c r="BL85" s="19">
        <v>-743.59999999999991</v>
      </c>
      <c r="BM85" s="19">
        <v>-743.59999999999991</v>
      </c>
      <c r="BN85" s="19">
        <v>-743.59999999999991</v>
      </c>
      <c r="BO85" s="19">
        <v>-743.59999999999991</v>
      </c>
      <c r="BP85" s="19">
        <v>-743.59999999999991</v>
      </c>
      <c r="BQ85" s="19">
        <v>-743.59999999999991</v>
      </c>
      <c r="BR85" s="19">
        <v>-743.59999999999991</v>
      </c>
      <c r="BS85" s="19">
        <v>-743.59999999999991</v>
      </c>
      <c r="BT85" s="19">
        <v>-743.59999999999991</v>
      </c>
      <c r="BU85" s="19">
        <v>-743.59999999999991</v>
      </c>
      <c r="BV85" s="19">
        <v>670.10000000000014</v>
      </c>
      <c r="BW85" s="19">
        <v>8240.81</v>
      </c>
      <c r="BX85" s="19">
        <v>8240.81</v>
      </c>
      <c r="BY85" s="19">
        <v>8240.81</v>
      </c>
      <c r="BZ85" s="19">
        <v>8240.81</v>
      </c>
      <c r="CA85" s="19">
        <v>8240.81</v>
      </c>
    </row>
    <row r="86" spans="1:79" x14ac:dyDescent="0.2">
      <c r="A86" s="25" t="s">
        <v>158</v>
      </c>
      <c r="B86" s="19">
        <v>0</v>
      </c>
      <c r="C86" s="19">
        <v>2308.35</v>
      </c>
      <c r="D86" s="19">
        <v>1279.3499999999999</v>
      </c>
      <c r="E86" s="19">
        <v>1100.6499999999999</v>
      </c>
      <c r="F86" s="19">
        <v>839.34999999999991</v>
      </c>
      <c r="G86" s="19">
        <v>-1.1368683772161603E-13</v>
      </c>
      <c r="H86" s="19">
        <v>638.49999999999989</v>
      </c>
      <c r="I86" s="19">
        <v>929.99999999999989</v>
      </c>
      <c r="J86" s="19">
        <v>893.61999999999989</v>
      </c>
      <c r="K86" s="19">
        <v>932.01999999999987</v>
      </c>
      <c r="L86" s="19">
        <v>1238.1399999999999</v>
      </c>
      <c r="M86" s="19">
        <v>1388.31</v>
      </c>
      <c r="N86" s="19">
        <v>0</v>
      </c>
      <c r="O86" s="19">
        <v>102.8</v>
      </c>
      <c r="P86" s="19">
        <v>-121.75000000000001</v>
      </c>
      <c r="Q86" s="19">
        <v>-31.750000000000014</v>
      </c>
      <c r="R86" s="19">
        <v>469.35</v>
      </c>
      <c r="S86" s="19">
        <v>-400</v>
      </c>
      <c r="T86" s="19">
        <v>-400</v>
      </c>
      <c r="U86" s="19">
        <v>-591</v>
      </c>
      <c r="V86" s="19">
        <v>1469.6</v>
      </c>
      <c r="W86" s="19">
        <v>1048.8</v>
      </c>
      <c r="X86" s="19">
        <v>1917.1999999999998</v>
      </c>
      <c r="Y86" s="19">
        <v>1127.7999999999997</v>
      </c>
      <c r="Z86" s="19">
        <v>-2.2737367544323206E-13</v>
      </c>
      <c r="AA86" s="19">
        <v>-400.00000000000023</v>
      </c>
      <c r="AB86" s="19">
        <v>-400.00000000000023</v>
      </c>
      <c r="AC86" s="19">
        <v>-400.00000000000023</v>
      </c>
      <c r="AD86" s="19">
        <v>-400.00000000000023</v>
      </c>
      <c r="AE86" s="19">
        <v>-400.00000000000023</v>
      </c>
      <c r="AF86" s="19">
        <v>-400.00000000000023</v>
      </c>
      <c r="AG86" s="19">
        <v>324.99999999999977</v>
      </c>
      <c r="AH86" s="19">
        <v>-400.00000000000023</v>
      </c>
      <c r="AI86" s="19">
        <v>-800.00000000000023</v>
      </c>
      <c r="AJ86" s="19">
        <v>-1200.0000000000002</v>
      </c>
      <c r="AK86" s="19">
        <v>-1600.0000000000002</v>
      </c>
      <c r="AL86" s="19">
        <v>-2.2737367544323206E-13</v>
      </c>
      <c r="AM86" s="19">
        <v>75.499999999999773</v>
      </c>
      <c r="AN86" s="19">
        <v>-800.00000000000023</v>
      </c>
      <c r="AO86" s="19">
        <v>-1200.0000000000002</v>
      </c>
      <c r="AP86" s="19">
        <v>-1600.0000000000002</v>
      </c>
      <c r="AQ86" s="19">
        <v>-2000.0000000000002</v>
      </c>
      <c r="AR86" s="19">
        <v>-1200.0000000000002</v>
      </c>
      <c r="AS86" s="19">
        <v>-2121.7000000000003</v>
      </c>
      <c r="AT86" s="19">
        <v>-768.65000000000032</v>
      </c>
      <c r="AU86" s="19">
        <v>-1245.7000000000003</v>
      </c>
      <c r="AV86" s="19">
        <v>-1600.0000000000002</v>
      </c>
      <c r="AW86" s="19">
        <v>-800.00000000000023</v>
      </c>
      <c r="AX86" s="19">
        <v>-2.2737367544323206E-13</v>
      </c>
      <c r="AY86" s="19">
        <v>-400.00000000000023</v>
      </c>
      <c r="AZ86" s="19">
        <v>-800.00000000000023</v>
      </c>
      <c r="BA86" s="19">
        <v>-2.2737367544323206E-13</v>
      </c>
      <c r="BB86" s="19">
        <v>-2.2737367544323206E-13</v>
      </c>
      <c r="BC86" s="19">
        <v>-2.2737367544323206E-13</v>
      </c>
      <c r="BD86" s="19">
        <v>-2.2737367544323206E-13</v>
      </c>
      <c r="BE86" s="19">
        <v>-2.2737367544323206E-13</v>
      </c>
      <c r="BF86" s="19">
        <v>-2.2737367544323206E-13</v>
      </c>
      <c r="BG86" s="19">
        <v>-2.2737367544323206E-13</v>
      </c>
      <c r="BH86" s="19">
        <v>-2.2737367544323206E-13</v>
      </c>
      <c r="BI86" s="19">
        <v>-2.2737367544323206E-13</v>
      </c>
      <c r="BJ86" s="19">
        <v>-2.2737367544323206E-13</v>
      </c>
      <c r="BK86" s="19">
        <v>-2.2737367544323206E-13</v>
      </c>
      <c r="BL86" s="19">
        <v>-2.2737367544323206E-13</v>
      </c>
      <c r="BM86" s="19">
        <v>-2.2737367544323206E-13</v>
      </c>
      <c r="BN86" s="19">
        <v>-2.2737367544323206E-13</v>
      </c>
      <c r="BO86" s="19">
        <v>-2.2737367544323206E-13</v>
      </c>
      <c r="BP86" s="19">
        <v>202.54999999999978</v>
      </c>
      <c r="BQ86" s="19">
        <v>202.54999999999978</v>
      </c>
      <c r="BR86" s="19">
        <v>202.54999999999978</v>
      </c>
      <c r="BS86" s="19">
        <v>202.54999999999978</v>
      </c>
      <c r="BT86" s="19">
        <v>6798.25</v>
      </c>
      <c r="BU86" s="19">
        <v>202.55000000000018</v>
      </c>
      <c r="BV86" s="19">
        <v>1.7053025658242404E-13</v>
      </c>
      <c r="BW86" s="19">
        <v>1.7053025658242404E-13</v>
      </c>
      <c r="BX86" s="19">
        <v>20675.349999999999</v>
      </c>
      <c r="BY86" s="19">
        <v>20675.349999999999</v>
      </c>
      <c r="BZ86" s="19">
        <v>20675.349999999999</v>
      </c>
      <c r="CA86" s="19">
        <v>20675.349999999999</v>
      </c>
    </row>
    <row r="87" spans="1:79" x14ac:dyDescent="0.2">
      <c r="A87" s="25" t="s">
        <v>159</v>
      </c>
      <c r="B87" s="19">
        <v>0</v>
      </c>
      <c r="C87" s="19">
        <v>0</v>
      </c>
      <c r="D87" s="19">
        <v>0</v>
      </c>
      <c r="E87" s="19">
        <v>0</v>
      </c>
      <c r="F87" s="19">
        <v>585.1</v>
      </c>
      <c r="G87" s="19">
        <v>2662.25</v>
      </c>
      <c r="H87" s="19">
        <v>0</v>
      </c>
      <c r="I87" s="19">
        <v>407.68</v>
      </c>
      <c r="J87" s="19">
        <v>620.36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429</v>
      </c>
      <c r="T87" s="19">
        <v>0</v>
      </c>
      <c r="U87" s="19">
        <v>-48.4</v>
      </c>
      <c r="V87" s="19">
        <v>-96.8</v>
      </c>
      <c r="W87" s="19">
        <v>0</v>
      </c>
      <c r="X87" s="19">
        <v>0</v>
      </c>
      <c r="Y87" s="19">
        <v>376.4</v>
      </c>
      <c r="Z87" s="19">
        <v>0</v>
      </c>
      <c r="AA87" s="19">
        <v>0</v>
      </c>
      <c r="AB87" s="19">
        <v>884.6</v>
      </c>
      <c r="AC87" s="19">
        <v>0</v>
      </c>
      <c r="AD87" s="19">
        <v>1997.6</v>
      </c>
      <c r="AE87" s="19">
        <v>8285.75</v>
      </c>
      <c r="AF87" s="19">
        <v>0</v>
      </c>
      <c r="AG87" s="19">
        <v>9125.9</v>
      </c>
      <c r="AH87" s="19">
        <v>15235.17</v>
      </c>
      <c r="AI87" s="19">
        <v>0</v>
      </c>
      <c r="AJ87" s="19">
        <v>8118.51</v>
      </c>
      <c r="AK87" s="19">
        <v>11413.01</v>
      </c>
      <c r="AL87" s="19">
        <v>0</v>
      </c>
      <c r="AM87" s="19">
        <v>4033.33</v>
      </c>
      <c r="AN87" s="19">
        <v>9371.92</v>
      </c>
      <c r="AO87" s="19">
        <v>0</v>
      </c>
      <c r="AP87" s="19">
        <v>0</v>
      </c>
      <c r="AQ87" s="19">
        <v>655.75</v>
      </c>
      <c r="AR87" s="19">
        <v>0</v>
      </c>
      <c r="AS87" s="19">
        <v>1598.55</v>
      </c>
      <c r="AT87" s="19">
        <v>2784.35</v>
      </c>
      <c r="AU87" s="19">
        <v>0</v>
      </c>
      <c r="AV87" s="19">
        <v>1805.4</v>
      </c>
      <c r="AW87" s="19">
        <v>5276.2000000000007</v>
      </c>
      <c r="AX87" s="19">
        <v>9.0949470177292824E-13</v>
      </c>
      <c r="AY87" s="19">
        <v>1806.5500000000009</v>
      </c>
      <c r="AZ87" s="19">
        <v>3090.4500000000007</v>
      </c>
      <c r="BA87" s="19">
        <v>4412.1000000000004</v>
      </c>
      <c r="BB87" s="19">
        <v>1590.9000000000005</v>
      </c>
      <c r="BC87" s="19">
        <v>4670.5</v>
      </c>
      <c r="BD87" s="19">
        <v>11056.33</v>
      </c>
      <c r="BE87" s="19">
        <v>16916.689999999999</v>
      </c>
      <c r="BF87" s="19">
        <v>13247.309999999998</v>
      </c>
      <c r="BG87" s="19">
        <v>20140.429999999997</v>
      </c>
      <c r="BH87" s="19">
        <v>27944.539999999997</v>
      </c>
      <c r="BI87" s="19">
        <v>37315.24</v>
      </c>
      <c r="BJ87" s="19">
        <v>0</v>
      </c>
      <c r="BK87" s="19">
        <v>5236.6000000000004</v>
      </c>
      <c r="BL87" s="19">
        <v>17031.41</v>
      </c>
      <c r="BM87" s="19">
        <v>0</v>
      </c>
      <c r="BN87" s="19">
        <v>22208.05</v>
      </c>
      <c r="BO87" s="19">
        <v>45304.639999999999</v>
      </c>
      <c r="BP87" s="19">
        <v>0</v>
      </c>
      <c r="BQ87" s="19">
        <v>32218.11</v>
      </c>
      <c r="BR87" s="19">
        <v>53818.8</v>
      </c>
      <c r="BS87" s="19">
        <v>0</v>
      </c>
      <c r="BT87" s="19">
        <v>32224.799999999999</v>
      </c>
      <c r="BU87" s="19">
        <v>61001.880000000005</v>
      </c>
      <c r="BV87" s="19">
        <v>7.2759576141834259E-12</v>
      </c>
      <c r="BW87" s="19">
        <v>7.2759576141834259E-12</v>
      </c>
      <c r="BX87" s="19">
        <v>15419.640000000007</v>
      </c>
      <c r="BY87" s="19">
        <v>-8129.0099999999948</v>
      </c>
      <c r="BZ87" s="19">
        <v>7742.4700000000048</v>
      </c>
      <c r="CA87" s="19">
        <v>21359.130000000005</v>
      </c>
    </row>
    <row r="88" spans="1:79" x14ac:dyDescent="0.2">
      <c r="A88" s="25" t="s">
        <v>160</v>
      </c>
      <c r="B88" s="19">
        <v>-4063.15</v>
      </c>
      <c r="C88" s="19">
        <v>-3630.65</v>
      </c>
      <c r="D88" s="19">
        <v>-3630.65</v>
      </c>
      <c r="E88" s="19">
        <v>-6317.1</v>
      </c>
      <c r="F88" s="19">
        <v>-6317.1</v>
      </c>
      <c r="G88" s="19">
        <v>-2686.4500000000003</v>
      </c>
      <c r="H88" s="19">
        <v>-1631.1500000000003</v>
      </c>
      <c r="I88" s="19">
        <v>1055.2999999999995</v>
      </c>
      <c r="J88" s="19">
        <v>-4.5474735088646412E-13</v>
      </c>
      <c r="K88" s="19">
        <v>-3052.3100000000004</v>
      </c>
      <c r="L88" s="19">
        <v>-3052.3100000000004</v>
      </c>
      <c r="M88" s="19">
        <v>-3052.3100000000004</v>
      </c>
      <c r="N88" s="19">
        <v>-3295.2000000000003</v>
      </c>
      <c r="O88" s="19">
        <v>-242.90000000000009</v>
      </c>
      <c r="P88" s="19">
        <v>-242.90000000000009</v>
      </c>
      <c r="Q88" s="19">
        <v>-3123</v>
      </c>
      <c r="R88" s="19">
        <v>-2880.05</v>
      </c>
      <c r="S88" s="19">
        <v>-2880.05</v>
      </c>
      <c r="T88" s="19">
        <v>-4175.3999999999996</v>
      </c>
      <c r="U88" s="19">
        <v>-4175.3999999999996</v>
      </c>
      <c r="V88" s="19">
        <v>-4175.3999999999996</v>
      </c>
      <c r="W88" s="19">
        <v>-5811.95</v>
      </c>
      <c r="X88" s="19">
        <v>-4516.6000000000004</v>
      </c>
      <c r="Y88" s="19">
        <v>-4516.6000000000004</v>
      </c>
      <c r="Z88" s="19">
        <v>1886</v>
      </c>
      <c r="AA88" s="19">
        <v>3521.55</v>
      </c>
      <c r="AB88" s="19">
        <v>0.1000000000003638</v>
      </c>
      <c r="AC88" s="19">
        <v>-1248.2999999999997</v>
      </c>
      <c r="AD88" s="19">
        <v>-1248.2999999999997</v>
      </c>
      <c r="AE88" s="19">
        <v>-1248.2999999999997</v>
      </c>
      <c r="AF88" s="19">
        <v>6552.25</v>
      </c>
      <c r="AG88" s="19">
        <v>7800.6</v>
      </c>
      <c r="AH88" s="19">
        <v>0.1000000000003638</v>
      </c>
      <c r="AI88" s="19">
        <v>12058.81</v>
      </c>
      <c r="AJ88" s="19">
        <v>12058.81</v>
      </c>
      <c r="AK88" s="19">
        <v>0</v>
      </c>
      <c r="AL88" s="19">
        <v>8397.11</v>
      </c>
      <c r="AM88" s="19">
        <v>0</v>
      </c>
      <c r="AN88" s="19">
        <v>0</v>
      </c>
      <c r="AO88" s="19">
        <v>8056.35</v>
      </c>
      <c r="AP88" s="19">
        <v>8056.35</v>
      </c>
      <c r="AQ88" s="19">
        <v>8056.35</v>
      </c>
      <c r="AR88" s="19">
        <v>8751.4500000000007</v>
      </c>
      <c r="AS88" s="19">
        <v>8751.4500000000007</v>
      </c>
      <c r="AT88" s="19">
        <v>0.1000000000003638</v>
      </c>
      <c r="AU88" s="19">
        <v>3.6379232959404817E-13</v>
      </c>
      <c r="AV88" s="19">
        <v>3.6379232959404817E-13</v>
      </c>
      <c r="AW88" s="19">
        <v>3.6379232959404817E-13</v>
      </c>
      <c r="AX88" s="19">
        <v>4132.26</v>
      </c>
      <c r="AY88" s="19">
        <v>4132.26</v>
      </c>
      <c r="AZ88" s="19">
        <v>4132.26</v>
      </c>
      <c r="BA88" s="19">
        <v>4132.26</v>
      </c>
      <c r="BB88" s="19">
        <v>4132.26</v>
      </c>
      <c r="BC88" s="19">
        <v>4132.26</v>
      </c>
      <c r="BD88" s="19">
        <v>4132.26</v>
      </c>
      <c r="BE88" s="19">
        <v>4132.26</v>
      </c>
      <c r="BF88" s="19">
        <v>4132.26</v>
      </c>
      <c r="BG88" s="19">
        <v>4132.26</v>
      </c>
      <c r="BH88" s="19">
        <v>4132.26</v>
      </c>
      <c r="BI88" s="19">
        <v>4132.26</v>
      </c>
      <c r="BJ88" s="19">
        <v>0</v>
      </c>
      <c r="BK88" s="19">
        <v>0</v>
      </c>
      <c r="BL88" s="19">
        <v>0</v>
      </c>
      <c r="BM88" s="19">
        <v>0</v>
      </c>
      <c r="BN88" s="19">
        <v>0</v>
      </c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>
        <v>0</v>
      </c>
      <c r="BW88" s="19">
        <v>0</v>
      </c>
      <c r="BX88" s="19">
        <v>0</v>
      </c>
      <c r="BY88" s="19">
        <v>0</v>
      </c>
      <c r="BZ88" s="19">
        <v>0</v>
      </c>
      <c r="CA88" s="19">
        <v>0</v>
      </c>
    </row>
    <row r="89" spans="1:79" x14ac:dyDescent="0.2">
      <c r="A89" s="25" t="s">
        <v>161</v>
      </c>
      <c r="B89" s="19">
        <v>3089.05</v>
      </c>
      <c r="C89" s="19">
        <v>3475.25</v>
      </c>
      <c r="D89" s="19">
        <v>3861.45</v>
      </c>
      <c r="E89" s="19">
        <v>4759.75</v>
      </c>
      <c r="F89" s="19">
        <v>4880.05</v>
      </c>
      <c r="G89" s="19">
        <v>5778.35</v>
      </c>
      <c r="H89" s="19">
        <v>6422.4500000000007</v>
      </c>
      <c r="I89" s="19">
        <v>5631.8000000000011</v>
      </c>
      <c r="J89" s="19">
        <v>6219.8000000000011</v>
      </c>
      <c r="K89" s="19">
        <v>5137.1000000000013</v>
      </c>
      <c r="L89" s="19">
        <v>5725.1000000000013</v>
      </c>
      <c r="M89" s="19">
        <v>6313.1000000000013</v>
      </c>
      <c r="N89" s="19">
        <v>8193.6000000000022</v>
      </c>
      <c r="O89" s="19">
        <v>7408.4000000000024</v>
      </c>
      <c r="P89" s="19">
        <v>8387.2000000000025</v>
      </c>
      <c r="Q89" s="19">
        <v>6925.3000000000029</v>
      </c>
      <c r="R89" s="19">
        <v>4677.2500000000027</v>
      </c>
      <c r="S89" s="19">
        <v>5656.0500000000029</v>
      </c>
      <c r="T89" s="19">
        <v>6634.8500000000031</v>
      </c>
      <c r="U89" s="19">
        <v>7613.6500000000033</v>
      </c>
      <c r="V89" s="19">
        <v>8592.4500000000025</v>
      </c>
      <c r="W89" s="19">
        <v>9514.9500000000025</v>
      </c>
      <c r="X89" s="19">
        <v>10493.750000000002</v>
      </c>
      <c r="Y89" s="19">
        <v>8536.1500000000015</v>
      </c>
      <c r="Z89" s="19">
        <v>6694.5000000000018</v>
      </c>
      <c r="AA89" s="19">
        <v>7592.300000000002</v>
      </c>
      <c r="AB89" s="19">
        <v>2064.1000000000022</v>
      </c>
      <c r="AC89" s="19">
        <v>3203.1000000000022</v>
      </c>
      <c r="AD89" s="19">
        <v>7670.9000000000024</v>
      </c>
      <c r="AE89" s="19">
        <v>8649.1000000000022</v>
      </c>
      <c r="AF89" s="19">
        <v>9627.3000000000029</v>
      </c>
      <c r="AG89" s="19">
        <v>7668.3000000000029</v>
      </c>
      <c r="AH89" s="19">
        <v>8646.5000000000036</v>
      </c>
      <c r="AI89" s="19">
        <v>9624.7000000000044</v>
      </c>
      <c r="AJ89" s="19">
        <v>7668.3000000000047</v>
      </c>
      <c r="AK89" s="19">
        <v>5654.9000000000051</v>
      </c>
      <c r="AL89" s="19">
        <v>6650.2500000000055</v>
      </c>
      <c r="AM89" s="19">
        <v>7644.2500000000055</v>
      </c>
      <c r="AN89" s="19">
        <v>8638.2500000000055</v>
      </c>
      <c r="AO89" s="19">
        <v>6846.5000000000055</v>
      </c>
      <c r="AP89" s="19">
        <v>7754.5000000000055</v>
      </c>
      <c r="AQ89" s="19">
        <v>8662.5000000000055</v>
      </c>
      <c r="AR89" s="19">
        <v>9570.5000000000055</v>
      </c>
      <c r="AS89" s="19">
        <v>10564.450000000006</v>
      </c>
      <c r="AT89" s="19">
        <v>7412.7500000000064</v>
      </c>
      <c r="AU89" s="19">
        <v>8311.8500000000058</v>
      </c>
      <c r="AV89" s="19">
        <v>9219.8500000000058</v>
      </c>
      <c r="AW89" s="19">
        <v>7599.150000000006</v>
      </c>
      <c r="AX89" s="19">
        <v>6015.5000000000055</v>
      </c>
      <c r="AY89" s="19">
        <v>6943.5000000000055</v>
      </c>
      <c r="AZ89" s="19">
        <v>4790.6000000000058</v>
      </c>
      <c r="BA89" s="19">
        <v>5718.6000000000058</v>
      </c>
      <c r="BB89" s="19">
        <v>5718.6000000000058</v>
      </c>
      <c r="BC89" s="19">
        <v>2934.6000000000058</v>
      </c>
      <c r="BD89" s="19">
        <v>2934.6000000000058</v>
      </c>
      <c r="BE89" s="19">
        <v>2934.6000000000058</v>
      </c>
      <c r="BF89" s="19">
        <v>2934.6000000000058</v>
      </c>
      <c r="BG89" s="19">
        <v>2934.6000000000058</v>
      </c>
      <c r="BH89" s="19">
        <v>2934.6000000000058</v>
      </c>
      <c r="BI89" s="19">
        <v>2934.6000000000058</v>
      </c>
      <c r="BJ89" s="19">
        <v>13000.760000000006</v>
      </c>
      <c r="BK89" s="19">
        <v>13000.760000000006</v>
      </c>
      <c r="BL89" s="19">
        <v>13000.760000000006</v>
      </c>
      <c r="BM89" s="19">
        <v>13000.760000000006</v>
      </c>
      <c r="BN89" s="19">
        <v>13000.760000000006</v>
      </c>
      <c r="BO89" s="19">
        <v>14671.160000000005</v>
      </c>
      <c r="BP89" s="19">
        <v>17496.560000000005</v>
      </c>
      <c r="BQ89" s="19">
        <v>20172.910000000003</v>
      </c>
      <c r="BR89" s="19">
        <v>18908.710000000003</v>
      </c>
      <c r="BS89" s="19">
        <v>20579.110000000004</v>
      </c>
      <c r="BT89" s="19">
        <v>23072.010000000006</v>
      </c>
      <c r="BU89" s="19">
        <v>24852.060000000005</v>
      </c>
      <c r="BV89" s="19">
        <v>79148.399999999994</v>
      </c>
      <c r="BW89" s="19">
        <v>9143.1499999999942</v>
      </c>
      <c r="BX89" s="19">
        <v>10781.749999999995</v>
      </c>
      <c r="BY89" s="19">
        <v>12420.349999999995</v>
      </c>
      <c r="BZ89" s="19">
        <v>14591.499999999995</v>
      </c>
      <c r="CA89" s="19">
        <v>16762.649999999994</v>
      </c>
    </row>
    <row r="90" spans="1:79" x14ac:dyDescent="0.2">
      <c r="A90" s="14" t="s">
        <v>162</v>
      </c>
      <c r="B90" s="15">
        <f t="shared" ref="B90:AG90" si="66">SUM(B81:B89)</f>
        <v>8382.7999999999993</v>
      </c>
      <c r="C90" s="15">
        <f t="shared" si="66"/>
        <v>8101.0499999999993</v>
      </c>
      <c r="D90" s="15">
        <f t="shared" si="66"/>
        <v>6059.1999999999989</v>
      </c>
      <c r="E90" s="15">
        <f t="shared" si="66"/>
        <v>11022.199999999999</v>
      </c>
      <c r="F90" s="15">
        <f t="shared" si="66"/>
        <v>16858.249999999996</v>
      </c>
      <c r="G90" s="15">
        <f t="shared" si="66"/>
        <v>29375.85</v>
      </c>
      <c r="H90" s="15">
        <f t="shared" si="66"/>
        <v>37200.349999999991</v>
      </c>
      <c r="I90" s="15">
        <f t="shared" si="66"/>
        <v>45148.880000000005</v>
      </c>
      <c r="J90" s="15">
        <f t="shared" si="66"/>
        <v>48737.83</v>
      </c>
      <c r="K90" s="15">
        <f t="shared" si="66"/>
        <v>47735.359999999993</v>
      </c>
      <c r="L90" s="15">
        <f t="shared" si="66"/>
        <v>51051.579999999994</v>
      </c>
      <c r="M90" s="15">
        <f t="shared" si="66"/>
        <v>49896.149999999994</v>
      </c>
      <c r="N90" s="15">
        <f t="shared" si="66"/>
        <v>14527.349999999999</v>
      </c>
      <c r="O90" s="15">
        <f t="shared" si="66"/>
        <v>17879.3</v>
      </c>
      <c r="P90" s="15">
        <f t="shared" si="66"/>
        <v>9776.6999999999989</v>
      </c>
      <c r="Q90" s="15">
        <f t="shared" si="66"/>
        <v>2420.4499999999989</v>
      </c>
      <c r="R90" s="15">
        <f t="shared" si="66"/>
        <v>3966.0499999999984</v>
      </c>
      <c r="S90" s="15">
        <f t="shared" si="66"/>
        <v>6018.1999999999989</v>
      </c>
      <c r="T90" s="15">
        <f t="shared" si="66"/>
        <v>4970.7499999999991</v>
      </c>
      <c r="U90" s="15">
        <f t="shared" si="66"/>
        <v>7873.3499999999995</v>
      </c>
      <c r="V90" s="15">
        <f t="shared" si="66"/>
        <v>13027.55</v>
      </c>
      <c r="W90" s="15">
        <f t="shared" si="66"/>
        <v>14966.599999999999</v>
      </c>
      <c r="X90" s="15">
        <f t="shared" si="66"/>
        <v>20622.949999999997</v>
      </c>
      <c r="Y90" s="15">
        <f t="shared" si="66"/>
        <v>20803.699999999997</v>
      </c>
      <c r="Z90" s="15">
        <f t="shared" si="66"/>
        <v>-7421.1000000000022</v>
      </c>
      <c r="AA90" s="15">
        <f t="shared" si="66"/>
        <v>-9315.6000000000022</v>
      </c>
      <c r="AB90" s="15">
        <f t="shared" si="66"/>
        <v>-3127.5499999999993</v>
      </c>
      <c r="AC90" s="15">
        <f t="shared" si="66"/>
        <v>-4988.25</v>
      </c>
      <c r="AD90" s="15">
        <f t="shared" si="66"/>
        <v>1081.2500000000009</v>
      </c>
      <c r="AE90" s="15">
        <f t="shared" si="66"/>
        <v>6725.3000000000011</v>
      </c>
      <c r="AF90" s="15">
        <f t="shared" si="66"/>
        <v>7422.6500000000015</v>
      </c>
      <c r="AG90" s="15">
        <f t="shared" si="66"/>
        <v>14302.800000000001</v>
      </c>
      <c r="AH90" s="15">
        <f t="shared" ref="AH90:BM90" si="67">SUM(AH81:AH89)</f>
        <v>11855.670000000002</v>
      </c>
      <c r="AI90" s="15">
        <f t="shared" si="67"/>
        <v>13179.410000000002</v>
      </c>
      <c r="AJ90" s="15">
        <f t="shared" si="67"/>
        <v>17485.72</v>
      </c>
      <c r="AK90" s="15">
        <f t="shared" si="67"/>
        <v>8986.2100000000028</v>
      </c>
      <c r="AL90" s="15">
        <f t="shared" si="67"/>
        <v>15047.410000000003</v>
      </c>
      <c r="AM90" s="15">
        <f t="shared" si="67"/>
        <v>24447.650000000009</v>
      </c>
      <c r="AN90" s="15">
        <f t="shared" si="67"/>
        <v>27003.100000000006</v>
      </c>
      <c r="AO90" s="15">
        <f t="shared" si="67"/>
        <v>31839.05000000001</v>
      </c>
      <c r="AP90" s="15">
        <f t="shared" si="67"/>
        <v>34432.100000000006</v>
      </c>
      <c r="AQ90" s="15">
        <f t="shared" si="67"/>
        <v>38420.200000000012</v>
      </c>
      <c r="AR90" s="15">
        <f t="shared" si="67"/>
        <v>38701.80000000001</v>
      </c>
      <c r="AS90" s="15">
        <f t="shared" si="67"/>
        <v>43188.650000000009</v>
      </c>
      <c r="AT90" s="15">
        <f t="shared" si="67"/>
        <v>32161.000000000007</v>
      </c>
      <c r="AU90" s="15">
        <f t="shared" si="67"/>
        <v>36202.350000000006</v>
      </c>
      <c r="AV90" s="15">
        <f t="shared" si="67"/>
        <v>37482.430000000008</v>
      </c>
      <c r="AW90" s="15">
        <f t="shared" si="67"/>
        <v>38156.37000000001</v>
      </c>
      <c r="AX90" s="15">
        <f t="shared" si="67"/>
        <v>11359.510000000007</v>
      </c>
      <c r="AY90" s="15">
        <f t="shared" si="67"/>
        <v>11696.660000000007</v>
      </c>
      <c r="AZ90" s="15">
        <f t="shared" si="67"/>
        <v>12832.510000000007</v>
      </c>
      <c r="BA90" s="15">
        <f t="shared" si="67"/>
        <v>13123.210000000008</v>
      </c>
      <c r="BB90" s="15">
        <f t="shared" si="67"/>
        <v>10679.660000000007</v>
      </c>
      <c r="BC90" s="15">
        <f t="shared" si="67"/>
        <v>10932.310000000009</v>
      </c>
      <c r="BD90" s="15">
        <f t="shared" si="67"/>
        <v>14192.010000000007</v>
      </c>
      <c r="BE90" s="15">
        <f t="shared" si="67"/>
        <v>17359.760000000009</v>
      </c>
      <c r="BF90" s="15">
        <f t="shared" si="67"/>
        <v>14073.060000000005</v>
      </c>
      <c r="BG90" s="15">
        <f t="shared" si="67"/>
        <v>17798.260000000006</v>
      </c>
      <c r="BH90" s="15">
        <f t="shared" si="67"/>
        <v>21888.610000000008</v>
      </c>
      <c r="BI90" s="15">
        <f t="shared" si="67"/>
        <v>27196.060000000005</v>
      </c>
      <c r="BJ90" s="15">
        <f t="shared" si="67"/>
        <v>11288.760000000007</v>
      </c>
      <c r="BK90" s="15">
        <f t="shared" si="67"/>
        <v>12889.730000000007</v>
      </c>
      <c r="BL90" s="15">
        <f t="shared" si="67"/>
        <v>26237.920000000006</v>
      </c>
      <c r="BM90" s="15">
        <f t="shared" si="67"/>
        <v>10530.210000000006</v>
      </c>
      <c r="BN90" s="15">
        <f t="shared" ref="BN90:CS90" si="68">SUM(BN81:BN89)</f>
        <v>30363.710000000006</v>
      </c>
      <c r="BO90" s="15">
        <f t="shared" si="68"/>
        <v>54152.480000000003</v>
      </c>
      <c r="BP90" s="15">
        <f t="shared" si="68"/>
        <v>23919.730000000007</v>
      </c>
      <c r="BQ90" s="15">
        <f t="shared" si="68"/>
        <v>64031.33</v>
      </c>
      <c r="BR90" s="15">
        <f t="shared" si="68"/>
        <v>86730.530000000013</v>
      </c>
      <c r="BS90" s="15">
        <f t="shared" si="68"/>
        <v>25814.810000000005</v>
      </c>
      <c r="BT90" s="15">
        <f t="shared" si="68"/>
        <v>75287.840000000011</v>
      </c>
      <c r="BU90" s="15">
        <f t="shared" si="68"/>
        <v>100353.02000000002</v>
      </c>
      <c r="BV90" s="15">
        <f t="shared" si="68"/>
        <v>113304.75</v>
      </c>
      <c r="BW90" s="15">
        <f t="shared" si="68"/>
        <v>43426.43</v>
      </c>
      <c r="BX90" s="15">
        <f t="shared" si="68"/>
        <v>25860.959999999999</v>
      </c>
      <c r="BY90" s="15">
        <f t="shared" si="68"/>
        <v>16357.590000000002</v>
      </c>
      <c r="BZ90" s="15">
        <f t="shared" si="68"/>
        <v>37754.93</v>
      </c>
      <c r="CA90" s="15">
        <f t="shared" si="68"/>
        <v>53902.920000000006</v>
      </c>
    </row>
    <row r="91" spans="1:79" x14ac:dyDescent="0.2">
      <c r="A91" s="16" t="s">
        <v>163</v>
      </c>
      <c r="B91" s="17">
        <f t="shared" ref="B91:AG91" si="69">0+0+B72+B76+0+B79+0+B90</f>
        <v>8547.4499999999989</v>
      </c>
      <c r="C91" s="17">
        <f t="shared" si="69"/>
        <v>9879.75</v>
      </c>
      <c r="D91" s="17">
        <f t="shared" si="69"/>
        <v>9750.75</v>
      </c>
      <c r="E91" s="17">
        <f t="shared" si="69"/>
        <v>28722.85</v>
      </c>
      <c r="F91" s="17">
        <f t="shared" si="69"/>
        <v>27782.759999999995</v>
      </c>
      <c r="G91" s="17">
        <f t="shared" si="69"/>
        <v>51403.869999999995</v>
      </c>
      <c r="H91" s="17">
        <f t="shared" si="69"/>
        <v>54099.01999999999</v>
      </c>
      <c r="I91" s="17">
        <f t="shared" si="69"/>
        <v>54690.310000000005</v>
      </c>
      <c r="J91" s="17">
        <f t="shared" si="69"/>
        <v>58841.81</v>
      </c>
      <c r="K91" s="17">
        <f t="shared" si="69"/>
        <v>70135.829999999987</v>
      </c>
      <c r="L91" s="17">
        <f t="shared" si="69"/>
        <v>56076.299999999996</v>
      </c>
      <c r="M91" s="17">
        <f t="shared" si="69"/>
        <v>52840.719999999994</v>
      </c>
      <c r="N91" s="17">
        <f t="shared" si="69"/>
        <v>16685.199999999997</v>
      </c>
      <c r="O91" s="17">
        <f t="shared" si="69"/>
        <v>23068.699999999997</v>
      </c>
      <c r="P91" s="17">
        <f t="shared" si="69"/>
        <v>18834.449999999997</v>
      </c>
      <c r="Q91" s="17">
        <f t="shared" si="69"/>
        <v>21033.15</v>
      </c>
      <c r="R91" s="17">
        <f t="shared" si="69"/>
        <v>6594.8199999999979</v>
      </c>
      <c r="S91" s="17">
        <f t="shared" si="69"/>
        <v>8218.1999999999989</v>
      </c>
      <c r="T91" s="17">
        <f t="shared" si="69"/>
        <v>20340.899999999998</v>
      </c>
      <c r="U91" s="17">
        <f t="shared" si="69"/>
        <v>10438.649999999998</v>
      </c>
      <c r="V91" s="17">
        <f t="shared" si="69"/>
        <v>13108.749999999998</v>
      </c>
      <c r="W91" s="17">
        <f t="shared" si="69"/>
        <v>40425.199999999997</v>
      </c>
      <c r="X91" s="17">
        <f t="shared" si="69"/>
        <v>23412.85</v>
      </c>
      <c r="Y91" s="17">
        <f t="shared" si="69"/>
        <v>23911.679999999997</v>
      </c>
      <c r="Z91" s="17">
        <f t="shared" si="69"/>
        <v>-4251.8500000000013</v>
      </c>
      <c r="AA91" s="17">
        <f t="shared" si="69"/>
        <v>-7521.4000000000015</v>
      </c>
      <c r="AB91" s="17">
        <f t="shared" si="69"/>
        <v>-2153.5999999999985</v>
      </c>
      <c r="AC91" s="17">
        <f t="shared" si="69"/>
        <v>12059.350000000002</v>
      </c>
      <c r="AD91" s="17">
        <f t="shared" si="69"/>
        <v>3424.2500000000023</v>
      </c>
      <c r="AE91" s="17">
        <f t="shared" si="69"/>
        <v>42528.750000000007</v>
      </c>
      <c r="AF91" s="17">
        <f t="shared" si="69"/>
        <v>93119.700000000012</v>
      </c>
      <c r="AG91" s="17">
        <f t="shared" si="69"/>
        <v>103940.79000000002</v>
      </c>
      <c r="AH91" s="17">
        <f t="shared" ref="AH91:BM91" si="70">0+0+AH72+AH76+0+AH79+0+AH90</f>
        <v>134744.57</v>
      </c>
      <c r="AI91" s="17">
        <f t="shared" si="70"/>
        <v>184778.87000000002</v>
      </c>
      <c r="AJ91" s="17">
        <f t="shared" si="70"/>
        <v>196381.53000000003</v>
      </c>
      <c r="AK91" s="17">
        <f t="shared" si="70"/>
        <v>101132.01000000004</v>
      </c>
      <c r="AL91" s="17">
        <f t="shared" si="70"/>
        <v>107688.32000000004</v>
      </c>
      <c r="AM91" s="17">
        <f t="shared" si="70"/>
        <v>47912.48000000004</v>
      </c>
      <c r="AN91" s="17">
        <f t="shared" si="70"/>
        <v>76209.22000000003</v>
      </c>
      <c r="AO91" s="17">
        <f t="shared" si="70"/>
        <v>82448.770000000048</v>
      </c>
      <c r="AP91" s="17">
        <f t="shared" si="70"/>
        <v>86131.36000000003</v>
      </c>
      <c r="AQ91" s="17">
        <f t="shared" si="70"/>
        <v>87215.060000000041</v>
      </c>
      <c r="AR91" s="17">
        <f t="shared" si="70"/>
        <v>87219.610000000044</v>
      </c>
      <c r="AS91" s="17">
        <f t="shared" si="70"/>
        <v>93611.310000000027</v>
      </c>
      <c r="AT91" s="17">
        <f t="shared" si="70"/>
        <v>35529.300000000032</v>
      </c>
      <c r="AU91" s="17">
        <f t="shared" si="70"/>
        <v>37639.700000000033</v>
      </c>
      <c r="AV91" s="17">
        <f t="shared" si="70"/>
        <v>35929.680000000029</v>
      </c>
      <c r="AW91" s="17">
        <f t="shared" si="70"/>
        <v>39846.170000000035</v>
      </c>
      <c r="AX91" s="17">
        <f t="shared" si="70"/>
        <v>15042.060000000034</v>
      </c>
      <c r="AY91" s="17">
        <f t="shared" si="70"/>
        <v>13126.310000000032</v>
      </c>
      <c r="AZ91" s="17">
        <f t="shared" si="70"/>
        <v>16490.010000000031</v>
      </c>
      <c r="BA91" s="17">
        <f t="shared" si="70"/>
        <v>13334.310000000034</v>
      </c>
      <c r="BB91" s="17">
        <f t="shared" si="70"/>
        <v>26509.810000000034</v>
      </c>
      <c r="BC91" s="17">
        <f t="shared" si="70"/>
        <v>44055.310000000041</v>
      </c>
      <c r="BD91" s="17">
        <f t="shared" si="70"/>
        <v>86923.320000000036</v>
      </c>
      <c r="BE91" s="17">
        <f t="shared" si="70"/>
        <v>90553.960000000036</v>
      </c>
      <c r="BF91" s="17">
        <f t="shared" si="70"/>
        <v>57789.560000000027</v>
      </c>
      <c r="BG91" s="17">
        <f t="shared" si="70"/>
        <v>101287.81000000004</v>
      </c>
      <c r="BH91" s="17">
        <f t="shared" si="70"/>
        <v>148899.36000000004</v>
      </c>
      <c r="BI91" s="17">
        <f t="shared" si="70"/>
        <v>294184</v>
      </c>
      <c r="BJ91" s="17">
        <f t="shared" si="70"/>
        <v>81458.710000000036</v>
      </c>
      <c r="BK91" s="17">
        <f t="shared" si="70"/>
        <v>88364.73000000004</v>
      </c>
      <c r="BL91" s="17">
        <f t="shared" si="70"/>
        <v>195343.87000000002</v>
      </c>
      <c r="BM91" s="17">
        <f t="shared" si="70"/>
        <v>411948.21000000008</v>
      </c>
      <c r="BN91" s="17">
        <f t="shared" ref="BN91:CS91" si="71">0+0+BN72+BN76+0+BN79+0+BN90</f>
        <v>377385.20000000007</v>
      </c>
      <c r="BO91" s="17">
        <f t="shared" si="71"/>
        <v>361626.92</v>
      </c>
      <c r="BP91" s="17">
        <f t="shared" si="71"/>
        <v>541402.17000000004</v>
      </c>
      <c r="BQ91" s="17">
        <f t="shared" si="71"/>
        <v>315377.82</v>
      </c>
      <c r="BR91" s="17">
        <f t="shared" si="71"/>
        <v>307063.02000000008</v>
      </c>
      <c r="BS91" s="17">
        <f t="shared" si="71"/>
        <v>475181.15</v>
      </c>
      <c r="BT91" s="17">
        <f t="shared" si="71"/>
        <v>768252.64</v>
      </c>
      <c r="BU91" s="17">
        <f t="shared" si="71"/>
        <v>1101456.17</v>
      </c>
      <c r="BV91" s="17">
        <f t="shared" si="71"/>
        <v>515469.26</v>
      </c>
      <c r="BW91" s="17">
        <f t="shared" si="71"/>
        <v>606147.79</v>
      </c>
      <c r="BX91" s="17">
        <f t="shared" si="71"/>
        <v>834522.8</v>
      </c>
      <c r="BY91" s="17">
        <f t="shared" si="71"/>
        <v>346898.48000000004</v>
      </c>
      <c r="BZ91" s="17">
        <f t="shared" si="71"/>
        <v>491255.91000000003</v>
      </c>
      <c r="CA91" s="17">
        <f t="shared" si="71"/>
        <v>536581.53</v>
      </c>
    </row>
    <row r="92" spans="1:79" x14ac:dyDescent="0.2">
      <c r="A92" s="1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</row>
    <row r="93" spans="1:79" ht="12" x14ac:dyDescent="0.2">
      <c r="A93" s="5" t="s">
        <v>164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</row>
    <row r="94" spans="1:79" x14ac:dyDescent="0.2">
      <c r="A94" s="20" t="s">
        <v>165</v>
      </c>
      <c r="B94" s="19">
        <v>4941.55</v>
      </c>
      <c r="C94" s="19">
        <v>2000</v>
      </c>
      <c r="D94" s="19">
        <v>2000</v>
      </c>
      <c r="E94" s="19">
        <v>2000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4440.6499999999996</v>
      </c>
      <c r="O94" s="19">
        <v>0</v>
      </c>
      <c r="P94" s="19">
        <v>0</v>
      </c>
      <c r="Q94" s="19">
        <v>0</v>
      </c>
      <c r="R94" s="19">
        <v>0</v>
      </c>
      <c r="S94" s="19">
        <v>0</v>
      </c>
      <c r="T94" s="19">
        <v>0</v>
      </c>
      <c r="U94" s="19">
        <v>0</v>
      </c>
      <c r="V94" s="19">
        <v>0</v>
      </c>
      <c r="W94" s="19">
        <v>0</v>
      </c>
      <c r="X94" s="19">
        <v>0</v>
      </c>
      <c r="Y94" s="19">
        <v>0</v>
      </c>
      <c r="Z94" s="19">
        <v>1709.35</v>
      </c>
      <c r="AA94" s="19">
        <v>999.99999999999989</v>
      </c>
      <c r="AB94" s="19">
        <v>999.99999999999989</v>
      </c>
      <c r="AC94" s="19">
        <v>999.99999999999989</v>
      </c>
      <c r="AD94" s="19">
        <v>-1.1368683772161603E-13</v>
      </c>
      <c r="AE94" s="19">
        <v>-1.1368683772161603E-13</v>
      </c>
      <c r="AF94" s="19">
        <v>-1.1368683772161603E-13</v>
      </c>
      <c r="AG94" s="19">
        <v>-1.1368683772161603E-13</v>
      </c>
      <c r="AH94" s="19">
        <v>-1.1368683772161603E-13</v>
      </c>
      <c r="AI94" s="19">
        <v>-1.1368683772161603E-13</v>
      </c>
      <c r="AJ94" s="19">
        <v>-1.1368683772161603E-13</v>
      </c>
      <c r="AK94" s="19">
        <v>-1.1368683772161603E-13</v>
      </c>
      <c r="AL94" s="19">
        <v>1166.1999999999998</v>
      </c>
      <c r="AM94" s="19">
        <v>999.99999999999977</v>
      </c>
      <c r="AN94" s="19">
        <v>999.99999999999977</v>
      </c>
      <c r="AO94" s="19">
        <v>999.99999999999977</v>
      </c>
      <c r="AP94" s="19">
        <v>-2.2737367544323206E-13</v>
      </c>
      <c r="AQ94" s="19">
        <v>-2.2737367544323206E-13</v>
      </c>
      <c r="AR94" s="19">
        <v>-2.2737367544323206E-13</v>
      </c>
      <c r="AS94" s="19">
        <v>-2.2737367544323206E-13</v>
      </c>
      <c r="AT94" s="19">
        <v>-2.2737367544323206E-13</v>
      </c>
      <c r="AU94" s="19">
        <v>-2.2737367544323206E-13</v>
      </c>
      <c r="AV94" s="19">
        <v>-2.2737367544323206E-13</v>
      </c>
      <c r="AW94" s="19">
        <v>-2.2737367544323206E-13</v>
      </c>
      <c r="AX94" s="19">
        <v>-2.2737367544323206E-13</v>
      </c>
      <c r="AY94" s="19">
        <v>-2.2737367544323206E-13</v>
      </c>
      <c r="AZ94" s="19">
        <v>-2.2737367544323206E-13</v>
      </c>
      <c r="BA94" s="19">
        <v>-2.2737367544323206E-13</v>
      </c>
      <c r="BB94" s="19">
        <v>-2.2737367544323206E-13</v>
      </c>
      <c r="BC94" s="19">
        <v>-2.2737367544323206E-13</v>
      </c>
      <c r="BD94" s="19">
        <v>-2.2737367544323206E-13</v>
      </c>
      <c r="BE94" s="19">
        <v>-2.2737367544323206E-13</v>
      </c>
      <c r="BF94" s="19">
        <v>-2.2737367544323206E-13</v>
      </c>
      <c r="BG94" s="19">
        <v>-2.2737367544323206E-13</v>
      </c>
      <c r="BH94" s="19">
        <v>-2.2737367544323206E-13</v>
      </c>
      <c r="BI94" s="19">
        <v>-2.2737367544323206E-13</v>
      </c>
      <c r="BJ94" s="19">
        <v>17528.79</v>
      </c>
      <c r="BK94" s="19">
        <v>2565</v>
      </c>
      <c r="BL94" s="19">
        <v>2565</v>
      </c>
      <c r="BM94" s="19">
        <v>2565</v>
      </c>
      <c r="BN94" s="19">
        <v>2565</v>
      </c>
      <c r="BO94" s="19">
        <v>2565</v>
      </c>
      <c r="BP94" s="19">
        <v>2565</v>
      </c>
      <c r="BQ94" s="19">
        <v>2565</v>
      </c>
      <c r="BR94" s="19">
        <v>2565</v>
      </c>
      <c r="BS94" s="19">
        <v>2565</v>
      </c>
      <c r="BT94" s="19">
        <v>2565</v>
      </c>
      <c r="BU94" s="19">
        <v>2565</v>
      </c>
      <c r="BV94" s="19">
        <v>10800</v>
      </c>
      <c r="BW94" s="19">
        <v>0</v>
      </c>
      <c r="BX94" s="19">
        <v>0</v>
      </c>
      <c r="BY94" s="19">
        <v>0</v>
      </c>
      <c r="BZ94" s="19">
        <v>0</v>
      </c>
      <c r="CA94" s="19">
        <v>0</v>
      </c>
    </row>
    <row r="95" spans="1:79" x14ac:dyDescent="0.2">
      <c r="A95" s="21" t="s">
        <v>166</v>
      </c>
      <c r="B95" s="15">
        <f t="shared" ref="B95:AG95" si="72">SUM(B94)</f>
        <v>4941.55</v>
      </c>
      <c r="C95" s="15">
        <f t="shared" si="72"/>
        <v>2000</v>
      </c>
      <c r="D95" s="15">
        <f t="shared" si="72"/>
        <v>2000</v>
      </c>
      <c r="E95" s="15">
        <f t="shared" si="72"/>
        <v>2000</v>
      </c>
      <c r="F95" s="15">
        <f t="shared" si="72"/>
        <v>0</v>
      </c>
      <c r="G95" s="15">
        <f t="shared" si="72"/>
        <v>0</v>
      </c>
      <c r="H95" s="15">
        <f t="shared" si="72"/>
        <v>0</v>
      </c>
      <c r="I95" s="15">
        <f t="shared" si="72"/>
        <v>0</v>
      </c>
      <c r="J95" s="15">
        <f t="shared" si="72"/>
        <v>0</v>
      </c>
      <c r="K95" s="15">
        <f t="shared" si="72"/>
        <v>0</v>
      </c>
      <c r="L95" s="15">
        <f t="shared" si="72"/>
        <v>0</v>
      </c>
      <c r="M95" s="15">
        <f t="shared" si="72"/>
        <v>0</v>
      </c>
      <c r="N95" s="15">
        <f t="shared" si="72"/>
        <v>4440.6499999999996</v>
      </c>
      <c r="O95" s="15">
        <f t="shared" si="72"/>
        <v>0</v>
      </c>
      <c r="P95" s="15">
        <f t="shared" si="72"/>
        <v>0</v>
      </c>
      <c r="Q95" s="15">
        <f t="shared" si="72"/>
        <v>0</v>
      </c>
      <c r="R95" s="15">
        <f t="shared" si="72"/>
        <v>0</v>
      </c>
      <c r="S95" s="15">
        <f t="shared" si="72"/>
        <v>0</v>
      </c>
      <c r="T95" s="15">
        <f t="shared" si="72"/>
        <v>0</v>
      </c>
      <c r="U95" s="15">
        <f t="shared" si="72"/>
        <v>0</v>
      </c>
      <c r="V95" s="15">
        <f t="shared" si="72"/>
        <v>0</v>
      </c>
      <c r="W95" s="15">
        <f t="shared" si="72"/>
        <v>0</v>
      </c>
      <c r="X95" s="15">
        <f t="shared" si="72"/>
        <v>0</v>
      </c>
      <c r="Y95" s="15">
        <f t="shared" si="72"/>
        <v>0</v>
      </c>
      <c r="Z95" s="15">
        <f t="shared" si="72"/>
        <v>1709.35</v>
      </c>
      <c r="AA95" s="15">
        <f t="shared" si="72"/>
        <v>999.99999999999989</v>
      </c>
      <c r="AB95" s="15">
        <f t="shared" si="72"/>
        <v>999.99999999999989</v>
      </c>
      <c r="AC95" s="15">
        <f t="shared" si="72"/>
        <v>999.99999999999989</v>
      </c>
      <c r="AD95" s="15">
        <f t="shared" si="72"/>
        <v>-1.1368683772161603E-13</v>
      </c>
      <c r="AE95" s="15">
        <f t="shared" si="72"/>
        <v>-1.1368683772161603E-13</v>
      </c>
      <c r="AF95" s="15">
        <f t="shared" si="72"/>
        <v>-1.1368683772161603E-13</v>
      </c>
      <c r="AG95" s="15">
        <f t="shared" si="72"/>
        <v>-1.1368683772161603E-13</v>
      </c>
      <c r="AH95" s="15">
        <f t="shared" ref="AH95:BM95" si="73">SUM(AH94)</f>
        <v>-1.1368683772161603E-13</v>
      </c>
      <c r="AI95" s="15">
        <f t="shared" si="73"/>
        <v>-1.1368683772161603E-13</v>
      </c>
      <c r="AJ95" s="15">
        <f t="shared" si="73"/>
        <v>-1.1368683772161603E-13</v>
      </c>
      <c r="AK95" s="15">
        <f t="shared" si="73"/>
        <v>-1.1368683772161603E-13</v>
      </c>
      <c r="AL95" s="15">
        <f t="shared" si="73"/>
        <v>1166.1999999999998</v>
      </c>
      <c r="AM95" s="15">
        <f t="shared" si="73"/>
        <v>999.99999999999977</v>
      </c>
      <c r="AN95" s="15">
        <f t="shared" si="73"/>
        <v>999.99999999999977</v>
      </c>
      <c r="AO95" s="15">
        <f t="shared" si="73"/>
        <v>999.99999999999977</v>
      </c>
      <c r="AP95" s="15">
        <f t="shared" si="73"/>
        <v>-2.2737367544323206E-13</v>
      </c>
      <c r="AQ95" s="15">
        <f t="shared" si="73"/>
        <v>-2.2737367544323206E-13</v>
      </c>
      <c r="AR95" s="15">
        <f t="shared" si="73"/>
        <v>-2.2737367544323206E-13</v>
      </c>
      <c r="AS95" s="15">
        <f t="shared" si="73"/>
        <v>-2.2737367544323206E-13</v>
      </c>
      <c r="AT95" s="15">
        <f t="shared" si="73"/>
        <v>-2.2737367544323206E-13</v>
      </c>
      <c r="AU95" s="15">
        <f t="shared" si="73"/>
        <v>-2.2737367544323206E-13</v>
      </c>
      <c r="AV95" s="15">
        <f t="shared" si="73"/>
        <v>-2.2737367544323206E-13</v>
      </c>
      <c r="AW95" s="15">
        <f t="shared" si="73"/>
        <v>-2.2737367544323206E-13</v>
      </c>
      <c r="AX95" s="15">
        <f t="shared" si="73"/>
        <v>-2.2737367544323206E-13</v>
      </c>
      <c r="AY95" s="15">
        <f t="shared" si="73"/>
        <v>-2.2737367544323206E-13</v>
      </c>
      <c r="AZ95" s="15">
        <f t="shared" si="73"/>
        <v>-2.2737367544323206E-13</v>
      </c>
      <c r="BA95" s="15">
        <f t="shared" si="73"/>
        <v>-2.2737367544323206E-13</v>
      </c>
      <c r="BB95" s="15">
        <f t="shared" si="73"/>
        <v>-2.2737367544323206E-13</v>
      </c>
      <c r="BC95" s="15">
        <f t="shared" si="73"/>
        <v>-2.2737367544323206E-13</v>
      </c>
      <c r="BD95" s="15">
        <f t="shared" si="73"/>
        <v>-2.2737367544323206E-13</v>
      </c>
      <c r="BE95" s="15">
        <f t="shared" si="73"/>
        <v>-2.2737367544323206E-13</v>
      </c>
      <c r="BF95" s="15">
        <f t="shared" si="73"/>
        <v>-2.2737367544323206E-13</v>
      </c>
      <c r="BG95" s="15">
        <f t="shared" si="73"/>
        <v>-2.2737367544323206E-13</v>
      </c>
      <c r="BH95" s="15">
        <f t="shared" si="73"/>
        <v>-2.2737367544323206E-13</v>
      </c>
      <c r="BI95" s="15">
        <f t="shared" si="73"/>
        <v>-2.2737367544323206E-13</v>
      </c>
      <c r="BJ95" s="15">
        <f t="shared" si="73"/>
        <v>17528.79</v>
      </c>
      <c r="BK95" s="15">
        <f t="shared" si="73"/>
        <v>2565</v>
      </c>
      <c r="BL95" s="15">
        <f t="shared" si="73"/>
        <v>2565</v>
      </c>
      <c r="BM95" s="15">
        <f t="shared" si="73"/>
        <v>2565</v>
      </c>
      <c r="BN95" s="15">
        <f t="shared" ref="BN95:CS95" si="74">SUM(BN94)</f>
        <v>2565</v>
      </c>
      <c r="BO95" s="15">
        <f t="shared" si="74"/>
        <v>2565</v>
      </c>
      <c r="BP95" s="15">
        <f t="shared" si="74"/>
        <v>2565</v>
      </c>
      <c r="BQ95" s="15">
        <f t="shared" si="74"/>
        <v>2565</v>
      </c>
      <c r="BR95" s="15">
        <f t="shared" si="74"/>
        <v>2565</v>
      </c>
      <c r="BS95" s="15">
        <f t="shared" si="74"/>
        <v>2565</v>
      </c>
      <c r="BT95" s="15">
        <f t="shared" si="74"/>
        <v>2565</v>
      </c>
      <c r="BU95" s="15">
        <f t="shared" si="74"/>
        <v>2565</v>
      </c>
      <c r="BV95" s="15">
        <f t="shared" si="74"/>
        <v>10800</v>
      </c>
      <c r="BW95" s="15">
        <f t="shared" si="74"/>
        <v>0</v>
      </c>
      <c r="BX95" s="15">
        <f t="shared" si="74"/>
        <v>0</v>
      </c>
      <c r="BY95" s="15">
        <f t="shared" si="74"/>
        <v>0</v>
      </c>
      <c r="BZ95" s="15">
        <f t="shared" si="74"/>
        <v>0</v>
      </c>
      <c r="CA95" s="15">
        <f t="shared" si="74"/>
        <v>0</v>
      </c>
    </row>
    <row r="96" spans="1:79" ht="12" thickBot="1" x14ac:dyDescent="0.25">
      <c r="A96" s="1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</row>
    <row r="97" spans="1:79" ht="12.75" thickTop="1" x14ac:dyDescent="0.2">
      <c r="A97" s="22" t="s">
        <v>167</v>
      </c>
      <c r="B97" s="23">
        <f t="shared" ref="B97:AG97" si="75">B57+B58+B67+B68+B91+B92+B95+B96+0</f>
        <v>107779.72</v>
      </c>
      <c r="C97" s="23">
        <f t="shared" si="75"/>
        <v>113307.11</v>
      </c>
      <c r="D97" s="23">
        <f t="shared" si="75"/>
        <v>130448.42</v>
      </c>
      <c r="E97" s="23">
        <f t="shared" si="75"/>
        <v>149808.95999999999</v>
      </c>
      <c r="F97" s="23">
        <f t="shared" si="75"/>
        <v>153168.97999999998</v>
      </c>
      <c r="G97" s="23">
        <f t="shared" si="75"/>
        <v>198680.43</v>
      </c>
      <c r="H97" s="23">
        <f t="shared" si="75"/>
        <v>205141.52999999988</v>
      </c>
      <c r="I97" s="23">
        <f t="shared" si="75"/>
        <v>201177.7099999999</v>
      </c>
      <c r="J97" s="23">
        <f t="shared" si="75"/>
        <v>223168.7399999999</v>
      </c>
      <c r="K97" s="23">
        <f t="shared" si="75"/>
        <v>211341.59999999989</v>
      </c>
      <c r="L97" s="23">
        <f t="shared" si="75"/>
        <v>211428.54999999987</v>
      </c>
      <c r="M97" s="23">
        <f t="shared" si="75"/>
        <v>223866.55000000002</v>
      </c>
      <c r="N97" s="23">
        <f t="shared" si="75"/>
        <v>188213.33</v>
      </c>
      <c r="O97" s="23">
        <f t="shared" si="75"/>
        <v>160480.84000000003</v>
      </c>
      <c r="P97" s="23">
        <f t="shared" si="75"/>
        <v>141893.24</v>
      </c>
      <c r="Q97" s="23">
        <f t="shared" si="75"/>
        <v>131782.74</v>
      </c>
      <c r="R97" s="23">
        <f t="shared" si="75"/>
        <v>125330.68999999999</v>
      </c>
      <c r="S97" s="23">
        <f t="shared" si="75"/>
        <v>119306.97</v>
      </c>
      <c r="T97" s="23">
        <f t="shared" si="75"/>
        <v>114734.4699999999</v>
      </c>
      <c r="U97" s="23">
        <f t="shared" si="75"/>
        <v>116108.59999999999</v>
      </c>
      <c r="V97" s="23">
        <f t="shared" si="75"/>
        <v>133633.25</v>
      </c>
      <c r="W97" s="23">
        <f t="shared" si="75"/>
        <v>148243.0500000001</v>
      </c>
      <c r="X97" s="23">
        <f t="shared" si="75"/>
        <v>123436.1</v>
      </c>
      <c r="Y97" s="23">
        <f t="shared" si="75"/>
        <v>120907.40000000008</v>
      </c>
      <c r="Z97" s="23">
        <f t="shared" si="75"/>
        <v>123242.91999999998</v>
      </c>
      <c r="AA97" s="23">
        <f t="shared" si="75"/>
        <v>88675.920000000013</v>
      </c>
      <c r="AB97" s="23">
        <f t="shared" si="75"/>
        <v>92222.320000000094</v>
      </c>
      <c r="AC97" s="23">
        <f t="shared" si="75"/>
        <v>84621.270000000106</v>
      </c>
      <c r="AD97" s="23">
        <f t="shared" si="75"/>
        <v>88789.239999999976</v>
      </c>
      <c r="AE97" s="23">
        <f t="shared" si="75"/>
        <v>128615.19000000006</v>
      </c>
      <c r="AF97" s="23">
        <f t="shared" si="75"/>
        <v>160338.99000000022</v>
      </c>
      <c r="AG97" s="23">
        <f t="shared" si="75"/>
        <v>168734.06000000011</v>
      </c>
      <c r="AH97" s="23">
        <f t="shared" ref="AH97:BM97" si="76">AH57+AH58+AH67+AH68+AH91+AH92+AH95+AH96+0</f>
        <v>195395.4800000001</v>
      </c>
      <c r="AI97" s="23">
        <f t="shared" si="76"/>
        <v>232230.39</v>
      </c>
      <c r="AJ97" s="23">
        <f t="shared" si="76"/>
        <v>242895.49999999994</v>
      </c>
      <c r="AK97" s="23">
        <f t="shared" si="76"/>
        <v>174945.61000000004</v>
      </c>
      <c r="AL97" s="23">
        <f t="shared" si="76"/>
        <v>191469.90000000005</v>
      </c>
      <c r="AM97" s="23">
        <f t="shared" si="76"/>
        <v>112659.14000000004</v>
      </c>
      <c r="AN97" s="23">
        <f t="shared" si="76"/>
        <v>139687.98999999982</v>
      </c>
      <c r="AO97" s="23">
        <f t="shared" si="76"/>
        <v>184431.52999999991</v>
      </c>
      <c r="AP97" s="23">
        <f t="shared" si="76"/>
        <v>168462.57999999993</v>
      </c>
      <c r="AQ97" s="23">
        <f t="shared" si="76"/>
        <v>163163.27999999965</v>
      </c>
      <c r="AR97" s="23">
        <f t="shared" si="76"/>
        <v>161567.94999999963</v>
      </c>
      <c r="AS97" s="23">
        <f t="shared" si="76"/>
        <v>174712.89999999979</v>
      </c>
      <c r="AT97" s="23">
        <f t="shared" si="76"/>
        <v>117764.34999999977</v>
      </c>
      <c r="AU97" s="23">
        <f t="shared" si="76"/>
        <v>138379.09999999977</v>
      </c>
      <c r="AV97" s="23">
        <f t="shared" si="76"/>
        <v>131639.99999999962</v>
      </c>
      <c r="AW97" s="23">
        <f t="shared" si="76"/>
        <v>170471.84999999974</v>
      </c>
      <c r="AX97" s="23">
        <f t="shared" si="76"/>
        <v>121454.60999999978</v>
      </c>
      <c r="AY97" s="23">
        <f t="shared" si="76"/>
        <v>126371.90999999983</v>
      </c>
      <c r="AZ97" s="23">
        <f t="shared" si="76"/>
        <v>128846.70999999993</v>
      </c>
      <c r="BA97" s="23">
        <f t="shared" si="76"/>
        <v>127952.29000000004</v>
      </c>
      <c r="BB97" s="23">
        <f t="shared" si="76"/>
        <v>145176.87999999974</v>
      </c>
      <c r="BC97" s="23">
        <f t="shared" si="76"/>
        <v>171411.25000000006</v>
      </c>
      <c r="BD97" s="23">
        <f t="shared" si="76"/>
        <v>219945.49999999983</v>
      </c>
      <c r="BE97" s="23">
        <f t="shared" si="76"/>
        <v>229132.92999999982</v>
      </c>
      <c r="BF97" s="23">
        <f t="shared" si="76"/>
        <v>206237.19999999992</v>
      </c>
      <c r="BG97" s="23">
        <f t="shared" si="76"/>
        <v>248261.50000000006</v>
      </c>
      <c r="BH97" s="23">
        <f t="shared" si="76"/>
        <v>303321.99999999977</v>
      </c>
      <c r="BI97" s="23">
        <f t="shared" si="76"/>
        <v>433265.15</v>
      </c>
      <c r="BJ97" s="23">
        <f t="shared" si="76"/>
        <v>200185.06999999986</v>
      </c>
      <c r="BK97" s="23">
        <f t="shared" si="76"/>
        <v>258293.01999999996</v>
      </c>
      <c r="BL97" s="23">
        <f t="shared" si="76"/>
        <v>418674.4</v>
      </c>
      <c r="BM97" s="23">
        <f t="shared" si="76"/>
        <v>494275.67</v>
      </c>
      <c r="BN97" s="23">
        <f t="shared" ref="BN97:CS97" si="77">BN57+BN58+BN67+BN68+BN91+BN92+BN95+BN96+0</f>
        <v>476795.83</v>
      </c>
      <c r="BO97" s="23">
        <f t="shared" si="77"/>
        <v>479852.70000000007</v>
      </c>
      <c r="BP97" s="23">
        <f t="shared" si="77"/>
        <v>679642.07000000007</v>
      </c>
      <c r="BQ97" s="23">
        <f t="shared" si="77"/>
        <v>797236.45</v>
      </c>
      <c r="BR97" s="23">
        <f t="shared" si="77"/>
        <v>583333.96000000008</v>
      </c>
      <c r="BS97" s="23">
        <f t="shared" si="77"/>
        <v>765622.47</v>
      </c>
      <c r="BT97" s="23">
        <f t="shared" si="77"/>
        <v>1120320.3599999999</v>
      </c>
      <c r="BU97" s="23">
        <f t="shared" si="77"/>
        <v>1450117.69</v>
      </c>
      <c r="BV97" s="23">
        <f t="shared" si="77"/>
        <v>825982.24</v>
      </c>
      <c r="BW97" s="23">
        <f t="shared" si="77"/>
        <v>935502.55</v>
      </c>
      <c r="BX97" s="23">
        <f t="shared" si="77"/>
        <v>1114482.2200000011</v>
      </c>
      <c r="BY97" s="23">
        <f t="shared" si="77"/>
        <v>643785.4300000011</v>
      </c>
      <c r="BZ97" s="23">
        <f t="shared" si="77"/>
        <v>766902.30000000098</v>
      </c>
      <c r="CA97" s="23">
        <f t="shared" si="77"/>
        <v>838978.1800000011</v>
      </c>
    </row>
  </sheetData>
  <mergeCells count="3">
    <mergeCell ref="A1:CA1"/>
    <mergeCell ref="A2:CA2"/>
    <mergeCell ref="A3:CA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PGBalanceSheetbyEntityand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2023-08-08T18:48:07Z</dcterms:created>
  <dcterms:modified xsi:type="dcterms:W3CDTF">2023-08-08T18:51:43Z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