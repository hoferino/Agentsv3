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Horus-DE\"/>
    </mc:Choice>
  </mc:AlternateContent>
  <xr:revisionPtr revIDLastSave="0" documentId="13_ncr:40009_{F5B9DAAA-EC50-4B2A-8A31-AC94BA99AADD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byEntity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100" i="1" l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CJ68" i="1"/>
  <c r="CI68" i="1"/>
  <c r="CH68" i="1"/>
  <c r="CH95" i="1" s="1"/>
  <c r="CG68" i="1"/>
  <c r="CF68" i="1"/>
  <c r="CF95" i="1" s="1"/>
  <c r="CE68" i="1"/>
  <c r="CD68" i="1"/>
  <c r="CD95" i="1" s="1"/>
  <c r="CC68" i="1"/>
  <c r="CC95" i="1" s="1"/>
  <c r="CB68" i="1"/>
  <c r="CA68" i="1"/>
  <c r="BZ68" i="1"/>
  <c r="BZ95" i="1" s="1"/>
  <c r="BY68" i="1"/>
  <c r="BX68" i="1"/>
  <c r="BX95" i="1" s="1"/>
  <c r="BW68" i="1"/>
  <c r="BV68" i="1"/>
  <c r="BV95" i="1" s="1"/>
  <c r="BU68" i="1"/>
  <c r="BU95" i="1" s="1"/>
  <c r="BT68" i="1"/>
  <c r="BS68" i="1"/>
  <c r="BR68" i="1"/>
  <c r="BR95" i="1" s="1"/>
  <c r="BQ68" i="1"/>
  <c r="BP68" i="1"/>
  <c r="BP95" i="1" s="1"/>
  <c r="BO68" i="1"/>
  <c r="BN68" i="1"/>
  <c r="BN95" i="1" s="1"/>
  <c r="BM68" i="1"/>
  <c r="BM95" i="1" s="1"/>
  <c r="BL68" i="1"/>
  <c r="BK68" i="1"/>
  <c r="BJ68" i="1"/>
  <c r="BJ95" i="1" s="1"/>
  <c r="BI68" i="1"/>
  <c r="BH68" i="1"/>
  <c r="BH95" i="1" s="1"/>
  <c r="BG68" i="1"/>
  <c r="BF68" i="1"/>
  <c r="BF95" i="1" s="1"/>
  <c r="BE68" i="1"/>
  <c r="BE95" i="1" s="1"/>
  <c r="BD68" i="1"/>
  <c r="BC68" i="1"/>
  <c r="BB68" i="1"/>
  <c r="BA68" i="1"/>
  <c r="AZ68" i="1"/>
  <c r="AZ95" i="1" s="1"/>
  <c r="AY68" i="1"/>
  <c r="AX68" i="1"/>
  <c r="AX95" i="1" s="1"/>
  <c r="AW68" i="1"/>
  <c r="AW95" i="1" s="1"/>
  <c r="AV68" i="1"/>
  <c r="AU68" i="1"/>
  <c r="AT68" i="1"/>
  <c r="AS68" i="1"/>
  <c r="AR68" i="1"/>
  <c r="AR95" i="1" s="1"/>
  <c r="AQ68" i="1"/>
  <c r="AP68" i="1"/>
  <c r="AP95" i="1" s="1"/>
  <c r="AO68" i="1"/>
  <c r="AO95" i="1" s="1"/>
  <c r="AN68" i="1"/>
  <c r="AM68" i="1"/>
  <c r="AL68" i="1"/>
  <c r="AL95" i="1" s="1"/>
  <c r="AK68" i="1"/>
  <c r="AJ68" i="1"/>
  <c r="AJ95" i="1" s="1"/>
  <c r="AI68" i="1"/>
  <c r="AH68" i="1"/>
  <c r="AH95" i="1" s="1"/>
  <c r="AG68" i="1"/>
  <c r="AG95" i="1" s="1"/>
  <c r="AF68" i="1"/>
  <c r="AE68" i="1"/>
  <c r="AD68" i="1"/>
  <c r="AC68" i="1"/>
  <c r="AB68" i="1"/>
  <c r="AB95" i="1" s="1"/>
  <c r="AA68" i="1"/>
  <c r="Z68" i="1"/>
  <c r="Z95" i="1" s="1"/>
  <c r="Y68" i="1"/>
  <c r="Y95" i="1" s="1"/>
  <c r="X68" i="1"/>
  <c r="W68" i="1"/>
  <c r="V68" i="1"/>
  <c r="V95" i="1" s="1"/>
  <c r="U68" i="1"/>
  <c r="T68" i="1"/>
  <c r="T95" i="1" s="1"/>
  <c r="S68" i="1"/>
  <c r="R68" i="1"/>
  <c r="R95" i="1" s="1"/>
  <c r="Q68" i="1"/>
  <c r="Q95" i="1" s="1"/>
  <c r="P68" i="1"/>
  <c r="O68" i="1"/>
  <c r="N68" i="1"/>
  <c r="N95" i="1" s="1"/>
  <c r="M68" i="1"/>
  <c r="L68" i="1"/>
  <c r="L95" i="1" s="1"/>
  <c r="K68" i="1"/>
  <c r="J68" i="1"/>
  <c r="J95" i="1" s="1"/>
  <c r="I68" i="1"/>
  <c r="I95" i="1" s="1"/>
  <c r="H68" i="1"/>
  <c r="G68" i="1"/>
  <c r="F68" i="1"/>
  <c r="F95" i="1" s="1"/>
  <c r="E68" i="1"/>
  <c r="D68" i="1"/>
  <c r="D95" i="1" s="1"/>
  <c r="C68" i="1"/>
  <c r="B68" i="1"/>
  <c r="B95" i="1" s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CJ55" i="1"/>
  <c r="CI55" i="1"/>
  <c r="CH55" i="1"/>
  <c r="CG55" i="1"/>
  <c r="CF55" i="1"/>
  <c r="CE55" i="1"/>
  <c r="CE62" i="1" s="1"/>
  <c r="CD55" i="1"/>
  <c r="CD62" i="1" s="1"/>
  <c r="CC55" i="1"/>
  <c r="CB55" i="1"/>
  <c r="CA55" i="1"/>
  <c r="BZ55" i="1"/>
  <c r="BY55" i="1"/>
  <c r="BX55" i="1"/>
  <c r="BW55" i="1"/>
  <c r="BW62" i="1" s="1"/>
  <c r="BV55" i="1"/>
  <c r="BV62" i="1" s="1"/>
  <c r="BU55" i="1"/>
  <c r="BT55" i="1"/>
  <c r="BS55" i="1"/>
  <c r="BR55" i="1"/>
  <c r="BQ55" i="1"/>
  <c r="BP55" i="1"/>
  <c r="BO55" i="1"/>
  <c r="BO62" i="1" s="1"/>
  <c r="BN55" i="1"/>
  <c r="BN62" i="1" s="1"/>
  <c r="BM55" i="1"/>
  <c r="BL55" i="1"/>
  <c r="BK55" i="1"/>
  <c r="BJ55" i="1"/>
  <c r="BI55" i="1"/>
  <c r="BH55" i="1"/>
  <c r="BG55" i="1"/>
  <c r="BG62" i="1" s="1"/>
  <c r="BF55" i="1"/>
  <c r="BF62" i="1" s="1"/>
  <c r="BE55" i="1"/>
  <c r="BD55" i="1"/>
  <c r="BC55" i="1"/>
  <c r="BB55" i="1"/>
  <c r="BA55" i="1"/>
  <c r="AZ55" i="1"/>
  <c r="AY55" i="1"/>
  <c r="AY62" i="1" s="1"/>
  <c r="AX55" i="1"/>
  <c r="AX62" i="1" s="1"/>
  <c r="AW55" i="1"/>
  <c r="AV55" i="1"/>
  <c r="AU55" i="1"/>
  <c r="AT55" i="1"/>
  <c r="AS55" i="1"/>
  <c r="AR55" i="1"/>
  <c r="AQ55" i="1"/>
  <c r="AQ62" i="1" s="1"/>
  <c r="AP55" i="1"/>
  <c r="AP62" i="1" s="1"/>
  <c r="AO55" i="1"/>
  <c r="AN55" i="1"/>
  <c r="AM55" i="1"/>
  <c r="AL55" i="1"/>
  <c r="AK55" i="1"/>
  <c r="AJ55" i="1"/>
  <c r="AI55" i="1"/>
  <c r="AI62" i="1" s="1"/>
  <c r="AH55" i="1"/>
  <c r="AH62" i="1" s="1"/>
  <c r="AG55" i="1"/>
  <c r="AF55" i="1"/>
  <c r="AE55" i="1"/>
  <c r="AD55" i="1"/>
  <c r="AC55" i="1"/>
  <c r="AB55" i="1"/>
  <c r="AA55" i="1"/>
  <c r="AA62" i="1" s="1"/>
  <c r="Z55" i="1"/>
  <c r="Z62" i="1" s="1"/>
  <c r="Y55" i="1"/>
  <c r="X55" i="1"/>
  <c r="W55" i="1"/>
  <c r="V55" i="1"/>
  <c r="U55" i="1"/>
  <c r="T55" i="1"/>
  <c r="S55" i="1"/>
  <c r="S62" i="1" s="1"/>
  <c r="R55" i="1"/>
  <c r="R62" i="1" s="1"/>
  <c r="Q55" i="1"/>
  <c r="P55" i="1"/>
  <c r="O55" i="1"/>
  <c r="N55" i="1"/>
  <c r="M55" i="1"/>
  <c r="L55" i="1"/>
  <c r="K55" i="1"/>
  <c r="K62" i="1" s="1"/>
  <c r="J55" i="1"/>
  <c r="J62" i="1" s="1"/>
  <c r="I55" i="1"/>
  <c r="H55" i="1"/>
  <c r="G55" i="1"/>
  <c r="F55" i="1"/>
  <c r="E55" i="1"/>
  <c r="D55" i="1"/>
  <c r="C55" i="1"/>
  <c r="C62" i="1" s="1"/>
  <c r="B55" i="1"/>
  <c r="B62" i="1" s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CJ45" i="1"/>
  <c r="CI45" i="1"/>
  <c r="CI48" i="1" s="1"/>
  <c r="CH45" i="1"/>
  <c r="CG45" i="1"/>
  <c r="CF45" i="1"/>
  <c r="CF48" i="1" s="1"/>
  <c r="CE45" i="1"/>
  <c r="CD45" i="1"/>
  <c r="CD48" i="1" s="1"/>
  <c r="CC45" i="1"/>
  <c r="CC48" i="1" s="1"/>
  <c r="CB45" i="1"/>
  <c r="CA45" i="1"/>
  <c r="CA48" i="1" s="1"/>
  <c r="BZ45" i="1"/>
  <c r="BY45" i="1"/>
  <c r="BX45" i="1"/>
  <c r="BX48" i="1" s="1"/>
  <c r="BW45" i="1"/>
  <c r="BV45" i="1"/>
  <c r="BV48" i="1" s="1"/>
  <c r="BU45" i="1"/>
  <c r="BU48" i="1" s="1"/>
  <c r="BT45" i="1"/>
  <c r="BS45" i="1"/>
  <c r="BS48" i="1" s="1"/>
  <c r="BR45" i="1"/>
  <c r="BQ45" i="1"/>
  <c r="BP45" i="1"/>
  <c r="BP48" i="1" s="1"/>
  <c r="BO45" i="1"/>
  <c r="BN45" i="1"/>
  <c r="BN48" i="1" s="1"/>
  <c r="BM45" i="1"/>
  <c r="BM48" i="1" s="1"/>
  <c r="BL45" i="1"/>
  <c r="BK45" i="1"/>
  <c r="BK48" i="1" s="1"/>
  <c r="BJ45" i="1"/>
  <c r="BI45" i="1"/>
  <c r="BH45" i="1"/>
  <c r="BH48" i="1" s="1"/>
  <c r="BG45" i="1"/>
  <c r="BF45" i="1"/>
  <c r="BF48" i="1" s="1"/>
  <c r="BE45" i="1"/>
  <c r="BE48" i="1" s="1"/>
  <c r="BD45" i="1"/>
  <c r="BC45" i="1"/>
  <c r="BB45" i="1"/>
  <c r="BA45" i="1"/>
  <c r="AZ45" i="1"/>
  <c r="AZ48" i="1" s="1"/>
  <c r="AY45" i="1"/>
  <c r="AX45" i="1"/>
  <c r="AX48" i="1" s="1"/>
  <c r="AW45" i="1"/>
  <c r="AW48" i="1" s="1"/>
  <c r="AV45" i="1"/>
  <c r="AU45" i="1"/>
  <c r="AU48" i="1" s="1"/>
  <c r="AT45" i="1"/>
  <c r="AS45" i="1"/>
  <c r="AR45" i="1"/>
  <c r="AR48" i="1" s="1"/>
  <c r="AQ45" i="1"/>
  <c r="AP45" i="1"/>
  <c r="AP48" i="1" s="1"/>
  <c r="AO45" i="1"/>
  <c r="AO48" i="1" s="1"/>
  <c r="AN45" i="1"/>
  <c r="AM45" i="1"/>
  <c r="AL45" i="1"/>
  <c r="AK45" i="1"/>
  <c r="AJ45" i="1"/>
  <c r="AJ48" i="1" s="1"/>
  <c r="AI45" i="1"/>
  <c r="AH45" i="1"/>
  <c r="AH48" i="1" s="1"/>
  <c r="AG45" i="1"/>
  <c r="AG48" i="1" s="1"/>
  <c r="AF45" i="1"/>
  <c r="AE45" i="1"/>
  <c r="AE48" i="1" s="1"/>
  <c r="AD45" i="1"/>
  <c r="AC45" i="1"/>
  <c r="AB45" i="1"/>
  <c r="AB48" i="1" s="1"/>
  <c r="AA45" i="1"/>
  <c r="Z45" i="1"/>
  <c r="Z48" i="1" s="1"/>
  <c r="Y45" i="1"/>
  <c r="Y48" i="1" s="1"/>
  <c r="X45" i="1"/>
  <c r="W45" i="1"/>
  <c r="W48" i="1" s="1"/>
  <c r="V45" i="1"/>
  <c r="U45" i="1"/>
  <c r="T45" i="1"/>
  <c r="T48" i="1" s="1"/>
  <c r="S45" i="1"/>
  <c r="R45" i="1"/>
  <c r="R48" i="1" s="1"/>
  <c r="Q45" i="1"/>
  <c r="Q48" i="1" s="1"/>
  <c r="P45" i="1"/>
  <c r="O45" i="1"/>
  <c r="O48" i="1" s="1"/>
  <c r="N45" i="1"/>
  <c r="M45" i="1"/>
  <c r="L45" i="1"/>
  <c r="L48" i="1" s="1"/>
  <c r="K45" i="1"/>
  <c r="J45" i="1"/>
  <c r="J48" i="1" s="1"/>
  <c r="I45" i="1"/>
  <c r="I48" i="1" s="1"/>
  <c r="H45" i="1"/>
  <c r="G45" i="1"/>
  <c r="G48" i="1" s="1"/>
  <c r="F45" i="1"/>
  <c r="E45" i="1"/>
  <c r="D45" i="1"/>
  <c r="D48" i="1" s="1"/>
  <c r="C45" i="1"/>
  <c r="B45" i="1"/>
  <c r="B48" i="1" s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CJ32" i="1"/>
  <c r="CJ33" i="1" s="1"/>
  <c r="CI32" i="1"/>
  <c r="CI33" i="1" s="1"/>
  <c r="CH32" i="1"/>
  <c r="CH33" i="1" s="1"/>
  <c r="CG32" i="1"/>
  <c r="CG33" i="1" s="1"/>
  <c r="CF32" i="1"/>
  <c r="CF33" i="1" s="1"/>
  <c r="CE32" i="1"/>
  <c r="CE33" i="1" s="1"/>
  <c r="CD32" i="1"/>
  <c r="CD33" i="1" s="1"/>
  <c r="CC32" i="1"/>
  <c r="CC33" i="1" s="1"/>
  <c r="CB32" i="1"/>
  <c r="CB33" i="1" s="1"/>
  <c r="CA32" i="1"/>
  <c r="CA33" i="1" s="1"/>
  <c r="BZ32" i="1"/>
  <c r="BZ33" i="1" s="1"/>
  <c r="BY32" i="1"/>
  <c r="BY33" i="1" s="1"/>
  <c r="BX32" i="1"/>
  <c r="BX33" i="1" s="1"/>
  <c r="BW32" i="1"/>
  <c r="BW33" i="1" s="1"/>
  <c r="BV32" i="1"/>
  <c r="BV33" i="1" s="1"/>
  <c r="BU32" i="1"/>
  <c r="BU33" i="1" s="1"/>
  <c r="BT32" i="1"/>
  <c r="BT33" i="1" s="1"/>
  <c r="BS32" i="1"/>
  <c r="BS33" i="1" s="1"/>
  <c r="BR32" i="1"/>
  <c r="BR33" i="1" s="1"/>
  <c r="BQ32" i="1"/>
  <c r="BQ33" i="1" s="1"/>
  <c r="BP32" i="1"/>
  <c r="BP33" i="1" s="1"/>
  <c r="BO32" i="1"/>
  <c r="BO33" i="1" s="1"/>
  <c r="BN32" i="1"/>
  <c r="BN33" i="1" s="1"/>
  <c r="BM32" i="1"/>
  <c r="BM33" i="1" s="1"/>
  <c r="BL32" i="1"/>
  <c r="BL33" i="1" s="1"/>
  <c r="BK32" i="1"/>
  <c r="BK33" i="1" s="1"/>
  <c r="BJ32" i="1"/>
  <c r="BJ33" i="1" s="1"/>
  <c r="BI32" i="1"/>
  <c r="BI33" i="1" s="1"/>
  <c r="BH32" i="1"/>
  <c r="BH33" i="1" s="1"/>
  <c r="BG32" i="1"/>
  <c r="BG33" i="1" s="1"/>
  <c r="BF32" i="1"/>
  <c r="BF33" i="1" s="1"/>
  <c r="BE32" i="1"/>
  <c r="BE33" i="1" s="1"/>
  <c r="BD32" i="1"/>
  <c r="BD33" i="1" s="1"/>
  <c r="BC32" i="1"/>
  <c r="BC33" i="1" s="1"/>
  <c r="BB32" i="1"/>
  <c r="BB33" i="1" s="1"/>
  <c r="BA32" i="1"/>
  <c r="BA33" i="1" s="1"/>
  <c r="AZ32" i="1"/>
  <c r="AZ33" i="1" s="1"/>
  <c r="AY32" i="1"/>
  <c r="AY33" i="1" s="1"/>
  <c r="AX32" i="1"/>
  <c r="AX33" i="1" s="1"/>
  <c r="AW32" i="1"/>
  <c r="AW33" i="1" s="1"/>
  <c r="AV32" i="1"/>
  <c r="AV33" i="1" s="1"/>
  <c r="AU32" i="1"/>
  <c r="AU33" i="1" s="1"/>
  <c r="AT32" i="1"/>
  <c r="AT33" i="1" s="1"/>
  <c r="AS32" i="1"/>
  <c r="AS33" i="1" s="1"/>
  <c r="AR32" i="1"/>
  <c r="AR33" i="1" s="1"/>
  <c r="AQ32" i="1"/>
  <c r="AQ33" i="1" s="1"/>
  <c r="AP32" i="1"/>
  <c r="AP33" i="1" s="1"/>
  <c r="AO32" i="1"/>
  <c r="AO33" i="1" s="1"/>
  <c r="AN32" i="1"/>
  <c r="AN33" i="1" s="1"/>
  <c r="AM32" i="1"/>
  <c r="AM33" i="1" s="1"/>
  <c r="AL32" i="1"/>
  <c r="AL33" i="1" s="1"/>
  <c r="AK32" i="1"/>
  <c r="AK33" i="1" s="1"/>
  <c r="AJ32" i="1"/>
  <c r="AJ33" i="1" s="1"/>
  <c r="AI32" i="1"/>
  <c r="AI33" i="1" s="1"/>
  <c r="AH32" i="1"/>
  <c r="AH33" i="1" s="1"/>
  <c r="AG32" i="1"/>
  <c r="AG33" i="1" s="1"/>
  <c r="AF32" i="1"/>
  <c r="AF33" i="1" s="1"/>
  <c r="AE32" i="1"/>
  <c r="AE33" i="1" s="1"/>
  <c r="AD32" i="1"/>
  <c r="AD33" i="1" s="1"/>
  <c r="AC32" i="1"/>
  <c r="AC33" i="1" s="1"/>
  <c r="AB32" i="1"/>
  <c r="AB33" i="1" s="1"/>
  <c r="AA32" i="1"/>
  <c r="AA33" i="1" s="1"/>
  <c r="Z32" i="1"/>
  <c r="Z33" i="1" s="1"/>
  <c r="Y32" i="1"/>
  <c r="Y33" i="1" s="1"/>
  <c r="X32" i="1"/>
  <c r="X33" i="1" s="1"/>
  <c r="W32" i="1"/>
  <c r="W33" i="1" s="1"/>
  <c r="V32" i="1"/>
  <c r="V33" i="1" s="1"/>
  <c r="U32" i="1"/>
  <c r="U33" i="1" s="1"/>
  <c r="T32" i="1"/>
  <c r="T33" i="1" s="1"/>
  <c r="S32" i="1"/>
  <c r="S33" i="1" s="1"/>
  <c r="R32" i="1"/>
  <c r="R33" i="1" s="1"/>
  <c r="Q32" i="1"/>
  <c r="Q33" i="1" s="1"/>
  <c r="P32" i="1"/>
  <c r="P33" i="1" s="1"/>
  <c r="O32" i="1"/>
  <c r="O33" i="1" s="1"/>
  <c r="N32" i="1"/>
  <c r="N33" i="1" s="1"/>
  <c r="M32" i="1"/>
  <c r="M33" i="1" s="1"/>
  <c r="L32" i="1"/>
  <c r="L33" i="1" s="1"/>
  <c r="K32" i="1"/>
  <c r="K33" i="1" s="1"/>
  <c r="J32" i="1"/>
  <c r="J33" i="1" s="1"/>
  <c r="I32" i="1"/>
  <c r="I33" i="1" s="1"/>
  <c r="H32" i="1"/>
  <c r="H33" i="1" s="1"/>
  <c r="G32" i="1"/>
  <c r="G33" i="1" s="1"/>
  <c r="F32" i="1"/>
  <c r="F33" i="1" s="1"/>
  <c r="E32" i="1"/>
  <c r="E33" i="1" s="1"/>
  <c r="D32" i="1"/>
  <c r="D33" i="1" s="1"/>
  <c r="C32" i="1"/>
  <c r="C33" i="1" s="1"/>
  <c r="B32" i="1"/>
  <c r="B33" i="1" s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CJ13" i="1"/>
  <c r="CI13" i="1"/>
  <c r="CH13" i="1"/>
  <c r="CG13" i="1"/>
  <c r="CF13" i="1"/>
  <c r="CE13" i="1"/>
  <c r="CD13" i="1"/>
  <c r="CD25" i="1" s="1"/>
  <c r="CD34" i="1" s="1"/>
  <c r="CD39" i="1" s="1"/>
  <c r="CC13" i="1"/>
  <c r="CB13" i="1"/>
  <c r="CA13" i="1"/>
  <c r="BZ13" i="1"/>
  <c r="BY13" i="1"/>
  <c r="BX13" i="1"/>
  <c r="BW13" i="1"/>
  <c r="BV13" i="1"/>
  <c r="BV25" i="1" s="1"/>
  <c r="BV34" i="1" s="1"/>
  <c r="BV39" i="1" s="1"/>
  <c r="BU13" i="1"/>
  <c r="BT13" i="1"/>
  <c r="BS13" i="1"/>
  <c r="BR13" i="1"/>
  <c r="BQ13" i="1"/>
  <c r="BP13" i="1"/>
  <c r="BO13" i="1"/>
  <c r="BN13" i="1"/>
  <c r="BN25" i="1" s="1"/>
  <c r="BN34" i="1" s="1"/>
  <c r="BN39" i="1" s="1"/>
  <c r="BM13" i="1"/>
  <c r="BL13" i="1"/>
  <c r="BK13" i="1"/>
  <c r="BJ13" i="1"/>
  <c r="BI13" i="1"/>
  <c r="BH13" i="1"/>
  <c r="BG13" i="1"/>
  <c r="BF13" i="1"/>
  <c r="BF25" i="1" s="1"/>
  <c r="BF34" i="1" s="1"/>
  <c r="BF39" i="1" s="1"/>
  <c r="BE13" i="1"/>
  <c r="BD13" i="1"/>
  <c r="BC13" i="1"/>
  <c r="BB13" i="1"/>
  <c r="BA13" i="1"/>
  <c r="AZ13" i="1"/>
  <c r="AY13" i="1"/>
  <c r="AX13" i="1"/>
  <c r="AX25" i="1" s="1"/>
  <c r="AX34" i="1" s="1"/>
  <c r="AX39" i="1" s="1"/>
  <c r="AW13" i="1"/>
  <c r="AV13" i="1"/>
  <c r="AU13" i="1"/>
  <c r="AT13" i="1"/>
  <c r="AS13" i="1"/>
  <c r="AR13" i="1"/>
  <c r="AQ13" i="1"/>
  <c r="AP13" i="1"/>
  <c r="AP25" i="1" s="1"/>
  <c r="AP34" i="1" s="1"/>
  <c r="AP39" i="1" s="1"/>
  <c r="AO13" i="1"/>
  <c r="AN13" i="1"/>
  <c r="AM13" i="1"/>
  <c r="AL13" i="1"/>
  <c r="AK13" i="1"/>
  <c r="AJ13" i="1"/>
  <c r="AI13" i="1"/>
  <c r="AH13" i="1"/>
  <c r="AH25" i="1" s="1"/>
  <c r="AH34" i="1" s="1"/>
  <c r="AH39" i="1" s="1"/>
  <c r="AG13" i="1"/>
  <c r="AF13" i="1"/>
  <c r="AE13" i="1"/>
  <c r="AD13" i="1"/>
  <c r="AC13" i="1"/>
  <c r="AB13" i="1"/>
  <c r="AA13" i="1"/>
  <c r="Z13" i="1"/>
  <c r="Z25" i="1" s="1"/>
  <c r="Z34" i="1" s="1"/>
  <c r="Z39" i="1" s="1"/>
  <c r="Y13" i="1"/>
  <c r="X13" i="1"/>
  <c r="W13" i="1"/>
  <c r="V13" i="1"/>
  <c r="U13" i="1"/>
  <c r="T13" i="1"/>
  <c r="S13" i="1"/>
  <c r="S25" i="1" s="1"/>
  <c r="S34" i="1" s="1"/>
  <c r="R13" i="1"/>
  <c r="R25" i="1" s="1"/>
  <c r="R34" i="1" s="1"/>
  <c r="R39" i="1" s="1"/>
  <c r="Q13" i="1"/>
  <c r="P13" i="1"/>
  <c r="O13" i="1"/>
  <c r="N13" i="1"/>
  <c r="M13" i="1"/>
  <c r="L13" i="1"/>
  <c r="L25" i="1" s="1"/>
  <c r="L34" i="1" s="1"/>
  <c r="L39" i="1" s="1"/>
  <c r="K13" i="1"/>
  <c r="K25" i="1" s="1"/>
  <c r="K34" i="1" s="1"/>
  <c r="J13" i="1"/>
  <c r="J25" i="1" s="1"/>
  <c r="J34" i="1" s="1"/>
  <c r="J39" i="1" s="1"/>
  <c r="I13" i="1"/>
  <c r="H13" i="1"/>
  <c r="G13" i="1"/>
  <c r="F13" i="1"/>
  <c r="E13" i="1"/>
  <c r="D13" i="1"/>
  <c r="D25" i="1" s="1"/>
  <c r="D34" i="1" s="1"/>
  <c r="D39" i="1" s="1"/>
  <c r="C13" i="1"/>
  <c r="C25" i="1" s="1"/>
  <c r="C34" i="1" s="1"/>
  <c r="B13" i="1"/>
  <c r="B25" i="1" s="1"/>
  <c r="B34" i="1" s="1"/>
  <c r="B39" i="1" s="1"/>
  <c r="C48" i="1" l="1"/>
  <c r="K48" i="1"/>
  <c r="S48" i="1"/>
  <c r="AA48" i="1"/>
  <c r="AI48" i="1"/>
  <c r="AQ48" i="1"/>
  <c r="AY48" i="1"/>
  <c r="BG48" i="1"/>
  <c r="BO48" i="1"/>
  <c r="BW48" i="1"/>
  <c r="CE48" i="1"/>
  <c r="E62" i="1"/>
  <c r="M62" i="1"/>
  <c r="U62" i="1"/>
  <c r="AC62" i="1"/>
  <c r="AK62" i="1"/>
  <c r="AS62" i="1"/>
  <c r="BA62" i="1"/>
  <c r="BI62" i="1"/>
  <c r="BQ62" i="1"/>
  <c r="BY62" i="1"/>
  <c r="CG62" i="1"/>
  <c r="AM25" i="1"/>
  <c r="E25" i="1"/>
  <c r="E34" i="1" s="1"/>
  <c r="E39" i="1" s="1"/>
  <c r="M25" i="1"/>
  <c r="M34" i="1" s="1"/>
  <c r="M39" i="1" s="1"/>
  <c r="AM48" i="1"/>
  <c r="BC48" i="1"/>
  <c r="H62" i="1"/>
  <c r="P62" i="1"/>
  <c r="X62" i="1"/>
  <c r="AF62" i="1"/>
  <c r="AN62" i="1"/>
  <c r="AV62" i="1"/>
  <c r="BD62" i="1"/>
  <c r="BL62" i="1"/>
  <c r="BT62" i="1"/>
  <c r="CB62" i="1"/>
  <c r="CJ62" i="1"/>
  <c r="W25" i="1"/>
  <c r="W34" i="1" s="1"/>
  <c r="W39" i="1" s="1"/>
  <c r="AU25" i="1"/>
  <c r="AU34" i="1" s="1"/>
  <c r="AU39" i="1" s="1"/>
  <c r="BS25" i="1"/>
  <c r="BS34" i="1" s="1"/>
  <c r="BS39" i="1" s="1"/>
  <c r="CI25" i="1"/>
  <c r="CI34" i="1" s="1"/>
  <c r="CI39" i="1" s="1"/>
  <c r="H95" i="1"/>
  <c r="P95" i="1"/>
  <c r="X95" i="1"/>
  <c r="AF95" i="1"/>
  <c r="AN95" i="1"/>
  <c r="AV95" i="1"/>
  <c r="BD95" i="1"/>
  <c r="BL95" i="1"/>
  <c r="BT95" i="1"/>
  <c r="CB95" i="1"/>
  <c r="CJ95" i="1"/>
  <c r="AM34" i="1"/>
  <c r="AM39" i="1" s="1"/>
  <c r="AD95" i="1"/>
  <c r="AT95" i="1"/>
  <c r="BB95" i="1"/>
  <c r="E48" i="1"/>
  <c r="M48" i="1"/>
  <c r="U48" i="1"/>
  <c r="AC48" i="1"/>
  <c r="AK48" i="1"/>
  <c r="AS48" i="1"/>
  <c r="BA48" i="1"/>
  <c r="BI48" i="1"/>
  <c r="BQ48" i="1"/>
  <c r="BY48" i="1"/>
  <c r="CG48" i="1"/>
  <c r="D62" i="1"/>
  <c r="L62" i="1"/>
  <c r="T62" i="1"/>
  <c r="AB62" i="1"/>
  <c r="AB102" i="1" s="1"/>
  <c r="AJ62" i="1"/>
  <c r="AJ102" i="1" s="1"/>
  <c r="AR62" i="1"/>
  <c r="AR102" i="1" s="1"/>
  <c r="AZ62" i="1"/>
  <c r="BH62" i="1"/>
  <c r="BP62" i="1"/>
  <c r="BX62" i="1"/>
  <c r="CF62" i="1"/>
  <c r="C95" i="1"/>
  <c r="K95" i="1"/>
  <c r="S95" i="1"/>
  <c r="AA95" i="1"/>
  <c r="AI95" i="1"/>
  <c r="AQ95" i="1"/>
  <c r="AY95" i="1"/>
  <c r="BG95" i="1"/>
  <c r="BO95" i="1"/>
  <c r="BW95" i="1"/>
  <c r="CE95" i="1"/>
  <c r="CE102" i="1" s="1"/>
  <c r="V25" i="1"/>
  <c r="V34" i="1" s="1"/>
  <c r="V39" i="1" s="1"/>
  <c r="BJ25" i="1"/>
  <c r="BJ34" i="1" s="1"/>
  <c r="BJ39" i="1" s="1"/>
  <c r="O25" i="1"/>
  <c r="O34" i="1" s="1"/>
  <c r="O39" i="1" s="1"/>
  <c r="F62" i="1"/>
  <c r="AT62" i="1"/>
  <c r="BR62" i="1"/>
  <c r="F25" i="1"/>
  <c r="F34" i="1" s="1"/>
  <c r="F39" i="1" s="1"/>
  <c r="AT25" i="1"/>
  <c r="AT34" i="1" s="1"/>
  <c r="AT39" i="1" s="1"/>
  <c r="G25" i="1"/>
  <c r="G34" i="1" s="1"/>
  <c r="G39" i="1" s="1"/>
  <c r="CA25" i="1"/>
  <c r="CA34" i="1" s="1"/>
  <c r="CA39" i="1" s="1"/>
  <c r="V62" i="1"/>
  <c r="AL62" i="1"/>
  <c r="BJ62" i="1"/>
  <c r="BZ62" i="1"/>
  <c r="H25" i="1"/>
  <c r="H34" i="1" s="1"/>
  <c r="H39" i="1" s="1"/>
  <c r="X25" i="1"/>
  <c r="X34" i="1" s="1"/>
  <c r="X39" i="1" s="1"/>
  <c r="AF25" i="1"/>
  <c r="AF34" i="1" s="1"/>
  <c r="AF39" i="1" s="1"/>
  <c r="AV25" i="1"/>
  <c r="AV34" i="1" s="1"/>
  <c r="AV39" i="1" s="1"/>
  <c r="BD25" i="1"/>
  <c r="BD34" i="1" s="1"/>
  <c r="BD39" i="1" s="1"/>
  <c r="BL25" i="1"/>
  <c r="BL34" i="1" s="1"/>
  <c r="BL39" i="1" s="1"/>
  <c r="BT25" i="1"/>
  <c r="BT34" i="1" s="1"/>
  <c r="BT39" i="1" s="1"/>
  <c r="CB25" i="1"/>
  <c r="CB34" i="1" s="1"/>
  <c r="CB39" i="1" s="1"/>
  <c r="CJ25" i="1"/>
  <c r="CJ34" i="1" s="1"/>
  <c r="CJ39" i="1" s="1"/>
  <c r="I25" i="1"/>
  <c r="I34" i="1" s="1"/>
  <c r="I39" i="1" s="1"/>
  <c r="H48" i="1"/>
  <c r="P48" i="1"/>
  <c r="P102" i="1" s="1"/>
  <c r="X48" i="1"/>
  <c r="X102" i="1" s="1"/>
  <c r="AF48" i="1"/>
  <c r="AF102" i="1" s="1"/>
  <c r="AN48" i="1"/>
  <c r="AV48" i="1"/>
  <c r="BD48" i="1"/>
  <c r="BD102" i="1" s="1"/>
  <c r="BL48" i="1"/>
  <c r="BL102" i="1" s="1"/>
  <c r="BT48" i="1"/>
  <c r="BT102" i="1" s="1"/>
  <c r="CB48" i="1"/>
  <c r="CB102" i="1" s="1"/>
  <c r="CJ48" i="1"/>
  <c r="CJ102" i="1" s="1"/>
  <c r="G62" i="1"/>
  <c r="O62" i="1"/>
  <c r="W62" i="1"/>
  <c r="AE62" i="1"/>
  <c r="AM62" i="1"/>
  <c r="AM102" i="1" s="1"/>
  <c r="AU62" i="1"/>
  <c r="AU102" i="1" s="1"/>
  <c r="BC62" i="1"/>
  <c r="BK62" i="1"/>
  <c r="BS62" i="1"/>
  <c r="CA62" i="1"/>
  <c r="CI62" i="1"/>
  <c r="AD25" i="1"/>
  <c r="AD34" i="1" s="1"/>
  <c r="AD39" i="1" s="1"/>
  <c r="BR25" i="1"/>
  <c r="BR34" i="1" s="1"/>
  <c r="BR39" i="1" s="1"/>
  <c r="BC25" i="1"/>
  <c r="BC34" i="1" s="1"/>
  <c r="BC39" i="1" s="1"/>
  <c r="N62" i="1"/>
  <c r="AD62" i="1"/>
  <c r="BB62" i="1"/>
  <c r="CH62" i="1"/>
  <c r="P25" i="1"/>
  <c r="P34" i="1" s="1"/>
  <c r="P39" i="1" s="1"/>
  <c r="AN25" i="1"/>
  <c r="AN34" i="1" s="1"/>
  <c r="AN39" i="1" s="1"/>
  <c r="G95" i="1"/>
  <c r="O95" i="1"/>
  <c r="W95" i="1"/>
  <c r="AE95" i="1"/>
  <c r="AM95" i="1"/>
  <c r="AU95" i="1"/>
  <c r="BC95" i="1"/>
  <c r="BK95" i="1"/>
  <c r="BS95" i="1"/>
  <c r="CA95" i="1"/>
  <c r="CI95" i="1"/>
  <c r="N25" i="1"/>
  <c r="N34" i="1" s="1"/>
  <c r="N39" i="1" s="1"/>
  <c r="BB25" i="1"/>
  <c r="BB34" i="1" s="1"/>
  <c r="BB39" i="1" s="1"/>
  <c r="BZ25" i="1"/>
  <c r="BZ34" i="1" s="1"/>
  <c r="BZ39" i="1" s="1"/>
  <c r="AE25" i="1"/>
  <c r="AE34" i="1" s="1"/>
  <c r="AE39" i="1" s="1"/>
  <c r="BK25" i="1"/>
  <c r="BK34" i="1" s="1"/>
  <c r="BK39" i="1" s="1"/>
  <c r="B102" i="1"/>
  <c r="J102" i="1"/>
  <c r="Z102" i="1"/>
  <c r="AX102" i="1"/>
  <c r="BF102" i="1"/>
  <c r="BN102" i="1"/>
  <c r="BV102" i="1"/>
  <c r="AL25" i="1"/>
  <c r="AL34" i="1" s="1"/>
  <c r="AL39" i="1" s="1"/>
  <c r="CH25" i="1"/>
  <c r="CH34" i="1" s="1"/>
  <c r="CH39" i="1" s="1"/>
  <c r="C39" i="1"/>
  <c r="K39" i="1"/>
  <c r="S39" i="1"/>
  <c r="U25" i="1"/>
  <c r="U34" i="1" s="1"/>
  <c r="U39" i="1" s="1"/>
  <c r="AI25" i="1"/>
  <c r="AI34" i="1" s="1"/>
  <c r="AI39" i="1" s="1"/>
  <c r="AY25" i="1"/>
  <c r="AY34" i="1" s="1"/>
  <c r="AY39" i="1" s="1"/>
  <c r="BO25" i="1"/>
  <c r="BO34" i="1" s="1"/>
  <c r="BO39" i="1" s="1"/>
  <c r="CE25" i="1"/>
  <c r="CE34" i="1" s="1"/>
  <c r="CE39" i="1" s="1"/>
  <c r="N48" i="1"/>
  <c r="AD48" i="1"/>
  <c r="AT48" i="1"/>
  <c r="BJ48" i="1"/>
  <c r="BZ48" i="1"/>
  <c r="CH48" i="1"/>
  <c r="T25" i="1"/>
  <c r="T34" i="1" s="1"/>
  <c r="T39" i="1" s="1"/>
  <c r="AB25" i="1"/>
  <c r="AB34" i="1" s="1"/>
  <c r="AB39" i="1" s="1"/>
  <c r="AJ25" i="1"/>
  <c r="AJ34" i="1" s="1"/>
  <c r="AJ39" i="1" s="1"/>
  <c r="AR25" i="1"/>
  <c r="AR34" i="1" s="1"/>
  <c r="AR39" i="1" s="1"/>
  <c r="AZ25" i="1"/>
  <c r="AZ34" i="1" s="1"/>
  <c r="AZ39" i="1" s="1"/>
  <c r="BH25" i="1"/>
  <c r="BH34" i="1" s="1"/>
  <c r="BH39" i="1" s="1"/>
  <c r="BP25" i="1"/>
  <c r="BP34" i="1" s="1"/>
  <c r="BP39" i="1" s="1"/>
  <c r="BX25" i="1"/>
  <c r="BX34" i="1" s="1"/>
  <c r="BX39" i="1" s="1"/>
  <c r="CF25" i="1"/>
  <c r="CF34" i="1" s="1"/>
  <c r="CF39" i="1" s="1"/>
  <c r="E95" i="1"/>
  <c r="E102" i="1" s="1"/>
  <c r="M95" i="1"/>
  <c r="U95" i="1"/>
  <c r="U102" i="1" s="1"/>
  <c r="AC95" i="1"/>
  <c r="AK95" i="1"/>
  <c r="AS95" i="1"/>
  <c r="BA95" i="1"/>
  <c r="BI95" i="1"/>
  <c r="BI102" i="1" s="1"/>
  <c r="BQ95" i="1"/>
  <c r="BY95" i="1"/>
  <c r="CG95" i="1"/>
  <c r="CG102" i="1" s="1"/>
  <c r="AA25" i="1"/>
  <c r="AA34" i="1" s="1"/>
  <c r="AA39" i="1" s="1"/>
  <c r="AQ25" i="1"/>
  <c r="AQ34" i="1" s="1"/>
  <c r="AQ39" i="1" s="1"/>
  <c r="BG25" i="1"/>
  <c r="BG34" i="1" s="1"/>
  <c r="BG39" i="1" s="1"/>
  <c r="BW25" i="1"/>
  <c r="BW34" i="1" s="1"/>
  <c r="BW39" i="1" s="1"/>
  <c r="F48" i="1"/>
  <c r="F102" i="1" s="1"/>
  <c r="V48" i="1"/>
  <c r="AL48" i="1"/>
  <c r="BB48" i="1"/>
  <c r="BR48" i="1"/>
  <c r="AC25" i="1"/>
  <c r="AC34" i="1" s="1"/>
  <c r="AC39" i="1" s="1"/>
  <c r="AK25" i="1"/>
  <c r="AK34" i="1" s="1"/>
  <c r="AK39" i="1" s="1"/>
  <c r="AS25" i="1"/>
  <c r="AS34" i="1" s="1"/>
  <c r="AS39" i="1" s="1"/>
  <c r="BA25" i="1"/>
  <c r="BA34" i="1" s="1"/>
  <c r="BA39" i="1" s="1"/>
  <c r="BI25" i="1"/>
  <c r="BI34" i="1" s="1"/>
  <c r="BI39" i="1" s="1"/>
  <c r="BQ25" i="1"/>
  <c r="BQ34" i="1" s="1"/>
  <c r="BQ39" i="1" s="1"/>
  <c r="BY25" i="1"/>
  <c r="BY34" i="1" s="1"/>
  <c r="BY39" i="1" s="1"/>
  <c r="CG25" i="1"/>
  <c r="CG34" i="1" s="1"/>
  <c r="CG39" i="1" s="1"/>
  <c r="R102" i="1"/>
  <c r="AH102" i="1"/>
  <c r="AP102" i="1"/>
  <c r="CD102" i="1"/>
  <c r="I62" i="1"/>
  <c r="I102" i="1" s="1"/>
  <c r="Q62" i="1"/>
  <c r="Q102" i="1" s="1"/>
  <c r="Y62" i="1"/>
  <c r="Y102" i="1" s="1"/>
  <c r="AG62" i="1"/>
  <c r="AG102" i="1" s="1"/>
  <c r="AO62" i="1"/>
  <c r="AO102" i="1" s="1"/>
  <c r="AW62" i="1"/>
  <c r="AW102" i="1" s="1"/>
  <c r="BE62" i="1"/>
  <c r="BE102" i="1" s="1"/>
  <c r="BM62" i="1"/>
  <c r="BM102" i="1" s="1"/>
  <c r="BU62" i="1"/>
  <c r="BU102" i="1" s="1"/>
  <c r="CC62" i="1"/>
  <c r="CC102" i="1" s="1"/>
  <c r="AA102" i="1"/>
  <c r="AI102" i="1"/>
  <c r="AQ102" i="1"/>
  <c r="AY102" i="1"/>
  <c r="BG102" i="1"/>
  <c r="AK102" i="1"/>
  <c r="Q25" i="1"/>
  <c r="Q34" i="1" s="1"/>
  <c r="Q39" i="1" s="1"/>
  <c r="Y25" i="1"/>
  <c r="Y34" i="1" s="1"/>
  <c r="Y39" i="1" s="1"/>
  <c r="AG25" i="1"/>
  <c r="AG34" i="1" s="1"/>
  <c r="AG39" i="1" s="1"/>
  <c r="AO25" i="1"/>
  <c r="AO34" i="1" s="1"/>
  <c r="AO39" i="1" s="1"/>
  <c r="AW25" i="1"/>
  <c r="AW34" i="1" s="1"/>
  <c r="AW39" i="1" s="1"/>
  <c r="BE25" i="1"/>
  <c r="BE34" i="1" s="1"/>
  <c r="BE39" i="1" s="1"/>
  <c r="BM25" i="1"/>
  <c r="BM34" i="1" s="1"/>
  <c r="BM39" i="1" s="1"/>
  <c r="BU25" i="1"/>
  <c r="BU34" i="1" s="1"/>
  <c r="BU39" i="1" s="1"/>
  <c r="CC25" i="1"/>
  <c r="CC34" i="1" s="1"/>
  <c r="CC39" i="1" s="1"/>
  <c r="D102" i="1"/>
  <c r="L102" i="1"/>
  <c r="T102" i="1"/>
  <c r="AZ102" i="1"/>
  <c r="BH102" i="1"/>
  <c r="BP102" i="1"/>
  <c r="BX102" i="1"/>
  <c r="CF102" i="1"/>
  <c r="S102" i="1" l="1"/>
  <c r="BQ102" i="1"/>
  <c r="BW102" i="1"/>
  <c r="K102" i="1"/>
  <c r="BO102" i="1"/>
  <c r="C102" i="1"/>
  <c r="CI102" i="1"/>
  <c r="W102" i="1"/>
  <c r="BK102" i="1"/>
  <c r="N102" i="1"/>
  <c r="H102" i="1"/>
  <c r="V102" i="1"/>
  <c r="BC102" i="1"/>
  <c r="BY102" i="1"/>
  <c r="M102" i="1"/>
  <c r="AE102" i="1"/>
  <c r="AV102" i="1"/>
  <c r="AC102" i="1"/>
  <c r="CA102" i="1"/>
  <c r="O102" i="1"/>
  <c r="AN102" i="1"/>
  <c r="AD102" i="1"/>
  <c r="BS102" i="1"/>
  <c r="G102" i="1"/>
  <c r="BA102" i="1"/>
  <c r="CH102" i="1"/>
  <c r="AS102" i="1"/>
  <c r="BZ102" i="1"/>
  <c r="BB102" i="1"/>
  <c r="AT102" i="1"/>
  <c r="BR102" i="1"/>
  <c r="BJ102" i="1"/>
  <c r="AL102" i="1"/>
</calcChain>
</file>

<file path=xl/sharedStrings.xml><?xml version="1.0" encoding="utf-8"?>
<sst xmlns="http://schemas.openxmlformats.org/spreadsheetml/2006/main" count="269" uniqueCount="182">
  <si>
    <t>Firma : Horus software GmbH</t>
  </si>
  <si>
    <t>PG Balance Sheet by Entity and Month/Quarter/Year</t>
  </si>
  <si>
    <t>End of Dez 2023</t>
  </si>
  <si>
    <t> </t>
  </si>
  <si>
    <t>Dec 2016</t>
  </si>
  <si>
    <t xml:space="preserve">Adjust 2016 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</si>
  <si>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</si>
  <si>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</si>
  <si>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</si>
  <si>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</si>
  <si>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</si>
  <si>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</si>
  <si>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</si>
  <si>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</si>
  <si>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</si>
  <si>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</si>
  <si>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</si>
  <si>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</si>
  <si>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 xml:space="preserve">Adjust 2017 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</si>
  <si>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</si>
  <si>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</si>
  <si>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</si>
  <si>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</si>
  <si>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</si>
  <si>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</si>
  <si>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</si>
  <si>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</si>
  <si>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</si>
  <si>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</si>
  <si>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</si>
  <si>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</si>
  <si>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 xml:space="preserve">Adjust 2018 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</si>
  <si>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</si>
  <si>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</si>
  <si>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</si>
  <si>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</si>
  <si>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</si>
  <si>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</si>
  <si>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</si>
  <si>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</si>
  <si>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</si>
  <si>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</si>
  <si>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</si>
  <si>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</si>
  <si>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Adjust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</si>
  <si>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</si>
  <si>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</si>
  <si>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</si>
  <si>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</si>
  <si>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</si>
  <si>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</si>
  <si>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</si>
  <si>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</si>
  <si>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</si>
  <si>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</si>
  <si>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</si>
  <si>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</si>
  <si>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 xml:space="preserve">Adjust 2020 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</si>
  <si>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</si>
  <si>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</si>
  <si>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</si>
  <si>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</si>
  <si>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</si>
  <si>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</si>
  <si>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</si>
  <si>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</si>
  <si>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</si>
  <si>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</si>
  <si>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</si>
  <si>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</si>
  <si>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 xml:space="preserve">Adjust 2021 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</si>
  <si>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</si>
  <si>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</si>
  <si>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</si>
  <si>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</si>
  <si>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</si>
  <si>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</si>
  <si>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</si>
  <si>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</si>
  <si>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</si>
  <si>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</si>
  <si>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</si>
  <si>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</si>
  <si>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</si>
  <si>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</si>
  <si>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Mrz 2023</t>
  </si>
  <si>
    <t>Apr 2023</t>
  </si>
  <si>
    <t>Mai 2023</t>
  </si>
  <si>
    <t>Jun 2023</t>
  </si>
  <si>
    <t>Jul 2023</t>
  </si>
  <si>
    <t>Aug 2023</t>
  </si>
  <si>
    <t>As of Dez 2023</t>
  </si>
  <si>
    <t>ASSETS</t>
  </si>
  <si>
    <t>B. Current assets</t>
  </si>
  <si>
    <t>II. Trade receivables and other receivables</t>
  </si>
  <si>
    <t>1. Trade receivables</t>
  </si>
  <si>
    <t>120000 - Trade receivables -3</t>
  </si>
  <si>
    <t>120100 - Trade receivables</t>
  </si>
  <si>
    <t>Total Trade receivables</t>
  </si>
  <si>
    <t>2. Receivables from affiliated companies</t>
  </si>
  <si>
    <t>126000 - Receivables from affiliated companies</t>
  </si>
  <si>
    <t>127101 - Receivables from PROMATIS software GmbH</t>
  </si>
  <si>
    <t>127102 - Receivables from Prociris consulting GmbH</t>
  </si>
  <si>
    <t>Total Receivables from affiliated companies</t>
  </si>
  <si>
    <t>6. Other receivables and other assets</t>
  </si>
  <si>
    <t>142000 - VAT receivables</t>
  </si>
  <si>
    <t>143500 - Receivables from trade tax overpayments</t>
  </si>
  <si>
    <t>145000 - Reclaimed corporate income tax</t>
  </si>
  <si>
    <t>145700 - Receivables from Bundesagentur für Arbeit</t>
  </si>
  <si>
    <t>Total Other receivables and other assets</t>
  </si>
  <si>
    <t>Total Trade receivables and other receivables</t>
  </si>
  <si>
    <t>IV. Cash-in-hand, central / bank balances and cheques</t>
  </si>
  <si>
    <t>Bank</t>
  </si>
  <si>
    <t>180008 - GEFA BANK Tagesgeld 1000392495 - Horus</t>
  </si>
  <si>
    <t>180034 - Volksbank Karlsruhe Girokonto -10138965- Horus</t>
  </si>
  <si>
    <t>180035 - Clearing Volksbank Karlsruhe Girokonto -10138965</t>
  </si>
  <si>
    <t>180037 - Volksbank Karlsruhe Tagesgeld- Horus</t>
  </si>
  <si>
    <t>Gesamt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</si>
  <si>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</si>
  <si>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</si>
  <si>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</si>
  <si>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</si>
  <si>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</si>
  <si>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</si>
  <si>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</si>
  <si>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A. Equity</t>
  </si>
  <si>
    <t>I. Issued capital</t>
  </si>
  <si>
    <t>2900 - Subscribed capital</t>
  </si>
  <si>
    <t>Total Issued capital</t>
  </si>
  <si>
    <t>IV. Profit Brought Forward</t>
  </si>
  <si>
    <t>VI. Net profit/loss for the year</t>
  </si>
  <si>
    <t>Total Equity</t>
  </si>
  <si>
    <t>B. Provisions</t>
  </si>
  <si>
    <t>2. Provision for taxes</t>
  </si>
  <si>
    <t>303000 - Provision for trade tax</t>
  </si>
  <si>
    <t>303500 - Provision for trade tax, section 4(5b) EStG</t>
  </si>
  <si>
    <t>304000 - Provision for corporate income tax</t>
  </si>
  <si>
    <t>Total Provision for taxes</t>
  </si>
  <si>
    <t>3. Other provisions</t>
  </si>
  <si>
    <t>309500 - Provisions for period-end closing and audit costs</t>
  </si>
  <si>
    <t>307400 - Provisions for personnel expenses</t>
  </si>
  <si>
    <t>309600 - Provisions for record retention obligations</t>
  </si>
  <si>
    <t>307900 - Provisions for vacation pay</t>
  </si>
  <si>
    <t>Total Other provisions</t>
  </si>
  <si>
    <t>Total Provisions</t>
  </si>
  <si>
    <t>C. Liabilities</t>
  </si>
  <si>
    <t>4. Trade payables</t>
  </si>
  <si>
    <t>3301 - Trade payables</t>
  </si>
  <si>
    <t>330100 - Trade payables starting with 2016</t>
  </si>
  <si>
    <t>Total Trade payables</t>
  </si>
  <si>
    <t>6. Liabilities to affiliated companies</t>
  </si>
  <si>
    <t>340101 - Liabilities ag. PROMATIS software GmbH</t>
  </si>
  <si>
    <t>340104 - Liabilities ag. SEGRA GmbH</t>
  </si>
  <si>
    <t>Total Liabilities to affiliated companies</t>
  </si>
  <si>
    <t>8. Other liabilities</t>
  </si>
  <si>
    <t>140100 - Deductible input tax - reduced</t>
  </si>
  <si>
    <t>140300 - Deductible input tax on intra-EU acquisitions - reduced</t>
  </si>
  <si>
    <t>140500 - VAT 16% Purchase</t>
  </si>
  <si>
    <t>140600 - VAT on Purchases</t>
  </si>
  <si>
    <t>140700 - Deductible input tax under section 13b UStG - standard</t>
  </si>
  <si>
    <t>140800 - Deductible input tax under section 13b UStG, Non-EU</t>
  </si>
  <si>
    <t>146000 - Cash in Transit</t>
  </si>
  <si>
    <t>3500 - Other liabilities</t>
  </si>
  <si>
    <t>350100 - Other liabilities - due within 1 year</t>
  </si>
  <si>
    <t>370000 - Liabilities from taxes and levies</t>
  </si>
  <si>
    <t>372500 - Liabilities for amounts withheld from employees</t>
  </si>
  <si>
    <t>372508 - BAV - HDI Lebensversicherung AG</t>
  </si>
  <si>
    <t>373000 - Wage and church tax payables</t>
  </si>
  <si>
    <t>3740 - Social security liabilities</t>
  </si>
  <si>
    <t>380600 - VAT - standard rate</t>
  </si>
  <si>
    <t>382000 - VAT prepayments</t>
  </si>
  <si>
    <t>383700 - VAT under section 13b UStG - standard rate Non-EU</t>
  </si>
  <si>
    <t>383800 - VAT under section 13b UStG - from EU</t>
  </si>
  <si>
    <t>384100 - VAT, previous year</t>
  </si>
  <si>
    <t>386000 - Vat liabilities</t>
  </si>
  <si>
    <t>Total Other liabilities</t>
  </si>
  <si>
    <t>Total Liabilities</t>
  </si>
  <si>
    <t>D. Deferred income</t>
  </si>
  <si>
    <t>390000 - Deferred Income - manual booking</t>
  </si>
  <si>
    <t>390001 - Deferred Revenue - Accounts Receivables</t>
  </si>
  <si>
    <t>Total Deferred income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</si>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</sst>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10"/>
      <color indexed="16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9"/>
      <color indexed="56"/>
      <name val="Arial"/>
    </font>
    <font>
      <b/>
      <sz val="9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800000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10" xfId="0" applyFont="1" applyBorder="1" applyAlignment="1">
      <alignment horizontal="left" vertical="center"/>
    </xf>
    <xf numFmtId="168" fontId="21" fillId="0" borderId="1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1"/>
    </xf>
    <xf numFmtId="168" fontId="22" fillId="0" borderId="0" xfId="0" applyNumberFormat="1" applyFont="1" applyBorder="1" applyAlignment="1">
      <alignment horizontal="right" vertical="center"/>
    </xf>
    <xf numFmtId="0" fontId="24" fillId="0" borderId="0" xfId="0" applyFont="1" applyBorder="1" applyAlignment="1">
      <alignment horizontal="left" indent="1"/>
    </xf>
    <xf numFmtId="168" fontId="24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2"/>
    </xf>
    <xf numFmtId="0" fontId="22" fillId="0" borderId="0" xfId="0" applyFont="1" applyBorder="1" applyAlignment="1">
      <alignment horizontal="left" indent="3"/>
    </xf>
    <xf numFmtId="0" fontId="23" fillId="0" borderId="0" xfId="0" applyFont="1" applyBorder="1" applyAlignment="1">
      <alignment horizontal="left" indent="4"/>
    </xf>
    <xf numFmtId="168" fontId="23" fillId="0" borderId="0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3"/>
    </xf>
    <xf numFmtId="4" fontId="22" fillId="0" borderId="11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2"/>
    </xf>
    <xf numFmtId="168" fontId="22" fillId="0" borderId="11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left" indent="1"/>
    </xf>
    <xf numFmtId="168" fontId="22" fillId="0" borderId="12" xfId="0" applyNumberFormat="1" applyFont="1" applyBorder="1" applyAlignment="1">
      <alignment horizontal="right" vertical="center"/>
    </xf>
    <xf numFmtId="0" fontId="23" fillId="0" borderId="0" xfId="0" applyFont="1" applyBorder="1" applyAlignment="1">
      <alignment horizontal="left" indent="2"/>
    </xf>
    <xf numFmtId="0" fontId="22" fillId="0" borderId="11" xfId="0" applyFont="1" applyBorder="1" applyAlignment="1">
      <alignment horizontal="left" indent="1"/>
    </xf>
    <xf numFmtId="0" fontId="25" fillId="0" borderId="13" xfId="0" applyFont="1" applyBorder="1" applyAlignment="1">
      <alignment horizontal="left" vertical="center"/>
    </xf>
    <xf numFmtId="168" fontId="25" fillId="0" borderId="13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indent="3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102"/>
  <sheetViews>
    <sheetView tabSelected="1" topLeftCell="BO1" workbookViewId="0">
      <selection activeCell="A24" sqref="A24"/>
    </sheetView>
  </sheetViews>
  <sheetFormatPr baseColWidth="10" defaultRowHeight="11.25" x14ac:dyDescent="0.2"/>
  <cols>
    <col min="1" max="1" width="59" bestFit="1" customWidth="1"/>
    <col min="2" max="88" width="14.33203125" bestFit="1" customWidth="1"/>
  </cols>
  <sheetData>
    <row r="1" spans="1:88" s="26" customFormat="1" ht="15.75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</row>
    <row r="2" spans="1:88" s="26" customFormat="1" ht="18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</row>
    <row r="3" spans="1:88" s="26" customFormat="1" ht="18" x14ac:dyDescent="0.25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x14ac:dyDescent="0.2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50</v>
      </c>
      <c r="AW4" s="2" t="s">
        <v>51</v>
      </c>
      <c r="AX4" s="2" t="s">
        <v>52</v>
      </c>
      <c r="AY4" s="2" t="s">
        <v>53</v>
      </c>
      <c r="AZ4" s="2" t="s">
        <v>54</v>
      </c>
      <c r="BA4" s="2" t="s">
        <v>55</v>
      </c>
      <c r="BB4" s="2" t="s">
        <v>56</v>
      </c>
      <c r="BC4" s="2" t="s">
        <v>57</v>
      </c>
      <c r="BD4" s="2" t="s">
        <v>58</v>
      </c>
      <c r="BE4" s="2" t="s">
        <v>59</v>
      </c>
      <c r="BF4" s="2" t="s">
        <v>60</v>
      </c>
      <c r="BG4" s="2" t="s">
        <v>61</v>
      </c>
      <c r="BH4" s="2" t="s">
        <v>62</v>
      </c>
      <c r="BI4" s="2" t="s">
        <v>63</v>
      </c>
      <c r="BJ4" s="2" t="s">
        <v>64</v>
      </c>
      <c r="BK4" s="2" t="s">
        <v>65</v>
      </c>
      <c r="BL4" s="2" t="s">
        <v>66</v>
      </c>
      <c r="BM4" s="2" t="s">
        <v>67</v>
      </c>
      <c r="BN4" s="2" t="s">
        <v>68</v>
      </c>
      <c r="BO4" s="2" t="s">
        <v>69</v>
      </c>
      <c r="BP4" s="2" t="s">
        <v>70</v>
      </c>
      <c r="BQ4" s="2" t="s">
        <v>71</v>
      </c>
      <c r="BR4" s="2" t="s">
        <v>72</v>
      </c>
      <c r="BS4" s="2" t="s">
        <v>73</v>
      </c>
      <c r="BT4" s="2" t="s">
        <v>74</v>
      </c>
      <c r="BU4" s="2" t="s">
        <v>75</v>
      </c>
      <c r="BV4" s="2" t="s">
        <v>76</v>
      </c>
      <c r="BW4" s="2" t="s">
        <v>77</v>
      </c>
      <c r="BX4" s="2" t="s">
        <v>78</v>
      </c>
      <c r="BY4" s="2" t="s">
        <v>79</v>
      </c>
      <c r="BZ4" s="2" t="s">
        <v>80</v>
      </c>
      <c r="CA4" s="2" t="s">
        <v>81</v>
      </c>
      <c r="CB4" s="2" t="s">
        <v>82</v>
      </c>
      <c r="CC4" s="2" t="s">
        <v>83</v>
      </c>
      <c r="CD4" s="2" t="s">
        <v>84</v>
      </c>
      <c r="CE4" s="2" t="s">
        <v>85</v>
      </c>
      <c r="CF4" s="2" t="s">
        <v>86</v>
      </c>
      <c r="CG4" s="2" t="s">
        <v>87</v>
      </c>
      <c r="CH4" s="2" t="s">
        <v>88</v>
      </c>
      <c r="CI4" s="2" t="s">
        <v>89</v>
      </c>
      <c r="CJ4" s="2" t="s">
        <v>90</v>
      </c>
    </row>
    <row r="5" spans="1:88" x14ac:dyDescent="0.2">
      <c r="A5" s="1" t="s">
        <v>3</v>
      </c>
      <c r="B5" s="2" t="s">
        <v>91</v>
      </c>
      <c r="C5" s="2" t="s">
        <v>91</v>
      </c>
      <c r="D5" s="2" t="s">
        <v>91</v>
      </c>
      <c r="E5" s="2" t="s">
        <v>91</v>
      </c>
      <c r="F5" s="2" t="s">
        <v>91</v>
      </c>
      <c r="G5" s="2" t="s">
        <v>91</v>
      </c>
      <c r="H5" s="2" t="s">
        <v>91</v>
      </c>
      <c r="I5" s="2" t="s">
        <v>91</v>
      </c>
      <c r="J5" s="2" t="s">
        <v>91</v>
      </c>
      <c r="K5" s="2" t="s">
        <v>91</v>
      </c>
      <c r="L5" s="2" t="s">
        <v>91</v>
      </c>
      <c r="M5" s="2" t="s">
        <v>91</v>
      </c>
      <c r="N5" s="2" t="s">
        <v>91</v>
      </c>
      <c r="O5" s="2" t="s">
        <v>91</v>
      </c>
      <c r="P5" s="2" t="s">
        <v>91</v>
      </c>
      <c r="Q5" s="2" t="s">
        <v>91</v>
      </c>
      <c r="R5" s="2" t="s">
        <v>91</v>
      </c>
      <c r="S5" s="2" t="s">
        <v>91</v>
      </c>
      <c r="T5" s="2" t="s">
        <v>91</v>
      </c>
      <c r="U5" s="2" t="s">
        <v>91</v>
      </c>
      <c r="V5" s="2" t="s">
        <v>91</v>
      </c>
      <c r="W5" s="2" t="s">
        <v>91</v>
      </c>
      <c r="X5" s="2" t="s">
        <v>91</v>
      </c>
      <c r="Y5" s="2" t="s">
        <v>91</v>
      </c>
      <c r="Z5" s="2" t="s">
        <v>91</v>
      </c>
      <c r="AA5" s="2" t="s">
        <v>91</v>
      </c>
      <c r="AB5" s="2" t="s">
        <v>91</v>
      </c>
      <c r="AC5" s="2" t="s">
        <v>91</v>
      </c>
      <c r="AD5" s="2" t="s">
        <v>91</v>
      </c>
      <c r="AE5" s="2" t="s">
        <v>91</v>
      </c>
      <c r="AF5" s="2" t="s">
        <v>91</v>
      </c>
      <c r="AG5" s="2" t="s">
        <v>91</v>
      </c>
      <c r="AH5" s="2" t="s">
        <v>91</v>
      </c>
      <c r="AI5" s="2" t="s">
        <v>91</v>
      </c>
      <c r="AJ5" s="2" t="s">
        <v>91</v>
      </c>
      <c r="AK5" s="2" t="s">
        <v>91</v>
      </c>
      <c r="AL5" s="2" t="s">
        <v>91</v>
      </c>
      <c r="AM5" s="2" t="s">
        <v>91</v>
      </c>
      <c r="AN5" s="2" t="s">
        <v>91</v>
      </c>
      <c r="AO5" s="2" t="s">
        <v>91</v>
      </c>
      <c r="AP5" s="2" t="s">
        <v>91</v>
      </c>
      <c r="AQ5" s="2" t="s">
        <v>91</v>
      </c>
      <c r="AR5" s="2" t="s">
        <v>91</v>
      </c>
      <c r="AS5" s="2" t="s">
        <v>91</v>
      </c>
      <c r="AT5" s="2" t="s">
        <v>91</v>
      </c>
      <c r="AU5" s="2" t="s">
        <v>91</v>
      </c>
      <c r="AV5" s="2" t="s">
        <v>91</v>
      </c>
      <c r="AW5" s="2" t="s">
        <v>91</v>
      </c>
      <c r="AX5" s="2" t="s">
        <v>91</v>
      </c>
      <c r="AY5" s="2" t="s">
        <v>91</v>
      </c>
      <c r="AZ5" s="2" t="s">
        <v>91</v>
      </c>
      <c r="BA5" s="2" t="s">
        <v>91</v>
      </c>
      <c r="BB5" s="2" t="s">
        <v>91</v>
      </c>
      <c r="BC5" s="2" t="s">
        <v>91</v>
      </c>
      <c r="BD5" s="2" t="s">
        <v>91</v>
      </c>
      <c r="BE5" s="2" t="s">
        <v>91</v>
      </c>
      <c r="BF5" s="2" t="s">
        <v>91</v>
      </c>
      <c r="BG5" s="2" t="s">
        <v>91</v>
      </c>
      <c r="BH5" s="2" t="s">
        <v>91</v>
      </c>
      <c r="BI5" s="2" t="s">
        <v>91</v>
      </c>
      <c r="BJ5" s="2" t="s">
        <v>91</v>
      </c>
      <c r="BK5" s="2" t="s">
        <v>91</v>
      </c>
      <c r="BL5" s="2" t="s">
        <v>91</v>
      </c>
      <c r="BM5" s="2" t="s">
        <v>91</v>
      </c>
      <c r="BN5" s="2" t="s">
        <v>91</v>
      </c>
      <c r="BO5" s="2" t="s">
        <v>91</v>
      </c>
      <c r="BP5" s="2" t="s">
        <v>91</v>
      </c>
      <c r="BQ5" s="2" t="s">
        <v>91</v>
      </c>
      <c r="BR5" s="2" t="s">
        <v>91</v>
      </c>
      <c r="BS5" s="2" t="s">
        <v>91</v>
      </c>
      <c r="BT5" s="2" t="s">
        <v>91</v>
      </c>
      <c r="BU5" s="2" t="s">
        <v>91</v>
      </c>
      <c r="BV5" s="2" t="s">
        <v>91</v>
      </c>
      <c r="BW5" s="2" t="s">
        <v>91</v>
      </c>
      <c r="BX5" s="2" t="s">
        <v>91</v>
      </c>
      <c r="BY5" s="2" t="s">
        <v>91</v>
      </c>
      <c r="BZ5" s="2" t="s">
        <v>91</v>
      </c>
      <c r="CA5" s="2" t="s">
        <v>91</v>
      </c>
      <c r="CB5" s="2" t="s">
        <v>91</v>
      </c>
      <c r="CC5" s="2" t="s">
        <v>91</v>
      </c>
      <c r="CD5" s="2" t="s">
        <v>91</v>
      </c>
      <c r="CE5" s="2" t="s">
        <v>91</v>
      </c>
      <c r="CF5" s="2" t="s">
        <v>91</v>
      </c>
      <c r="CG5" s="2" t="s">
        <v>91</v>
      </c>
      <c r="CH5" s="2" t="s">
        <v>91</v>
      </c>
      <c r="CI5" s="2" t="s">
        <v>91</v>
      </c>
      <c r="CJ5" s="2" t="s">
        <v>91</v>
      </c>
    </row>
    <row r="6" spans="1:88" ht="12.75" x14ac:dyDescent="0.2">
      <c r="A6" s="3" t="s">
        <v>92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</row>
    <row r="7" spans="1:88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</row>
    <row r="8" spans="1:88" ht="12" x14ac:dyDescent="0.2">
      <c r="A8" s="7" t="s">
        <v>93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</row>
    <row r="9" spans="1:88" x14ac:dyDescent="0.2">
      <c r="A9" s="9" t="s">
        <v>94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</row>
    <row r="10" spans="1:88" x14ac:dyDescent="0.2">
      <c r="A10" s="10" t="s">
        <v>95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</row>
    <row r="11" spans="1:88" x14ac:dyDescent="0.2">
      <c r="A11" s="11" t="s">
        <v>96</v>
      </c>
      <c r="B11" s="12">
        <v>6602.12</v>
      </c>
      <c r="C11" s="12">
        <v>6602.12</v>
      </c>
      <c r="D11" s="12">
        <v>20388.259999999998</v>
      </c>
      <c r="E11" s="12">
        <v>17654.329999999998</v>
      </c>
      <c r="F11" s="12">
        <v>1919.9999999999982</v>
      </c>
      <c r="G11" s="12">
        <v>1919.9999999999982</v>
      </c>
      <c r="H11" s="12">
        <v>1919.9999999999982</v>
      </c>
      <c r="I11" s="12">
        <v>24369.35</v>
      </c>
      <c r="J11" s="12">
        <v>1920</v>
      </c>
      <c r="K11" s="12">
        <v>0</v>
      </c>
      <c r="L11" s="12">
        <v>0</v>
      </c>
      <c r="M11" s="12">
        <v>0</v>
      </c>
      <c r="N11" s="12">
        <v>0</v>
      </c>
      <c r="O11" s="12">
        <v>6997.2</v>
      </c>
      <c r="P11" s="12">
        <v>6997.2</v>
      </c>
      <c r="Q11" s="12">
        <v>20792.329999999998</v>
      </c>
      <c r="R11" s="12">
        <v>6729.4499999999989</v>
      </c>
      <c r="S11" s="12">
        <v>26203.799999999996</v>
      </c>
      <c r="T11" s="12">
        <v>5854.7999999999956</v>
      </c>
      <c r="U11" s="12">
        <v>4989.9999999999955</v>
      </c>
      <c r="V11" s="12">
        <v>7804.4899999999952</v>
      </c>
      <c r="W11" s="12">
        <v>7804.4899999999952</v>
      </c>
      <c r="X11" s="12">
        <v>19585.489999999994</v>
      </c>
      <c r="Y11" s="12">
        <v>32683.579999999994</v>
      </c>
      <c r="Z11" s="12">
        <v>17324.489999999994</v>
      </c>
      <c r="AA11" s="12">
        <v>7804.4899999999943</v>
      </c>
      <c r="AB11" s="12">
        <v>-5.4569682106375694E-12</v>
      </c>
      <c r="AC11" s="12">
        <v>-5.4569682106375694E-12</v>
      </c>
      <c r="AD11" s="12">
        <v>5178.8799999999947</v>
      </c>
      <c r="AE11" s="12">
        <v>6358.4099999999944</v>
      </c>
      <c r="AF11" s="12">
        <v>7075.2599999999948</v>
      </c>
      <c r="AG11" s="12">
        <v>-5.4569682106375694E-12</v>
      </c>
      <c r="AH11" s="12">
        <v>-5.4569682106375694E-12</v>
      </c>
      <c r="AI11" s="12">
        <v>-5.4569682106375694E-12</v>
      </c>
      <c r="AJ11" s="12">
        <v>-5.4569682106375694E-12</v>
      </c>
      <c r="AK11" s="12">
        <v>-5.4569682106375694E-12</v>
      </c>
      <c r="AL11" s="12">
        <v>-5.4569682106375694E-12</v>
      </c>
      <c r="AM11" s="12">
        <v>-5.4569682106375694E-12</v>
      </c>
      <c r="AN11" s="12">
        <v>-5.4569682106375694E-12</v>
      </c>
      <c r="AO11" s="12">
        <v>3510.4999999999945</v>
      </c>
      <c r="AP11" s="12">
        <v>-5.4569682106375694E-12</v>
      </c>
      <c r="AQ11" s="12">
        <v>9632.4599999999937</v>
      </c>
      <c r="AR11" s="12">
        <v>17980.899999999994</v>
      </c>
      <c r="AS11" s="12">
        <v>12126.099999999995</v>
      </c>
      <c r="AT11" s="12">
        <v>-3510.5000000000055</v>
      </c>
      <c r="AU11" s="12">
        <v>-3510.5000000000055</v>
      </c>
      <c r="AV11" s="12">
        <v>-5.4569682106375694E-12</v>
      </c>
      <c r="AW11" s="12">
        <v>-5.4569682106375694E-12</v>
      </c>
      <c r="AX11" s="12">
        <v>-5.4569682106375694E-12</v>
      </c>
      <c r="AY11" s="12">
        <v>-5.4569682106375694E-12</v>
      </c>
      <c r="AZ11" s="12">
        <v>-5.4569682106375694E-12</v>
      </c>
      <c r="BA11" s="12">
        <v>-5.4569682106375694E-12</v>
      </c>
      <c r="BB11" s="12">
        <v>-5.4569682106375694E-12</v>
      </c>
      <c r="BC11" s="12">
        <v>-5.4569682106375694E-12</v>
      </c>
      <c r="BD11" s="12">
        <v>-5.4569682106375694E-12</v>
      </c>
      <c r="BE11" s="12">
        <v>-5.4569682106375694E-12</v>
      </c>
      <c r="BF11" s="12">
        <v>-5.4569682106375694E-12</v>
      </c>
      <c r="BG11" s="12">
        <v>-5.4569682106375694E-12</v>
      </c>
      <c r="BH11" s="12">
        <v>-5.4569682106375694E-12</v>
      </c>
      <c r="BI11" s="12">
        <v>-5.4569682106375694E-12</v>
      </c>
      <c r="BJ11" s="12">
        <v>-5.4569682106375694E-12</v>
      </c>
      <c r="BK11" s="12">
        <v>-5.4569682106375694E-12</v>
      </c>
      <c r="BL11" s="12">
        <v>-5.4569682106375694E-12</v>
      </c>
      <c r="BM11" s="12">
        <v>-5.4569682106375694E-12</v>
      </c>
      <c r="BN11" s="12">
        <v>-5.4569682106375694E-12</v>
      </c>
      <c r="BO11" s="12">
        <v>-5.4569682106375694E-12</v>
      </c>
      <c r="BP11" s="12">
        <v>-5.4569682106375694E-12</v>
      </c>
      <c r="BQ11" s="12">
        <v>-5.4569682106375694E-12</v>
      </c>
      <c r="BR11" s="12">
        <v>-5.4569682106375694E-12</v>
      </c>
      <c r="BS11" s="12">
        <v>-5.4569682106375694E-12</v>
      </c>
      <c r="BT11" s="12">
        <v>-5.4569682106375694E-12</v>
      </c>
      <c r="BU11" s="12">
        <v>-5.4569682106375694E-12</v>
      </c>
      <c r="BV11" s="12">
        <v>-5.4569682106375694E-12</v>
      </c>
      <c r="BW11" s="12">
        <v>-5.4569682106375694E-12</v>
      </c>
      <c r="BX11" s="12">
        <v>-5.4569682106375694E-12</v>
      </c>
      <c r="BY11" s="12">
        <v>-5.4569682106375694E-12</v>
      </c>
      <c r="BZ11" s="12">
        <v>-5.4569682106375694E-12</v>
      </c>
      <c r="CA11" s="12">
        <v>-5.4569682106375694E-12</v>
      </c>
      <c r="CB11" s="12">
        <v>-5.4569682106375694E-12</v>
      </c>
      <c r="CC11" s="12">
        <v>-5.4569682106375694E-12</v>
      </c>
      <c r="CD11" s="12">
        <v>-5.4569682106375694E-12</v>
      </c>
      <c r="CE11" s="12">
        <v>-5.4569682106375694E-12</v>
      </c>
      <c r="CF11" s="12">
        <v>-5.4569682106375694E-12</v>
      </c>
      <c r="CG11" s="12">
        <v>-5.4569682106375694E-12</v>
      </c>
      <c r="CH11" s="12">
        <v>-5.4569682106375694E-12</v>
      </c>
      <c r="CI11" s="12">
        <v>-5.4569682106375694E-12</v>
      </c>
      <c r="CJ11" s="12">
        <v>-5.4569682106375694E-12</v>
      </c>
    </row>
    <row r="12" spans="1:88" x14ac:dyDescent="0.2">
      <c r="A12" s="11" t="s">
        <v>97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3510.5</v>
      </c>
      <c r="AQ12" s="12">
        <v>3510.5</v>
      </c>
      <c r="AR12" s="12">
        <v>3510.5</v>
      </c>
      <c r="AS12" s="12">
        <v>3510.5</v>
      </c>
      <c r="AT12" s="12">
        <v>3510.5</v>
      </c>
      <c r="AU12" s="12">
        <v>3510.5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23882.11</v>
      </c>
      <c r="BE12" s="12">
        <v>22925.350000000002</v>
      </c>
      <c r="BF12" s="12">
        <v>51663.850000000006</v>
      </c>
      <c r="BG12" s="12">
        <v>22925.350000000006</v>
      </c>
      <c r="BH12" s="12">
        <v>22925.350000000006</v>
      </c>
      <c r="BI12" s="12">
        <v>22925.350000000006</v>
      </c>
      <c r="BJ12" s="12">
        <v>7.2759576141834259E-12</v>
      </c>
      <c r="BK12" s="12">
        <v>7.2759576141834259E-12</v>
      </c>
      <c r="BL12" s="12">
        <v>7.2759576141834259E-12</v>
      </c>
      <c r="BM12" s="12">
        <v>7.2759576141834259E-12</v>
      </c>
      <c r="BN12" s="12">
        <v>885.06000000000722</v>
      </c>
      <c r="BO12" s="12">
        <v>7.2759576141834259E-12</v>
      </c>
      <c r="BP12" s="12">
        <v>7.2759576141834259E-12</v>
      </c>
      <c r="BQ12" s="12">
        <v>5178.8800000000074</v>
      </c>
      <c r="BR12" s="12">
        <v>7.2759576141834259E-12</v>
      </c>
      <c r="BS12" s="12">
        <v>7.2759576141834259E-12</v>
      </c>
      <c r="BT12" s="12">
        <v>7.2759576141834259E-12</v>
      </c>
      <c r="BU12" s="12">
        <v>7.2759576141834259E-12</v>
      </c>
      <c r="BV12" s="12">
        <v>7.2759576141834259E-12</v>
      </c>
      <c r="BW12" s="12">
        <v>7.2759576141834259E-12</v>
      </c>
      <c r="BX12" s="12">
        <v>7.2759576141834259E-12</v>
      </c>
      <c r="BY12" s="12">
        <v>7.2759576141834259E-12</v>
      </c>
      <c r="BZ12" s="12">
        <v>7.2759576141834259E-12</v>
      </c>
      <c r="CA12" s="12">
        <v>7.2759576141834259E-12</v>
      </c>
      <c r="CB12" s="12">
        <v>3510.5000000000073</v>
      </c>
      <c r="CC12" s="12">
        <v>5178.8800000000074</v>
      </c>
      <c r="CD12" s="12">
        <v>7.2759576141834259E-12</v>
      </c>
      <c r="CE12" s="12">
        <v>7.2759576141834259E-12</v>
      </c>
      <c r="CF12" s="12">
        <v>7.2759576141834259E-12</v>
      </c>
      <c r="CG12" s="12">
        <v>7.2759576141834259E-12</v>
      </c>
      <c r="CH12" s="12">
        <v>4046.0000000000073</v>
      </c>
      <c r="CI12" s="12">
        <v>7.2759576141834259E-12</v>
      </c>
      <c r="CJ12" s="12">
        <v>7.2759576141834259E-12</v>
      </c>
    </row>
    <row r="13" spans="1:88" x14ac:dyDescent="0.2">
      <c r="A13" s="13" t="s">
        <v>98</v>
      </c>
      <c r="B13" s="14">
        <f t="shared" ref="B13:AG13" si="0">SUM(B11:B12)</f>
        <v>6602.12</v>
      </c>
      <c r="C13" s="14">
        <f t="shared" si="0"/>
        <v>6602.12</v>
      </c>
      <c r="D13" s="14">
        <f t="shared" si="0"/>
        <v>20388.259999999998</v>
      </c>
      <c r="E13" s="14">
        <f t="shared" si="0"/>
        <v>17654.329999999998</v>
      </c>
      <c r="F13" s="14">
        <f t="shared" si="0"/>
        <v>1919.9999999999982</v>
      </c>
      <c r="G13" s="14">
        <f t="shared" si="0"/>
        <v>1919.9999999999982</v>
      </c>
      <c r="H13" s="14">
        <f t="shared" si="0"/>
        <v>1919.9999999999982</v>
      </c>
      <c r="I13" s="14">
        <f t="shared" si="0"/>
        <v>24369.35</v>
      </c>
      <c r="J13" s="14">
        <f t="shared" si="0"/>
        <v>1920</v>
      </c>
      <c r="K13" s="14">
        <f t="shared" si="0"/>
        <v>0</v>
      </c>
      <c r="L13" s="14">
        <f t="shared" si="0"/>
        <v>0</v>
      </c>
      <c r="M13" s="14">
        <f t="shared" si="0"/>
        <v>0</v>
      </c>
      <c r="N13" s="14">
        <f t="shared" si="0"/>
        <v>0</v>
      </c>
      <c r="O13" s="14">
        <f t="shared" si="0"/>
        <v>6997.2</v>
      </c>
      <c r="P13" s="14">
        <f t="shared" si="0"/>
        <v>6997.2</v>
      </c>
      <c r="Q13" s="14">
        <f t="shared" si="0"/>
        <v>20792.329999999998</v>
      </c>
      <c r="R13" s="14">
        <f t="shared" si="0"/>
        <v>6729.4499999999989</v>
      </c>
      <c r="S13" s="14">
        <f t="shared" si="0"/>
        <v>26203.799999999996</v>
      </c>
      <c r="T13" s="14">
        <f t="shared" si="0"/>
        <v>5854.7999999999956</v>
      </c>
      <c r="U13" s="14">
        <f t="shared" si="0"/>
        <v>4989.9999999999955</v>
      </c>
      <c r="V13" s="14">
        <f t="shared" si="0"/>
        <v>7804.4899999999952</v>
      </c>
      <c r="W13" s="14">
        <f t="shared" si="0"/>
        <v>7804.4899999999952</v>
      </c>
      <c r="X13" s="14">
        <f t="shared" si="0"/>
        <v>19585.489999999994</v>
      </c>
      <c r="Y13" s="14">
        <f t="shared" si="0"/>
        <v>32683.579999999994</v>
      </c>
      <c r="Z13" s="14">
        <f t="shared" si="0"/>
        <v>17324.489999999994</v>
      </c>
      <c r="AA13" s="14">
        <f t="shared" si="0"/>
        <v>7804.4899999999943</v>
      </c>
      <c r="AB13" s="14">
        <f t="shared" si="0"/>
        <v>-5.4569682106375694E-12</v>
      </c>
      <c r="AC13" s="14">
        <f t="shared" si="0"/>
        <v>-5.4569682106375694E-12</v>
      </c>
      <c r="AD13" s="14">
        <f t="shared" si="0"/>
        <v>5178.8799999999947</v>
      </c>
      <c r="AE13" s="14">
        <f t="shared" si="0"/>
        <v>6358.4099999999944</v>
      </c>
      <c r="AF13" s="14">
        <f t="shared" si="0"/>
        <v>7075.2599999999948</v>
      </c>
      <c r="AG13" s="14">
        <f t="shared" si="0"/>
        <v>-5.4569682106375694E-12</v>
      </c>
      <c r="AH13" s="14">
        <f t="shared" ref="AH13:BM13" si="1">SUM(AH11:AH12)</f>
        <v>-5.4569682106375694E-12</v>
      </c>
      <c r="AI13" s="14">
        <f t="shared" si="1"/>
        <v>-5.4569682106375694E-12</v>
      </c>
      <c r="AJ13" s="14">
        <f t="shared" si="1"/>
        <v>-5.4569682106375694E-12</v>
      </c>
      <c r="AK13" s="14">
        <f t="shared" si="1"/>
        <v>-5.4569682106375694E-12</v>
      </c>
      <c r="AL13" s="14">
        <f t="shared" si="1"/>
        <v>-5.4569682106375694E-12</v>
      </c>
      <c r="AM13" s="14">
        <f t="shared" si="1"/>
        <v>-5.4569682106375694E-12</v>
      </c>
      <c r="AN13" s="14">
        <f t="shared" si="1"/>
        <v>-5.4569682106375694E-12</v>
      </c>
      <c r="AO13" s="14">
        <f t="shared" si="1"/>
        <v>3510.4999999999945</v>
      </c>
      <c r="AP13" s="14">
        <f t="shared" si="1"/>
        <v>3510.4999999999945</v>
      </c>
      <c r="AQ13" s="14">
        <f t="shared" si="1"/>
        <v>13142.959999999994</v>
      </c>
      <c r="AR13" s="14">
        <f t="shared" si="1"/>
        <v>21491.399999999994</v>
      </c>
      <c r="AS13" s="14">
        <f t="shared" si="1"/>
        <v>15636.599999999995</v>
      </c>
      <c r="AT13" s="14">
        <f t="shared" si="1"/>
        <v>-5.4569682106375694E-12</v>
      </c>
      <c r="AU13" s="14">
        <f t="shared" si="1"/>
        <v>-5.4569682106375694E-12</v>
      </c>
      <c r="AV13" s="14">
        <f t="shared" si="1"/>
        <v>-5.4569682106375694E-12</v>
      </c>
      <c r="AW13" s="14">
        <f t="shared" si="1"/>
        <v>-5.4569682106375694E-12</v>
      </c>
      <c r="AX13" s="14">
        <f t="shared" si="1"/>
        <v>-5.4569682106375694E-12</v>
      </c>
      <c r="AY13" s="14">
        <f t="shared" si="1"/>
        <v>-5.4569682106375694E-12</v>
      </c>
      <c r="AZ13" s="14">
        <f t="shared" si="1"/>
        <v>-5.4569682106375694E-12</v>
      </c>
      <c r="BA13" s="14">
        <f t="shared" si="1"/>
        <v>-5.4569682106375694E-12</v>
      </c>
      <c r="BB13" s="14">
        <f t="shared" si="1"/>
        <v>-5.4569682106375694E-12</v>
      </c>
      <c r="BC13" s="14">
        <f t="shared" si="1"/>
        <v>-5.4569682106375694E-12</v>
      </c>
      <c r="BD13" s="14">
        <f t="shared" si="1"/>
        <v>23882.109999999993</v>
      </c>
      <c r="BE13" s="14">
        <f t="shared" si="1"/>
        <v>22925.35</v>
      </c>
      <c r="BF13" s="14">
        <f t="shared" si="1"/>
        <v>51663.85</v>
      </c>
      <c r="BG13" s="14">
        <f t="shared" si="1"/>
        <v>22925.35</v>
      </c>
      <c r="BH13" s="14">
        <f t="shared" si="1"/>
        <v>22925.35</v>
      </c>
      <c r="BI13" s="14">
        <f t="shared" si="1"/>
        <v>22925.35</v>
      </c>
      <c r="BJ13" s="14">
        <f t="shared" si="1"/>
        <v>1.8189894035458565E-12</v>
      </c>
      <c r="BK13" s="14">
        <f t="shared" si="1"/>
        <v>1.8189894035458565E-12</v>
      </c>
      <c r="BL13" s="14">
        <f t="shared" si="1"/>
        <v>1.8189894035458565E-12</v>
      </c>
      <c r="BM13" s="14">
        <f t="shared" si="1"/>
        <v>1.8189894035458565E-12</v>
      </c>
      <c r="BN13" s="14">
        <f t="shared" ref="BN13:CJ13" si="2">SUM(BN11:BN12)</f>
        <v>885.06000000000176</v>
      </c>
      <c r="BO13" s="14">
        <f t="shared" si="2"/>
        <v>1.8189894035458565E-12</v>
      </c>
      <c r="BP13" s="14">
        <f t="shared" si="2"/>
        <v>1.8189894035458565E-12</v>
      </c>
      <c r="BQ13" s="14">
        <f t="shared" si="2"/>
        <v>5178.8800000000019</v>
      </c>
      <c r="BR13" s="14">
        <f t="shared" si="2"/>
        <v>1.8189894035458565E-12</v>
      </c>
      <c r="BS13" s="14">
        <f t="shared" si="2"/>
        <v>1.8189894035458565E-12</v>
      </c>
      <c r="BT13" s="14">
        <f t="shared" si="2"/>
        <v>1.8189894035458565E-12</v>
      </c>
      <c r="BU13" s="14">
        <f t="shared" si="2"/>
        <v>1.8189894035458565E-12</v>
      </c>
      <c r="BV13" s="14">
        <f t="shared" si="2"/>
        <v>1.8189894035458565E-12</v>
      </c>
      <c r="BW13" s="14">
        <f t="shared" si="2"/>
        <v>1.8189894035458565E-12</v>
      </c>
      <c r="BX13" s="14">
        <f t="shared" si="2"/>
        <v>1.8189894035458565E-12</v>
      </c>
      <c r="BY13" s="14">
        <f t="shared" si="2"/>
        <v>1.8189894035458565E-12</v>
      </c>
      <c r="BZ13" s="14">
        <f t="shared" si="2"/>
        <v>1.8189894035458565E-12</v>
      </c>
      <c r="CA13" s="14">
        <f t="shared" si="2"/>
        <v>1.8189894035458565E-12</v>
      </c>
      <c r="CB13" s="14">
        <f t="shared" si="2"/>
        <v>3510.5000000000018</v>
      </c>
      <c r="CC13" s="14">
        <f t="shared" si="2"/>
        <v>5178.8800000000019</v>
      </c>
      <c r="CD13" s="14">
        <f t="shared" si="2"/>
        <v>1.8189894035458565E-12</v>
      </c>
      <c r="CE13" s="14">
        <f t="shared" si="2"/>
        <v>1.8189894035458565E-12</v>
      </c>
      <c r="CF13" s="14">
        <f t="shared" si="2"/>
        <v>1.8189894035458565E-12</v>
      </c>
      <c r="CG13" s="14">
        <f t="shared" si="2"/>
        <v>1.8189894035458565E-12</v>
      </c>
      <c r="CH13" s="14">
        <f t="shared" si="2"/>
        <v>4046.0000000000018</v>
      </c>
      <c r="CI13" s="14">
        <f t="shared" si="2"/>
        <v>1.8189894035458565E-12</v>
      </c>
      <c r="CJ13" s="14">
        <f t="shared" si="2"/>
        <v>1.8189894035458565E-12</v>
      </c>
    </row>
    <row r="14" spans="1:88" x14ac:dyDescent="0.2">
      <c r="A14" s="10" t="s">
        <v>99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</row>
    <row r="15" spans="1:88" x14ac:dyDescent="0.2">
      <c r="A15" s="11" t="s">
        <v>100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200000</v>
      </c>
      <c r="AP15" s="12">
        <v>200000</v>
      </c>
      <c r="AQ15" s="12">
        <v>200000</v>
      </c>
      <c r="AR15" s="12">
        <v>200000</v>
      </c>
      <c r="AS15" s="12">
        <v>200000</v>
      </c>
      <c r="AT15" s="12">
        <v>200000</v>
      </c>
      <c r="AU15" s="12">
        <v>200000</v>
      </c>
      <c r="AV15" s="12">
        <v>200000</v>
      </c>
      <c r="AW15" s="12">
        <v>200000</v>
      </c>
      <c r="AX15" s="12">
        <v>200000</v>
      </c>
      <c r="AY15" s="12">
        <v>200000</v>
      </c>
      <c r="AZ15" s="12">
        <v>200000</v>
      </c>
      <c r="BA15" s="12">
        <v>200000</v>
      </c>
      <c r="BB15" s="12">
        <v>200000</v>
      </c>
      <c r="BC15" s="12">
        <v>200000</v>
      </c>
      <c r="BD15" s="12">
        <v>200000</v>
      </c>
      <c r="BE15" s="12">
        <v>200000</v>
      </c>
      <c r="BF15" s="12">
        <v>200000</v>
      </c>
      <c r="BG15" s="12">
        <v>200000</v>
      </c>
      <c r="BH15" s="12">
        <v>200000</v>
      </c>
      <c r="BI15" s="12">
        <v>200000</v>
      </c>
      <c r="BJ15" s="12">
        <v>200000</v>
      </c>
      <c r="BK15" s="12">
        <v>200000</v>
      </c>
      <c r="BL15" s="12">
        <v>200000</v>
      </c>
      <c r="BM15" s="12">
        <v>200000</v>
      </c>
      <c r="BN15" s="12">
        <v>200000</v>
      </c>
      <c r="BO15" s="12">
        <v>200000</v>
      </c>
      <c r="BP15" s="12">
        <v>200000</v>
      </c>
      <c r="BQ15" s="12">
        <v>200000</v>
      </c>
      <c r="BR15" s="12">
        <v>200000</v>
      </c>
      <c r="BS15" s="12">
        <v>200000</v>
      </c>
      <c r="BT15" s="12">
        <v>200000</v>
      </c>
      <c r="BU15" s="12">
        <v>200000</v>
      </c>
      <c r="BV15" s="12">
        <v>200000</v>
      </c>
      <c r="BW15" s="12">
        <v>200000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</row>
    <row r="16" spans="1:88" x14ac:dyDescent="0.2">
      <c r="A16" s="11" t="s">
        <v>101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22925.35</v>
      </c>
      <c r="BR16" s="12">
        <v>22925.35</v>
      </c>
      <c r="BS16" s="12">
        <v>28637.35</v>
      </c>
      <c r="BT16" s="12">
        <v>28494.55</v>
      </c>
      <c r="BU16" s="12">
        <v>34708.58</v>
      </c>
      <c r="BV16" s="12">
        <v>36814.880000000005</v>
      </c>
      <c r="BW16" s="12">
        <v>44993.390000000007</v>
      </c>
      <c r="BX16" s="12">
        <v>6854.4000000000087</v>
      </c>
      <c r="BY16" s="12">
        <v>9.0949470177292824E-12</v>
      </c>
      <c r="BZ16" s="12">
        <v>2106.3000000000093</v>
      </c>
      <c r="CA16" s="12">
        <v>6104.7000000000098</v>
      </c>
      <c r="CB16" s="12">
        <v>1.0004441719502211E-11</v>
      </c>
      <c r="CC16" s="12">
        <v>1.0004441719502211E-11</v>
      </c>
      <c r="CD16" s="12">
        <v>8839.3200000000106</v>
      </c>
      <c r="CE16" s="12">
        <v>1.0913936421275139E-11</v>
      </c>
      <c r="CF16" s="12">
        <v>1.0913936421275139E-11</v>
      </c>
      <c r="CG16" s="12">
        <v>1.0913936421275139E-11</v>
      </c>
      <c r="CH16" s="12">
        <v>1.0913936421275139E-11</v>
      </c>
      <c r="CI16" s="12">
        <v>1.0913936421275139E-11</v>
      </c>
      <c r="CJ16" s="12">
        <v>6854.4000000000106</v>
      </c>
    </row>
    <row r="17" spans="1:88" x14ac:dyDescent="0.2">
      <c r="A17" s="11" t="s">
        <v>102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2109.2800000000002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</row>
    <row r="18" spans="1:88" x14ac:dyDescent="0.2">
      <c r="A18" s="13" t="s">
        <v>103</v>
      </c>
      <c r="B18" s="14">
        <f t="shared" ref="B18:AG18" si="3">SUM(B15:B17)</f>
        <v>0</v>
      </c>
      <c r="C18" s="14">
        <f t="shared" si="3"/>
        <v>0</v>
      </c>
      <c r="D18" s="14">
        <f t="shared" si="3"/>
        <v>0</v>
      </c>
      <c r="E18" s="14">
        <f t="shared" si="3"/>
        <v>0</v>
      </c>
      <c r="F18" s="14">
        <f t="shared" si="3"/>
        <v>0</v>
      </c>
      <c r="G18" s="14">
        <f t="shared" si="3"/>
        <v>0</v>
      </c>
      <c r="H18" s="14">
        <f t="shared" si="3"/>
        <v>0</v>
      </c>
      <c r="I18" s="14">
        <f t="shared" si="3"/>
        <v>0</v>
      </c>
      <c r="J18" s="14">
        <f t="shared" si="3"/>
        <v>0</v>
      </c>
      <c r="K18" s="14">
        <f t="shared" si="3"/>
        <v>0</v>
      </c>
      <c r="L18" s="14">
        <f t="shared" si="3"/>
        <v>0</v>
      </c>
      <c r="M18" s="14">
        <f t="shared" si="3"/>
        <v>0</v>
      </c>
      <c r="N18" s="14">
        <f t="shared" si="3"/>
        <v>0</v>
      </c>
      <c r="O18" s="14">
        <f t="shared" si="3"/>
        <v>0</v>
      </c>
      <c r="P18" s="14">
        <f t="shared" si="3"/>
        <v>0</v>
      </c>
      <c r="Q18" s="14">
        <f t="shared" si="3"/>
        <v>0</v>
      </c>
      <c r="R18" s="14">
        <f t="shared" si="3"/>
        <v>0</v>
      </c>
      <c r="S18" s="14">
        <f t="shared" si="3"/>
        <v>0</v>
      </c>
      <c r="T18" s="14">
        <f t="shared" si="3"/>
        <v>0</v>
      </c>
      <c r="U18" s="14">
        <f t="shared" si="3"/>
        <v>0</v>
      </c>
      <c r="V18" s="14">
        <f t="shared" si="3"/>
        <v>0</v>
      </c>
      <c r="W18" s="14">
        <f t="shared" si="3"/>
        <v>0</v>
      </c>
      <c r="X18" s="14">
        <f t="shared" si="3"/>
        <v>0</v>
      </c>
      <c r="Y18" s="14">
        <f t="shared" si="3"/>
        <v>0</v>
      </c>
      <c r="Z18" s="14">
        <f t="shared" si="3"/>
        <v>0</v>
      </c>
      <c r="AA18" s="14">
        <f t="shared" si="3"/>
        <v>0</v>
      </c>
      <c r="AB18" s="14">
        <f t="shared" si="3"/>
        <v>0</v>
      </c>
      <c r="AC18" s="14">
        <f t="shared" si="3"/>
        <v>0</v>
      </c>
      <c r="AD18" s="14">
        <f t="shared" si="3"/>
        <v>0</v>
      </c>
      <c r="AE18" s="14">
        <f t="shared" si="3"/>
        <v>0</v>
      </c>
      <c r="AF18" s="14">
        <f t="shared" si="3"/>
        <v>0</v>
      </c>
      <c r="AG18" s="14">
        <f t="shared" si="3"/>
        <v>0</v>
      </c>
      <c r="AH18" s="14">
        <f t="shared" ref="AH18:BM18" si="4">SUM(AH15:AH17)</f>
        <v>0</v>
      </c>
      <c r="AI18" s="14">
        <f t="shared" si="4"/>
        <v>0</v>
      </c>
      <c r="AJ18" s="14">
        <f t="shared" si="4"/>
        <v>0</v>
      </c>
      <c r="AK18" s="14">
        <f t="shared" si="4"/>
        <v>0</v>
      </c>
      <c r="AL18" s="14">
        <f t="shared" si="4"/>
        <v>0</v>
      </c>
      <c r="AM18" s="14">
        <f t="shared" si="4"/>
        <v>0</v>
      </c>
      <c r="AN18" s="14">
        <f t="shared" si="4"/>
        <v>0</v>
      </c>
      <c r="AO18" s="14">
        <f t="shared" si="4"/>
        <v>200000</v>
      </c>
      <c r="AP18" s="14">
        <f t="shared" si="4"/>
        <v>200000</v>
      </c>
      <c r="AQ18" s="14">
        <f t="shared" si="4"/>
        <v>200000</v>
      </c>
      <c r="AR18" s="14">
        <f t="shared" si="4"/>
        <v>200000</v>
      </c>
      <c r="AS18" s="14">
        <f t="shared" si="4"/>
        <v>200000</v>
      </c>
      <c r="AT18" s="14">
        <f t="shared" si="4"/>
        <v>200000</v>
      </c>
      <c r="AU18" s="14">
        <f t="shared" si="4"/>
        <v>200000</v>
      </c>
      <c r="AV18" s="14">
        <f t="shared" si="4"/>
        <v>200000</v>
      </c>
      <c r="AW18" s="14">
        <f t="shared" si="4"/>
        <v>200000</v>
      </c>
      <c r="AX18" s="14">
        <f t="shared" si="4"/>
        <v>200000</v>
      </c>
      <c r="AY18" s="14">
        <f t="shared" si="4"/>
        <v>200000</v>
      </c>
      <c r="AZ18" s="14">
        <f t="shared" si="4"/>
        <v>200000</v>
      </c>
      <c r="BA18" s="14">
        <f t="shared" si="4"/>
        <v>200000</v>
      </c>
      <c r="BB18" s="14">
        <f t="shared" si="4"/>
        <v>200000</v>
      </c>
      <c r="BC18" s="14">
        <f t="shared" si="4"/>
        <v>200000</v>
      </c>
      <c r="BD18" s="14">
        <f t="shared" si="4"/>
        <v>200000</v>
      </c>
      <c r="BE18" s="14">
        <f t="shared" si="4"/>
        <v>200000</v>
      </c>
      <c r="BF18" s="14">
        <f t="shared" si="4"/>
        <v>200000</v>
      </c>
      <c r="BG18" s="14">
        <f t="shared" si="4"/>
        <v>200000</v>
      </c>
      <c r="BH18" s="14">
        <f t="shared" si="4"/>
        <v>200000</v>
      </c>
      <c r="BI18" s="14">
        <f t="shared" si="4"/>
        <v>200000</v>
      </c>
      <c r="BJ18" s="14">
        <f t="shared" si="4"/>
        <v>200000</v>
      </c>
      <c r="BK18" s="14">
        <f t="shared" si="4"/>
        <v>200000</v>
      </c>
      <c r="BL18" s="14">
        <f t="shared" si="4"/>
        <v>200000</v>
      </c>
      <c r="BM18" s="14">
        <f t="shared" si="4"/>
        <v>200000</v>
      </c>
      <c r="BN18" s="14">
        <f t="shared" ref="BN18:CJ18" si="5">SUM(BN15:BN17)</f>
        <v>200000</v>
      </c>
      <c r="BO18" s="14">
        <f t="shared" si="5"/>
        <v>200000</v>
      </c>
      <c r="BP18" s="14">
        <f t="shared" si="5"/>
        <v>200000</v>
      </c>
      <c r="BQ18" s="14">
        <f t="shared" si="5"/>
        <v>225034.63</v>
      </c>
      <c r="BR18" s="14">
        <f t="shared" si="5"/>
        <v>222925.35</v>
      </c>
      <c r="BS18" s="14">
        <f t="shared" si="5"/>
        <v>228637.35</v>
      </c>
      <c r="BT18" s="14">
        <f t="shared" si="5"/>
        <v>228494.55</v>
      </c>
      <c r="BU18" s="14">
        <f t="shared" si="5"/>
        <v>234708.58000000002</v>
      </c>
      <c r="BV18" s="14">
        <f t="shared" si="5"/>
        <v>236814.88</v>
      </c>
      <c r="BW18" s="14">
        <f t="shared" si="5"/>
        <v>244993.39</v>
      </c>
      <c r="BX18" s="14">
        <f t="shared" si="5"/>
        <v>6854.4000000000087</v>
      </c>
      <c r="BY18" s="14">
        <f t="shared" si="5"/>
        <v>9.0949470177292824E-12</v>
      </c>
      <c r="BZ18" s="14">
        <f t="shared" si="5"/>
        <v>2106.3000000000093</v>
      </c>
      <c r="CA18" s="14">
        <f t="shared" si="5"/>
        <v>6104.7000000000098</v>
      </c>
      <c r="CB18" s="14">
        <f t="shared" si="5"/>
        <v>1.0004441719502211E-11</v>
      </c>
      <c r="CC18" s="14">
        <f t="shared" si="5"/>
        <v>1.0004441719502211E-11</v>
      </c>
      <c r="CD18" s="14">
        <f t="shared" si="5"/>
        <v>8839.3200000000106</v>
      </c>
      <c r="CE18" s="14">
        <f t="shared" si="5"/>
        <v>1.0913936421275139E-11</v>
      </c>
      <c r="CF18" s="14">
        <f t="shared" si="5"/>
        <v>1.0913936421275139E-11</v>
      </c>
      <c r="CG18" s="14">
        <f t="shared" si="5"/>
        <v>1.0913936421275139E-11</v>
      </c>
      <c r="CH18" s="14">
        <f t="shared" si="5"/>
        <v>1.0913936421275139E-11</v>
      </c>
      <c r="CI18" s="14">
        <f t="shared" si="5"/>
        <v>1.0913936421275139E-11</v>
      </c>
      <c r="CJ18" s="14">
        <f t="shared" si="5"/>
        <v>6854.4000000000106</v>
      </c>
    </row>
    <row r="19" spans="1:88" x14ac:dyDescent="0.2">
      <c r="A19" s="10" t="s">
        <v>104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</row>
    <row r="20" spans="1:88" x14ac:dyDescent="0.2">
      <c r="A20" s="11" t="s">
        <v>105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2414.0700000000002</v>
      </c>
      <c r="CC20" s="12">
        <v>-0.25999999999976353</v>
      </c>
      <c r="CD20" s="12">
        <v>-0.25999999999976353</v>
      </c>
      <c r="CE20" s="12">
        <v>-0.25999999999976353</v>
      </c>
      <c r="CF20" s="12">
        <v>-0.25999999999976353</v>
      </c>
      <c r="CG20" s="12">
        <v>-0.25999999999976353</v>
      </c>
      <c r="CH20" s="12">
        <v>-0.25999999999976353</v>
      </c>
      <c r="CI20" s="12">
        <v>-0.25999999999976353</v>
      </c>
      <c r="CJ20" s="12">
        <v>-0.25999999999976353</v>
      </c>
    </row>
    <row r="21" spans="1:88" x14ac:dyDescent="0.2">
      <c r="A21" s="11" t="s">
        <v>106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7246</v>
      </c>
      <c r="P21" s="12">
        <v>7246</v>
      </c>
      <c r="Q21" s="12">
        <v>7246</v>
      </c>
      <c r="R21" s="12">
        <v>7246</v>
      </c>
      <c r="S21" s="12">
        <v>7246</v>
      </c>
      <c r="T21" s="12">
        <v>7246</v>
      </c>
      <c r="U21" s="12">
        <v>7246</v>
      </c>
      <c r="V21" s="12">
        <v>7246</v>
      </c>
      <c r="W21" s="12">
        <v>7246</v>
      </c>
      <c r="X21" s="12">
        <v>0</v>
      </c>
      <c r="Y21" s="12">
        <v>0</v>
      </c>
      <c r="Z21" s="12">
        <v>0</v>
      </c>
      <c r="AA21" s="12">
        <v>0</v>
      </c>
      <c r="AB21" s="12">
        <v>675</v>
      </c>
      <c r="AC21" s="12">
        <v>675</v>
      </c>
      <c r="AD21" s="12">
        <v>675</v>
      </c>
      <c r="AE21" s="12">
        <v>675</v>
      </c>
      <c r="AF21" s="12">
        <v>675</v>
      </c>
      <c r="AG21" s="12">
        <v>675</v>
      </c>
      <c r="AH21" s="12">
        <v>675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2186</v>
      </c>
      <c r="AP21" s="12">
        <v>2186</v>
      </c>
      <c r="AQ21" s="12">
        <v>2186</v>
      </c>
      <c r="AR21" s="12">
        <v>2186</v>
      </c>
      <c r="AS21" s="12">
        <v>2186</v>
      </c>
      <c r="AT21" s="12">
        <v>2186</v>
      </c>
      <c r="AU21" s="12">
        <v>2186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319</v>
      </c>
      <c r="BD21" s="12">
        <v>319</v>
      </c>
      <c r="BE21" s="12">
        <v>319</v>
      </c>
      <c r="BF21" s="12">
        <v>319</v>
      </c>
      <c r="BG21" s="12">
        <v>319</v>
      </c>
      <c r="BH21" s="12">
        <v>319</v>
      </c>
      <c r="BI21" s="12">
        <v>319</v>
      </c>
      <c r="BJ21" s="12">
        <v>319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519</v>
      </c>
      <c r="CC21" s="12">
        <v>519</v>
      </c>
      <c r="CD21" s="12">
        <v>519</v>
      </c>
      <c r="CE21" s="12">
        <v>519</v>
      </c>
      <c r="CF21" s="12">
        <v>519</v>
      </c>
      <c r="CG21" s="12">
        <v>519</v>
      </c>
      <c r="CH21" s="12">
        <v>519</v>
      </c>
      <c r="CI21" s="12">
        <v>519</v>
      </c>
      <c r="CJ21" s="12">
        <v>519</v>
      </c>
    </row>
    <row r="22" spans="1:88" x14ac:dyDescent="0.2">
      <c r="A22" s="11" t="s">
        <v>107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8971.7199999999993</v>
      </c>
      <c r="P22" s="12">
        <v>8971.7199999999993</v>
      </c>
      <c r="Q22" s="12">
        <v>8971.7199999999993</v>
      </c>
      <c r="R22" s="12">
        <v>8971.7199999999993</v>
      </c>
      <c r="S22" s="12">
        <v>8971.7199999999993</v>
      </c>
      <c r="T22" s="12">
        <v>8971.7199999999993</v>
      </c>
      <c r="U22" s="12">
        <v>8971.7199999999993</v>
      </c>
      <c r="V22" s="12">
        <v>8971.7199999999993</v>
      </c>
      <c r="W22" s="12">
        <v>8971.7199999999993</v>
      </c>
      <c r="X22" s="12">
        <v>0</v>
      </c>
      <c r="Y22" s="12">
        <v>0</v>
      </c>
      <c r="Z22" s="12">
        <v>0</v>
      </c>
      <c r="AA22" s="12">
        <v>0</v>
      </c>
      <c r="AB22" s="12">
        <v>2667.03</v>
      </c>
      <c r="AC22" s="12">
        <v>2667.03</v>
      </c>
      <c r="AD22" s="12">
        <v>2667.03</v>
      </c>
      <c r="AE22" s="12">
        <v>2667.03</v>
      </c>
      <c r="AF22" s="12">
        <v>2667.03</v>
      </c>
      <c r="AG22" s="12">
        <v>2667.03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2712.4</v>
      </c>
      <c r="AP22" s="12">
        <v>2712.4</v>
      </c>
      <c r="AQ22" s="12">
        <v>2712.4</v>
      </c>
      <c r="AR22" s="12">
        <v>2712.4</v>
      </c>
      <c r="AS22" s="12">
        <v>2712.4</v>
      </c>
      <c r="AT22" s="12">
        <v>2712.4</v>
      </c>
      <c r="AU22" s="12">
        <v>2712.4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858.76</v>
      </c>
      <c r="BD22" s="12">
        <v>858.76</v>
      </c>
      <c r="BE22" s="12">
        <v>858.76</v>
      </c>
      <c r="BF22" s="12">
        <v>858.76</v>
      </c>
      <c r="BG22" s="12">
        <v>858.76</v>
      </c>
      <c r="BH22" s="12">
        <v>858.76</v>
      </c>
      <c r="BI22" s="12">
        <v>858.76</v>
      </c>
      <c r="BJ22" s="12">
        <v>858.76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622.45000000000005</v>
      </c>
      <c r="CC22" s="12">
        <v>622.45000000000005</v>
      </c>
      <c r="CD22" s="12">
        <v>622.45000000000005</v>
      </c>
      <c r="CE22" s="12">
        <v>622.45000000000005</v>
      </c>
      <c r="CF22" s="12">
        <v>622.45000000000005</v>
      </c>
      <c r="CG22" s="12">
        <v>622.45000000000005</v>
      </c>
      <c r="CH22" s="12">
        <v>622.45000000000005</v>
      </c>
      <c r="CI22" s="12">
        <v>622.45000000000005</v>
      </c>
      <c r="CJ22" s="12">
        <v>622.45000000000005</v>
      </c>
    </row>
    <row r="23" spans="1:88" x14ac:dyDescent="0.2">
      <c r="A23" s="11" t="s">
        <v>108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1324.93</v>
      </c>
      <c r="AU23" s="12">
        <v>1470.0700000000002</v>
      </c>
      <c r="AV23" s="12">
        <v>1482.65</v>
      </c>
      <c r="AW23" s="12">
        <v>1799.99</v>
      </c>
      <c r="AX23" s="12">
        <v>1253.3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</row>
    <row r="24" spans="1:88" x14ac:dyDescent="0.2">
      <c r="A24" s="13" t="s">
        <v>109</v>
      </c>
      <c r="B24" s="14">
        <f t="shared" ref="B24:AG24" si="6">SUM(B20:B23)</f>
        <v>0</v>
      </c>
      <c r="C24" s="14">
        <f t="shared" si="6"/>
        <v>0</v>
      </c>
      <c r="D24" s="14">
        <f t="shared" si="6"/>
        <v>0</v>
      </c>
      <c r="E24" s="14">
        <f t="shared" si="6"/>
        <v>0</v>
      </c>
      <c r="F24" s="14">
        <f t="shared" si="6"/>
        <v>0</v>
      </c>
      <c r="G24" s="14">
        <f t="shared" si="6"/>
        <v>0</v>
      </c>
      <c r="H24" s="14">
        <f t="shared" si="6"/>
        <v>0</v>
      </c>
      <c r="I24" s="14">
        <f t="shared" si="6"/>
        <v>0</v>
      </c>
      <c r="J24" s="14">
        <f t="shared" si="6"/>
        <v>0</v>
      </c>
      <c r="K24" s="14">
        <f t="shared" si="6"/>
        <v>0</v>
      </c>
      <c r="L24" s="14">
        <f t="shared" si="6"/>
        <v>0</v>
      </c>
      <c r="M24" s="14">
        <f t="shared" si="6"/>
        <v>0</v>
      </c>
      <c r="N24" s="14">
        <f t="shared" si="6"/>
        <v>0</v>
      </c>
      <c r="O24" s="14">
        <f t="shared" si="6"/>
        <v>16217.72</v>
      </c>
      <c r="P24" s="14">
        <f t="shared" si="6"/>
        <v>16217.72</v>
      </c>
      <c r="Q24" s="14">
        <f t="shared" si="6"/>
        <v>16217.72</v>
      </c>
      <c r="R24" s="14">
        <f t="shared" si="6"/>
        <v>16217.72</v>
      </c>
      <c r="S24" s="14">
        <f t="shared" si="6"/>
        <v>16217.72</v>
      </c>
      <c r="T24" s="14">
        <f t="shared" si="6"/>
        <v>16217.72</v>
      </c>
      <c r="U24" s="14">
        <f t="shared" si="6"/>
        <v>16217.72</v>
      </c>
      <c r="V24" s="14">
        <f t="shared" si="6"/>
        <v>16217.72</v>
      </c>
      <c r="W24" s="14">
        <f t="shared" si="6"/>
        <v>16217.72</v>
      </c>
      <c r="X24" s="14">
        <f t="shared" si="6"/>
        <v>0</v>
      </c>
      <c r="Y24" s="14">
        <f t="shared" si="6"/>
        <v>0</v>
      </c>
      <c r="Z24" s="14">
        <f t="shared" si="6"/>
        <v>0</v>
      </c>
      <c r="AA24" s="14">
        <f t="shared" si="6"/>
        <v>0</v>
      </c>
      <c r="AB24" s="14">
        <f t="shared" si="6"/>
        <v>3342.03</v>
      </c>
      <c r="AC24" s="14">
        <f t="shared" si="6"/>
        <v>3342.03</v>
      </c>
      <c r="AD24" s="14">
        <f t="shared" si="6"/>
        <v>3342.03</v>
      </c>
      <c r="AE24" s="14">
        <f t="shared" si="6"/>
        <v>3342.03</v>
      </c>
      <c r="AF24" s="14">
        <f t="shared" si="6"/>
        <v>3342.03</v>
      </c>
      <c r="AG24" s="14">
        <f t="shared" si="6"/>
        <v>3342.03</v>
      </c>
      <c r="AH24" s="14">
        <f t="shared" ref="AH24:BM24" si="7">SUM(AH20:AH23)</f>
        <v>675</v>
      </c>
      <c r="AI24" s="14">
        <f t="shared" si="7"/>
        <v>0</v>
      </c>
      <c r="AJ24" s="14">
        <f t="shared" si="7"/>
        <v>0</v>
      </c>
      <c r="AK24" s="14">
        <f t="shared" si="7"/>
        <v>0</v>
      </c>
      <c r="AL24" s="14">
        <f t="shared" si="7"/>
        <v>0</v>
      </c>
      <c r="AM24" s="14">
        <f t="shared" si="7"/>
        <v>0</v>
      </c>
      <c r="AN24" s="14">
        <f t="shared" si="7"/>
        <v>0</v>
      </c>
      <c r="AO24" s="14">
        <f t="shared" si="7"/>
        <v>4898.3999999999996</v>
      </c>
      <c r="AP24" s="14">
        <f t="shared" si="7"/>
        <v>4898.3999999999996</v>
      </c>
      <c r="AQ24" s="14">
        <f t="shared" si="7"/>
        <v>4898.3999999999996</v>
      </c>
      <c r="AR24" s="14">
        <f t="shared" si="7"/>
        <v>4898.3999999999996</v>
      </c>
      <c r="AS24" s="14">
        <f t="shared" si="7"/>
        <v>4898.3999999999996</v>
      </c>
      <c r="AT24" s="14">
        <f t="shared" si="7"/>
        <v>6223.33</v>
      </c>
      <c r="AU24" s="14">
        <f t="shared" si="7"/>
        <v>6368.4699999999993</v>
      </c>
      <c r="AV24" s="14">
        <f t="shared" si="7"/>
        <v>1482.65</v>
      </c>
      <c r="AW24" s="14">
        <f t="shared" si="7"/>
        <v>1799.99</v>
      </c>
      <c r="AX24" s="14">
        <f t="shared" si="7"/>
        <v>1253.3</v>
      </c>
      <c r="AY24" s="14">
        <f t="shared" si="7"/>
        <v>0</v>
      </c>
      <c r="AZ24" s="14">
        <f t="shared" si="7"/>
        <v>0</v>
      </c>
      <c r="BA24" s="14">
        <f t="shared" si="7"/>
        <v>0</v>
      </c>
      <c r="BB24" s="14">
        <f t="shared" si="7"/>
        <v>0</v>
      </c>
      <c r="BC24" s="14">
        <f t="shared" si="7"/>
        <v>1177.76</v>
      </c>
      <c r="BD24" s="14">
        <f t="shared" si="7"/>
        <v>1177.76</v>
      </c>
      <c r="BE24" s="14">
        <f t="shared" si="7"/>
        <v>1177.76</v>
      </c>
      <c r="BF24" s="14">
        <f t="shared" si="7"/>
        <v>1177.76</v>
      </c>
      <c r="BG24" s="14">
        <f t="shared" si="7"/>
        <v>1177.76</v>
      </c>
      <c r="BH24" s="14">
        <f t="shared" si="7"/>
        <v>1177.76</v>
      </c>
      <c r="BI24" s="14">
        <f t="shared" si="7"/>
        <v>1177.76</v>
      </c>
      <c r="BJ24" s="14">
        <f t="shared" si="7"/>
        <v>1177.76</v>
      </c>
      <c r="BK24" s="14">
        <f t="shared" si="7"/>
        <v>0</v>
      </c>
      <c r="BL24" s="14">
        <f t="shared" si="7"/>
        <v>0</v>
      </c>
      <c r="BM24" s="14">
        <f t="shared" si="7"/>
        <v>0</v>
      </c>
      <c r="BN24" s="14">
        <f t="shared" ref="BN24:CJ24" si="8">SUM(BN20:BN23)</f>
        <v>0</v>
      </c>
      <c r="BO24" s="14">
        <f t="shared" si="8"/>
        <v>0</v>
      </c>
      <c r="BP24" s="14">
        <f t="shared" si="8"/>
        <v>0</v>
      </c>
      <c r="BQ24" s="14">
        <f t="shared" si="8"/>
        <v>0</v>
      </c>
      <c r="BR24" s="14">
        <f t="shared" si="8"/>
        <v>0</v>
      </c>
      <c r="BS24" s="14">
        <f t="shared" si="8"/>
        <v>0</v>
      </c>
      <c r="BT24" s="14">
        <f t="shared" si="8"/>
        <v>0</v>
      </c>
      <c r="BU24" s="14">
        <f t="shared" si="8"/>
        <v>0</v>
      </c>
      <c r="BV24" s="14">
        <f t="shared" si="8"/>
        <v>0</v>
      </c>
      <c r="BW24" s="14">
        <f t="shared" si="8"/>
        <v>0</v>
      </c>
      <c r="BX24" s="14">
        <f t="shared" si="8"/>
        <v>0</v>
      </c>
      <c r="BY24" s="14">
        <f t="shared" si="8"/>
        <v>0</v>
      </c>
      <c r="BZ24" s="14">
        <f t="shared" si="8"/>
        <v>0</v>
      </c>
      <c r="CA24" s="14">
        <f t="shared" si="8"/>
        <v>0</v>
      </c>
      <c r="CB24" s="14">
        <f t="shared" si="8"/>
        <v>3555.5200000000004</v>
      </c>
      <c r="CC24" s="14">
        <f t="shared" si="8"/>
        <v>1141.1900000000003</v>
      </c>
      <c r="CD24" s="14">
        <f t="shared" si="8"/>
        <v>1141.1900000000003</v>
      </c>
      <c r="CE24" s="14">
        <f t="shared" si="8"/>
        <v>1141.1900000000003</v>
      </c>
      <c r="CF24" s="14">
        <f t="shared" si="8"/>
        <v>1141.1900000000003</v>
      </c>
      <c r="CG24" s="14">
        <f t="shared" si="8"/>
        <v>1141.1900000000003</v>
      </c>
      <c r="CH24" s="14">
        <f t="shared" si="8"/>
        <v>1141.1900000000003</v>
      </c>
      <c r="CI24" s="14">
        <f t="shared" si="8"/>
        <v>1141.1900000000003</v>
      </c>
      <c r="CJ24" s="14">
        <f t="shared" si="8"/>
        <v>1141.1900000000003</v>
      </c>
    </row>
    <row r="25" spans="1:88" x14ac:dyDescent="0.2">
      <c r="A25" s="15" t="s">
        <v>110</v>
      </c>
      <c r="B25" s="16">
        <f t="shared" ref="B25:AG25" si="9">B13+B18+0+0+0+B24</f>
        <v>6602.12</v>
      </c>
      <c r="C25" s="16">
        <f t="shared" si="9"/>
        <v>6602.12</v>
      </c>
      <c r="D25" s="16">
        <f t="shared" si="9"/>
        <v>20388.259999999998</v>
      </c>
      <c r="E25" s="16">
        <f t="shared" si="9"/>
        <v>17654.329999999998</v>
      </c>
      <c r="F25" s="16">
        <f t="shared" si="9"/>
        <v>1919.9999999999982</v>
      </c>
      <c r="G25" s="16">
        <f t="shared" si="9"/>
        <v>1919.9999999999982</v>
      </c>
      <c r="H25" s="16">
        <f t="shared" si="9"/>
        <v>1919.9999999999982</v>
      </c>
      <c r="I25" s="16">
        <f t="shared" si="9"/>
        <v>24369.35</v>
      </c>
      <c r="J25" s="16">
        <f t="shared" si="9"/>
        <v>1920</v>
      </c>
      <c r="K25" s="16">
        <f t="shared" si="9"/>
        <v>0</v>
      </c>
      <c r="L25" s="16">
        <f t="shared" si="9"/>
        <v>0</v>
      </c>
      <c r="M25" s="16">
        <f t="shared" si="9"/>
        <v>0</v>
      </c>
      <c r="N25" s="16">
        <f t="shared" si="9"/>
        <v>0</v>
      </c>
      <c r="O25" s="16">
        <f t="shared" si="9"/>
        <v>23214.92</v>
      </c>
      <c r="P25" s="16">
        <f t="shared" si="9"/>
        <v>23214.92</v>
      </c>
      <c r="Q25" s="16">
        <f t="shared" si="9"/>
        <v>37010.049999999996</v>
      </c>
      <c r="R25" s="16">
        <f t="shared" si="9"/>
        <v>22947.17</v>
      </c>
      <c r="S25" s="16">
        <f t="shared" si="9"/>
        <v>42421.52</v>
      </c>
      <c r="T25" s="16">
        <f t="shared" si="9"/>
        <v>22072.519999999997</v>
      </c>
      <c r="U25" s="16">
        <f t="shared" si="9"/>
        <v>21207.719999999994</v>
      </c>
      <c r="V25" s="16">
        <f t="shared" si="9"/>
        <v>24022.209999999995</v>
      </c>
      <c r="W25" s="16">
        <f t="shared" si="9"/>
        <v>24022.209999999995</v>
      </c>
      <c r="X25" s="16">
        <f t="shared" si="9"/>
        <v>19585.489999999994</v>
      </c>
      <c r="Y25" s="16">
        <f t="shared" si="9"/>
        <v>32683.579999999994</v>
      </c>
      <c r="Z25" s="16">
        <f t="shared" si="9"/>
        <v>17324.489999999994</v>
      </c>
      <c r="AA25" s="16">
        <f t="shared" si="9"/>
        <v>7804.4899999999943</v>
      </c>
      <c r="AB25" s="16">
        <f t="shared" si="9"/>
        <v>3342.0299999999947</v>
      </c>
      <c r="AC25" s="16">
        <f t="shared" si="9"/>
        <v>3342.0299999999947</v>
      </c>
      <c r="AD25" s="16">
        <f t="shared" si="9"/>
        <v>8520.9099999999944</v>
      </c>
      <c r="AE25" s="16">
        <f t="shared" si="9"/>
        <v>9700.4399999999951</v>
      </c>
      <c r="AF25" s="16">
        <f t="shared" si="9"/>
        <v>10417.289999999995</v>
      </c>
      <c r="AG25" s="16">
        <f t="shared" si="9"/>
        <v>3342.0299999999947</v>
      </c>
      <c r="AH25" s="16">
        <f t="shared" ref="AH25:BM25" si="10">AH13+AH18+0+0+0+AH24</f>
        <v>674.99999999999454</v>
      </c>
      <c r="AI25" s="16">
        <f t="shared" si="10"/>
        <v>-5.4569682106375694E-12</v>
      </c>
      <c r="AJ25" s="16">
        <f t="shared" si="10"/>
        <v>-5.4569682106375694E-12</v>
      </c>
      <c r="AK25" s="16">
        <f t="shared" si="10"/>
        <v>-5.4569682106375694E-12</v>
      </c>
      <c r="AL25" s="16">
        <f t="shared" si="10"/>
        <v>-5.4569682106375694E-12</v>
      </c>
      <c r="AM25" s="16">
        <f t="shared" si="10"/>
        <v>-5.4569682106375694E-12</v>
      </c>
      <c r="AN25" s="16">
        <f t="shared" si="10"/>
        <v>-5.4569682106375694E-12</v>
      </c>
      <c r="AO25" s="16">
        <f t="shared" si="10"/>
        <v>208408.9</v>
      </c>
      <c r="AP25" s="16">
        <f t="shared" si="10"/>
        <v>208408.9</v>
      </c>
      <c r="AQ25" s="16">
        <f t="shared" si="10"/>
        <v>218041.36</v>
      </c>
      <c r="AR25" s="16">
        <f t="shared" si="10"/>
        <v>226389.8</v>
      </c>
      <c r="AS25" s="16">
        <f t="shared" si="10"/>
        <v>220535</v>
      </c>
      <c r="AT25" s="16">
        <f t="shared" si="10"/>
        <v>206223.33</v>
      </c>
      <c r="AU25" s="16">
        <f t="shared" si="10"/>
        <v>206368.47</v>
      </c>
      <c r="AV25" s="16">
        <f t="shared" si="10"/>
        <v>201482.65</v>
      </c>
      <c r="AW25" s="16">
        <f t="shared" si="10"/>
        <v>201799.99</v>
      </c>
      <c r="AX25" s="16">
        <f t="shared" si="10"/>
        <v>201253.3</v>
      </c>
      <c r="AY25" s="16">
        <f t="shared" si="10"/>
        <v>200000</v>
      </c>
      <c r="AZ25" s="16">
        <f t="shared" si="10"/>
        <v>200000</v>
      </c>
      <c r="BA25" s="16">
        <f t="shared" si="10"/>
        <v>200000</v>
      </c>
      <c r="BB25" s="16">
        <f t="shared" si="10"/>
        <v>200000</v>
      </c>
      <c r="BC25" s="16">
        <f t="shared" si="10"/>
        <v>201177.76</v>
      </c>
      <c r="BD25" s="16">
        <f t="shared" si="10"/>
        <v>225059.87</v>
      </c>
      <c r="BE25" s="16">
        <f t="shared" si="10"/>
        <v>224103.11000000002</v>
      </c>
      <c r="BF25" s="16">
        <f t="shared" si="10"/>
        <v>252841.61000000002</v>
      </c>
      <c r="BG25" s="16">
        <f t="shared" si="10"/>
        <v>224103.11000000002</v>
      </c>
      <c r="BH25" s="16">
        <f t="shared" si="10"/>
        <v>224103.11000000002</v>
      </c>
      <c r="BI25" s="16">
        <f t="shared" si="10"/>
        <v>224103.11000000002</v>
      </c>
      <c r="BJ25" s="16">
        <f t="shared" si="10"/>
        <v>201177.76</v>
      </c>
      <c r="BK25" s="16">
        <f t="shared" si="10"/>
        <v>200000</v>
      </c>
      <c r="BL25" s="16">
        <f t="shared" si="10"/>
        <v>200000</v>
      </c>
      <c r="BM25" s="16">
        <f t="shared" si="10"/>
        <v>200000</v>
      </c>
      <c r="BN25" s="16">
        <f t="shared" ref="BN25:CJ25" si="11">BN13+BN18+0+0+0+BN24</f>
        <v>200885.06</v>
      </c>
      <c r="BO25" s="16">
        <f t="shared" si="11"/>
        <v>200000</v>
      </c>
      <c r="BP25" s="16">
        <f t="shared" si="11"/>
        <v>200000</v>
      </c>
      <c r="BQ25" s="16">
        <f t="shared" si="11"/>
        <v>230213.51</v>
      </c>
      <c r="BR25" s="16">
        <f t="shared" si="11"/>
        <v>222925.35</v>
      </c>
      <c r="BS25" s="16">
        <f t="shared" si="11"/>
        <v>228637.35</v>
      </c>
      <c r="BT25" s="16">
        <f t="shared" si="11"/>
        <v>228494.55</v>
      </c>
      <c r="BU25" s="16">
        <f t="shared" si="11"/>
        <v>234708.58000000002</v>
      </c>
      <c r="BV25" s="16">
        <f t="shared" si="11"/>
        <v>236814.88</v>
      </c>
      <c r="BW25" s="16">
        <f t="shared" si="11"/>
        <v>244993.39</v>
      </c>
      <c r="BX25" s="16">
        <f t="shared" si="11"/>
        <v>6854.4000000000106</v>
      </c>
      <c r="BY25" s="16">
        <f t="shared" si="11"/>
        <v>1.0913936421275139E-11</v>
      </c>
      <c r="BZ25" s="16">
        <f t="shared" si="11"/>
        <v>2106.3000000000111</v>
      </c>
      <c r="CA25" s="16">
        <f t="shared" si="11"/>
        <v>6104.7000000000116</v>
      </c>
      <c r="CB25" s="16">
        <f t="shared" si="11"/>
        <v>7066.0200000000123</v>
      </c>
      <c r="CC25" s="16">
        <f t="shared" si="11"/>
        <v>6320.0700000000124</v>
      </c>
      <c r="CD25" s="16">
        <f t="shared" si="11"/>
        <v>9980.510000000013</v>
      </c>
      <c r="CE25" s="16">
        <f t="shared" si="11"/>
        <v>1141.190000000013</v>
      </c>
      <c r="CF25" s="16">
        <f t="shared" si="11"/>
        <v>1141.190000000013</v>
      </c>
      <c r="CG25" s="16">
        <f t="shared" si="11"/>
        <v>1141.190000000013</v>
      </c>
      <c r="CH25" s="16">
        <f t="shared" si="11"/>
        <v>5187.1900000000132</v>
      </c>
      <c r="CI25" s="16">
        <f t="shared" si="11"/>
        <v>1141.190000000013</v>
      </c>
      <c r="CJ25" s="16">
        <f t="shared" si="11"/>
        <v>7995.5900000000129</v>
      </c>
    </row>
    <row r="26" spans="1:88" x14ac:dyDescent="0.2">
      <c r="A26" s="9" t="s">
        <v>111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</row>
    <row r="27" spans="1:88" x14ac:dyDescent="0.2">
      <c r="A27" s="10" t="s">
        <v>112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</row>
    <row r="28" spans="1:88" x14ac:dyDescent="0.2">
      <c r="A28" s="11" t="s">
        <v>113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330081.99</v>
      </c>
      <c r="CH28" s="12">
        <v>330385.77</v>
      </c>
      <c r="CI28" s="12">
        <v>330385.77</v>
      </c>
      <c r="CJ28" s="12">
        <v>330385.77</v>
      </c>
    </row>
    <row r="29" spans="1:88" x14ac:dyDescent="0.2">
      <c r="A29" s="11" t="s">
        <v>114</v>
      </c>
      <c r="B29" s="12">
        <v>63846.95</v>
      </c>
      <c r="C29" s="12">
        <v>63846.95</v>
      </c>
      <c r="D29" s="12">
        <v>70824.19</v>
      </c>
      <c r="E29" s="12">
        <v>64605.48</v>
      </c>
      <c r="F29" s="12">
        <v>73431.510000000009</v>
      </c>
      <c r="G29" s="12">
        <v>66062.920000000013</v>
      </c>
      <c r="H29" s="12">
        <v>57821.150000000009</v>
      </c>
      <c r="I29" s="12">
        <v>49508.570000000007</v>
      </c>
      <c r="J29" s="12">
        <v>52582.860000000008</v>
      </c>
      <c r="K29" s="12">
        <v>36540.810000000012</v>
      </c>
      <c r="L29" s="12">
        <v>43994.630000000012</v>
      </c>
      <c r="M29" s="12">
        <v>55179.410000000011</v>
      </c>
      <c r="N29" s="12">
        <v>24112.650000000012</v>
      </c>
      <c r="O29" s="12">
        <v>23355.950000000012</v>
      </c>
      <c r="P29" s="12">
        <v>23355.950000000012</v>
      </c>
      <c r="Q29" s="12">
        <v>38700.05000000001</v>
      </c>
      <c r="R29" s="12">
        <v>29247.55000000001</v>
      </c>
      <c r="S29" s="12">
        <v>7639.46000000001</v>
      </c>
      <c r="T29" s="12">
        <v>9196.6300000000101</v>
      </c>
      <c r="U29" s="12">
        <v>58491.30000000001</v>
      </c>
      <c r="V29" s="12">
        <v>53049.660000000011</v>
      </c>
      <c r="W29" s="12">
        <v>32871.450000000012</v>
      </c>
      <c r="X29" s="12">
        <v>45597.19000000001</v>
      </c>
      <c r="Y29" s="12">
        <v>49581.290000000008</v>
      </c>
      <c r="Z29" s="12">
        <v>63558.87000000001</v>
      </c>
      <c r="AA29" s="12">
        <v>75813.030000000013</v>
      </c>
      <c r="AB29" s="12">
        <v>85004.470000000016</v>
      </c>
      <c r="AC29" s="12">
        <v>85004.470000000016</v>
      </c>
      <c r="AD29" s="12">
        <v>114049.33000000002</v>
      </c>
      <c r="AE29" s="12">
        <v>103657.74000000002</v>
      </c>
      <c r="AF29" s="12">
        <v>105379.97000000002</v>
      </c>
      <c r="AG29" s="12">
        <v>104506.10000000002</v>
      </c>
      <c r="AH29" s="12">
        <v>103239.13000000002</v>
      </c>
      <c r="AI29" s="12">
        <v>98985.270000000019</v>
      </c>
      <c r="AJ29" s="12">
        <v>95499.370000000024</v>
      </c>
      <c r="AK29" s="12">
        <v>91955.320000000022</v>
      </c>
      <c r="AL29" s="12">
        <v>88199.610000000015</v>
      </c>
      <c r="AM29" s="12">
        <v>84648.23000000001</v>
      </c>
      <c r="AN29" s="12">
        <v>98239.580000000016</v>
      </c>
      <c r="AO29" s="12">
        <v>25365.610000000015</v>
      </c>
      <c r="AP29" s="12">
        <v>25365.610000000015</v>
      </c>
      <c r="AQ29" s="12">
        <v>35618.630000000019</v>
      </c>
      <c r="AR29" s="12">
        <v>31836.180000000018</v>
      </c>
      <c r="AS29" s="12">
        <v>31002.090000000018</v>
      </c>
      <c r="AT29" s="12">
        <v>43864.940000000017</v>
      </c>
      <c r="AU29" s="12">
        <v>41847.930000000015</v>
      </c>
      <c r="AV29" s="12">
        <v>42084.220000000016</v>
      </c>
      <c r="AW29" s="12">
        <v>42316.820000000014</v>
      </c>
      <c r="AX29" s="12">
        <v>41725.890000000014</v>
      </c>
      <c r="AY29" s="12">
        <v>40151.890000000014</v>
      </c>
      <c r="AZ29" s="12">
        <v>18459.860000000015</v>
      </c>
      <c r="BA29" s="12">
        <v>18057.300000000014</v>
      </c>
      <c r="BB29" s="12">
        <v>22835.940000000013</v>
      </c>
      <c r="BC29" s="12">
        <v>22835.940000000013</v>
      </c>
      <c r="BD29" s="12">
        <v>32895.010000000009</v>
      </c>
      <c r="BE29" s="12">
        <v>30533.78000000001</v>
      </c>
      <c r="BF29" s="12">
        <v>27107.490000000009</v>
      </c>
      <c r="BG29" s="12">
        <v>37268.19000000001</v>
      </c>
      <c r="BH29" s="12">
        <v>33909.090000000011</v>
      </c>
      <c r="BI29" s="12">
        <v>27063.600000000013</v>
      </c>
      <c r="BJ29" s="12">
        <v>44512.410000000018</v>
      </c>
      <c r="BK29" s="12">
        <v>41421.680000000015</v>
      </c>
      <c r="BL29" s="12">
        <v>38170.930000000015</v>
      </c>
      <c r="BM29" s="12">
        <v>34763.050000000017</v>
      </c>
      <c r="BN29" s="12">
        <v>31164.780000000017</v>
      </c>
      <c r="BO29" s="12">
        <v>34783.85000000002</v>
      </c>
      <c r="BP29" s="12">
        <v>34783.85000000002</v>
      </c>
      <c r="BQ29" s="12">
        <v>38878.360000000022</v>
      </c>
      <c r="BR29" s="12">
        <v>36585.630000000019</v>
      </c>
      <c r="BS29" s="12">
        <v>42357.020000000019</v>
      </c>
      <c r="BT29" s="12">
        <v>42133.24000000002</v>
      </c>
      <c r="BU29" s="12">
        <v>42043.390000000021</v>
      </c>
      <c r="BV29" s="12">
        <v>36301.190000000024</v>
      </c>
      <c r="BW29" s="12">
        <v>37832.300000000025</v>
      </c>
      <c r="BX29" s="12">
        <v>276437.27</v>
      </c>
      <c r="BY29" s="12">
        <v>278094.48000000004</v>
      </c>
      <c r="BZ29" s="12">
        <v>276106.53000000003</v>
      </c>
      <c r="CA29" s="12">
        <v>277220.99000000005</v>
      </c>
      <c r="CB29" s="12">
        <v>259395.12000000005</v>
      </c>
      <c r="CC29" s="12">
        <v>287180.54000000004</v>
      </c>
      <c r="CD29" s="12">
        <v>283345.04000000004</v>
      </c>
      <c r="CE29" s="12">
        <v>300997.86000000004</v>
      </c>
      <c r="CF29" s="12">
        <v>29010.670000000042</v>
      </c>
      <c r="CG29" s="12">
        <v>19148.23000000004</v>
      </c>
      <c r="CH29" s="12">
        <v>12852.84000000004</v>
      </c>
      <c r="CI29" s="12">
        <v>25460.280000000042</v>
      </c>
      <c r="CJ29" s="12">
        <v>25460.280000000042</v>
      </c>
    </row>
    <row r="30" spans="1:88" x14ac:dyDescent="0.2">
      <c r="A30" s="11" t="s">
        <v>115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-50</v>
      </c>
    </row>
    <row r="31" spans="1:88" x14ac:dyDescent="0.2">
      <c r="A31" s="11" t="s">
        <v>116</v>
      </c>
      <c r="B31" s="12">
        <v>144708.01999999999</v>
      </c>
      <c r="C31" s="12">
        <v>144708.01999999999</v>
      </c>
      <c r="D31" s="12">
        <v>194708.02</v>
      </c>
      <c r="E31" s="12">
        <v>194708.02</v>
      </c>
      <c r="F31" s="12">
        <v>194708.02</v>
      </c>
      <c r="G31" s="12">
        <v>194708.02</v>
      </c>
      <c r="H31" s="12">
        <v>194708.02</v>
      </c>
      <c r="I31" s="12">
        <v>194708.02</v>
      </c>
      <c r="J31" s="12">
        <v>194708.02</v>
      </c>
      <c r="K31" s="12">
        <v>194708.02</v>
      </c>
      <c r="L31" s="12">
        <v>194708.02</v>
      </c>
      <c r="M31" s="12">
        <v>194708.02</v>
      </c>
      <c r="N31" s="12">
        <v>194708.02</v>
      </c>
      <c r="O31" s="12">
        <v>194708.02</v>
      </c>
      <c r="P31" s="12">
        <v>194708.02</v>
      </c>
      <c r="Q31" s="12">
        <v>194708.02</v>
      </c>
      <c r="R31" s="12">
        <v>194708.02</v>
      </c>
      <c r="S31" s="12">
        <v>194708.02</v>
      </c>
      <c r="T31" s="12">
        <v>194708.02</v>
      </c>
      <c r="U31" s="12">
        <v>154708.01999999999</v>
      </c>
      <c r="V31" s="12">
        <v>154708.01999999999</v>
      </c>
      <c r="W31" s="12">
        <v>154708.01999999999</v>
      </c>
      <c r="X31" s="12">
        <v>154708.01999999999</v>
      </c>
      <c r="Y31" s="12">
        <v>154708.01999999999</v>
      </c>
      <c r="Z31" s="12">
        <v>154708.01999999999</v>
      </c>
      <c r="AA31" s="12">
        <v>154708.01999999999</v>
      </c>
      <c r="AB31" s="12">
        <v>154708.01999999999</v>
      </c>
      <c r="AC31" s="12">
        <v>154708.01999999999</v>
      </c>
      <c r="AD31" s="12">
        <v>154708.01999999999</v>
      </c>
      <c r="AE31" s="12">
        <v>154708.01999999999</v>
      </c>
      <c r="AF31" s="12">
        <v>154708.01999999999</v>
      </c>
      <c r="AG31" s="12">
        <v>154708.01999999999</v>
      </c>
      <c r="AH31" s="12">
        <v>154708.01999999999</v>
      </c>
      <c r="AI31" s="12">
        <v>154708.01999999999</v>
      </c>
      <c r="AJ31" s="12">
        <v>154708.01999999999</v>
      </c>
      <c r="AK31" s="12">
        <v>154708.01999999999</v>
      </c>
      <c r="AL31" s="12">
        <v>154708.01999999999</v>
      </c>
      <c r="AM31" s="12">
        <v>154708.01999999999</v>
      </c>
      <c r="AN31" s="12">
        <v>154708.01999999999</v>
      </c>
      <c r="AO31" s="12">
        <v>24708.01999999999</v>
      </c>
      <c r="AP31" s="12">
        <v>24708.01999999999</v>
      </c>
      <c r="AQ31" s="12">
        <v>44708.01999999999</v>
      </c>
      <c r="AR31" s="12">
        <v>44708.01999999999</v>
      </c>
      <c r="AS31" s="12">
        <v>44708.01999999999</v>
      </c>
      <c r="AT31" s="12">
        <v>44708.01999999999</v>
      </c>
      <c r="AU31" s="12">
        <v>44708.01999999999</v>
      </c>
      <c r="AV31" s="12">
        <v>44708.01999999999</v>
      </c>
      <c r="AW31" s="12">
        <v>44708.01999999999</v>
      </c>
      <c r="AX31" s="12">
        <v>44708.01999999999</v>
      </c>
      <c r="AY31" s="12">
        <v>44708.01999999999</v>
      </c>
      <c r="AZ31" s="12">
        <v>44708.01999999999</v>
      </c>
      <c r="BA31" s="12">
        <v>44708.01999999999</v>
      </c>
      <c r="BB31" s="12">
        <v>44708.01999999999</v>
      </c>
      <c r="BC31" s="12">
        <v>44708.01999999999</v>
      </c>
      <c r="BD31" s="12">
        <v>44708.01999999999</v>
      </c>
      <c r="BE31" s="12">
        <v>44708.01999999999</v>
      </c>
      <c r="BF31" s="12">
        <v>44708.01999999999</v>
      </c>
      <c r="BG31" s="12">
        <v>44708.01999999999</v>
      </c>
      <c r="BH31" s="12">
        <v>44708.01999999999</v>
      </c>
      <c r="BI31" s="12">
        <v>49908.01999999999</v>
      </c>
      <c r="BJ31" s="12">
        <v>49908.01999999999</v>
      </c>
      <c r="BK31" s="12">
        <v>49908.01999999999</v>
      </c>
      <c r="BL31" s="12">
        <v>49908.01999999999</v>
      </c>
      <c r="BM31" s="12">
        <v>49908.01999999999</v>
      </c>
      <c r="BN31" s="12">
        <v>49908.01999999999</v>
      </c>
      <c r="BO31" s="12">
        <v>49908.01999999999</v>
      </c>
      <c r="BP31" s="12">
        <v>49908.01999999999</v>
      </c>
      <c r="BQ31" s="12">
        <v>49908.01999999999</v>
      </c>
      <c r="BR31" s="12">
        <v>49908.01999999999</v>
      </c>
      <c r="BS31" s="12">
        <v>49908.01999999999</v>
      </c>
      <c r="BT31" s="12">
        <v>49908.01999999999</v>
      </c>
      <c r="BU31" s="12">
        <v>49908.01999999999</v>
      </c>
      <c r="BV31" s="12">
        <v>49908.01999999999</v>
      </c>
      <c r="BW31" s="12">
        <v>49908.01999999999</v>
      </c>
      <c r="BX31" s="12">
        <v>49908.01999999999</v>
      </c>
      <c r="BY31" s="12">
        <v>49908.01999999999</v>
      </c>
      <c r="BZ31" s="12">
        <v>49908.01999999999</v>
      </c>
      <c r="CA31" s="12">
        <v>49908.01999999999</v>
      </c>
      <c r="CB31" s="12">
        <v>49908.01999999999</v>
      </c>
      <c r="CC31" s="12">
        <v>49908.01999999999</v>
      </c>
      <c r="CD31" s="12">
        <v>49908.01999999999</v>
      </c>
      <c r="CE31" s="12">
        <v>49917.209999999992</v>
      </c>
      <c r="CF31" s="12">
        <v>319917.20999999996</v>
      </c>
      <c r="CG31" s="12">
        <v>5917.2099999999627</v>
      </c>
      <c r="CH31" s="12">
        <v>5949.3499999999631</v>
      </c>
      <c r="CI31" s="12">
        <v>5949.3499999999631</v>
      </c>
      <c r="CJ31" s="12">
        <v>5949.3499999999631</v>
      </c>
    </row>
    <row r="32" spans="1:88" x14ac:dyDescent="0.2">
      <c r="A32" s="13" t="s">
        <v>117</v>
      </c>
      <c r="B32" s="16">
        <f>SUM(B28:B31)</f>
        <v>208554.96999999997</v>
      </c>
      <c r="C32" s="16">
        <f>SUM(C28:C31)</f>
        <v>208554.96999999997</v>
      </c>
      <c r="D32" s="16">
        <f>SUM(D28:D31)</f>
        <v>265532.20999999996</v>
      </c>
      <c r="E32" s="16">
        <f>SUM(E28:E31)</f>
        <v>259313.5</v>
      </c>
      <c r="F32" s="16">
        <f>SUM(F28:F31)</f>
        <v>268139.53000000003</v>
      </c>
      <c r="G32" s="16">
        <f>SUM(G28:G31)</f>
        <v>260770.94</v>
      </c>
      <c r="H32" s="16">
        <f>SUM(H28:H31)</f>
        <v>252529.16999999998</v>
      </c>
      <c r="I32" s="16">
        <f>SUM(I28:I31)</f>
        <v>244216.59</v>
      </c>
      <c r="J32" s="16">
        <f>SUM(J28:J31)</f>
        <v>247290.88</v>
      </c>
      <c r="K32" s="16">
        <f>SUM(K28:K31)</f>
        <v>231248.83000000002</v>
      </c>
      <c r="L32" s="16">
        <f>SUM(L28:L31)</f>
        <v>238702.65</v>
      </c>
      <c r="M32" s="16">
        <f>SUM(M28:M31)</f>
        <v>249887.43</v>
      </c>
      <c r="N32" s="16">
        <f>SUM(N28:N31)</f>
        <v>218820.67</v>
      </c>
      <c r="O32" s="16">
        <f>SUM(O28:O31)</f>
        <v>218063.97</v>
      </c>
      <c r="P32" s="16">
        <f>SUM(P28:P31)</f>
        <v>218063.97</v>
      </c>
      <c r="Q32" s="16">
        <f>SUM(Q28:Q31)</f>
        <v>233408.07</v>
      </c>
      <c r="R32" s="16">
        <f>SUM(R28:R31)</f>
        <v>223955.57</v>
      </c>
      <c r="S32" s="16">
        <f>SUM(S28:S31)</f>
        <v>202347.48</v>
      </c>
      <c r="T32" s="16">
        <f>SUM(T28:T31)</f>
        <v>203904.65</v>
      </c>
      <c r="U32" s="16">
        <f>SUM(U28:U31)</f>
        <v>213199.32</v>
      </c>
      <c r="V32" s="16">
        <f>SUM(V28:V31)</f>
        <v>207757.68</v>
      </c>
      <c r="W32" s="16">
        <f>SUM(W28:W31)</f>
        <v>187579.47</v>
      </c>
      <c r="X32" s="16">
        <f>SUM(X28:X31)</f>
        <v>200305.21</v>
      </c>
      <c r="Y32" s="16">
        <f>SUM(Y28:Y31)</f>
        <v>204289.31</v>
      </c>
      <c r="Z32" s="16">
        <f>SUM(Z28:Z31)</f>
        <v>218266.89</v>
      </c>
      <c r="AA32" s="16">
        <f>SUM(AA28:AA31)</f>
        <v>230521.05</v>
      </c>
      <c r="AB32" s="16">
        <f>SUM(AB28:AB31)</f>
        <v>239712.49</v>
      </c>
      <c r="AC32" s="16">
        <f>SUM(AC28:AC31)</f>
        <v>239712.49</v>
      </c>
      <c r="AD32" s="16">
        <f>SUM(AD28:AD31)</f>
        <v>268757.34999999998</v>
      </c>
      <c r="AE32" s="16">
        <f>SUM(AE28:AE31)</f>
        <v>258365.76</v>
      </c>
      <c r="AF32" s="16">
        <f>SUM(AF28:AF31)</f>
        <v>260087.99</v>
      </c>
      <c r="AG32" s="16">
        <f>SUM(AG28:AG31)</f>
        <v>259214.12</v>
      </c>
      <c r="AH32" s="16">
        <f>SUM(AH28:AH31)</f>
        <v>257947.15000000002</v>
      </c>
      <c r="AI32" s="16">
        <f>SUM(AI28:AI31)</f>
        <v>253693.29</v>
      </c>
      <c r="AJ32" s="16">
        <f>SUM(AJ28:AJ31)</f>
        <v>250207.39</v>
      </c>
      <c r="AK32" s="16">
        <f>SUM(AK28:AK31)</f>
        <v>246663.34000000003</v>
      </c>
      <c r="AL32" s="16">
        <f>SUM(AL28:AL31)</f>
        <v>242907.63</v>
      </c>
      <c r="AM32" s="16">
        <f>SUM(AM28:AM31)</f>
        <v>239356.25</v>
      </c>
      <c r="AN32" s="16">
        <f>SUM(AN28:AN31)</f>
        <v>252947.6</v>
      </c>
      <c r="AO32" s="16">
        <f>SUM(AO28:AO31)</f>
        <v>50073.630000000005</v>
      </c>
      <c r="AP32" s="16">
        <f>SUM(AP28:AP31)</f>
        <v>50073.630000000005</v>
      </c>
      <c r="AQ32" s="16">
        <f>SUM(AQ28:AQ31)</f>
        <v>80326.650000000009</v>
      </c>
      <c r="AR32" s="16">
        <f>SUM(AR28:AR31)</f>
        <v>76544.200000000012</v>
      </c>
      <c r="AS32" s="16">
        <f>SUM(AS28:AS31)</f>
        <v>75710.110000000015</v>
      </c>
      <c r="AT32" s="16">
        <f>SUM(AT28:AT31)</f>
        <v>88572.96</v>
      </c>
      <c r="AU32" s="16">
        <f>SUM(AU28:AU31)</f>
        <v>86555.950000000012</v>
      </c>
      <c r="AV32" s="16">
        <f>SUM(AV28:AV31)</f>
        <v>86792.24</v>
      </c>
      <c r="AW32" s="16">
        <f>SUM(AW28:AW31)</f>
        <v>87024.84</v>
      </c>
      <c r="AX32" s="16">
        <f>SUM(AX28:AX31)</f>
        <v>86433.91</v>
      </c>
      <c r="AY32" s="16">
        <f>SUM(AY28:AY31)</f>
        <v>84859.91</v>
      </c>
      <c r="AZ32" s="16">
        <f>SUM(AZ28:AZ31)</f>
        <v>63167.880000000005</v>
      </c>
      <c r="BA32" s="16">
        <f>SUM(BA28:BA31)</f>
        <v>62765.320000000007</v>
      </c>
      <c r="BB32" s="16">
        <f>SUM(BB28:BB31)</f>
        <v>67543.960000000006</v>
      </c>
      <c r="BC32" s="16">
        <f>SUM(BC28:BC31)</f>
        <v>67543.960000000006</v>
      </c>
      <c r="BD32" s="16">
        <f>SUM(BD28:BD31)</f>
        <v>77603.03</v>
      </c>
      <c r="BE32" s="16">
        <f>SUM(BE28:BE31)</f>
        <v>75241.8</v>
      </c>
      <c r="BF32" s="16">
        <f>SUM(BF28:BF31)</f>
        <v>71815.509999999995</v>
      </c>
      <c r="BG32" s="16">
        <f>SUM(BG28:BG31)</f>
        <v>81976.209999999992</v>
      </c>
      <c r="BH32" s="16">
        <f>SUM(BH28:BH31)</f>
        <v>78617.11</v>
      </c>
      <c r="BI32" s="16">
        <f>SUM(BI28:BI31)</f>
        <v>76971.62</v>
      </c>
      <c r="BJ32" s="16">
        <f>SUM(BJ28:BJ31)</f>
        <v>94420.430000000008</v>
      </c>
      <c r="BK32" s="16">
        <f>SUM(BK28:BK31)</f>
        <v>91329.700000000012</v>
      </c>
      <c r="BL32" s="16">
        <f>SUM(BL28:BL31)</f>
        <v>88078.950000000012</v>
      </c>
      <c r="BM32" s="16">
        <f>SUM(BM28:BM31)</f>
        <v>84671.07</v>
      </c>
      <c r="BN32" s="16">
        <f>SUM(BN28:BN31)</f>
        <v>81072.800000000003</v>
      </c>
      <c r="BO32" s="16">
        <f>SUM(BO28:BO31)</f>
        <v>84691.87000000001</v>
      </c>
      <c r="BP32" s="16">
        <f>SUM(BP28:BP31)</f>
        <v>84691.87000000001</v>
      </c>
      <c r="BQ32" s="16">
        <f>SUM(BQ28:BQ31)</f>
        <v>88786.38</v>
      </c>
      <c r="BR32" s="16">
        <f>SUM(BR28:BR31)</f>
        <v>86493.650000000009</v>
      </c>
      <c r="BS32" s="16">
        <f>SUM(BS28:BS31)</f>
        <v>92265.040000000008</v>
      </c>
      <c r="BT32" s="16">
        <f>SUM(BT28:BT31)</f>
        <v>92041.260000000009</v>
      </c>
      <c r="BU32" s="16">
        <f>SUM(BU28:BU31)</f>
        <v>91951.41</v>
      </c>
      <c r="BV32" s="16">
        <f>SUM(BV28:BV31)</f>
        <v>86209.210000000021</v>
      </c>
      <c r="BW32" s="16">
        <f>SUM(BW28:BW31)</f>
        <v>87740.32</v>
      </c>
      <c r="BX32" s="16">
        <f>SUM(BX28:BX31)</f>
        <v>326345.29000000004</v>
      </c>
      <c r="BY32" s="16">
        <f>SUM(BY28:BY31)</f>
        <v>328002.5</v>
      </c>
      <c r="BZ32" s="16">
        <f>SUM(BZ28:BZ31)</f>
        <v>326014.55000000005</v>
      </c>
      <c r="CA32" s="16">
        <f>SUM(CA28:CA31)</f>
        <v>327129.01</v>
      </c>
      <c r="CB32" s="16">
        <f>SUM(CB28:CB31)</f>
        <v>309303.14</v>
      </c>
      <c r="CC32" s="16">
        <f>SUM(CC28:CC31)</f>
        <v>337088.56000000006</v>
      </c>
      <c r="CD32" s="16">
        <f>SUM(CD28:CD31)</f>
        <v>333253.06000000006</v>
      </c>
      <c r="CE32" s="16">
        <f>SUM(CE28:CE31)</f>
        <v>350915.07000000007</v>
      </c>
      <c r="CF32" s="16">
        <f>SUM(CF28:CF31)</f>
        <v>348927.88</v>
      </c>
      <c r="CG32" s="16">
        <f>SUM(CG28:CG31)</f>
        <v>355147.43</v>
      </c>
      <c r="CH32" s="16">
        <f>SUM(CH28:CH31)</f>
        <v>349187.96</v>
      </c>
      <c r="CI32" s="16">
        <f>SUM(CI28:CI31)</f>
        <v>361795.4</v>
      </c>
      <c r="CJ32" s="16">
        <f>SUM(CJ28:CJ31)</f>
        <v>361745.4</v>
      </c>
    </row>
    <row r="33" spans="1:88" x14ac:dyDescent="0.2">
      <c r="A33" s="15" t="s">
        <v>118</v>
      </c>
      <c r="B33" s="16">
        <f t="shared" ref="B33:AG33" si="12">0+0+B32</f>
        <v>208554.96999999997</v>
      </c>
      <c r="C33" s="16">
        <f t="shared" si="12"/>
        <v>208554.96999999997</v>
      </c>
      <c r="D33" s="16">
        <f t="shared" si="12"/>
        <v>265532.20999999996</v>
      </c>
      <c r="E33" s="16">
        <f t="shared" si="12"/>
        <v>259313.5</v>
      </c>
      <c r="F33" s="16">
        <f t="shared" si="12"/>
        <v>268139.53000000003</v>
      </c>
      <c r="G33" s="16">
        <f t="shared" si="12"/>
        <v>260770.94</v>
      </c>
      <c r="H33" s="16">
        <f t="shared" si="12"/>
        <v>252529.16999999998</v>
      </c>
      <c r="I33" s="16">
        <f t="shared" si="12"/>
        <v>244216.59</v>
      </c>
      <c r="J33" s="16">
        <f t="shared" si="12"/>
        <v>247290.88</v>
      </c>
      <c r="K33" s="16">
        <f t="shared" si="12"/>
        <v>231248.83000000002</v>
      </c>
      <c r="L33" s="16">
        <f t="shared" si="12"/>
        <v>238702.65</v>
      </c>
      <c r="M33" s="16">
        <f t="shared" si="12"/>
        <v>249887.43</v>
      </c>
      <c r="N33" s="16">
        <f t="shared" si="12"/>
        <v>218820.67</v>
      </c>
      <c r="O33" s="16">
        <f t="shared" si="12"/>
        <v>218063.97</v>
      </c>
      <c r="P33" s="16">
        <f t="shared" si="12"/>
        <v>218063.97</v>
      </c>
      <c r="Q33" s="16">
        <f t="shared" si="12"/>
        <v>233408.07</v>
      </c>
      <c r="R33" s="16">
        <f t="shared" si="12"/>
        <v>223955.57</v>
      </c>
      <c r="S33" s="16">
        <f t="shared" si="12"/>
        <v>202347.48</v>
      </c>
      <c r="T33" s="16">
        <f t="shared" si="12"/>
        <v>203904.65</v>
      </c>
      <c r="U33" s="16">
        <f t="shared" si="12"/>
        <v>213199.32</v>
      </c>
      <c r="V33" s="16">
        <f t="shared" si="12"/>
        <v>207757.68</v>
      </c>
      <c r="W33" s="16">
        <f t="shared" si="12"/>
        <v>187579.47</v>
      </c>
      <c r="X33" s="16">
        <f t="shared" si="12"/>
        <v>200305.21</v>
      </c>
      <c r="Y33" s="16">
        <f t="shared" si="12"/>
        <v>204289.31</v>
      </c>
      <c r="Z33" s="16">
        <f t="shared" si="12"/>
        <v>218266.89</v>
      </c>
      <c r="AA33" s="16">
        <f t="shared" si="12"/>
        <v>230521.05</v>
      </c>
      <c r="AB33" s="16">
        <f t="shared" si="12"/>
        <v>239712.49</v>
      </c>
      <c r="AC33" s="16">
        <f t="shared" si="12"/>
        <v>239712.49</v>
      </c>
      <c r="AD33" s="16">
        <f t="shared" si="12"/>
        <v>268757.34999999998</v>
      </c>
      <c r="AE33" s="16">
        <f t="shared" si="12"/>
        <v>258365.76</v>
      </c>
      <c r="AF33" s="16">
        <f t="shared" si="12"/>
        <v>260087.99</v>
      </c>
      <c r="AG33" s="16">
        <f t="shared" si="12"/>
        <v>259214.12</v>
      </c>
      <c r="AH33" s="16">
        <f t="shared" ref="AH33:BM33" si="13">0+0+AH32</f>
        <v>257947.15000000002</v>
      </c>
      <c r="AI33" s="16">
        <f t="shared" si="13"/>
        <v>253693.29</v>
      </c>
      <c r="AJ33" s="16">
        <f t="shared" si="13"/>
        <v>250207.39</v>
      </c>
      <c r="AK33" s="16">
        <f t="shared" si="13"/>
        <v>246663.34000000003</v>
      </c>
      <c r="AL33" s="16">
        <f t="shared" si="13"/>
        <v>242907.63</v>
      </c>
      <c r="AM33" s="16">
        <f t="shared" si="13"/>
        <v>239356.25</v>
      </c>
      <c r="AN33" s="16">
        <f t="shared" si="13"/>
        <v>252947.6</v>
      </c>
      <c r="AO33" s="16">
        <f t="shared" si="13"/>
        <v>50073.630000000005</v>
      </c>
      <c r="AP33" s="16">
        <f t="shared" si="13"/>
        <v>50073.630000000005</v>
      </c>
      <c r="AQ33" s="16">
        <f t="shared" si="13"/>
        <v>80326.650000000009</v>
      </c>
      <c r="AR33" s="16">
        <f t="shared" si="13"/>
        <v>76544.200000000012</v>
      </c>
      <c r="AS33" s="16">
        <f t="shared" si="13"/>
        <v>75710.110000000015</v>
      </c>
      <c r="AT33" s="16">
        <f t="shared" si="13"/>
        <v>88572.96</v>
      </c>
      <c r="AU33" s="16">
        <f t="shared" si="13"/>
        <v>86555.950000000012</v>
      </c>
      <c r="AV33" s="16">
        <f t="shared" si="13"/>
        <v>86792.24</v>
      </c>
      <c r="AW33" s="16">
        <f t="shared" si="13"/>
        <v>87024.84</v>
      </c>
      <c r="AX33" s="16">
        <f t="shared" si="13"/>
        <v>86433.91</v>
      </c>
      <c r="AY33" s="16">
        <f t="shared" si="13"/>
        <v>84859.91</v>
      </c>
      <c r="AZ33" s="16">
        <f t="shared" si="13"/>
        <v>63167.880000000005</v>
      </c>
      <c r="BA33" s="16">
        <f t="shared" si="13"/>
        <v>62765.320000000007</v>
      </c>
      <c r="BB33" s="16">
        <f t="shared" si="13"/>
        <v>67543.960000000006</v>
      </c>
      <c r="BC33" s="16">
        <f t="shared" si="13"/>
        <v>67543.960000000006</v>
      </c>
      <c r="BD33" s="16">
        <f t="shared" si="13"/>
        <v>77603.03</v>
      </c>
      <c r="BE33" s="16">
        <f t="shared" si="13"/>
        <v>75241.8</v>
      </c>
      <c r="BF33" s="16">
        <f t="shared" si="13"/>
        <v>71815.509999999995</v>
      </c>
      <c r="BG33" s="16">
        <f t="shared" si="13"/>
        <v>81976.209999999992</v>
      </c>
      <c r="BH33" s="16">
        <f t="shared" si="13"/>
        <v>78617.11</v>
      </c>
      <c r="BI33" s="16">
        <f t="shared" si="13"/>
        <v>76971.62</v>
      </c>
      <c r="BJ33" s="16">
        <f t="shared" si="13"/>
        <v>94420.430000000008</v>
      </c>
      <c r="BK33" s="16">
        <f t="shared" si="13"/>
        <v>91329.700000000012</v>
      </c>
      <c r="BL33" s="16">
        <f t="shared" si="13"/>
        <v>88078.950000000012</v>
      </c>
      <c r="BM33" s="16">
        <f t="shared" si="13"/>
        <v>84671.07</v>
      </c>
      <c r="BN33" s="16">
        <f t="shared" ref="BN33:CS33" si="14">0+0+BN32</f>
        <v>81072.800000000003</v>
      </c>
      <c r="BO33" s="16">
        <f t="shared" si="14"/>
        <v>84691.87000000001</v>
      </c>
      <c r="BP33" s="16">
        <f t="shared" si="14"/>
        <v>84691.87000000001</v>
      </c>
      <c r="BQ33" s="16">
        <f t="shared" si="14"/>
        <v>88786.38</v>
      </c>
      <c r="BR33" s="16">
        <f t="shared" si="14"/>
        <v>86493.650000000009</v>
      </c>
      <c r="BS33" s="16">
        <f t="shared" si="14"/>
        <v>92265.040000000008</v>
      </c>
      <c r="BT33" s="16">
        <f t="shared" si="14"/>
        <v>92041.260000000009</v>
      </c>
      <c r="BU33" s="16">
        <f t="shared" si="14"/>
        <v>91951.41</v>
      </c>
      <c r="BV33" s="16">
        <f t="shared" si="14"/>
        <v>86209.210000000021</v>
      </c>
      <c r="BW33" s="16">
        <f t="shared" si="14"/>
        <v>87740.32</v>
      </c>
      <c r="BX33" s="16">
        <f t="shared" si="14"/>
        <v>326345.29000000004</v>
      </c>
      <c r="BY33" s="16">
        <f t="shared" si="14"/>
        <v>328002.5</v>
      </c>
      <c r="BZ33" s="16">
        <f t="shared" si="14"/>
        <v>326014.55000000005</v>
      </c>
      <c r="CA33" s="16">
        <f t="shared" si="14"/>
        <v>327129.01</v>
      </c>
      <c r="CB33" s="16">
        <f t="shared" si="14"/>
        <v>309303.14</v>
      </c>
      <c r="CC33" s="16">
        <f t="shared" si="14"/>
        <v>337088.56000000006</v>
      </c>
      <c r="CD33" s="16">
        <f t="shared" si="14"/>
        <v>333253.06000000006</v>
      </c>
      <c r="CE33" s="16">
        <f t="shared" si="14"/>
        <v>350915.07000000007</v>
      </c>
      <c r="CF33" s="16">
        <f t="shared" si="14"/>
        <v>348927.88</v>
      </c>
      <c r="CG33" s="16">
        <f t="shared" si="14"/>
        <v>355147.43</v>
      </c>
      <c r="CH33" s="16">
        <f t="shared" si="14"/>
        <v>349187.96</v>
      </c>
      <c r="CI33" s="16">
        <f t="shared" si="14"/>
        <v>361795.4</v>
      </c>
      <c r="CJ33" s="16">
        <f t="shared" si="14"/>
        <v>361745.4</v>
      </c>
    </row>
    <row r="34" spans="1:88" x14ac:dyDescent="0.2">
      <c r="A34" s="17" t="s">
        <v>119</v>
      </c>
      <c r="B34" s="18">
        <f>0+B25+0+B33</f>
        <v>215157.08999999997</v>
      </c>
      <c r="C34" s="18">
        <f>0+C25+0+C33</f>
        <v>215157.08999999997</v>
      </c>
      <c r="D34" s="18">
        <f>0+D25+0+D33</f>
        <v>285920.46999999997</v>
      </c>
      <c r="E34" s="18">
        <f>0+E25+0+E33</f>
        <v>276967.83</v>
      </c>
      <c r="F34" s="18">
        <f>0+F25+0+F33</f>
        <v>270059.53000000003</v>
      </c>
      <c r="G34" s="18">
        <f>0+G25+0+G33</f>
        <v>262690.94</v>
      </c>
      <c r="H34" s="18">
        <f>0+H25+0+H33</f>
        <v>254449.16999999998</v>
      </c>
      <c r="I34" s="18">
        <f>0+I25+0+I33</f>
        <v>268585.94</v>
      </c>
      <c r="J34" s="18">
        <f>0+J25+0+J33</f>
        <v>249210.88</v>
      </c>
      <c r="K34" s="18">
        <f>0+K25+0+K33</f>
        <v>231248.83000000002</v>
      </c>
      <c r="L34" s="18">
        <f>0+L25+0+L33</f>
        <v>238702.65</v>
      </c>
      <c r="M34" s="18">
        <f>0+M25+0+M33</f>
        <v>249887.43</v>
      </c>
      <c r="N34" s="18">
        <f>0+N25+0+N33</f>
        <v>218820.67</v>
      </c>
      <c r="O34" s="18">
        <f>0+O25+0+O33</f>
        <v>241278.89</v>
      </c>
      <c r="P34" s="18">
        <f>0+P25+0+P33</f>
        <v>241278.89</v>
      </c>
      <c r="Q34" s="18">
        <f>0+Q25+0+Q33</f>
        <v>270418.12</v>
      </c>
      <c r="R34" s="18">
        <f>0+R25+0+R33</f>
        <v>246902.74</v>
      </c>
      <c r="S34" s="18">
        <f>0+S25+0+S33</f>
        <v>244769</v>
      </c>
      <c r="T34" s="18">
        <f>0+T25+0+T33</f>
        <v>225977.16999999998</v>
      </c>
      <c r="U34" s="18">
        <f>0+U25+0+U33</f>
        <v>234407.04000000001</v>
      </c>
      <c r="V34" s="18">
        <f>0+V25+0+V33</f>
        <v>231779.88999999998</v>
      </c>
      <c r="W34" s="18">
        <f>0+W25+0+W33</f>
        <v>211601.68</v>
      </c>
      <c r="X34" s="18">
        <f>0+X25+0+X33</f>
        <v>219890.69999999998</v>
      </c>
      <c r="Y34" s="18">
        <f>0+Y25+0+Y33</f>
        <v>236972.88999999998</v>
      </c>
      <c r="Z34" s="18">
        <f>0+Z25+0+Z33</f>
        <v>235591.38</v>
      </c>
      <c r="AA34" s="18">
        <f>0+AA25+0+AA33</f>
        <v>238325.53999999998</v>
      </c>
      <c r="AB34" s="18">
        <f>0+AB25+0+AB33</f>
        <v>243054.52</v>
      </c>
      <c r="AC34" s="18">
        <f>0+AC25+0+AC33</f>
        <v>243054.52</v>
      </c>
      <c r="AD34" s="18">
        <f>0+AD25+0+AD33</f>
        <v>277278.25999999995</v>
      </c>
      <c r="AE34" s="18">
        <f>0+AE25+0+AE33</f>
        <v>268066.2</v>
      </c>
      <c r="AF34" s="18">
        <f>0+AF25+0+AF33</f>
        <v>270505.27999999997</v>
      </c>
      <c r="AG34" s="18">
        <f>0+AG25+0+AG33</f>
        <v>262556.14999999997</v>
      </c>
      <c r="AH34" s="18">
        <f>0+AH25+0+AH33</f>
        <v>258622.15000000002</v>
      </c>
      <c r="AI34" s="18">
        <f>0+AI25+0+AI33</f>
        <v>253693.29</v>
      </c>
      <c r="AJ34" s="18">
        <f>0+AJ25+0+AJ33</f>
        <v>250207.39</v>
      </c>
      <c r="AK34" s="18">
        <f>0+AK25+0+AK33</f>
        <v>246663.34000000003</v>
      </c>
      <c r="AL34" s="18">
        <f>0+AL25+0+AL33</f>
        <v>242907.63</v>
      </c>
      <c r="AM34" s="18">
        <f>0+AM25+0+AM33</f>
        <v>239356.25</v>
      </c>
      <c r="AN34" s="18">
        <f>0+AN25+0+AN33</f>
        <v>252947.6</v>
      </c>
      <c r="AO34" s="18">
        <f>0+AO25+0+AO33</f>
        <v>258482.53</v>
      </c>
      <c r="AP34" s="18">
        <f>0+AP25+0+AP33</f>
        <v>258482.53</v>
      </c>
      <c r="AQ34" s="18">
        <f>0+AQ25+0+AQ33</f>
        <v>298368.01</v>
      </c>
      <c r="AR34" s="18">
        <f>0+AR25+0+AR33</f>
        <v>302934</v>
      </c>
      <c r="AS34" s="18">
        <f>0+AS25+0+AS33</f>
        <v>296245.11</v>
      </c>
      <c r="AT34" s="18">
        <f>0+AT25+0+AT33</f>
        <v>294796.28999999998</v>
      </c>
      <c r="AU34" s="18">
        <f>0+AU25+0+AU33</f>
        <v>292924.42000000004</v>
      </c>
      <c r="AV34" s="18">
        <f>0+AV25+0+AV33</f>
        <v>288274.89</v>
      </c>
      <c r="AW34" s="18">
        <f>0+AW25+0+AW33</f>
        <v>288824.82999999996</v>
      </c>
      <c r="AX34" s="18">
        <f>0+AX25+0+AX33</f>
        <v>287687.20999999996</v>
      </c>
      <c r="AY34" s="18">
        <f>0+AY25+0+AY33</f>
        <v>284859.91000000003</v>
      </c>
      <c r="AZ34" s="18">
        <f>0+AZ25+0+AZ33</f>
        <v>263167.88</v>
      </c>
      <c r="BA34" s="18">
        <f>0+BA25+0+BA33</f>
        <v>262765.32</v>
      </c>
      <c r="BB34" s="18">
        <f>0+BB25+0+BB33</f>
        <v>267543.96000000002</v>
      </c>
      <c r="BC34" s="18">
        <f>0+BC25+0+BC33</f>
        <v>268721.72000000003</v>
      </c>
      <c r="BD34" s="18">
        <f>0+BD25+0+BD33</f>
        <v>302662.90000000002</v>
      </c>
      <c r="BE34" s="18">
        <f>0+BE25+0+BE33</f>
        <v>299344.91000000003</v>
      </c>
      <c r="BF34" s="18">
        <f>0+BF25+0+BF33</f>
        <v>324657.12</v>
      </c>
      <c r="BG34" s="18">
        <f>0+BG25+0+BG33</f>
        <v>306079.32</v>
      </c>
      <c r="BH34" s="18">
        <f>0+BH25+0+BH33</f>
        <v>302720.22000000003</v>
      </c>
      <c r="BI34" s="18">
        <f>0+BI25+0+BI33</f>
        <v>301074.73</v>
      </c>
      <c r="BJ34" s="18">
        <f>0+BJ25+0+BJ33</f>
        <v>295598.19</v>
      </c>
      <c r="BK34" s="18">
        <f>0+BK25+0+BK33</f>
        <v>291329.7</v>
      </c>
      <c r="BL34" s="18">
        <f>0+BL25+0+BL33</f>
        <v>288078.95</v>
      </c>
      <c r="BM34" s="18">
        <f>0+BM25+0+BM33</f>
        <v>284671.07</v>
      </c>
      <c r="BN34" s="18">
        <f>0+BN25+0+BN33</f>
        <v>281957.86</v>
      </c>
      <c r="BO34" s="18">
        <f>0+BO25+0+BO33</f>
        <v>284691.87</v>
      </c>
      <c r="BP34" s="18">
        <f>0+BP25+0+BP33</f>
        <v>284691.87</v>
      </c>
      <c r="BQ34" s="18">
        <f>0+BQ25+0+BQ33</f>
        <v>318999.89</v>
      </c>
      <c r="BR34" s="18">
        <f>0+BR25+0+BR33</f>
        <v>309419</v>
      </c>
      <c r="BS34" s="18">
        <f>0+BS25+0+BS33</f>
        <v>320902.39</v>
      </c>
      <c r="BT34" s="18">
        <f>0+BT25+0+BT33</f>
        <v>320535.81</v>
      </c>
      <c r="BU34" s="18">
        <f>0+BU25+0+BU33</f>
        <v>326659.99</v>
      </c>
      <c r="BV34" s="18">
        <f>0+BV25+0+BV33</f>
        <v>323024.09000000003</v>
      </c>
      <c r="BW34" s="18">
        <f>0+BW25+0+BW33</f>
        <v>332733.71000000002</v>
      </c>
      <c r="BX34" s="18">
        <f>0+BX25+0+BX33</f>
        <v>333199.69000000006</v>
      </c>
      <c r="BY34" s="18">
        <f>0+BY25+0+BY33</f>
        <v>328002.5</v>
      </c>
      <c r="BZ34" s="18">
        <f>0+BZ25+0+BZ33</f>
        <v>328120.85000000003</v>
      </c>
      <c r="CA34" s="18">
        <f>0+CA25+0+CA33</f>
        <v>333233.71000000002</v>
      </c>
      <c r="CB34" s="18">
        <f>0+CB25+0+CB33</f>
        <v>316369.16000000003</v>
      </c>
      <c r="CC34" s="18">
        <f>0+CC25+0+CC33</f>
        <v>343408.63000000006</v>
      </c>
      <c r="CD34" s="18">
        <f>0+CD25+0+CD33</f>
        <v>343233.57000000007</v>
      </c>
      <c r="CE34" s="18">
        <f>0+CE25+0+CE33</f>
        <v>352056.26000000007</v>
      </c>
      <c r="CF34" s="18">
        <f>0+CF25+0+CF33</f>
        <v>350069.07</v>
      </c>
      <c r="CG34" s="18">
        <f>0+CG25+0+CG33</f>
        <v>356288.62</v>
      </c>
      <c r="CH34" s="18">
        <f>0+CH25+0+CH33</f>
        <v>354375.15</v>
      </c>
      <c r="CI34" s="18">
        <f>0+CI25+0+CI33</f>
        <v>362936.59</v>
      </c>
      <c r="CJ34" s="18">
        <f>0+CJ25+0+CJ33</f>
        <v>369740.99000000005</v>
      </c>
    </row>
    <row r="35" spans="1:88" x14ac:dyDescent="0.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</row>
    <row r="36" spans="1:88" ht="12" x14ac:dyDescent="0.2">
      <c r="A36" s="7" t="s">
        <v>120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</row>
    <row r="37" spans="1:88" x14ac:dyDescent="0.2">
      <c r="A37" s="19" t="s">
        <v>121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3947</v>
      </c>
      <c r="AC37" s="12">
        <v>3947</v>
      </c>
      <c r="AD37" s="12">
        <v>3947</v>
      </c>
      <c r="AE37" s="12">
        <v>3947</v>
      </c>
      <c r="AF37" s="12">
        <v>3947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477.72</v>
      </c>
      <c r="BN37" s="12">
        <v>412.51000000000005</v>
      </c>
      <c r="BO37" s="12">
        <v>345.13000000000005</v>
      </c>
      <c r="BP37" s="12">
        <v>345.13000000000005</v>
      </c>
      <c r="BQ37" s="12">
        <v>277.75000000000006</v>
      </c>
      <c r="BR37" s="12">
        <v>216.89000000000004</v>
      </c>
      <c r="BS37" s="12">
        <v>149.51000000000005</v>
      </c>
      <c r="BT37" s="12">
        <v>84.300000000000054</v>
      </c>
      <c r="BU37" s="12">
        <v>451.14000000000004</v>
      </c>
      <c r="BV37" s="12">
        <v>408.78000000000003</v>
      </c>
      <c r="BW37" s="12">
        <v>365.01000000000005</v>
      </c>
      <c r="BX37" s="12">
        <v>321.24000000000007</v>
      </c>
      <c r="BY37" s="12">
        <v>278.88000000000005</v>
      </c>
      <c r="BZ37" s="12">
        <v>1251.96</v>
      </c>
      <c r="CA37" s="12">
        <v>1130.32</v>
      </c>
      <c r="CB37" s="12">
        <v>1004.6199999999999</v>
      </c>
      <c r="CC37" s="12">
        <v>946.11999999999989</v>
      </c>
      <c r="CD37" s="12">
        <v>826.94999999999993</v>
      </c>
      <c r="CE37" s="12">
        <v>695.01</v>
      </c>
      <c r="CF37" s="12">
        <v>567.32999999999993</v>
      </c>
      <c r="CG37" s="12">
        <v>447.05999999999995</v>
      </c>
      <c r="CH37" s="12">
        <v>354.43999999999994</v>
      </c>
      <c r="CI37" s="12">
        <v>354.43999999999994</v>
      </c>
      <c r="CJ37" s="12">
        <v>354.43999999999994</v>
      </c>
    </row>
    <row r="38" spans="1:88" ht="12" thickBot="1" x14ac:dyDescent="0.25">
      <c r="A38" s="20" t="s">
        <v>122</v>
      </c>
      <c r="B38" s="16">
        <f t="shared" ref="B38:AG38" si="15">SUM(B37)</f>
        <v>0</v>
      </c>
      <c r="C38" s="16">
        <f t="shared" si="15"/>
        <v>0</v>
      </c>
      <c r="D38" s="16">
        <f t="shared" si="15"/>
        <v>0</v>
      </c>
      <c r="E38" s="16">
        <f t="shared" si="15"/>
        <v>0</v>
      </c>
      <c r="F38" s="16">
        <f t="shared" si="15"/>
        <v>0</v>
      </c>
      <c r="G38" s="16">
        <f t="shared" si="15"/>
        <v>0</v>
      </c>
      <c r="H38" s="16">
        <f t="shared" si="15"/>
        <v>0</v>
      </c>
      <c r="I38" s="16">
        <f t="shared" si="15"/>
        <v>0</v>
      </c>
      <c r="J38" s="16">
        <f t="shared" si="15"/>
        <v>0</v>
      </c>
      <c r="K38" s="16">
        <f t="shared" si="15"/>
        <v>0</v>
      </c>
      <c r="L38" s="16">
        <f t="shared" si="15"/>
        <v>0</v>
      </c>
      <c r="M38" s="16">
        <f t="shared" si="15"/>
        <v>0</v>
      </c>
      <c r="N38" s="16">
        <f t="shared" si="15"/>
        <v>0</v>
      </c>
      <c r="O38" s="16">
        <f t="shared" si="15"/>
        <v>0</v>
      </c>
      <c r="P38" s="16">
        <f t="shared" si="15"/>
        <v>0</v>
      </c>
      <c r="Q38" s="16">
        <f t="shared" si="15"/>
        <v>0</v>
      </c>
      <c r="R38" s="16">
        <f t="shared" si="15"/>
        <v>0</v>
      </c>
      <c r="S38" s="16">
        <f t="shared" si="15"/>
        <v>0</v>
      </c>
      <c r="T38" s="16">
        <f t="shared" si="15"/>
        <v>0</v>
      </c>
      <c r="U38" s="16">
        <f t="shared" si="15"/>
        <v>0</v>
      </c>
      <c r="V38" s="16">
        <f t="shared" si="15"/>
        <v>0</v>
      </c>
      <c r="W38" s="16">
        <f t="shared" si="15"/>
        <v>0</v>
      </c>
      <c r="X38" s="16">
        <f t="shared" si="15"/>
        <v>0</v>
      </c>
      <c r="Y38" s="16">
        <f t="shared" si="15"/>
        <v>0</v>
      </c>
      <c r="Z38" s="16">
        <f t="shared" si="15"/>
        <v>0</v>
      </c>
      <c r="AA38" s="16">
        <f t="shared" si="15"/>
        <v>0</v>
      </c>
      <c r="AB38" s="16">
        <f t="shared" si="15"/>
        <v>3947</v>
      </c>
      <c r="AC38" s="16">
        <f t="shared" si="15"/>
        <v>3947</v>
      </c>
      <c r="AD38" s="16">
        <f t="shared" si="15"/>
        <v>3947</v>
      </c>
      <c r="AE38" s="16">
        <f t="shared" si="15"/>
        <v>3947</v>
      </c>
      <c r="AF38" s="16">
        <f t="shared" si="15"/>
        <v>3947</v>
      </c>
      <c r="AG38" s="16">
        <f t="shared" si="15"/>
        <v>0</v>
      </c>
      <c r="AH38" s="16">
        <f t="shared" ref="AH38:BM38" si="16">SUM(AH37)</f>
        <v>0</v>
      </c>
      <c r="AI38" s="16">
        <f t="shared" si="16"/>
        <v>0</v>
      </c>
      <c r="AJ38" s="16">
        <f t="shared" si="16"/>
        <v>0</v>
      </c>
      <c r="AK38" s="16">
        <f t="shared" si="16"/>
        <v>0</v>
      </c>
      <c r="AL38" s="16">
        <f t="shared" si="16"/>
        <v>0</v>
      </c>
      <c r="AM38" s="16">
        <f t="shared" si="16"/>
        <v>0</v>
      </c>
      <c r="AN38" s="16">
        <f t="shared" si="16"/>
        <v>0</v>
      </c>
      <c r="AO38" s="16">
        <f t="shared" si="16"/>
        <v>0</v>
      </c>
      <c r="AP38" s="16">
        <f t="shared" si="16"/>
        <v>0</v>
      </c>
      <c r="AQ38" s="16">
        <f t="shared" si="16"/>
        <v>0</v>
      </c>
      <c r="AR38" s="16">
        <f t="shared" si="16"/>
        <v>0</v>
      </c>
      <c r="AS38" s="16">
        <f t="shared" si="16"/>
        <v>0</v>
      </c>
      <c r="AT38" s="16">
        <f t="shared" si="16"/>
        <v>0</v>
      </c>
      <c r="AU38" s="16">
        <f t="shared" si="16"/>
        <v>0</v>
      </c>
      <c r="AV38" s="16">
        <f t="shared" si="16"/>
        <v>0</v>
      </c>
      <c r="AW38" s="16">
        <f t="shared" si="16"/>
        <v>0</v>
      </c>
      <c r="AX38" s="16">
        <f t="shared" si="16"/>
        <v>0</v>
      </c>
      <c r="AY38" s="16">
        <f t="shared" si="16"/>
        <v>0</v>
      </c>
      <c r="AZ38" s="16">
        <f t="shared" si="16"/>
        <v>0</v>
      </c>
      <c r="BA38" s="16">
        <f t="shared" si="16"/>
        <v>0</v>
      </c>
      <c r="BB38" s="16">
        <f t="shared" si="16"/>
        <v>0</v>
      </c>
      <c r="BC38" s="16">
        <f t="shared" si="16"/>
        <v>0</v>
      </c>
      <c r="BD38" s="16">
        <f t="shared" si="16"/>
        <v>0</v>
      </c>
      <c r="BE38" s="16">
        <f t="shared" si="16"/>
        <v>0</v>
      </c>
      <c r="BF38" s="16">
        <f t="shared" si="16"/>
        <v>0</v>
      </c>
      <c r="BG38" s="16">
        <f t="shared" si="16"/>
        <v>0</v>
      </c>
      <c r="BH38" s="16">
        <f t="shared" si="16"/>
        <v>0</v>
      </c>
      <c r="BI38" s="16">
        <f t="shared" si="16"/>
        <v>0</v>
      </c>
      <c r="BJ38" s="16">
        <f t="shared" si="16"/>
        <v>0</v>
      </c>
      <c r="BK38" s="16">
        <f t="shared" si="16"/>
        <v>0</v>
      </c>
      <c r="BL38" s="16">
        <f t="shared" si="16"/>
        <v>0</v>
      </c>
      <c r="BM38" s="16">
        <f t="shared" si="16"/>
        <v>477.72</v>
      </c>
      <c r="BN38" s="16">
        <f t="shared" ref="BN38:CS38" si="17">SUM(BN37)</f>
        <v>412.51000000000005</v>
      </c>
      <c r="BO38" s="16">
        <f t="shared" si="17"/>
        <v>345.13000000000005</v>
      </c>
      <c r="BP38" s="16">
        <f t="shared" si="17"/>
        <v>345.13000000000005</v>
      </c>
      <c r="BQ38" s="16">
        <f t="shared" si="17"/>
        <v>277.75000000000006</v>
      </c>
      <c r="BR38" s="16">
        <f t="shared" si="17"/>
        <v>216.89000000000004</v>
      </c>
      <c r="BS38" s="16">
        <f t="shared" si="17"/>
        <v>149.51000000000005</v>
      </c>
      <c r="BT38" s="16">
        <f t="shared" si="17"/>
        <v>84.300000000000054</v>
      </c>
      <c r="BU38" s="16">
        <f t="shared" si="17"/>
        <v>451.14000000000004</v>
      </c>
      <c r="BV38" s="16">
        <f t="shared" si="17"/>
        <v>408.78000000000003</v>
      </c>
      <c r="BW38" s="16">
        <f t="shared" si="17"/>
        <v>365.01000000000005</v>
      </c>
      <c r="BX38" s="16">
        <f t="shared" si="17"/>
        <v>321.24000000000007</v>
      </c>
      <c r="BY38" s="16">
        <f t="shared" si="17"/>
        <v>278.88000000000005</v>
      </c>
      <c r="BZ38" s="16">
        <f t="shared" si="17"/>
        <v>1251.96</v>
      </c>
      <c r="CA38" s="16">
        <f t="shared" si="17"/>
        <v>1130.32</v>
      </c>
      <c r="CB38" s="16">
        <f t="shared" si="17"/>
        <v>1004.6199999999999</v>
      </c>
      <c r="CC38" s="16">
        <f t="shared" si="17"/>
        <v>946.11999999999989</v>
      </c>
      <c r="CD38" s="16">
        <f t="shared" si="17"/>
        <v>826.94999999999993</v>
      </c>
      <c r="CE38" s="16">
        <f t="shared" si="17"/>
        <v>695.01</v>
      </c>
      <c r="CF38" s="16">
        <f t="shared" si="17"/>
        <v>567.32999999999993</v>
      </c>
      <c r="CG38" s="16">
        <f t="shared" si="17"/>
        <v>447.05999999999995</v>
      </c>
      <c r="CH38" s="16">
        <f t="shared" si="17"/>
        <v>354.43999999999994</v>
      </c>
      <c r="CI38" s="16">
        <f t="shared" si="17"/>
        <v>354.43999999999994</v>
      </c>
      <c r="CJ38" s="16">
        <f t="shared" si="17"/>
        <v>354.43999999999994</v>
      </c>
    </row>
    <row r="39" spans="1:88" ht="12.75" thickTop="1" x14ac:dyDescent="0.2">
      <c r="A39" s="21" t="s">
        <v>123</v>
      </c>
      <c r="B39" s="22">
        <f>0+B7+B34+B35+B38+0</f>
        <v>215157.08999999997</v>
      </c>
      <c r="C39" s="22">
        <f>0+C7+C34+C35+C38+0</f>
        <v>215157.08999999997</v>
      </c>
      <c r="D39" s="22">
        <f>0+D7+D34+D35+D38+0</f>
        <v>285920.46999999997</v>
      </c>
      <c r="E39" s="22">
        <f>0+E7+E34+E35+E38+0</f>
        <v>276967.83</v>
      </c>
      <c r="F39" s="22">
        <f>0+F7+F34+F35+F38+0</f>
        <v>270059.53000000003</v>
      </c>
      <c r="G39" s="22">
        <f>0+G7+G34+G35+G38+0</f>
        <v>262690.94</v>
      </c>
      <c r="H39" s="22">
        <f>0+H7+H34+H35+H38+0</f>
        <v>254449.16999999998</v>
      </c>
      <c r="I39" s="22">
        <f>0+I7+I34+I35+I38+0</f>
        <v>268585.94</v>
      </c>
      <c r="J39" s="22">
        <f>0+J7+J34+J35+J38+0</f>
        <v>249210.88</v>
      </c>
      <c r="K39" s="22">
        <f>0+K7+K34+K35+K38+0</f>
        <v>231248.83000000002</v>
      </c>
      <c r="L39" s="22">
        <f>0+L7+L34+L35+L38+0</f>
        <v>238702.65</v>
      </c>
      <c r="M39" s="22">
        <f>0+M7+M34+M35+M38+0</f>
        <v>249887.43</v>
      </c>
      <c r="N39" s="22">
        <f>0+N7+N34+N35+N38+0</f>
        <v>218820.67</v>
      </c>
      <c r="O39" s="22">
        <f>0+O7+O34+O35+O38+0</f>
        <v>241278.89</v>
      </c>
      <c r="P39" s="22">
        <f>0+P7+P34+P35+P38+0</f>
        <v>241278.89</v>
      </c>
      <c r="Q39" s="22">
        <f>0+Q7+Q34+Q35+Q38+0</f>
        <v>270418.12</v>
      </c>
      <c r="R39" s="22">
        <f>0+R7+R34+R35+R38+0</f>
        <v>246902.74</v>
      </c>
      <c r="S39" s="22">
        <f>0+S7+S34+S35+S38+0</f>
        <v>244769</v>
      </c>
      <c r="T39" s="22">
        <f>0+T7+T34+T35+T38+0</f>
        <v>225977.16999999998</v>
      </c>
      <c r="U39" s="22">
        <f>0+U7+U34+U35+U38+0</f>
        <v>234407.04000000001</v>
      </c>
      <c r="V39" s="22">
        <f>0+V7+V34+V35+V38+0</f>
        <v>231779.88999999998</v>
      </c>
      <c r="W39" s="22">
        <f>0+W7+W34+W35+W38+0</f>
        <v>211601.68</v>
      </c>
      <c r="X39" s="22">
        <f>0+X7+X34+X35+X38+0</f>
        <v>219890.69999999998</v>
      </c>
      <c r="Y39" s="22">
        <f>0+Y7+Y34+Y35+Y38+0</f>
        <v>236972.88999999998</v>
      </c>
      <c r="Z39" s="22">
        <f>0+Z7+Z34+Z35+Z38+0</f>
        <v>235591.38</v>
      </c>
      <c r="AA39" s="22">
        <f>0+AA7+AA34+AA35+AA38+0</f>
        <v>238325.53999999998</v>
      </c>
      <c r="AB39" s="22">
        <f>0+AB7+AB34+AB35+AB38+0</f>
        <v>247001.52</v>
      </c>
      <c r="AC39" s="22">
        <f>0+AC7+AC34+AC35+AC38+0</f>
        <v>247001.52</v>
      </c>
      <c r="AD39" s="22">
        <f>0+AD7+AD34+AD35+AD38+0</f>
        <v>281225.25999999995</v>
      </c>
      <c r="AE39" s="22">
        <f>0+AE7+AE34+AE35+AE38+0</f>
        <v>272013.2</v>
      </c>
      <c r="AF39" s="22">
        <f>0+AF7+AF34+AF35+AF38+0</f>
        <v>274452.27999999997</v>
      </c>
      <c r="AG39" s="22">
        <f>0+AG7+AG34+AG35+AG38+0</f>
        <v>262556.14999999997</v>
      </c>
      <c r="AH39" s="22">
        <f>0+AH7+AH34+AH35+AH38+0</f>
        <v>258622.15000000002</v>
      </c>
      <c r="AI39" s="22">
        <f>0+AI7+AI34+AI35+AI38+0</f>
        <v>253693.29</v>
      </c>
      <c r="AJ39" s="22">
        <f>0+AJ7+AJ34+AJ35+AJ38+0</f>
        <v>250207.39</v>
      </c>
      <c r="AK39" s="22">
        <f>0+AK7+AK34+AK35+AK38+0</f>
        <v>246663.34000000003</v>
      </c>
      <c r="AL39" s="22">
        <f>0+AL7+AL34+AL35+AL38+0</f>
        <v>242907.63</v>
      </c>
      <c r="AM39" s="22">
        <f>0+AM7+AM34+AM35+AM38+0</f>
        <v>239356.25</v>
      </c>
      <c r="AN39" s="22">
        <f>0+AN7+AN34+AN35+AN38+0</f>
        <v>252947.6</v>
      </c>
      <c r="AO39" s="22">
        <f>0+AO7+AO34+AO35+AO38+0</f>
        <v>258482.53</v>
      </c>
      <c r="AP39" s="22">
        <f>0+AP7+AP34+AP35+AP38+0</f>
        <v>258482.53</v>
      </c>
      <c r="AQ39" s="22">
        <f>0+AQ7+AQ34+AQ35+AQ38+0</f>
        <v>298368.01</v>
      </c>
      <c r="AR39" s="22">
        <f>0+AR7+AR34+AR35+AR38+0</f>
        <v>302934</v>
      </c>
      <c r="AS39" s="22">
        <f>0+AS7+AS34+AS35+AS38+0</f>
        <v>296245.11</v>
      </c>
      <c r="AT39" s="22">
        <f>0+AT7+AT34+AT35+AT38+0</f>
        <v>294796.28999999998</v>
      </c>
      <c r="AU39" s="22">
        <f>0+AU7+AU34+AU35+AU38+0</f>
        <v>292924.42000000004</v>
      </c>
      <c r="AV39" s="22">
        <f>0+AV7+AV34+AV35+AV38+0</f>
        <v>288274.89</v>
      </c>
      <c r="AW39" s="22">
        <f>0+AW7+AW34+AW35+AW38+0</f>
        <v>288824.82999999996</v>
      </c>
      <c r="AX39" s="22">
        <f>0+AX7+AX34+AX35+AX38+0</f>
        <v>287687.20999999996</v>
      </c>
      <c r="AY39" s="22">
        <f>0+AY7+AY34+AY35+AY38+0</f>
        <v>284859.91000000003</v>
      </c>
      <c r="AZ39" s="22">
        <f>0+AZ7+AZ34+AZ35+AZ38+0</f>
        <v>263167.88</v>
      </c>
      <c r="BA39" s="22">
        <f>0+BA7+BA34+BA35+BA38+0</f>
        <v>262765.32</v>
      </c>
      <c r="BB39" s="22">
        <f>0+BB7+BB34+BB35+BB38+0</f>
        <v>267543.96000000002</v>
      </c>
      <c r="BC39" s="22">
        <f>0+BC7+BC34+BC35+BC38+0</f>
        <v>268721.72000000003</v>
      </c>
      <c r="BD39" s="22">
        <f>0+BD7+BD34+BD35+BD38+0</f>
        <v>302662.90000000002</v>
      </c>
      <c r="BE39" s="22">
        <f>0+BE7+BE34+BE35+BE38+0</f>
        <v>299344.91000000003</v>
      </c>
      <c r="BF39" s="22">
        <f>0+BF7+BF34+BF35+BF38+0</f>
        <v>324657.12</v>
      </c>
      <c r="BG39" s="22">
        <f>0+BG7+BG34+BG35+BG38+0</f>
        <v>306079.32</v>
      </c>
      <c r="BH39" s="22">
        <f>0+BH7+BH34+BH35+BH38+0</f>
        <v>302720.22000000003</v>
      </c>
      <c r="BI39" s="22">
        <f>0+BI7+BI34+BI35+BI38+0</f>
        <v>301074.73</v>
      </c>
      <c r="BJ39" s="22">
        <f>0+BJ7+BJ34+BJ35+BJ38+0</f>
        <v>295598.19</v>
      </c>
      <c r="BK39" s="22">
        <f>0+BK7+BK34+BK35+BK38+0</f>
        <v>291329.7</v>
      </c>
      <c r="BL39" s="22">
        <f>0+BL7+BL34+BL35+BL38+0</f>
        <v>288078.95</v>
      </c>
      <c r="BM39" s="22">
        <f>0+BM7+BM34+BM35+BM38+0</f>
        <v>285148.78999999998</v>
      </c>
      <c r="BN39" s="22">
        <f>0+BN7+BN34+BN35+BN38+0</f>
        <v>282370.37</v>
      </c>
      <c r="BO39" s="22">
        <f>0+BO7+BO34+BO35+BO38+0</f>
        <v>285037</v>
      </c>
      <c r="BP39" s="22">
        <f>0+BP7+BP34+BP35+BP38+0</f>
        <v>285037</v>
      </c>
      <c r="BQ39" s="22">
        <f>0+BQ7+BQ34+BQ35+BQ38+0</f>
        <v>319277.64</v>
      </c>
      <c r="BR39" s="22">
        <f>0+BR7+BR34+BR35+BR38+0</f>
        <v>309635.89</v>
      </c>
      <c r="BS39" s="22">
        <f>0+BS7+BS34+BS35+BS38+0</f>
        <v>321051.90000000002</v>
      </c>
      <c r="BT39" s="22">
        <f>0+BT7+BT34+BT35+BT38+0</f>
        <v>320620.11</v>
      </c>
      <c r="BU39" s="22">
        <f>0+BU7+BU34+BU35+BU38+0</f>
        <v>327111.13</v>
      </c>
      <c r="BV39" s="22">
        <f>0+BV7+BV34+BV35+BV38+0</f>
        <v>323432.87000000005</v>
      </c>
      <c r="BW39" s="22">
        <f>0+BW7+BW34+BW35+BW38+0</f>
        <v>333098.72000000003</v>
      </c>
      <c r="BX39" s="22">
        <f>0+BX7+BX34+BX35+BX38+0</f>
        <v>333520.93000000005</v>
      </c>
      <c r="BY39" s="22">
        <f>0+BY7+BY34+BY35+BY38+0</f>
        <v>328281.38</v>
      </c>
      <c r="BZ39" s="22">
        <f>0+BZ7+BZ34+BZ35+BZ38+0</f>
        <v>329372.81000000006</v>
      </c>
      <c r="CA39" s="22">
        <f>0+CA7+CA34+CA35+CA38+0</f>
        <v>334364.03000000003</v>
      </c>
      <c r="CB39" s="22">
        <f>0+CB7+CB34+CB35+CB38+0</f>
        <v>317373.78000000003</v>
      </c>
      <c r="CC39" s="22">
        <f>0+CC7+CC34+CC35+CC38+0</f>
        <v>344354.75000000006</v>
      </c>
      <c r="CD39" s="22">
        <f>0+CD7+CD34+CD35+CD38+0</f>
        <v>344060.52000000008</v>
      </c>
      <c r="CE39" s="22">
        <f>0+CE7+CE34+CE35+CE38+0</f>
        <v>352751.27000000008</v>
      </c>
      <c r="CF39" s="22">
        <f>0+CF7+CF34+CF35+CF38+0</f>
        <v>350636.4</v>
      </c>
      <c r="CG39" s="22">
        <f>0+CG7+CG34+CG35+CG38+0</f>
        <v>356735.68</v>
      </c>
      <c r="CH39" s="22">
        <f>0+CH7+CH34+CH35+CH38+0</f>
        <v>354729.59</v>
      </c>
      <c r="CI39" s="22">
        <f>0+CI7+CI34+CI35+CI38+0</f>
        <v>363291.03</v>
      </c>
      <c r="CJ39" s="22">
        <f>0+CJ7+CJ34+CJ35+CJ38+0</f>
        <v>370095.43000000005</v>
      </c>
    </row>
    <row r="40" spans="1:88" x14ac:dyDescent="0.2">
      <c r="A40" s="23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</row>
    <row r="41" spans="1:88" ht="12.75" x14ac:dyDescent="0.2">
      <c r="A41" s="3" t="s">
        <v>124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</row>
    <row r="42" spans="1:88" ht="12" x14ac:dyDescent="0.2">
      <c r="A42" s="7" t="s">
        <v>125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</row>
    <row r="43" spans="1:88" x14ac:dyDescent="0.2">
      <c r="A43" s="9" t="s">
        <v>126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</row>
    <row r="44" spans="1:88" x14ac:dyDescent="0.2">
      <c r="A44" s="24" t="s">
        <v>127</v>
      </c>
      <c r="B44" s="12">
        <v>25000</v>
      </c>
      <c r="C44" s="12">
        <v>25000</v>
      </c>
      <c r="D44" s="12">
        <v>25000</v>
      </c>
      <c r="E44" s="12">
        <v>25000</v>
      </c>
      <c r="F44" s="12">
        <v>25000</v>
      </c>
      <c r="G44" s="12">
        <v>25000</v>
      </c>
      <c r="H44" s="12">
        <v>25000</v>
      </c>
      <c r="I44" s="12">
        <v>25000</v>
      </c>
      <c r="J44" s="12">
        <v>25000</v>
      </c>
      <c r="K44" s="12">
        <v>25000</v>
      </c>
      <c r="L44" s="12">
        <v>25000</v>
      </c>
      <c r="M44" s="12">
        <v>25000</v>
      </c>
      <c r="N44" s="12">
        <v>25000</v>
      </c>
      <c r="O44" s="12">
        <v>25000</v>
      </c>
      <c r="P44" s="12">
        <v>25000</v>
      </c>
      <c r="Q44" s="12">
        <v>25000</v>
      </c>
      <c r="R44" s="12">
        <v>25000</v>
      </c>
      <c r="S44" s="12">
        <v>25000</v>
      </c>
      <c r="T44" s="12">
        <v>25000</v>
      </c>
      <c r="U44" s="12">
        <v>25000</v>
      </c>
      <c r="V44" s="12">
        <v>25000</v>
      </c>
      <c r="W44" s="12">
        <v>25000</v>
      </c>
      <c r="X44" s="12">
        <v>25000</v>
      </c>
      <c r="Y44" s="12">
        <v>25000</v>
      </c>
      <c r="Z44" s="12">
        <v>25000</v>
      </c>
      <c r="AA44" s="12">
        <v>25000</v>
      </c>
      <c r="AB44" s="12">
        <v>25000</v>
      </c>
      <c r="AC44" s="12">
        <v>25000</v>
      </c>
      <c r="AD44" s="12">
        <v>25000</v>
      </c>
      <c r="AE44" s="12">
        <v>25000</v>
      </c>
      <c r="AF44" s="12">
        <v>25000</v>
      </c>
      <c r="AG44" s="12">
        <v>25000</v>
      </c>
      <c r="AH44" s="12">
        <v>25000</v>
      </c>
      <c r="AI44" s="12">
        <v>25000</v>
      </c>
      <c r="AJ44" s="12">
        <v>25000</v>
      </c>
      <c r="AK44" s="12">
        <v>25000</v>
      </c>
      <c r="AL44" s="12">
        <v>25000</v>
      </c>
      <c r="AM44" s="12">
        <v>25000</v>
      </c>
      <c r="AN44" s="12">
        <v>25000</v>
      </c>
      <c r="AO44" s="12">
        <v>25000</v>
      </c>
      <c r="AP44" s="12">
        <v>25000</v>
      </c>
      <c r="AQ44" s="12">
        <v>25000</v>
      </c>
      <c r="AR44" s="12">
        <v>25000</v>
      </c>
      <c r="AS44" s="12">
        <v>25000</v>
      </c>
      <c r="AT44" s="12">
        <v>25000</v>
      </c>
      <c r="AU44" s="12">
        <v>25000</v>
      </c>
      <c r="AV44" s="12">
        <v>25000</v>
      </c>
      <c r="AW44" s="12">
        <v>25000</v>
      </c>
      <c r="AX44" s="12">
        <v>25000</v>
      </c>
      <c r="AY44" s="12">
        <v>25000</v>
      </c>
      <c r="AZ44" s="12">
        <v>25000</v>
      </c>
      <c r="BA44" s="12">
        <v>25000</v>
      </c>
      <c r="BB44" s="12">
        <v>25000</v>
      </c>
      <c r="BC44" s="12">
        <v>25000</v>
      </c>
      <c r="BD44" s="12">
        <v>25000</v>
      </c>
      <c r="BE44" s="12">
        <v>25000</v>
      </c>
      <c r="BF44" s="12">
        <v>25000</v>
      </c>
      <c r="BG44" s="12">
        <v>25000</v>
      </c>
      <c r="BH44" s="12">
        <v>25000</v>
      </c>
      <c r="BI44" s="12">
        <v>25000</v>
      </c>
      <c r="BJ44" s="12">
        <v>25000</v>
      </c>
      <c r="BK44" s="12">
        <v>25000</v>
      </c>
      <c r="BL44" s="12">
        <v>25000</v>
      </c>
      <c r="BM44" s="12">
        <v>25000</v>
      </c>
      <c r="BN44" s="12">
        <v>25000</v>
      </c>
      <c r="BO44" s="12">
        <v>25000</v>
      </c>
      <c r="BP44" s="12">
        <v>25000</v>
      </c>
      <c r="BQ44" s="12">
        <v>25000</v>
      </c>
      <c r="BR44" s="12">
        <v>25000</v>
      </c>
      <c r="BS44" s="12">
        <v>25000</v>
      </c>
      <c r="BT44" s="12">
        <v>25000</v>
      </c>
      <c r="BU44" s="12">
        <v>25000</v>
      </c>
      <c r="BV44" s="12">
        <v>25000</v>
      </c>
      <c r="BW44" s="12">
        <v>25000</v>
      </c>
      <c r="BX44" s="12">
        <v>25000</v>
      </c>
      <c r="BY44" s="12">
        <v>25000</v>
      </c>
      <c r="BZ44" s="12">
        <v>25000</v>
      </c>
      <c r="CA44" s="12">
        <v>25000</v>
      </c>
      <c r="CB44" s="12">
        <v>25000</v>
      </c>
      <c r="CC44" s="12">
        <v>25000</v>
      </c>
      <c r="CD44" s="12">
        <v>25000</v>
      </c>
      <c r="CE44" s="12">
        <v>25000</v>
      </c>
      <c r="CF44" s="12">
        <v>25000</v>
      </c>
      <c r="CG44" s="12">
        <v>25000</v>
      </c>
      <c r="CH44" s="12">
        <v>25000</v>
      </c>
      <c r="CI44" s="12">
        <v>25000</v>
      </c>
      <c r="CJ44" s="12">
        <v>25000</v>
      </c>
    </row>
    <row r="45" spans="1:88" x14ac:dyDescent="0.2">
      <c r="A45" s="15" t="s">
        <v>128</v>
      </c>
      <c r="B45" s="16">
        <f t="shared" ref="B45:AG45" si="18">SUM(B44)</f>
        <v>25000</v>
      </c>
      <c r="C45" s="16">
        <f t="shared" si="18"/>
        <v>25000</v>
      </c>
      <c r="D45" s="16">
        <f t="shared" si="18"/>
        <v>25000</v>
      </c>
      <c r="E45" s="16">
        <f t="shared" si="18"/>
        <v>25000</v>
      </c>
      <c r="F45" s="16">
        <f t="shared" si="18"/>
        <v>25000</v>
      </c>
      <c r="G45" s="16">
        <f t="shared" si="18"/>
        <v>25000</v>
      </c>
      <c r="H45" s="16">
        <f t="shared" si="18"/>
        <v>25000</v>
      </c>
      <c r="I45" s="16">
        <f t="shared" si="18"/>
        <v>25000</v>
      </c>
      <c r="J45" s="16">
        <f t="shared" si="18"/>
        <v>25000</v>
      </c>
      <c r="K45" s="16">
        <f t="shared" si="18"/>
        <v>25000</v>
      </c>
      <c r="L45" s="16">
        <f t="shared" si="18"/>
        <v>25000</v>
      </c>
      <c r="M45" s="16">
        <f t="shared" si="18"/>
        <v>25000</v>
      </c>
      <c r="N45" s="16">
        <f t="shared" si="18"/>
        <v>25000</v>
      </c>
      <c r="O45" s="16">
        <f t="shared" si="18"/>
        <v>25000</v>
      </c>
      <c r="P45" s="16">
        <f t="shared" si="18"/>
        <v>25000</v>
      </c>
      <c r="Q45" s="16">
        <f t="shared" si="18"/>
        <v>25000</v>
      </c>
      <c r="R45" s="16">
        <f t="shared" si="18"/>
        <v>25000</v>
      </c>
      <c r="S45" s="16">
        <f t="shared" si="18"/>
        <v>25000</v>
      </c>
      <c r="T45" s="16">
        <f t="shared" si="18"/>
        <v>25000</v>
      </c>
      <c r="U45" s="16">
        <f t="shared" si="18"/>
        <v>25000</v>
      </c>
      <c r="V45" s="16">
        <f t="shared" si="18"/>
        <v>25000</v>
      </c>
      <c r="W45" s="16">
        <f t="shared" si="18"/>
        <v>25000</v>
      </c>
      <c r="X45" s="16">
        <f t="shared" si="18"/>
        <v>25000</v>
      </c>
      <c r="Y45" s="16">
        <f t="shared" si="18"/>
        <v>25000</v>
      </c>
      <c r="Z45" s="16">
        <f t="shared" si="18"/>
        <v>25000</v>
      </c>
      <c r="AA45" s="16">
        <f t="shared" si="18"/>
        <v>25000</v>
      </c>
      <c r="AB45" s="16">
        <f t="shared" si="18"/>
        <v>25000</v>
      </c>
      <c r="AC45" s="16">
        <f t="shared" si="18"/>
        <v>25000</v>
      </c>
      <c r="AD45" s="16">
        <f t="shared" si="18"/>
        <v>25000</v>
      </c>
      <c r="AE45" s="16">
        <f t="shared" si="18"/>
        <v>25000</v>
      </c>
      <c r="AF45" s="16">
        <f t="shared" si="18"/>
        <v>25000</v>
      </c>
      <c r="AG45" s="16">
        <f t="shared" si="18"/>
        <v>25000</v>
      </c>
      <c r="AH45" s="16">
        <f t="shared" ref="AH45:BM45" si="19">SUM(AH44)</f>
        <v>25000</v>
      </c>
      <c r="AI45" s="16">
        <f t="shared" si="19"/>
        <v>25000</v>
      </c>
      <c r="AJ45" s="16">
        <f t="shared" si="19"/>
        <v>25000</v>
      </c>
      <c r="AK45" s="16">
        <f t="shared" si="19"/>
        <v>25000</v>
      </c>
      <c r="AL45" s="16">
        <f t="shared" si="19"/>
        <v>25000</v>
      </c>
      <c r="AM45" s="16">
        <f t="shared" si="19"/>
        <v>25000</v>
      </c>
      <c r="AN45" s="16">
        <f t="shared" si="19"/>
        <v>25000</v>
      </c>
      <c r="AO45" s="16">
        <f t="shared" si="19"/>
        <v>25000</v>
      </c>
      <c r="AP45" s="16">
        <f t="shared" si="19"/>
        <v>25000</v>
      </c>
      <c r="AQ45" s="16">
        <f t="shared" si="19"/>
        <v>25000</v>
      </c>
      <c r="AR45" s="16">
        <f t="shared" si="19"/>
        <v>25000</v>
      </c>
      <c r="AS45" s="16">
        <f t="shared" si="19"/>
        <v>25000</v>
      </c>
      <c r="AT45" s="16">
        <f t="shared" si="19"/>
        <v>25000</v>
      </c>
      <c r="AU45" s="16">
        <f t="shared" si="19"/>
        <v>25000</v>
      </c>
      <c r="AV45" s="16">
        <f t="shared" si="19"/>
        <v>25000</v>
      </c>
      <c r="AW45" s="16">
        <f t="shared" si="19"/>
        <v>25000</v>
      </c>
      <c r="AX45" s="16">
        <f t="shared" si="19"/>
        <v>25000</v>
      </c>
      <c r="AY45" s="16">
        <f t="shared" si="19"/>
        <v>25000</v>
      </c>
      <c r="AZ45" s="16">
        <f t="shared" si="19"/>
        <v>25000</v>
      </c>
      <c r="BA45" s="16">
        <f t="shared" si="19"/>
        <v>25000</v>
      </c>
      <c r="BB45" s="16">
        <f t="shared" si="19"/>
        <v>25000</v>
      </c>
      <c r="BC45" s="16">
        <f t="shared" si="19"/>
        <v>25000</v>
      </c>
      <c r="BD45" s="16">
        <f t="shared" si="19"/>
        <v>25000</v>
      </c>
      <c r="BE45" s="16">
        <f t="shared" si="19"/>
        <v>25000</v>
      </c>
      <c r="BF45" s="16">
        <f t="shared" si="19"/>
        <v>25000</v>
      </c>
      <c r="BG45" s="16">
        <f t="shared" si="19"/>
        <v>25000</v>
      </c>
      <c r="BH45" s="16">
        <f t="shared" si="19"/>
        <v>25000</v>
      </c>
      <c r="BI45" s="16">
        <f t="shared" si="19"/>
        <v>25000</v>
      </c>
      <c r="BJ45" s="16">
        <f t="shared" si="19"/>
        <v>25000</v>
      </c>
      <c r="BK45" s="16">
        <f t="shared" si="19"/>
        <v>25000</v>
      </c>
      <c r="BL45" s="16">
        <f t="shared" si="19"/>
        <v>25000</v>
      </c>
      <c r="BM45" s="16">
        <f t="shared" si="19"/>
        <v>25000</v>
      </c>
      <c r="BN45" s="16">
        <f t="shared" ref="BN45:CS45" si="20">SUM(BN44)</f>
        <v>25000</v>
      </c>
      <c r="BO45" s="16">
        <f t="shared" si="20"/>
        <v>25000</v>
      </c>
      <c r="BP45" s="16">
        <f t="shared" si="20"/>
        <v>25000</v>
      </c>
      <c r="BQ45" s="16">
        <f t="shared" si="20"/>
        <v>25000</v>
      </c>
      <c r="BR45" s="16">
        <f t="shared" si="20"/>
        <v>25000</v>
      </c>
      <c r="BS45" s="16">
        <f t="shared" si="20"/>
        <v>25000</v>
      </c>
      <c r="BT45" s="16">
        <f t="shared" si="20"/>
        <v>25000</v>
      </c>
      <c r="BU45" s="16">
        <f t="shared" si="20"/>
        <v>25000</v>
      </c>
      <c r="BV45" s="16">
        <f t="shared" si="20"/>
        <v>25000</v>
      </c>
      <c r="BW45" s="16">
        <f t="shared" si="20"/>
        <v>25000</v>
      </c>
      <c r="BX45" s="16">
        <f t="shared" si="20"/>
        <v>25000</v>
      </c>
      <c r="BY45" s="16">
        <f t="shared" si="20"/>
        <v>25000</v>
      </c>
      <c r="BZ45" s="16">
        <f t="shared" si="20"/>
        <v>25000</v>
      </c>
      <c r="CA45" s="16">
        <f t="shared" si="20"/>
        <v>25000</v>
      </c>
      <c r="CB45" s="16">
        <f t="shared" si="20"/>
        <v>25000</v>
      </c>
      <c r="CC45" s="16">
        <f t="shared" si="20"/>
        <v>25000</v>
      </c>
      <c r="CD45" s="16">
        <f t="shared" si="20"/>
        <v>25000</v>
      </c>
      <c r="CE45" s="16">
        <f t="shared" si="20"/>
        <v>25000</v>
      </c>
      <c r="CF45" s="16">
        <f t="shared" si="20"/>
        <v>25000</v>
      </c>
      <c r="CG45" s="16">
        <f t="shared" si="20"/>
        <v>25000</v>
      </c>
      <c r="CH45" s="16">
        <f t="shared" si="20"/>
        <v>25000</v>
      </c>
      <c r="CI45" s="16">
        <f t="shared" si="20"/>
        <v>25000</v>
      </c>
      <c r="CJ45" s="16">
        <f t="shared" si="20"/>
        <v>25000</v>
      </c>
    </row>
    <row r="46" spans="1:88" x14ac:dyDescent="0.2">
      <c r="A46" s="15" t="s">
        <v>129</v>
      </c>
      <c r="B46" s="16">
        <f>171497.99-B47</f>
        <v>171497.99</v>
      </c>
      <c r="C46" s="16">
        <f>171497.99-C47</f>
        <v>171497.99</v>
      </c>
      <c r="D46" s="16">
        <f>234026.03-D47</f>
        <v>234026.03</v>
      </c>
      <c r="E46" s="16">
        <f>232447.33-E47</f>
        <v>232447.33</v>
      </c>
      <c r="F46" s="16">
        <f>223715.58-F47</f>
        <v>223715.58</v>
      </c>
      <c r="G46" s="16">
        <f>219495.289999999-G47</f>
        <v>219495.28999999899</v>
      </c>
      <c r="H46" s="16">
        <f>208603.41-H47</f>
        <v>208603.41</v>
      </c>
      <c r="I46" s="16">
        <f>211319.069999999-I47</f>
        <v>211319.06999999899</v>
      </c>
      <c r="J46" s="16">
        <f>195049.309999999-J47</f>
        <v>195049.30999999901</v>
      </c>
      <c r="K46" s="16">
        <f>177104.509999999-K47</f>
        <v>177104.50999999899</v>
      </c>
      <c r="L46" s="16">
        <f>185723.019999999-L47</f>
        <v>185723.019999999</v>
      </c>
      <c r="M46" s="16">
        <f>197263.049999999-M47</f>
        <v>197263.049999999</v>
      </c>
      <c r="N46" s="16">
        <f>178955.72-N47</f>
        <v>178955.72</v>
      </c>
      <c r="O46" s="16">
        <f>195445.219999999-O47</f>
        <v>195445.21999999901</v>
      </c>
      <c r="P46" s="16">
        <f>195445.219999999-P47</f>
        <v>195445.21999999901</v>
      </c>
      <c r="Q46" s="16">
        <f>222396.129999999-Q47</f>
        <v>222396.12999999899</v>
      </c>
      <c r="R46" s="16">
        <f>204650.739999999-R47</f>
        <v>204650.739999999</v>
      </c>
      <c r="S46" s="16">
        <f>208833.079999999-S47</f>
        <v>208833.079999999</v>
      </c>
      <c r="T46" s="16">
        <f>188972.809999999-T47</f>
        <v>188972.80999999901</v>
      </c>
      <c r="U46" s="16">
        <f>191772.039999999-U47</f>
        <v>191772.03999999899</v>
      </c>
      <c r="V46" s="16">
        <f>190894.43-V47</f>
        <v>190894.43</v>
      </c>
      <c r="W46" s="16">
        <f>181775.359999999-W47</f>
        <v>181775.359999999</v>
      </c>
      <c r="X46" s="16">
        <f>186977.349999999-X47</f>
        <v>186977.34999999899</v>
      </c>
      <c r="Y46" s="16">
        <f>202862.289999999-Y47</f>
        <v>202862.28999999899</v>
      </c>
      <c r="Z46" s="16">
        <f>205304.619999999-Z47</f>
        <v>205304.61999999901</v>
      </c>
      <c r="AA46" s="16">
        <f>210344.009999999-AA47</f>
        <v>210344.00999999899</v>
      </c>
      <c r="AB46" s="16">
        <f>215627.52-AB47</f>
        <v>215627.51999999999</v>
      </c>
      <c r="AC46" s="16">
        <f>215627.52-AC47</f>
        <v>215627.51999999999</v>
      </c>
      <c r="AD46" s="16">
        <f>245475.54-AD47</f>
        <v>245475.54</v>
      </c>
      <c r="AE46" s="16">
        <f>241761.659999999-AE47</f>
        <v>241761.65999999901</v>
      </c>
      <c r="AF46" s="16">
        <f>239940.88-AF47</f>
        <v>239940.88</v>
      </c>
      <c r="AG46" s="16">
        <f>232950.459999999-AG47</f>
        <v>232950.459999999</v>
      </c>
      <c r="AH46" s="16">
        <f>228862.9-AH47</f>
        <v>228862.9</v>
      </c>
      <c r="AI46" s="16">
        <f>225225.729999999-AI47</f>
        <v>225225.72999999899</v>
      </c>
      <c r="AJ46" s="16">
        <f>222188.969999999-AJ47</f>
        <v>222188.96999999901</v>
      </c>
      <c r="AK46" s="16">
        <f>218420.21-AK47</f>
        <v>218420.21</v>
      </c>
      <c r="AL46" s="16">
        <f>215221.009999999-AL47</f>
        <v>215221.00999999899</v>
      </c>
      <c r="AM46" s="16">
        <f>212113.69-AM47</f>
        <v>212113.69</v>
      </c>
      <c r="AN46" s="16">
        <f>222744.329999999-AN47</f>
        <v>222744.329999999</v>
      </c>
      <c r="AO46" s="16">
        <f>223571.059999999-AO47</f>
        <v>223571.05999999901</v>
      </c>
      <c r="AP46" s="16">
        <f>223571.059999999-AP47</f>
        <v>223571.05999999901</v>
      </c>
      <c r="AQ46" s="16">
        <f>258038.28-AQ47</f>
        <v>258038.28</v>
      </c>
      <c r="AR46" s="16">
        <f>264939.91-AR47</f>
        <v>264939.90999999997</v>
      </c>
      <c r="AS46" s="16">
        <f>260428.679999999-AS47</f>
        <v>260428.679999999</v>
      </c>
      <c r="AT46" s="16">
        <f>259564.299999999-AT47</f>
        <v>259564.299999999</v>
      </c>
      <c r="AU46" s="16">
        <f>257832.029999999-AU47</f>
        <v>257832.02999999901</v>
      </c>
      <c r="AV46" s="16">
        <f>256223.7-AV47</f>
        <v>256223.7</v>
      </c>
      <c r="AW46" s="16">
        <f>255910.1-AW47</f>
        <v>255910.1</v>
      </c>
      <c r="AX46" s="16">
        <f>254821.3-AX47</f>
        <v>254821.3</v>
      </c>
      <c r="AY46" s="16">
        <f>253156.66-AY47</f>
        <v>253156.66</v>
      </c>
      <c r="AZ46" s="16">
        <f>233968.139999999-AZ47</f>
        <v>233968.139999999</v>
      </c>
      <c r="BA46" s="16">
        <f>230868.16-BA47</f>
        <v>230868.16</v>
      </c>
      <c r="BB46" s="16">
        <f>228795.62-BB47</f>
        <v>228795.62</v>
      </c>
      <c r="BC46" s="16">
        <f>229795.05-BC47</f>
        <v>229795.05</v>
      </c>
      <c r="BD46" s="16">
        <f>232717.709999999-BD47</f>
        <v>232717.709999999</v>
      </c>
      <c r="BE46" s="16">
        <f>234446.329999999-BE47</f>
        <v>234446.329999999</v>
      </c>
      <c r="BF46" s="16">
        <f>229943.899999999-BF47</f>
        <v>229943.899999999</v>
      </c>
      <c r="BG46" s="16">
        <f>232010.129999999-BG47</f>
        <v>232010.12999999899</v>
      </c>
      <c r="BH46" s="16">
        <f>233673.679999999-BH47</f>
        <v>233673.679999999</v>
      </c>
      <c r="BI46" s="16">
        <f>235187.579999999-BI47</f>
        <v>235187.579999999</v>
      </c>
      <c r="BJ46" s="16">
        <f>237254.639999999-BJ47</f>
        <v>237254.639999999</v>
      </c>
      <c r="BK46" s="16">
        <f>238910.669999999-BK47</f>
        <v>238910.66999999899</v>
      </c>
      <c r="BL46" s="16">
        <f>240733.659999999-BL47</f>
        <v>240733.65999999901</v>
      </c>
      <c r="BM46" s="16">
        <f>242735.679999999-BM47</f>
        <v>242735.679999999</v>
      </c>
      <c r="BN46" s="16">
        <f>245433.939999999-BN47</f>
        <v>245433.93999999901</v>
      </c>
      <c r="BO46" s="16">
        <f>244872.519999999-BO47</f>
        <v>244872.519999999</v>
      </c>
      <c r="BP46" s="16">
        <f>244872.519999999-BP47</f>
        <v>244872.519999999</v>
      </c>
      <c r="BQ46" s="16">
        <f>246532.619999999-BQ47</f>
        <v>246532.61999999901</v>
      </c>
      <c r="BR46" s="16">
        <f>247832.759999999-BR47</f>
        <v>247832.75999999899</v>
      </c>
      <c r="BS46" s="16">
        <f>243810.669999999-BS47</f>
        <v>243810.66999999899</v>
      </c>
      <c r="BT46" s="16">
        <f>245348.109999999-BT47</f>
        <v>245348.109999999</v>
      </c>
      <c r="BU46" s="16">
        <f>250917.329999999-BU47</f>
        <v>250917.329999999</v>
      </c>
      <c r="BV46" s="16">
        <f>254750.309999999-BV47</f>
        <v>254750.30999999901</v>
      </c>
      <c r="BW46" s="16">
        <f>262473.249999999-BW47</f>
        <v>262473.24999999901</v>
      </c>
      <c r="BX46" s="16">
        <f>270638.909999999-BX47</f>
        <v>270638.90999999898</v>
      </c>
      <c r="BY46" s="16">
        <f>274290.329999999-BY47</f>
        <v>274290.32999999903</v>
      </c>
      <c r="BZ46" s="16">
        <f>284234.979999999-BZ47</f>
        <v>284234.97999999899</v>
      </c>
      <c r="CA46" s="16">
        <f>293381.049999999-CA47</f>
        <v>293381.049999999</v>
      </c>
      <c r="CB46" s="16">
        <f>257157.289999999-CB47</f>
        <v>257157.28999999899</v>
      </c>
      <c r="CC46" s="16">
        <f>261833.379999999-CC47</f>
        <v>257157.28999999899</v>
      </c>
      <c r="CD46" s="16">
        <f>266303.739999999-CD47</f>
        <v>257157.28999999899</v>
      </c>
      <c r="CE46" s="16">
        <f>266266.689999999-CE47</f>
        <v>257157.28999999902</v>
      </c>
      <c r="CF46" s="16">
        <f>276590.019999999-CF47</f>
        <v>262942.22999999899</v>
      </c>
      <c r="CG46" s="16">
        <f>274587.599999999-CG47</f>
        <v>257157.28999999899</v>
      </c>
      <c r="CH46" s="16">
        <f>277469.849999999-CH47</f>
        <v>257157.28999999899</v>
      </c>
      <c r="CI46" s="16">
        <f>276819.849999999-CI47</f>
        <v>257157.28999999899</v>
      </c>
      <c r="CJ46" s="16">
        <f>276819.849999999-CJ47</f>
        <v>257157.28999999899</v>
      </c>
    </row>
    <row r="47" spans="1:88" x14ac:dyDescent="0.2">
      <c r="A47" s="9" t="s">
        <v>130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4676.090000000002</v>
      </c>
      <c r="CD47" s="12">
        <v>9146.4500000000025</v>
      </c>
      <c r="CE47" s="12">
        <v>9109.4000000000033</v>
      </c>
      <c r="CF47" s="12">
        <v>13647.790000000005</v>
      </c>
      <c r="CG47" s="12">
        <v>17430.310000000005</v>
      </c>
      <c r="CH47" s="12">
        <v>20312.560000000005</v>
      </c>
      <c r="CI47" s="12">
        <v>19662.560000000005</v>
      </c>
      <c r="CJ47" s="12">
        <v>19662.560000000005</v>
      </c>
    </row>
    <row r="48" spans="1:88" x14ac:dyDescent="0.2">
      <c r="A48" s="17" t="s">
        <v>131</v>
      </c>
      <c r="B48" s="18">
        <f t="shared" ref="B48:AG48" si="21">B45+0+0+B46+0+B47</f>
        <v>196497.99</v>
      </c>
      <c r="C48" s="18">
        <f t="shared" si="21"/>
        <v>196497.99</v>
      </c>
      <c r="D48" s="18">
        <f t="shared" si="21"/>
        <v>259026.03</v>
      </c>
      <c r="E48" s="18">
        <f t="shared" si="21"/>
        <v>257447.33</v>
      </c>
      <c r="F48" s="18">
        <f t="shared" si="21"/>
        <v>248715.58</v>
      </c>
      <c r="G48" s="18">
        <f t="shared" si="21"/>
        <v>244495.28999999899</v>
      </c>
      <c r="H48" s="18">
        <f t="shared" si="21"/>
        <v>233603.41</v>
      </c>
      <c r="I48" s="18">
        <f t="shared" si="21"/>
        <v>236319.06999999899</v>
      </c>
      <c r="J48" s="18">
        <f t="shared" si="21"/>
        <v>220049.30999999901</v>
      </c>
      <c r="K48" s="18">
        <f t="shared" si="21"/>
        <v>202104.50999999899</v>
      </c>
      <c r="L48" s="18">
        <f t="shared" si="21"/>
        <v>210723.019999999</v>
      </c>
      <c r="M48" s="18">
        <f t="shared" si="21"/>
        <v>222263.049999999</v>
      </c>
      <c r="N48" s="18">
        <f t="shared" si="21"/>
        <v>203955.72</v>
      </c>
      <c r="O48" s="18">
        <f t="shared" si="21"/>
        <v>220445.21999999901</v>
      </c>
      <c r="P48" s="18">
        <f t="shared" si="21"/>
        <v>220445.21999999901</v>
      </c>
      <c r="Q48" s="18">
        <f t="shared" si="21"/>
        <v>247396.12999999899</v>
      </c>
      <c r="R48" s="18">
        <f t="shared" si="21"/>
        <v>229650.739999999</v>
      </c>
      <c r="S48" s="18">
        <f t="shared" si="21"/>
        <v>233833.079999999</v>
      </c>
      <c r="T48" s="18">
        <f t="shared" si="21"/>
        <v>213972.80999999901</v>
      </c>
      <c r="U48" s="18">
        <f t="shared" si="21"/>
        <v>216772.03999999899</v>
      </c>
      <c r="V48" s="18">
        <f t="shared" si="21"/>
        <v>215894.43</v>
      </c>
      <c r="W48" s="18">
        <f t="shared" si="21"/>
        <v>206775.359999999</v>
      </c>
      <c r="X48" s="18">
        <f t="shared" si="21"/>
        <v>211977.34999999899</v>
      </c>
      <c r="Y48" s="18">
        <f t="shared" si="21"/>
        <v>227862.28999999899</v>
      </c>
      <c r="Z48" s="18">
        <f t="shared" si="21"/>
        <v>230304.61999999901</v>
      </c>
      <c r="AA48" s="18">
        <f t="shared" si="21"/>
        <v>235344.00999999899</v>
      </c>
      <c r="AB48" s="18">
        <f t="shared" si="21"/>
        <v>240627.52</v>
      </c>
      <c r="AC48" s="18">
        <f t="shared" si="21"/>
        <v>240627.52</v>
      </c>
      <c r="AD48" s="18">
        <f t="shared" si="21"/>
        <v>270475.54000000004</v>
      </c>
      <c r="AE48" s="18">
        <f t="shared" si="21"/>
        <v>266761.65999999898</v>
      </c>
      <c r="AF48" s="18">
        <f t="shared" si="21"/>
        <v>264940.88</v>
      </c>
      <c r="AG48" s="18">
        <f t="shared" si="21"/>
        <v>257950.459999999</v>
      </c>
      <c r="AH48" s="18">
        <f t="shared" ref="AH48:BM48" si="22">AH45+0+0+AH46+0+AH47</f>
        <v>253862.9</v>
      </c>
      <c r="AI48" s="18">
        <f t="shared" si="22"/>
        <v>250225.72999999899</v>
      </c>
      <c r="AJ48" s="18">
        <f t="shared" si="22"/>
        <v>247188.96999999901</v>
      </c>
      <c r="AK48" s="18">
        <f t="shared" si="22"/>
        <v>243420.21</v>
      </c>
      <c r="AL48" s="18">
        <f t="shared" si="22"/>
        <v>240221.00999999899</v>
      </c>
      <c r="AM48" s="18">
        <f t="shared" si="22"/>
        <v>237113.69</v>
      </c>
      <c r="AN48" s="18">
        <f t="shared" si="22"/>
        <v>247744.329999999</v>
      </c>
      <c r="AO48" s="18">
        <f t="shared" si="22"/>
        <v>248571.05999999901</v>
      </c>
      <c r="AP48" s="18">
        <f t="shared" si="22"/>
        <v>248571.05999999901</v>
      </c>
      <c r="AQ48" s="18">
        <f t="shared" si="22"/>
        <v>283038.28000000003</v>
      </c>
      <c r="AR48" s="18">
        <f t="shared" si="22"/>
        <v>289939.90999999997</v>
      </c>
      <c r="AS48" s="18">
        <f t="shared" si="22"/>
        <v>285428.679999999</v>
      </c>
      <c r="AT48" s="18">
        <f t="shared" si="22"/>
        <v>284564.299999999</v>
      </c>
      <c r="AU48" s="18">
        <f t="shared" si="22"/>
        <v>282832.02999999898</v>
      </c>
      <c r="AV48" s="18">
        <f t="shared" si="22"/>
        <v>281223.7</v>
      </c>
      <c r="AW48" s="18">
        <f t="shared" si="22"/>
        <v>280910.09999999998</v>
      </c>
      <c r="AX48" s="18">
        <f t="shared" si="22"/>
        <v>279821.3</v>
      </c>
      <c r="AY48" s="18">
        <f t="shared" si="22"/>
        <v>278156.66000000003</v>
      </c>
      <c r="AZ48" s="18">
        <f t="shared" si="22"/>
        <v>258968.139999999</v>
      </c>
      <c r="BA48" s="18">
        <f t="shared" si="22"/>
        <v>255868.16</v>
      </c>
      <c r="BB48" s="18">
        <f t="shared" si="22"/>
        <v>253795.62</v>
      </c>
      <c r="BC48" s="18">
        <f t="shared" si="22"/>
        <v>254795.05</v>
      </c>
      <c r="BD48" s="18">
        <f t="shared" si="22"/>
        <v>257717.709999999</v>
      </c>
      <c r="BE48" s="18">
        <f t="shared" si="22"/>
        <v>259446.329999999</v>
      </c>
      <c r="BF48" s="18">
        <f t="shared" si="22"/>
        <v>254943.899999999</v>
      </c>
      <c r="BG48" s="18">
        <f t="shared" si="22"/>
        <v>257010.12999999899</v>
      </c>
      <c r="BH48" s="18">
        <f t="shared" si="22"/>
        <v>258673.679999999</v>
      </c>
      <c r="BI48" s="18">
        <f t="shared" si="22"/>
        <v>260187.579999999</v>
      </c>
      <c r="BJ48" s="18">
        <f t="shared" si="22"/>
        <v>262254.63999999897</v>
      </c>
      <c r="BK48" s="18">
        <f t="shared" si="22"/>
        <v>263910.66999999899</v>
      </c>
      <c r="BL48" s="18">
        <f t="shared" si="22"/>
        <v>265733.65999999898</v>
      </c>
      <c r="BM48" s="18">
        <f t="shared" si="22"/>
        <v>267735.679999999</v>
      </c>
      <c r="BN48" s="18">
        <f t="shared" ref="BN48:CS48" si="23">BN45+0+0+BN46+0+BN47</f>
        <v>270433.93999999901</v>
      </c>
      <c r="BO48" s="18">
        <f t="shared" si="23"/>
        <v>269872.51999999897</v>
      </c>
      <c r="BP48" s="18">
        <f t="shared" si="23"/>
        <v>269872.51999999897</v>
      </c>
      <c r="BQ48" s="18">
        <f t="shared" si="23"/>
        <v>271532.61999999901</v>
      </c>
      <c r="BR48" s="18">
        <f t="shared" si="23"/>
        <v>272832.75999999896</v>
      </c>
      <c r="BS48" s="18">
        <f t="shared" si="23"/>
        <v>268810.66999999899</v>
      </c>
      <c r="BT48" s="18">
        <f t="shared" si="23"/>
        <v>270348.109999999</v>
      </c>
      <c r="BU48" s="18">
        <f t="shared" si="23"/>
        <v>275917.32999999903</v>
      </c>
      <c r="BV48" s="18">
        <f t="shared" si="23"/>
        <v>279750.30999999901</v>
      </c>
      <c r="BW48" s="18">
        <f t="shared" si="23"/>
        <v>287473.24999999901</v>
      </c>
      <c r="BX48" s="18">
        <f t="shared" si="23"/>
        <v>295638.90999999898</v>
      </c>
      <c r="BY48" s="18">
        <f t="shared" si="23"/>
        <v>299290.32999999903</v>
      </c>
      <c r="BZ48" s="18">
        <f t="shared" si="23"/>
        <v>309234.97999999899</v>
      </c>
      <c r="CA48" s="18">
        <f t="shared" si="23"/>
        <v>318381.049999999</v>
      </c>
      <c r="CB48" s="18">
        <f t="shared" si="23"/>
        <v>282157.28999999899</v>
      </c>
      <c r="CC48" s="18">
        <f t="shared" si="23"/>
        <v>286833.37999999902</v>
      </c>
      <c r="CD48" s="18">
        <f t="shared" si="23"/>
        <v>291303.739999999</v>
      </c>
      <c r="CE48" s="18">
        <f t="shared" si="23"/>
        <v>291266.68999999901</v>
      </c>
      <c r="CF48" s="18">
        <f t="shared" si="23"/>
        <v>301590.01999999897</v>
      </c>
      <c r="CG48" s="18">
        <f t="shared" si="23"/>
        <v>299587.59999999899</v>
      </c>
      <c r="CH48" s="18">
        <f t="shared" si="23"/>
        <v>302469.84999999899</v>
      </c>
      <c r="CI48" s="18">
        <f t="shared" si="23"/>
        <v>301819.84999999899</v>
      </c>
      <c r="CJ48" s="18">
        <f t="shared" si="23"/>
        <v>301819.84999999899</v>
      </c>
    </row>
    <row r="49" spans="1:88" x14ac:dyDescent="0.2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</row>
    <row r="50" spans="1:88" ht="12" x14ac:dyDescent="0.2">
      <c r="A50" s="7" t="s">
        <v>132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</row>
    <row r="51" spans="1:88" x14ac:dyDescent="0.2">
      <c r="A51" s="9" t="s">
        <v>133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</row>
    <row r="52" spans="1:88" x14ac:dyDescent="0.2">
      <c r="A52" s="24" t="s">
        <v>134</v>
      </c>
      <c r="B52" s="12">
        <v>5585</v>
      </c>
      <c r="C52" s="12">
        <v>5585</v>
      </c>
      <c r="D52" s="12">
        <v>5585</v>
      </c>
      <c r="E52" s="12">
        <v>5585</v>
      </c>
      <c r="F52" s="12">
        <v>5585</v>
      </c>
      <c r="G52" s="12">
        <v>5585</v>
      </c>
      <c r="H52" s="12">
        <v>5585</v>
      </c>
      <c r="I52" s="12">
        <v>5585</v>
      </c>
      <c r="J52" s="12">
        <v>5585</v>
      </c>
      <c r="K52" s="12">
        <v>5585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</row>
    <row r="53" spans="1:88" x14ac:dyDescent="0.2">
      <c r="A53" s="24" t="s">
        <v>135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1676</v>
      </c>
      <c r="BP53" s="12">
        <v>1676</v>
      </c>
      <c r="BQ53" s="12">
        <v>1676</v>
      </c>
      <c r="BR53" s="12">
        <v>1676</v>
      </c>
      <c r="BS53" s="12">
        <v>1676</v>
      </c>
      <c r="BT53" s="12">
        <v>1676</v>
      </c>
      <c r="BU53" s="12">
        <v>1676</v>
      </c>
      <c r="BV53" s="12">
        <v>1676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</row>
    <row r="54" spans="1:88" x14ac:dyDescent="0.2">
      <c r="A54" s="24" t="s">
        <v>136</v>
      </c>
      <c r="B54" s="12">
        <v>6934.55</v>
      </c>
      <c r="C54" s="12">
        <v>6934.55</v>
      </c>
      <c r="D54" s="12">
        <v>6934.55</v>
      </c>
      <c r="E54" s="12">
        <v>6934.55</v>
      </c>
      <c r="F54" s="12">
        <v>6934.55</v>
      </c>
      <c r="G54" s="12">
        <v>6934.55</v>
      </c>
      <c r="H54" s="12">
        <v>6934.55</v>
      </c>
      <c r="I54" s="12">
        <v>6934.55</v>
      </c>
      <c r="J54" s="12">
        <v>6934.55</v>
      </c>
      <c r="K54" s="12">
        <v>6934.55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1988.67</v>
      </c>
      <c r="BP54" s="12">
        <v>1988.67</v>
      </c>
      <c r="BQ54" s="12">
        <v>1988.67</v>
      </c>
      <c r="BR54" s="12">
        <v>1988.67</v>
      </c>
      <c r="BS54" s="12">
        <v>1988.67</v>
      </c>
      <c r="BT54" s="12">
        <v>1988.67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</row>
    <row r="55" spans="1:88" x14ac:dyDescent="0.2">
      <c r="A55" s="15" t="s">
        <v>137</v>
      </c>
      <c r="B55" s="16">
        <f t="shared" ref="B55:AG55" si="24">SUM(B52:B54)</f>
        <v>12519.55</v>
      </c>
      <c r="C55" s="16">
        <f t="shared" si="24"/>
        <v>12519.55</v>
      </c>
      <c r="D55" s="16">
        <f t="shared" si="24"/>
        <v>12519.55</v>
      </c>
      <c r="E55" s="16">
        <f t="shared" si="24"/>
        <v>12519.55</v>
      </c>
      <c r="F55" s="16">
        <f t="shared" si="24"/>
        <v>12519.55</v>
      </c>
      <c r="G55" s="16">
        <f t="shared" si="24"/>
        <v>12519.55</v>
      </c>
      <c r="H55" s="16">
        <f t="shared" si="24"/>
        <v>12519.55</v>
      </c>
      <c r="I55" s="16">
        <f t="shared" si="24"/>
        <v>12519.55</v>
      </c>
      <c r="J55" s="16">
        <f t="shared" si="24"/>
        <v>12519.55</v>
      </c>
      <c r="K55" s="16">
        <f t="shared" si="24"/>
        <v>12519.55</v>
      </c>
      <c r="L55" s="16">
        <f t="shared" si="24"/>
        <v>0</v>
      </c>
      <c r="M55" s="16">
        <f t="shared" si="24"/>
        <v>0</v>
      </c>
      <c r="N55" s="16">
        <f t="shared" si="24"/>
        <v>0</v>
      </c>
      <c r="O55" s="16">
        <f t="shared" si="24"/>
        <v>0</v>
      </c>
      <c r="P55" s="16">
        <f t="shared" si="24"/>
        <v>0</v>
      </c>
      <c r="Q55" s="16">
        <f t="shared" si="24"/>
        <v>0</v>
      </c>
      <c r="R55" s="16">
        <f t="shared" si="24"/>
        <v>0</v>
      </c>
      <c r="S55" s="16">
        <f t="shared" si="24"/>
        <v>0</v>
      </c>
      <c r="T55" s="16">
        <f t="shared" si="24"/>
        <v>0</v>
      </c>
      <c r="U55" s="16">
        <f t="shared" si="24"/>
        <v>0</v>
      </c>
      <c r="V55" s="16">
        <f t="shared" si="24"/>
        <v>0</v>
      </c>
      <c r="W55" s="16">
        <f t="shared" si="24"/>
        <v>0</v>
      </c>
      <c r="X55" s="16">
        <f t="shared" si="24"/>
        <v>0</v>
      </c>
      <c r="Y55" s="16">
        <f t="shared" si="24"/>
        <v>0</v>
      </c>
      <c r="Z55" s="16">
        <f t="shared" si="24"/>
        <v>0</v>
      </c>
      <c r="AA55" s="16">
        <f t="shared" si="24"/>
        <v>0</v>
      </c>
      <c r="AB55" s="16">
        <f t="shared" si="24"/>
        <v>0</v>
      </c>
      <c r="AC55" s="16">
        <f t="shared" si="24"/>
        <v>0</v>
      </c>
      <c r="AD55" s="16">
        <f t="shared" si="24"/>
        <v>0</v>
      </c>
      <c r="AE55" s="16">
        <f t="shared" si="24"/>
        <v>0</v>
      </c>
      <c r="AF55" s="16">
        <f t="shared" si="24"/>
        <v>0</v>
      </c>
      <c r="AG55" s="16">
        <f t="shared" si="24"/>
        <v>0</v>
      </c>
      <c r="AH55" s="16">
        <f t="shared" ref="AH55:BM55" si="25">SUM(AH52:AH54)</f>
        <v>0</v>
      </c>
      <c r="AI55" s="16">
        <f t="shared" si="25"/>
        <v>0</v>
      </c>
      <c r="AJ55" s="16">
        <f t="shared" si="25"/>
        <v>0</v>
      </c>
      <c r="AK55" s="16">
        <f t="shared" si="25"/>
        <v>0</v>
      </c>
      <c r="AL55" s="16">
        <f t="shared" si="25"/>
        <v>0</v>
      </c>
      <c r="AM55" s="16">
        <f t="shared" si="25"/>
        <v>0</v>
      </c>
      <c r="AN55" s="16">
        <f t="shared" si="25"/>
        <v>0</v>
      </c>
      <c r="AO55" s="16">
        <f t="shared" si="25"/>
        <v>0</v>
      </c>
      <c r="AP55" s="16">
        <f t="shared" si="25"/>
        <v>0</v>
      </c>
      <c r="AQ55" s="16">
        <f t="shared" si="25"/>
        <v>0</v>
      </c>
      <c r="AR55" s="16">
        <f t="shared" si="25"/>
        <v>0</v>
      </c>
      <c r="AS55" s="16">
        <f t="shared" si="25"/>
        <v>0</v>
      </c>
      <c r="AT55" s="16">
        <f t="shared" si="25"/>
        <v>0</v>
      </c>
      <c r="AU55" s="16">
        <f t="shared" si="25"/>
        <v>0</v>
      </c>
      <c r="AV55" s="16">
        <f t="shared" si="25"/>
        <v>0</v>
      </c>
      <c r="AW55" s="16">
        <f t="shared" si="25"/>
        <v>0</v>
      </c>
      <c r="AX55" s="16">
        <f t="shared" si="25"/>
        <v>0</v>
      </c>
      <c r="AY55" s="16">
        <f t="shared" si="25"/>
        <v>0</v>
      </c>
      <c r="AZ55" s="16">
        <f t="shared" si="25"/>
        <v>0</v>
      </c>
      <c r="BA55" s="16">
        <f t="shared" si="25"/>
        <v>0</v>
      </c>
      <c r="BB55" s="16">
        <f t="shared" si="25"/>
        <v>0</v>
      </c>
      <c r="BC55" s="16">
        <f t="shared" si="25"/>
        <v>0</v>
      </c>
      <c r="BD55" s="16">
        <f t="shared" si="25"/>
        <v>0</v>
      </c>
      <c r="BE55" s="16">
        <f t="shared" si="25"/>
        <v>0</v>
      </c>
      <c r="BF55" s="16">
        <f t="shared" si="25"/>
        <v>0</v>
      </c>
      <c r="BG55" s="16">
        <f t="shared" si="25"/>
        <v>0</v>
      </c>
      <c r="BH55" s="16">
        <f t="shared" si="25"/>
        <v>0</v>
      </c>
      <c r="BI55" s="16">
        <f t="shared" si="25"/>
        <v>0</v>
      </c>
      <c r="BJ55" s="16">
        <f t="shared" si="25"/>
        <v>0</v>
      </c>
      <c r="BK55" s="16">
        <f t="shared" si="25"/>
        <v>0</v>
      </c>
      <c r="BL55" s="16">
        <f t="shared" si="25"/>
        <v>0</v>
      </c>
      <c r="BM55" s="16">
        <f t="shared" si="25"/>
        <v>0</v>
      </c>
      <c r="BN55" s="16">
        <f t="shared" ref="BN55:CS55" si="26">SUM(BN52:BN54)</f>
        <v>0</v>
      </c>
      <c r="BO55" s="16">
        <f t="shared" si="26"/>
        <v>3664.67</v>
      </c>
      <c r="BP55" s="16">
        <f t="shared" si="26"/>
        <v>3664.67</v>
      </c>
      <c r="BQ55" s="16">
        <f t="shared" si="26"/>
        <v>3664.67</v>
      </c>
      <c r="BR55" s="16">
        <f t="shared" si="26"/>
        <v>3664.67</v>
      </c>
      <c r="BS55" s="16">
        <f t="shared" si="26"/>
        <v>3664.67</v>
      </c>
      <c r="BT55" s="16">
        <f t="shared" si="26"/>
        <v>3664.67</v>
      </c>
      <c r="BU55" s="16">
        <f t="shared" si="26"/>
        <v>1676</v>
      </c>
      <c r="BV55" s="16">
        <f t="shared" si="26"/>
        <v>1676</v>
      </c>
      <c r="BW55" s="16">
        <f t="shared" si="26"/>
        <v>0</v>
      </c>
      <c r="BX55" s="16">
        <f t="shared" si="26"/>
        <v>0</v>
      </c>
      <c r="BY55" s="16">
        <f t="shared" si="26"/>
        <v>0</v>
      </c>
      <c r="BZ55" s="16">
        <f t="shared" si="26"/>
        <v>0</v>
      </c>
      <c r="CA55" s="16">
        <f t="shared" si="26"/>
        <v>0</v>
      </c>
      <c r="CB55" s="16">
        <f t="shared" si="26"/>
        <v>0</v>
      </c>
      <c r="CC55" s="16">
        <f t="shared" si="26"/>
        <v>0</v>
      </c>
      <c r="CD55" s="16">
        <f t="shared" si="26"/>
        <v>0</v>
      </c>
      <c r="CE55" s="16">
        <f t="shared" si="26"/>
        <v>0</v>
      </c>
      <c r="CF55" s="16">
        <f t="shared" si="26"/>
        <v>0</v>
      </c>
      <c r="CG55" s="16">
        <f t="shared" si="26"/>
        <v>0</v>
      </c>
      <c r="CH55" s="16">
        <f t="shared" si="26"/>
        <v>0</v>
      </c>
      <c r="CI55" s="16">
        <f t="shared" si="26"/>
        <v>0</v>
      </c>
      <c r="CJ55" s="16">
        <f t="shared" si="26"/>
        <v>0</v>
      </c>
    </row>
    <row r="56" spans="1:88" x14ac:dyDescent="0.2">
      <c r="A56" s="9" t="s">
        <v>138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</row>
    <row r="57" spans="1:88" x14ac:dyDescent="0.2">
      <c r="A57" s="24" t="s">
        <v>139</v>
      </c>
      <c r="B57" s="12">
        <v>600</v>
      </c>
      <c r="C57" s="12">
        <v>600</v>
      </c>
      <c r="D57" s="12">
        <v>600</v>
      </c>
      <c r="E57" s="12">
        <v>600</v>
      </c>
      <c r="F57" s="12">
        <v>600</v>
      </c>
      <c r="G57" s="12">
        <v>600</v>
      </c>
      <c r="H57" s="12">
        <v>600</v>
      </c>
      <c r="I57" s="12">
        <v>600</v>
      </c>
      <c r="J57" s="12">
        <v>600</v>
      </c>
      <c r="K57" s="12">
        <v>600</v>
      </c>
      <c r="L57" s="12">
        <v>0</v>
      </c>
      <c r="M57" s="12">
        <v>0</v>
      </c>
      <c r="N57" s="12">
        <v>0</v>
      </c>
      <c r="O57" s="12">
        <v>850</v>
      </c>
      <c r="P57" s="12">
        <v>850</v>
      </c>
      <c r="Q57" s="12">
        <v>850</v>
      </c>
      <c r="R57" s="12">
        <v>850</v>
      </c>
      <c r="S57" s="12">
        <v>850</v>
      </c>
      <c r="T57" s="12">
        <v>850</v>
      </c>
      <c r="U57" s="12">
        <v>850</v>
      </c>
      <c r="V57" s="12">
        <v>850</v>
      </c>
      <c r="W57" s="12">
        <v>850</v>
      </c>
      <c r="X57" s="12">
        <v>0</v>
      </c>
      <c r="Y57" s="12">
        <v>0</v>
      </c>
      <c r="Z57" s="12">
        <v>0</v>
      </c>
      <c r="AA57" s="12">
        <v>0</v>
      </c>
      <c r="AB57" s="12">
        <v>760</v>
      </c>
      <c r="AC57" s="12">
        <v>760</v>
      </c>
      <c r="AD57" s="12">
        <v>760</v>
      </c>
      <c r="AE57" s="12">
        <v>760</v>
      </c>
      <c r="AF57" s="12">
        <v>760</v>
      </c>
      <c r="AG57" s="12">
        <v>760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740</v>
      </c>
      <c r="AP57" s="12">
        <v>740</v>
      </c>
      <c r="AQ57" s="12">
        <v>740</v>
      </c>
      <c r="AR57" s="12">
        <v>740</v>
      </c>
      <c r="AS57" s="12">
        <v>740</v>
      </c>
      <c r="AT57" s="12">
        <v>740</v>
      </c>
      <c r="AU57" s="12">
        <v>740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710</v>
      </c>
      <c r="BC57" s="12">
        <v>710</v>
      </c>
      <c r="BD57" s="12">
        <v>710</v>
      </c>
      <c r="BE57" s="12">
        <v>710</v>
      </c>
      <c r="BF57" s="12">
        <v>710</v>
      </c>
      <c r="BG57" s="12">
        <v>710</v>
      </c>
      <c r="BH57" s="12">
        <v>710</v>
      </c>
      <c r="BI57" s="12">
        <v>710</v>
      </c>
      <c r="BJ57" s="12">
        <v>710</v>
      </c>
      <c r="BK57" s="12">
        <v>0</v>
      </c>
      <c r="BL57" s="12">
        <v>0</v>
      </c>
      <c r="BM57" s="12">
        <v>0</v>
      </c>
      <c r="BN57" s="12">
        <v>0</v>
      </c>
      <c r="BO57" s="12">
        <v>720</v>
      </c>
      <c r="BP57" s="12">
        <v>720</v>
      </c>
      <c r="BQ57" s="12">
        <v>720</v>
      </c>
      <c r="BR57" s="12">
        <v>720</v>
      </c>
      <c r="BS57" s="12">
        <v>720</v>
      </c>
      <c r="BT57" s="12">
        <v>720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800</v>
      </c>
      <c r="CC57" s="12">
        <v>800</v>
      </c>
      <c r="CD57" s="12">
        <v>800</v>
      </c>
      <c r="CE57" s="12">
        <v>800</v>
      </c>
      <c r="CF57" s="12">
        <v>800</v>
      </c>
      <c r="CG57" s="12">
        <v>800</v>
      </c>
      <c r="CH57" s="12">
        <v>800</v>
      </c>
      <c r="CI57" s="12">
        <v>800</v>
      </c>
      <c r="CJ57" s="12">
        <v>800</v>
      </c>
    </row>
    <row r="58" spans="1:88" x14ac:dyDescent="0.2">
      <c r="A58" s="24" t="s">
        <v>140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48</v>
      </c>
      <c r="P58" s="12">
        <v>48</v>
      </c>
      <c r="Q58" s="12">
        <v>48</v>
      </c>
      <c r="R58" s="12">
        <v>48</v>
      </c>
      <c r="S58" s="12">
        <v>48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48</v>
      </c>
      <c r="AC58" s="12">
        <v>48</v>
      </c>
      <c r="AD58" s="12">
        <v>48</v>
      </c>
      <c r="AE58" s="12">
        <v>48</v>
      </c>
      <c r="AF58" s="12">
        <v>48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50</v>
      </c>
      <c r="AP58" s="12">
        <v>50</v>
      </c>
      <c r="AQ58" s="12">
        <v>50</v>
      </c>
      <c r="AR58" s="12">
        <v>50</v>
      </c>
      <c r="AS58" s="12">
        <v>50</v>
      </c>
      <c r="AT58" s="12">
        <v>50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48</v>
      </c>
      <c r="BC58" s="12">
        <v>48</v>
      </c>
      <c r="BD58" s="12">
        <v>48</v>
      </c>
      <c r="BE58" s="12">
        <v>48</v>
      </c>
      <c r="BF58" s="12">
        <v>48</v>
      </c>
      <c r="BG58" s="12">
        <v>48</v>
      </c>
      <c r="BH58" s="12">
        <v>48</v>
      </c>
      <c r="BI58" s="12">
        <v>48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48</v>
      </c>
      <c r="BP58" s="12">
        <v>48</v>
      </c>
      <c r="BQ58" s="12">
        <v>48</v>
      </c>
      <c r="BR58" s="12">
        <v>48</v>
      </c>
      <c r="BS58" s="12">
        <v>48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60</v>
      </c>
      <c r="CC58" s="12">
        <v>60</v>
      </c>
      <c r="CD58" s="12">
        <v>60</v>
      </c>
      <c r="CE58" s="12">
        <v>60</v>
      </c>
      <c r="CF58" s="12">
        <v>60</v>
      </c>
      <c r="CG58" s="12">
        <v>60</v>
      </c>
      <c r="CH58" s="12">
        <v>60</v>
      </c>
      <c r="CI58" s="12">
        <v>60</v>
      </c>
      <c r="CJ58" s="12">
        <v>60</v>
      </c>
    </row>
    <row r="59" spans="1:88" x14ac:dyDescent="0.2">
      <c r="A59" s="24" t="s">
        <v>141</v>
      </c>
      <c r="B59" s="12">
        <v>100</v>
      </c>
      <c r="C59" s="12">
        <v>100</v>
      </c>
      <c r="D59" s="12">
        <v>100</v>
      </c>
      <c r="E59" s="12">
        <v>100</v>
      </c>
      <c r="F59" s="12">
        <v>100</v>
      </c>
      <c r="G59" s="12">
        <v>100</v>
      </c>
      <c r="H59" s="12">
        <v>100</v>
      </c>
      <c r="I59" s="12">
        <v>100</v>
      </c>
      <c r="J59" s="12">
        <v>100</v>
      </c>
      <c r="K59" s="12">
        <v>100</v>
      </c>
      <c r="L59" s="12">
        <v>100</v>
      </c>
      <c r="M59" s="12">
        <v>100</v>
      </c>
      <c r="N59" s="12">
        <v>100</v>
      </c>
      <c r="O59" s="12">
        <v>100</v>
      </c>
      <c r="P59" s="12">
        <v>100</v>
      </c>
      <c r="Q59" s="12">
        <v>100</v>
      </c>
      <c r="R59" s="12">
        <v>100</v>
      </c>
      <c r="S59" s="12">
        <v>100</v>
      </c>
      <c r="T59" s="12">
        <v>100</v>
      </c>
      <c r="U59" s="12">
        <v>100</v>
      </c>
      <c r="V59" s="12">
        <v>100</v>
      </c>
      <c r="W59" s="12">
        <v>100</v>
      </c>
      <c r="X59" s="12">
        <v>100</v>
      </c>
      <c r="Y59" s="12">
        <v>100</v>
      </c>
      <c r="Z59" s="12">
        <v>100</v>
      </c>
      <c r="AA59" s="12">
        <v>100</v>
      </c>
      <c r="AB59" s="12">
        <v>100</v>
      </c>
      <c r="AC59" s="12">
        <v>100</v>
      </c>
      <c r="AD59" s="12">
        <v>100</v>
      </c>
      <c r="AE59" s="12">
        <v>100</v>
      </c>
      <c r="AF59" s="12">
        <v>100</v>
      </c>
      <c r="AG59" s="12">
        <v>100</v>
      </c>
      <c r="AH59" s="12">
        <v>100</v>
      </c>
      <c r="AI59" s="12">
        <v>100</v>
      </c>
      <c r="AJ59" s="12">
        <v>100</v>
      </c>
      <c r="AK59" s="12">
        <v>100</v>
      </c>
      <c r="AL59" s="12">
        <v>100</v>
      </c>
      <c r="AM59" s="12">
        <v>100</v>
      </c>
      <c r="AN59" s="12">
        <v>100</v>
      </c>
      <c r="AO59" s="12">
        <v>100</v>
      </c>
      <c r="AP59" s="12">
        <v>100</v>
      </c>
      <c r="AQ59" s="12">
        <v>100</v>
      </c>
      <c r="AR59" s="12">
        <v>100</v>
      </c>
      <c r="AS59" s="12">
        <v>100</v>
      </c>
      <c r="AT59" s="12">
        <v>100</v>
      </c>
      <c r="AU59" s="12">
        <v>100</v>
      </c>
      <c r="AV59" s="12">
        <v>100</v>
      </c>
      <c r="AW59" s="12">
        <v>100</v>
      </c>
      <c r="AX59" s="12">
        <v>100</v>
      </c>
      <c r="AY59" s="12">
        <v>100</v>
      </c>
      <c r="AZ59" s="12">
        <v>100</v>
      </c>
      <c r="BA59" s="12">
        <v>100</v>
      </c>
      <c r="BB59" s="12">
        <v>100</v>
      </c>
      <c r="BC59" s="12">
        <v>100</v>
      </c>
      <c r="BD59" s="12">
        <v>100</v>
      </c>
      <c r="BE59" s="12">
        <v>100</v>
      </c>
      <c r="BF59" s="12">
        <v>100</v>
      </c>
      <c r="BG59" s="12">
        <v>100</v>
      </c>
      <c r="BH59" s="12">
        <v>100</v>
      </c>
      <c r="BI59" s="12">
        <v>100</v>
      </c>
      <c r="BJ59" s="12">
        <v>100</v>
      </c>
      <c r="BK59" s="12">
        <v>100</v>
      </c>
      <c r="BL59" s="12">
        <v>100</v>
      </c>
      <c r="BM59" s="12">
        <v>100</v>
      </c>
      <c r="BN59" s="12">
        <v>100</v>
      </c>
      <c r="BO59" s="12">
        <v>100</v>
      </c>
      <c r="BP59" s="12">
        <v>100</v>
      </c>
      <c r="BQ59" s="12">
        <v>100</v>
      </c>
      <c r="BR59" s="12">
        <v>100</v>
      </c>
      <c r="BS59" s="12">
        <v>100</v>
      </c>
      <c r="BT59" s="12">
        <v>100</v>
      </c>
      <c r="BU59" s="12">
        <v>100</v>
      </c>
      <c r="BV59" s="12">
        <v>100</v>
      </c>
      <c r="BW59" s="12">
        <v>100</v>
      </c>
      <c r="BX59" s="12">
        <v>100</v>
      </c>
      <c r="BY59" s="12">
        <v>100</v>
      </c>
      <c r="BZ59" s="12">
        <v>100</v>
      </c>
      <c r="CA59" s="12">
        <v>100</v>
      </c>
      <c r="CB59" s="12">
        <v>100</v>
      </c>
      <c r="CC59" s="12">
        <v>100</v>
      </c>
      <c r="CD59" s="12">
        <v>100</v>
      </c>
      <c r="CE59" s="12">
        <v>100</v>
      </c>
      <c r="CF59" s="12">
        <v>100</v>
      </c>
      <c r="CG59" s="12">
        <v>100</v>
      </c>
      <c r="CH59" s="12">
        <v>100</v>
      </c>
      <c r="CI59" s="12">
        <v>100</v>
      </c>
      <c r="CJ59" s="12">
        <v>100</v>
      </c>
    </row>
    <row r="60" spans="1:88" x14ac:dyDescent="0.2">
      <c r="A60" s="24" t="s">
        <v>142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500</v>
      </c>
      <c r="P60" s="12">
        <v>500</v>
      </c>
      <c r="Q60" s="12">
        <v>500</v>
      </c>
      <c r="R60" s="12">
        <v>500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818</v>
      </c>
      <c r="AC60" s="12">
        <v>818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256</v>
      </c>
      <c r="AP60" s="12">
        <v>256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914</v>
      </c>
      <c r="BC60" s="12">
        <v>914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136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</row>
    <row r="61" spans="1:88" x14ac:dyDescent="0.2">
      <c r="A61" s="15" t="s">
        <v>143</v>
      </c>
      <c r="B61" s="16">
        <f t="shared" ref="B61:AG61" si="27">SUM(B57:B60)</f>
        <v>700</v>
      </c>
      <c r="C61" s="16">
        <f t="shared" si="27"/>
        <v>700</v>
      </c>
      <c r="D61" s="16">
        <f t="shared" si="27"/>
        <v>700</v>
      </c>
      <c r="E61" s="16">
        <f t="shared" si="27"/>
        <v>700</v>
      </c>
      <c r="F61" s="16">
        <f t="shared" si="27"/>
        <v>700</v>
      </c>
      <c r="G61" s="16">
        <f t="shared" si="27"/>
        <v>700</v>
      </c>
      <c r="H61" s="16">
        <f t="shared" si="27"/>
        <v>700</v>
      </c>
      <c r="I61" s="16">
        <f t="shared" si="27"/>
        <v>700</v>
      </c>
      <c r="J61" s="16">
        <f t="shared" si="27"/>
        <v>700</v>
      </c>
      <c r="K61" s="16">
        <f t="shared" si="27"/>
        <v>700</v>
      </c>
      <c r="L61" s="16">
        <f t="shared" si="27"/>
        <v>100</v>
      </c>
      <c r="M61" s="16">
        <f t="shared" si="27"/>
        <v>100</v>
      </c>
      <c r="N61" s="16">
        <f t="shared" si="27"/>
        <v>100</v>
      </c>
      <c r="O61" s="16">
        <f t="shared" si="27"/>
        <v>1498</v>
      </c>
      <c r="P61" s="16">
        <f t="shared" si="27"/>
        <v>1498</v>
      </c>
      <c r="Q61" s="16">
        <f t="shared" si="27"/>
        <v>1498</v>
      </c>
      <c r="R61" s="16">
        <f t="shared" si="27"/>
        <v>1498</v>
      </c>
      <c r="S61" s="16">
        <f t="shared" si="27"/>
        <v>998</v>
      </c>
      <c r="T61" s="16">
        <f t="shared" si="27"/>
        <v>950</v>
      </c>
      <c r="U61" s="16">
        <f t="shared" si="27"/>
        <v>950</v>
      </c>
      <c r="V61" s="16">
        <f t="shared" si="27"/>
        <v>950</v>
      </c>
      <c r="W61" s="16">
        <f t="shared" si="27"/>
        <v>950</v>
      </c>
      <c r="X61" s="16">
        <f t="shared" si="27"/>
        <v>100</v>
      </c>
      <c r="Y61" s="16">
        <f t="shared" si="27"/>
        <v>100</v>
      </c>
      <c r="Z61" s="16">
        <f t="shared" si="27"/>
        <v>100</v>
      </c>
      <c r="AA61" s="16">
        <f t="shared" si="27"/>
        <v>100</v>
      </c>
      <c r="AB61" s="16">
        <f t="shared" si="27"/>
        <v>1726</v>
      </c>
      <c r="AC61" s="16">
        <f t="shared" si="27"/>
        <v>1726</v>
      </c>
      <c r="AD61" s="16">
        <f t="shared" si="27"/>
        <v>908</v>
      </c>
      <c r="AE61" s="16">
        <f t="shared" si="27"/>
        <v>908</v>
      </c>
      <c r="AF61" s="16">
        <f t="shared" si="27"/>
        <v>908</v>
      </c>
      <c r="AG61" s="16">
        <f t="shared" si="27"/>
        <v>860</v>
      </c>
      <c r="AH61" s="16">
        <f t="shared" ref="AH61:BM61" si="28">SUM(AH57:AH60)</f>
        <v>100</v>
      </c>
      <c r="AI61" s="16">
        <f t="shared" si="28"/>
        <v>100</v>
      </c>
      <c r="AJ61" s="16">
        <f t="shared" si="28"/>
        <v>100</v>
      </c>
      <c r="AK61" s="16">
        <f t="shared" si="28"/>
        <v>100</v>
      </c>
      <c r="AL61" s="16">
        <f t="shared" si="28"/>
        <v>100</v>
      </c>
      <c r="AM61" s="16">
        <f t="shared" si="28"/>
        <v>100</v>
      </c>
      <c r="AN61" s="16">
        <f t="shared" si="28"/>
        <v>100</v>
      </c>
      <c r="AO61" s="16">
        <f t="shared" si="28"/>
        <v>1146</v>
      </c>
      <c r="AP61" s="16">
        <f t="shared" si="28"/>
        <v>1146</v>
      </c>
      <c r="AQ61" s="16">
        <f t="shared" si="28"/>
        <v>890</v>
      </c>
      <c r="AR61" s="16">
        <f t="shared" si="28"/>
        <v>890</v>
      </c>
      <c r="AS61" s="16">
        <f t="shared" si="28"/>
        <v>890</v>
      </c>
      <c r="AT61" s="16">
        <f t="shared" si="28"/>
        <v>890</v>
      </c>
      <c r="AU61" s="16">
        <f t="shared" si="28"/>
        <v>840</v>
      </c>
      <c r="AV61" s="16">
        <f t="shared" si="28"/>
        <v>100</v>
      </c>
      <c r="AW61" s="16">
        <f t="shared" si="28"/>
        <v>100</v>
      </c>
      <c r="AX61" s="16">
        <f t="shared" si="28"/>
        <v>100</v>
      </c>
      <c r="AY61" s="16">
        <f t="shared" si="28"/>
        <v>100</v>
      </c>
      <c r="AZ61" s="16">
        <f t="shared" si="28"/>
        <v>100</v>
      </c>
      <c r="BA61" s="16">
        <f t="shared" si="28"/>
        <v>100</v>
      </c>
      <c r="BB61" s="16">
        <f t="shared" si="28"/>
        <v>1772</v>
      </c>
      <c r="BC61" s="16">
        <f t="shared" si="28"/>
        <v>1772</v>
      </c>
      <c r="BD61" s="16">
        <f t="shared" si="28"/>
        <v>858</v>
      </c>
      <c r="BE61" s="16">
        <f t="shared" si="28"/>
        <v>858</v>
      </c>
      <c r="BF61" s="16">
        <f t="shared" si="28"/>
        <v>858</v>
      </c>
      <c r="BG61" s="16">
        <f t="shared" si="28"/>
        <v>858</v>
      </c>
      <c r="BH61" s="16">
        <f t="shared" si="28"/>
        <v>858</v>
      </c>
      <c r="BI61" s="16">
        <f t="shared" si="28"/>
        <v>858</v>
      </c>
      <c r="BJ61" s="16">
        <f t="shared" si="28"/>
        <v>810</v>
      </c>
      <c r="BK61" s="16">
        <f t="shared" si="28"/>
        <v>100</v>
      </c>
      <c r="BL61" s="16">
        <f t="shared" si="28"/>
        <v>100</v>
      </c>
      <c r="BM61" s="16">
        <f t="shared" si="28"/>
        <v>100</v>
      </c>
      <c r="BN61" s="16">
        <f t="shared" ref="BN61:CS61" si="29">SUM(BN57:BN60)</f>
        <v>100</v>
      </c>
      <c r="BO61" s="16">
        <f t="shared" si="29"/>
        <v>868</v>
      </c>
      <c r="BP61" s="16">
        <f t="shared" si="29"/>
        <v>868</v>
      </c>
      <c r="BQ61" s="16">
        <f t="shared" si="29"/>
        <v>868</v>
      </c>
      <c r="BR61" s="16">
        <f t="shared" si="29"/>
        <v>868</v>
      </c>
      <c r="BS61" s="16">
        <f t="shared" si="29"/>
        <v>868</v>
      </c>
      <c r="BT61" s="16">
        <f t="shared" si="29"/>
        <v>820</v>
      </c>
      <c r="BU61" s="16">
        <f t="shared" si="29"/>
        <v>100</v>
      </c>
      <c r="BV61" s="16">
        <f t="shared" si="29"/>
        <v>100</v>
      </c>
      <c r="BW61" s="16">
        <f t="shared" si="29"/>
        <v>100</v>
      </c>
      <c r="BX61" s="16">
        <f t="shared" si="29"/>
        <v>100</v>
      </c>
      <c r="BY61" s="16">
        <f t="shared" si="29"/>
        <v>100</v>
      </c>
      <c r="BZ61" s="16">
        <f t="shared" si="29"/>
        <v>100</v>
      </c>
      <c r="CA61" s="16">
        <f t="shared" si="29"/>
        <v>100</v>
      </c>
      <c r="CB61" s="16">
        <f t="shared" si="29"/>
        <v>1096</v>
      </c>
      <c r="CC61" s="16">
        <f t="shared" si="29"/>
        <v>960</v>
      </c>
      <c r="CD61" s="16">
        <f t="shared" si="29"/>
        <v>960</v>
      </c>
      <c r="CE61" s="16">
        <f t="shared" si="29"/>
        <v>960</v>
      </c>
      <c r="CF61" s="16">
        <f t="shared" si="29"/>
        <v>960</v>
      </c>
      <c r="CG61" s="16">
        <f t="shared" si="29"/>
        <v>960</v>
      </c>
      <c r="CH61" s="16">
        <f t="shared" si="29"/>
        <v>960</v>
      </c>
      <c r="CI61" s="16">
        <f t="shared" si="29"/>
        <v>960</v>
      </c>
      <c r="CJ61" s="16">
        <f t="shared" si="29"/>
        <v>960</v>
      </c>
    </row>
    <row r="62" spans="1:88" x14ac:dyDescent="0.2">
      <c r="A62" s="17" t="s">
        <v>144</v>
      </c>
      <c r="B62" s="18">
        <f t="shared" ref="B62:AG62" si="30">0+B55+B61</f>
        <v>13219.55</v>
      </c>
      <c r="C62" s="18">
        <f t="shared" si="30"/>
        <v>13219.55</v>
      </c>
      <c r="D62" s="18">
        <f t="shared" si="30"/>
        <v>13219.55</v>
      </c>
      <c r="E62" s="18">
        <f t="shared" si="30"/>
        <v>13219.55</v>
      </c>
      <c r="F62" s="18">
        <f t="shared" si="30"/>
        <v>13219.55</v>
      </c>
      <c r="G62" s="18">
        <f t="shared" si="30"/>
        <v>13219.55</v>
      </c>
      <c r="H62" s="18">
        <f t="shared" si="30"/>
        <v>13219.55</v>
      </c>
      <c r="I62" s="18">
        <f t="shared" si="30"/>
        <v>13219.55</v>
      </c>
      <c r="J62" s="18">
        <f t="shared" si="30"/>
        <v>13219.55</v>
      </c>
      <c r="K62" s="18">
        <f t="shared" si="30"/>
        <v>13219.55</v>
      </c>
      <c r="L62" s="18">
        <f t="shared" si="30"/>
        <v>100</v>
      </c>
      <c r="M62" s="18">
        <f t="shared" si="30"/>
        <v>100</v>
      </c>
      <c r="N62" s="18">
        <f t="shared" si="30"/>
        <v>100</v>
      </c>
      <c r="O62" s="18">
        <f t="shared" si="30"/>
        <v>1498</v>
      </c>
      <c r="P62" s="18">
        <f t="shared" si="30"/>
        <v>1498</v>
      </c>
      <c r="Q62" s="18">
        <f t="shared" si="30"/>
        <v>1498</v>
      </c>
      <c r="R62" s="18">
        <f t="shared" si="30"/>
        <v>1498</v>
      </c>
      <c r="S62" s="18">
        <f t="shared" si="30"/>
        <v>998</v>
      </c>
      <c r="T62" s="18">
        <f t="shared" si="30"/>
        <v>950</v>
      </c>
      <c r="U62" s="18">
        <f t="shared" si="30"/>
        <v>950</v>
      </c>
      <c r="V62" s="18">
        <f t="shared" si="30"/>
        <v>950</v>
      </c>
      <c r="W62" s="18">
        <f t="shared" si="30"/>
        <v>950</v>
      </c>
      <c r="X62" s="18">
        <f t="shared" si="30"/>
        <v>100</v>
      </c>
      <c r="Y62" s="18">
        <f t="shared" si="30"/>
        <v>100</v>
      </c>
      <c r="Z62" s="18">
        <f t="shared" si="30"/>
        <v>100</v>
      </c>
      <c r="AA62" s="18">
        <f t="shared" si="30"/>
        <v>100</v>
      </c>
      <c r="AB62" s="18">
        <f t="shared" si="30"/>
        <v>1726</v>
      </c>
      <c r="AC62" s="18">
        <f t="shared" si="30"/>
        <v>1726</v>
      </c>
      <c r="AD62" s="18">
        <f t="shared" si="30"/>
        <v>908</v>
      </c>
      <c r="AE62" s="18">
        <f t="shared" si="30"/>
        <v>908</v>
      </c>
      <c r="AF62" s="18">
        <f t="shared" si="30"/>
        <v>908</v>
      </c>
      <c r="AG62" s="18">
        <f t="shared" si="30"/>
        <v>860</v>
      </c>
      <c r="AH62" s="18">
        <f t="shared" ref="AH62:BM62" si="31">0+AH55+AH61</f>
        <v>100</v>
      </c>
      <c r="AI62" s="18">
        <f t="shared" si="31"/>
        <v>100</v>
      </c>
      <c r="AJ62" s="18">
        <f t="shared" si="31"/>
        <v>100</v>
      </c>
      <c r="AK62" s="18">
        <f t="shared" si="31"/>
        <v>100</v>
      </c>
      <c r="AL62" s="18">
        <f t="shared" si="31"/>
        <v>100</v>
      </c>
      <c r="AM62" s="18">
        <f t="shared" si="31"/>
        <v>100</v>
      </c>
      <c r="AN62" s="18">
        <f t="shared" si="31"/>
        <v>100</v>
      </c>
      <c r="AO62" s="18">
        <f t="shared" si="31"/>
        <v>1146</v>
      </c>
      <c r="AP62" s="18">
        <f t="shared" si="31"/>
        <v>1146</v>
      </c>
      <c r="AQ62" s="18">
        <f t="shared" si="31"/>
        <v>890</v>
      </c>
      <c r="AR62" s="18">
        <f t="shared" si="31"/>
        <v>890</v>
      </c>
      <c r="AS62" s="18">
        <f t="shared" si="31"/>
        <v>890</v>
      </c>
      <c r="AT62" s="18">
        <f t="shared" si="31"/>
        <v>890</v>
      </c>
      <c r="AU62" s="18">
        <f t="shared" si="31"/>
        <v>840</v>
      </c>
      <c r="AV62" s="18">
        <f t="shared" si="31"/>
        <v>100</v>
      </c>
      <c r="AW62" s="18">
        <f t="shared" si="31"/>
        <v>100</v>
      </c>
      <c r="AX62" s="18">
        <f t="shared" si="31"/>
        <v>100</v>
      </c>
      <c r="AY62" s="18">
        <f t="shared" si="31"/>
        <v>100</v>
      </c>
      <c r="AZ62" s="18">
        <f t="shared" si="31"/>
        <v>100</v>
      </c>
      <c r="BA62" s="18">
        <f t="shared" si="31"/>
        <v>100</v>
      </c>
      <c r="BB62" s="18">
        <f t="shared" si="31"/>
        <v>1772</v>
      </c>
      <c r="BC62" s="18">
        <f t="shared" si="31"/>
        <v>1772</v>
      </c>
      <c r="BD62" s="18">
        <f t="shared" si="31"/>
        <v>858</v>
      </c>
      <c r="BE62" s="18">
        <f t="shared" si="31"/>
        <v>858</v>
      </c>
      <c r="BF62" s="18">
        <f t="shared" si="31"/>
        <v>858</v>
      </c>
      <c r="BG62" s="18">
        <f t="shared" si="31"/>
        <v>858</v>
      </c>
      <c r="BH62" s="18">
        <f t="shared" si="31"/>
        <v>858</v>
      </c>
      <c r="BI62" s="18">
        <f t="shared" si="31"/>
        <v>858</v>
      </c>
      <c r="BJ62" s="18">
        <f t="shared" si="31"/>
        <v>810</v>
      </c>
      <c r="BK62" s="18">
        <f t="shared" si="31"/>
        <v>100</v>
      </c>
      <c r="BL62" s="18">
        <f t="shared" si="31"/>
        <v>100</v>
      </c>
      <c r="BM62" s="18">
        <f t="shared" si="31"/>
        <v>100</v>
      </c>
      <c r="BN62" s="18">
        <f t="shared" ref="BN62:CS62" si="32">0+BN55+BN61</f>
        <v>100</v>
      </c>
      <c r="BO62" s="18">
        <f t="shared" si="32"/>
        <v>4532.67</v>
      </c>
      <c r="BP62" s="18">
        <f t="shared" si="32"/>
        <v>4532.67</v>
      </c>
      <c r="BQ62" s="18">
        <f t="shared" si="32"/>
        <v>4532.67</v>
      </c>
      <c r="BR62" s="18">
        <f t="shared" si="32"/>
        <v>4532.67</v>
      </c>
      <c r="BS62" s="18">
        <f t="shared" si="32"/>
        <v>4532.67</v>
      </c>
      <c r="BT62" s="18">
        <f t="shared" si="32"/>
        <v>4484.67</v>
      </c>
      <c r="BU62" s="18">
        <f t="shared" si="32"/>
        <v>1776</v>
      </c>
      <c r="BV62" s="18">
        <f t="shared" si="32"/>
        <v>1776</v>
      </c>
      <c r="BW62" s="18">
        <f t="shared" si="32"/>
        <v>100</v>
      </c>
      <c r="BX62" s="18">
        <f t="shared" si="32"/>
        <v>100</v>
      </c>
      <c r="BY62" s="18">
        <f t="shared" si="32"/>
        <v>100</v>
      </c>
      <c r="BZ62" s="18">
        <f t="shared" si="32"/>
        <v>100</v>
      </c>
      <c r="CA62" s="18">
        <f t="shared" si="32"/>
        <v>100</v>
      </c>
      <c r="CB62" s="18">
        <f t="shared" si="32"/>
        <v>1096</v>
      </c>
      <c r="CC62" s="18">
        <f t="shared" si="32"/>
        <v>960</v>
      </c>
      <c r="CD62" s="18">
        <f t="shared" si="32"/>
        <v>960</v>
      </c>
      <c r="CE62" s="18">
        <f t="shared" si="32"/>
        <v>960</v>
      </c>
      <c r="CF62" s="18">
        <f t="shared" si="32"/>
        <v>960</v>
      </c>
      <c r="CG62" s="18">
        <f t="shared" si="32"/>
        <v>960</v>
      </c>
      <c r="CH62" s="18">
        <f t="shared" si="32"/>
        <v>960</v>
      </c>
      <c r="CI62" s="18">
        <f t="shared" si="32"/>
        <v>960</v>
      </c>
      <c r="CJ62" s="18">
        <f t="shared" si="32"/>
        <v>960</v>
      </c>
    </row>
    <row r="63" spans="1:88" x14ac:dyDescent="0.2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</row>
    <row r="64" spans="1:88" ht="12" x14ac:dyDescent="0.2">
      <c r="A64" s="7" t="s">
        <v>145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</row>
    <row r="65" spans="1:88" x14ac:dyDescent="0.2">
      <c r="A65" s="9" t="s">
        <v>146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</row>
    <row r="66" spans="1:88" x14ac:dyDescent="0.2">
      <c r="A66" s="24" t="s">
        <v>147</v>
      </c>
      <c r="B66" s="12">
        <v>0</v>
      </c>
      <c r="C66" s="12">
        <v>0</v>
      </c>
      <c r="D66" s="12">
        <v>0</v>
      </c>
      <c r="E66" s="12">
        <v>678.3</v>
      </c>
      <c r="F66" s="12">
        <v>6132.8600000000006</v>
      </c>
      <c r="G66" s="12">
        <v>1647.9600000000009</v>
      </c>
      <c r="H66" s="12">
        <v>4010.5200000000009</v>
      </c>
      <c r="I66" s="12">
        <v>11679.710000000001</v>
      </c>
      <c r="J66" s="12">
        <v>15989.41</v>
      </c>
      <c r="K66" s="12">
        <v>12104.869999999999</v>
      </c>
      <c r="L66" s="12">
        <v>11858.779999999999</v>
      </c>
      <c r="M66" s="12">
        <v>12005.14</v>
      </c>
      <c r="N66" s="12">
        <v>9996</v>
      </c>
      <c r="O66" s="12">
        <v>10520.79</v>
      </c>
      <c r="P66" s="12">
        <v>10520.79</v>
      </c>
      <c r="Q66" s="12">
        <v>10209.61</v>
      </c>
      <c r="R66" s="12">
        <v>11536.650000000001</v>
      </c>
      <c r="S66" s="12">
        <v>3065.8500000000022</v>
      </c>
      <c r="T66" s="12">
        <v>10191.070000000003</v>
      </c>
      <c r="U66" s="12">
        <v>11325.770000000004</v>
      </c>
      <c r="V66" s="12">
        <v>11798.260000000004</v>
      </c>
      <c r="W66" s="12">
        <v>2645.3700000000044</v>
      </c>
      <c r="X66" s="12">
        <v>4093.7500000000045</v>
      </c>
      <c r="Y66" s="12">
        <v>4615.1300000000047</v>
      </c>
      <c r="Z66" s="12">
        <v>3255.7000000000044</v>
      </c>
      <c r="AA66" s="12">
        <v>438.52000000000453</v>
      </c>
      <c r="AB66" s="12">
        <v>4.5474735088646412E-12</v>
      </c>
      <c r="AC66" s="12">
        <v>4.5474735088646412E-12</v>
      </c>
      <c r="AD66" s="12">
        <v>4.5474735088646412E-12</v>
      </c>
      <c r="AE66" s="12">
        <v>833.00000000000455</v>
      </c>
      <c r="AF66" s="12">
        <v>3864.8800000000047</v>
      </c>
      <c r="AG66" s="12">
        <v>52.020000000004529</v>
      </c>
      <c r="AH66" s="12">
        <v>881.31000000000449</v>
      </c>
      <c r="AI66" s="12">
        <v>4.5474735088646412E-12</v>
      </c>
      <c r="AJ66" s="12">
        <v>4.5474735088646412E-12</v>
      </c>
      <c r="AK66" s="12">
        <v>4.5474735088646412E-12</v>
      </c>
      <c r="AL66" s="12">
        <v>4.5474735088646412E-12</v>
      </c>
      <c r="AM66" s="12">
        <v>4.5474735088646412E-12</v>
      </c>
      <c r="AN66" s="12">
        <v>4.5474735088646412E-12</v>
      </c>
      <c r="AO66" s="12">
        <v>4.5474735088646412E-12</v>
      </c>
      <c r="AP66" s="12">
        <v>4.5474735088646412E-12</v>
      </c>
      <c r="AQ66" s="12">
        <v>4.5474735088646412E-12</v>
      </c>
      <c r="AR66" s="12">
        <v>4.5474735088646412E-12</v>
      </c>
      <c r="AS66" s="12">
        <v>4.5474735088646412E-12</v>
      </c>
      <c r="AT66" s="12">
        <v>4.5474735088646412E-12</v>
      </c>
      <c r="AU66" s="12">
        <v>4.5474735088646412E-12</v>
      </c>
      <c r="AV66" s="12">
        <v>4.5474735088646412E-12</v>
      </c>
      <c r="AW66" s="12">
        <v>4.5474735088646412E-12</v>
      </c>
      <c r="AX66" s="12">
        <v>4.5474735088646412E-12</v>
      </c>
      <c r="AY66" s="12">
        <v>4.5474735088646412E-12</v>
      </c>
      <c r="AZ66" s="12">
        <v>4.5474735088646412E-12</v>
      </c>
      <c r="BA66" s="12">
        <v>4.5474735088646412E-12</v>
      </c>
      <c r="BB66" s="12">
        <v>4.5474735088646412E-12</v>
      </c>
      <c r="BC66" s="12">
        <v>4.5474735088646412E-12</v>
      </c>
      <c r="BD66" s="12">
        <v>4.5474735088646412E-12</v>
      </c>
      <c r="BE66" s="12">
        <v>4.5474735088646412E-12</v>
      </c>
      <c r="BF66" s="12">
        <v>4.5474735088646412E-12</v>
      </c>
      <c r="BG66" s="12">
        <v>4.5474735088646412E-12</v>
      </c>
      <c r="BH66" s="12">
        <v>4.5474735088646412E-12</v>
      </c>
      <c r="BI66" s="12">
        <v>4.5474735088646412E-12</v>
      </c>
      <c r="BJ66" s="12">
        <v>4.5474735088646412E-12</v>
      </c>
      <c r="BK66" s="12">
        <v>4.5474735088646412E-12</v>
      </c>
      <c r="BL66" s="12">
        <v>4.5474735088646412E-12</v>
      </c>
      <c r="BM66" s="12">
        <v>4.5474735088646412E-12</v>
      </c>
      <c r="BN66" s="12">
        <v>4.5474735088646412E-12</v>
      </c>
      <c r="BO66" s="12">
        <v>4.5474735088646412E-12</v>
      </c>
      <c r="BP66" s="12">
        <v>4.5474735088646412E-12</v>
      </c>
      <c r="BQ66" s="12">
        <v>4.5474735088646412E-12</v>
      </c>
      <c r="BR66" s="12">
        <v>4.5474735088646412E-12</v>
      </c>
      <c r="BS66" s="12">
        <v>4.5474735088646412E-12</v>
      </c>
      <c r="BT66" s="12">
        <v>4.5474735088646412E-12</v>
      </c>
      <c r="BU66" s="12">
        <v>4.5474735088646412E-12</v>
      </c>
      <c r="BV66" s="12">
        <v>4.5474735088646412E-12</v>
      </c>
      <c r="BW66" s="12">
        <v>4.5474735088646412E-12</v>
      </c>
      <c r="BX66" s="12">
        <v>4.5474735088646412E-12</v>
      </c>
      <c r="BY66" s="12">
        <v>4.5474735088646412E-12</v>
      </c>
      <c r="BZ66" s="12">
        <v>4.5474735088646412E-12</v>
      </c>
      <c r="CA66" s="12">
        <v>4.5474735088646412E-12</v>
      </c>
      <c r="CB66" s="12">
        <v>4.5474735088646412E-12</v>
      </c>
      <c r="CC66" s="12">
        <v>4.5474735088646412E-12</v>
      </c>
      <c r="CD66" s="12">
        <v>4.5474735088646412E-12</v>
      </c>
      <c r="CE66" s="12">
        <v>4.5474735088646412E-12</v>
      </c>
      <c r="CF66" s="12">
        <v>4.5474735088646412E-12</v>
      </c>
      <c r="CG66" s="12">
        <v>4.5474735088646412E-12</v>
      </c>
      <c r="CH66" s="12">
        <v>4.5474735088646412E-12</v>
      </c>
      <c r="CI66" s="12">
        <v>4.5474735088646412E-12</v>
      </c>
      <c r="CJ66" s="12">
        <v>4.5474735088646412E-12</v>
      </c>
    </row>
    <row r="67" spans="1:88" x14ac:dyDescent="0.2">
      <c r="A67" s="24" t="s">
        <v>148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125.63</v>
      </c>
      <c r="AR67" s="12">
        <v>0</v>
      </c>
      <c r="AS67" s="12">
        <v>2740</v>
      </c>
      <c r="AT67" s="12">
        <v>2809.96</v>
      </c>
      <c r="AU67" s="12">
        <v>2798.7200000000003</v>
      </c>
      <c r="AV67" s="12">
        <v>2740.0000000000005</v>
      </c>
      <c r="AW67" s="12">
        <v>2740.0000000000005</v>
      </c>
      <c r="AX67" s="12">
        <v>2740.0000000000005</v>
      </c>
      <c r="AY67" s="12">
        <v>2775.8200000000006</v>
      </c>
      <c r="AZ67" s="12">
        <v>2827.3800000000006</v>
      </c>
      <c r="BA67" s="12">
        <v>2740.0000000000005</v>
      </c>
      <c r="BB67" s="12">
        <v>2740.0000000000005</v>
      </c>
      <c r="BC67" s="12">
        <v>2740.0000000000005</v>
      </c>
      <c r="BD67" s="12">
        <v>2740.0000000000005</v>
      </c>
      <c r="BE67" s="12">
        <v>2740.0000000000005</v>
      </c>
      <c r="BF67" s="12">
        <v>2868.5300000000007</v>
      </c>
      <c r="BG67" s="12">
        <v>2740.0000000000005</v>
      </c>
      <c r="BH67" s="12">
        <v>2791.0500000000006</v>
      </c>
      <c r="BI67" s="12">
        <v>2740.0000000000005</v>
      </c>
      <c r="BJ67" s="12">
        <v>2740.0000000000005</v>
      </c>
      <c r="BK67" s="12">
        <v>2740.0000000000005</v>
      </c>
      <c r="BL67" s="12">
        <v>2740.0000000000005</v>
      </c>
      <c r="BM67" s="12">
        <v>3284.2100000000005</v>
      </c>
      <c r="BN67" s="12">
        <v>2740.0000000000005</v>
      </c>
      <c r="BO67" s="12">
        <v>2740.0000000000005</v>
      </c>
      <c r="BP67" s="12">
        <v>2740.0000000000005</v>
      </c>
      <c r="BQ67" s="12">
        <v>2740.0000000000005</v>
      </c>
      <c r="BR67" s="12">
        <v>2740.0000000000005</v>
      </c>
      <c r="BS67" s="12">
        <v>2740.0000000000005</v>
      </c>
      <c r="BT67" s="12">
        <v>2800.6000000000004</v>
      </c>
      <c r="BU67" s="12">
        <v>2740.0000000000005</v>
      </c>
      <c r="BV67" s="12">
        <v>2740.0000000000005</v>
      </c>
      <c r="BW67" s="12">
        <v>2740.0000000000005</v>
      </c>
      <c r="BX67" s="12">
        <v>2740.0000000000005</v>
      </c>
      <c r="BY67" s="12">
        <v>2800.0000000000005</v>
      </c>
      <c r="BZ67" s="12">
        <v>2740.0000000000005</v>
      </c>
      <c r="CA67" s="12">
        <v>2740.0000000000005</v>
      </c>
      <c r="CB67" s="12">
        <v>4.5474735088646412E-13</v>
      </c>
      <c r="CC67" s="12">
        <v>4.5474735088646412E-13</v>
      </c>
      <c r="CD67" s="12">
        <v>4.5474735088646412E-13</v>
      </c>
      <c r="CE67" s="12">
        <v>209.47000000000045</v>
      </c>
      <c r="CF67" s="12">
        <v>78.040000000000447</v>
      </c>
      <c r="CG67" s="12">
        <v>99.900000000000446</v>
      </c>
      <c r="CH67" s="12">
        <v>4.4053649617126212E-13</v>
      </c>
      <c r="CI67" s="12">
        <v>50.000000000000441</v>
      </c>
      <c r="CJ67" s="12">
        <v>4.4053649617126212E-13</v>
      </c>
    </row>
    <row r="68" spans="1:88" x14ac:dyDescent="0.2">
      <c r="A68" s="15" t="s">
        <v>149</v>
      </c>
      <c r="B68" s="16">
        <f t="shared" ref="B68:AG68" si="33">SUM(B66:B67)</f>
        <v>0</v>
      </c>
      <c r="C68" s="16">
        <f t="shared" si="33"/>
        <v>0</v>
      </c>
      <c r="D68" s="16">
        <f t="shared" si="33"/>
        <v>0</v>
      </c>
      <c r="E68" s="16">
        <f t="shared" si="33"/>
        <v>678.3</v>
      </c>
      <c r="F68" s="16">
        <f t="shared" si="33"/>
        <v>6132.8600000000006</v>
      </c>
      <c r="G68" s="16">
        <f t="shared" si="33"/>
        <v>1647.9600000000009</v>
      </c>
      <c r="H68" s="16">
        <f t="shared" si="33"/>
        <v>4010.5200000000009</v>
      </c>
      <c r="I68" s="16">
        <f t="shared" si="33"/>
        <v>11679.710000000001</v>
      </c>
      <c r="J68" s="16">
        <f t="shared" si="33"/>
        <v>15989.41</v>
      </c>
      <c r="K68" s="16">
        <f t="shared" si="33"/>
        <v>12104.869999999999</v>
      </c>
      <c r="L68" s="16">
        <f t="shared" si="33"/>
        <v>11858.779999999999</v>
      </c>
      <c r="M68" s="16">
        <f t="shared" si="33"/>
        <v>12005.14</v>
      </c>
      <c r="N68" s="16">
        <f t="shared" si="33"/>
        <v>9996</v>
      </c>
      <c r="O68" s="16">
        <f t="shared" si="33"/>
        <v>10520.79</v>
      </c>
      <c r="P68" s="16">
        <f t="shared" si="33"/>
        <v>10520.79</v>
      </c>
      <c r="Q68" s="16">
        <f t="shared" si="33"/>
        <v>10209.61</v>
      </c>
      <c r="R68" s="16">
        <f t="shared" si="33"/>
        <v>11536.650000000001</v>
      </c>
      <c r="S68" s="16">
        <f t="shared" si="33"/>
        <v>3065.8500000000022</v>
      </c>
      <c r="T68" s="16">
        <f t="shared" si="33"/>
        <v>10191.070000000003</v>
      </c>
      <c r="U68" s="16">
        <f t="shared" si="33"/>
        <v>11325.770000000004</v>
      </c>
      <c r="V68" s="16">
        <f t="shared" si="33"/>
        <v>11798.260000000004</v>
      </c>
      <c r="W68" s="16">
        <f t="shared" si="33"/>
        <v>2645.3700000000044</v>
      </c>
      <c r="X68" s="16">
        <f t="shared" si="33"/>
        <v>4093.7500000000045</v>
      </c>
      <c r="Y68" s="16">
        <f t="shared" si="33"/>
        <v>4615.1300000000047</v>
      </c>
      <c r="Z68" s="16">
        <f t="shared" si="33"/>
        <v>3255.7000000000044</v>
      </c>
      <c r="AA68" s="16">
        <f t="shared" si="33"/>
        <v>438.52000000000453</v>
      </c>
      <c r="AB68" s="16">
        <f t="shared" si="33"/>
        <v>4.5474735088646412E-12</v>
      </c>
      <c r="AC68" s="16">
        <f t="shared" si="33"/>
        <v>4.5474735088646412E-12</v>
      </c>
      <c r="AD68" s="16">
        <f t="shared" si="33"/>
        <v>4.5474735088646412E-12</v>
      </c>
      <c r="AE68" s="16">
        <f t="shared" si="33"/>
        <v>833.00000000000455</v>
      </c>
      <c r="AF68" s="16">
        <f t="shared" si="33"/>
        <v>3864.8800000000047</v>
      </c>
      <c r="AG68" s="16">
        <f t="shared" si="33"/>
        <v>52.020000000004529</v>
      </c>
      <c r="AH68" s="16">
        <f t="shared" ref="AH68:BM68" si="34">SUM(AH66:AH67)</f>
        <v>881.31000000000449</v>
      </c>
      <c r="AI68" s="16">
        <f t="shared" si="34"/>
        <v>4.5474735088646412E-12</v>
      </c>
      <c r="AJ68" s="16">
        <f t="shared" si="34"/>
        <v>4.5474735088646412E-12</v>
      </c>
      <c r="AK68" s="16">
        <f t="shared" si="34"/>
        <v>4.5474735088646412E-12</v>
      </c>
      <c r="AL68" s="16">
        <f t="shared" si="34"/>
        <v>4.5474735088646412E-12</v>
      </c>
      <c r="AM68" s="16">
        <f t="shared" si="34"/>
        <v>4.5474735088646412E-12</v>
      </c>
      <c r="AN68" s="16">
        <f t="shared" si="34"/>
        <v>4.5474735088646412E-12</v>
      </c>
      <c r="AO68" s="16">
        <f t="shared" si="34"/>
        <v>4.5474735088646412E-12</v>
      </c>
      <c r="AP68" s="16">
        <f t="shared" si="34"/>
        <v>4.5474735088646412E-12</v>
      </c>
      <c r="AQ68" s="16">
        <f t="shared" si="34"/>
        <v>125.63000000000454</v>
      </c>
      <c r="AR68" s="16">
        <f t="shared" si="34"/>
        <v>4.5474735088646412E-12</v>
      </c>
      <c r="AS68" s="16">
        <f t="shared" si="34"/>
        <v>2740.0000000000045</v>
      </c>
      <c r="AT68" s="16">
        <f t="shared" si="34"/>
        <v>2809.9600000000046</v>
      </c>
      <c r="AU68" s="16">
        <f t="shared" si="34"/>
        <v>2798.7200000000048</v>
      </c>
      <c r="AV68" s="16">
        <f t="shared" si="34"/>
        <v>2740.000000000005</v>
      </c>
      <c r="AW68" s="16">
        <f t="shared" si="34"/>
        <v>2740.000000000005</v>
      </c>
      <c r="AX68" s="16">
        <f t="shared" si="34"/>
        <v>2740.000000000005</v>
      </c>
      <c r="AY68" s="16">
        <f t="shared" si="34"/>
        <v>2775.8200000000052</v>
      </c>
      <c r="AZ68" s="16">
        <f t="shared" si="34"/>
        <v>2827.3800000000051</v>
      </c>
      <c r="BA68" s="16">
        <f t="shared" si="34"/>
        <v>2740.000000000005</v>
      </c>
      <c r="BB68" s="16">
        <f t="shared" si="34"/>
        <v>2740.000000000005</v>
      </c>
      <c r="BC68" s="16">
        <f t="shared" si="34"/>
        <v>2740.000000000005</v>
      </c>
      <c r="BD68" s="16">
        <f t="shared" si="34"/>
        <v>2740.000000000005</v>
      </c>
      <c r="BE68" s="16">
        <f t="shared" si="34"/>
        <v>2740.000000000005</v>
      </c>
      <c r="BF68" s="16">
        <f t="shared" si="34"/>
        <v>2868.5300000000052</v>
      </c>
      <c r="BG68" s="16">
        <f t="shared" si="34"/>
        <v>2740.000000000005</v>
      </c>
      <c r="BH68" s="16">
        <f t="shared" si="34"/>
        <v>2791.0500000000052</v>
      </c>
      <c r="BI68" s="16">
        <f t="shared" si="34"/>
        <v>2740.000000000005</v>
      </c>
      <c r="BJ68" s="16">
        <f t="shared" si="34"/>
        <v>2740.000000000005</v>
      </c>
      <c r="BK68" s="16">
        <f t="shared" si="34"/>
        <v>2740.000000000005</v>
      </c>
      <c r="BL68" s="16">
        <f t="shared" si="34"/>
        <v>2740.000000000005</v>
      </c>
      <c r="BM68" s="16">
        <f t="shared" si="34"/>
        <v>3284.210000000005</v>
      </c>
      <c r="BN68" s="16">
        <f t="shared" ref="BN68:CS68" si="35">SUM(BN66:BN67)</f>
        <v>2740.000000000005</v>
      </c>
      <c r="BO68" s="16">
        <f t="shared" si="35"/>
        <v>2740.000000000005</v>
      </c>
      <c r="BP68" s="16">
        <f t="shared" si="35"/>
        <v>2740.000000000005</v>
      </c>
      <c r="BQ68" s="16">
        <f t="shared" si="35"/>
        <v>2740.000000000005</v>
      </c>
      <c r="BR68" s="16">
        <f t="shared" si="35"/>
        <v>2740.000000000005</v>
      </c>
      <c r="BS68" s="16">
        <f t="shared" si="35"/>
        <v>2740.000000000005</v>
      </c>
      <c r="BT68" s="16">
        <f t="shared" si="35"/>
        <v>2800.6000000000049</v>
      </c>
      <c r="BU68" s="16">
        <f t="shared" si="35"/>
        <v>2740.000000000005</v>
      </c>
      <c r="BV68" s="16">
        <f t="shared" si="35"/>
        <v>2740.000000000005</v>
      </c>
      <c r="BW68" s="16">
        <f t="shared" si="35"/>
        <v>2740.000000000005</v>
      </c>
      <c r="BX68" s="16">
        <f t="shared" si="35"/>
        <v>2740.000000000005</v>
      </c>
      <c r="BY68" s="16">
        <f t="shared" si="35"/>
        <v>2800.000000000005</v>
      </c>
      <c r="BZ68" s="16">
        <f t="shared" si="35"/>
        <v>2740.000000000005</v>
      </c>
      <c r="CA68" s="16">
        <f t="shared" si="35"/>
        <v>2740.000000000005</v>
      </c>
      <c r="CB68" s="16">
        <f t="shared" si="35"/>
        <v>5.0022208597511053E-12</v>
      </c>
      <c r="CC68" s="16">
        <f t="shared" si="35"/>
        <v>5.0022208597511053E-12</v>
      </c>
      <c r="CD68" s="16">
        <f t="shared" si="35"/>
        <v>5.0022208597511053E-12</v>
      </c>
      <c r="CE68" s="16">
        <f t="shared" si="35"/>
        <v>209.470000000005</v>
      </c>
      <c r="CF68" s="16">
        <f t="shared" si="35"/>
        <v>78.040000000004994</v>
      </c>
      <c r="CG68" s="16">
        <f t="shared" si="35"/>
        <v>99.900000000004994</v>
      </c>
      <c r="CH68" s="16">
        <f t="shared" si="35"/>
        <v>4.9880100050359033E-12</v>
      </c>
      <c r="CI68" s="16">
        <f t="shared" si="35"/>
        <v>50.000000000004988</v>
      </c>
      <c r="CJ68" s="16">
        <f t="shared" si="35"/>
        <v>4.9880100050359033E-12</v>
      </c>
    </row>
    <row r="69" spans="1:88" x14ac:dyDescent="0.2">
      <c r="A69" s="9" t="s">
        <v>150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</row>
    <row r="70" spans="1:88" x14ac:dyDescent="0.2">
      <c r="A70" s="24" t="s">
        <v>151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2665.6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</row>
    <row r="71" spans="1:88" x14ac:dyDescent="0.2">
      <c r="A71" s="24" t="s">
        <v>152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5047.22</v>
      </c>
      <c r="BG71" s="12">
        <v>0</v>
      </c>
      <c r="BH71" s="12">
        <v>0</v>
      </c>
      <c r="BI71" s="12">
        <v>2396.36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1930.18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4090.46</v>
      </c>
      <c r="CF71" s="12">
        <v>0</v>
      </c>
      <c r="CG71" s="12">
        <v>0</v>
      </c>
      <c r="CH71" s="12">
        <v>1790</v>
      </c>
      <c r="CI71" s="12">
        <v>0</v>
      </c>
      <c r="CJ71" s="12">
        <v>0</v>
      </c>
    </row>
    <row r="72" spans="1:88" x14ac:dyDescent="0.2">
      <c r="A72" s="15" t="s">
        <v>153</v>
      </c>
      <c r="B72" s="16">
        <f t="shared" ref="B72:AG72" si="36">SUM(B70:B71)</f>
        <v>0</v>
      </c>
      <c r="C72" s="16">
        <f t="shared" si="36"/>
        <v>0</v>
      </c>
      <c r="D72" s="16">
        <f t="shared" si="36"/>
        <v>0</v>
      </c>
      <c r="E72" s="16">
        <f t="shared" si="36"/>
        <v>0</v>
      </c>
      <c r="F72" s="16">
        <f t="shared" si="36"/>
        <v>0</v>
      </c>
      <c r="G72" s="16">
        <f t="shared" si="36"/>
        <v>0</v>
      </c>
      <c r="H72" s="16">
        <f t="shared" si="36"/>
        <v>0</v>
      </c>
      <c r="I72" s="16">
        <f t="shared" si="36"/>
        <v>0</v>
      </c>
      <c r="J72" s="16">
        <f t="shared" si="36"/>
        <v>0</v>
      </c>
      <c r="K72" s="16">
        <f t="shared" si="36"/>
        <v>0</v>
      </c>
      <c r="L72" s="16">
        <f t="shared" si="36"/>
        <v>0</v>
      </c>
      <c r="M72" s="16">
        <f t="shared" si="36"/>
        <v>0</v>
      </c>
      <c r="N72" s="16">
        <f t="shared" si="36"/>
        <v>0</v>
      </c>
      <c r="O72" s="16">
        <f t="shared" si="36"/>
        <v>0</v>
      </c>
      <c r="P72" s="16">
        <f t="shared" si="36"/>
        <v>0</v>
      </c>
      <c r="Q72" s="16">
        <f t="shared" si="36"/>
        <v>0</v>
      </c>
      <c r="R72" s="16">
        <f t="shared" si="36"/>
        <v>0</v>
      </c>
      <c r="S72" s="16">
        <f t="shared" si="36"/>
        <v>0</v>
      </c>
      <c r="T72" s="16">
        <f t="shared" si="36"/>
        <v>0</v>
      </c>
      <c r="U72" s="16">
        <f t="shared" si="36"/>
        <v>0</v>
      </c>
      <c r="V72" s="16">
        <f t="shared" si="36"/>
        <v>0</v>
      </c>
      <c r="W72" s="16">
        <f t="shared" si="36"/>
        <v>0</v>
      </c>
      <c r="X72" s="16">
        <f t="shared" si="36"/>
        <v>0</v>
      </c>
      <c r="Y72" s="16">
        <f t="shared" si="36"/>
        <v>0</v>
      </c>
      <c r="Z72" s="16">
        <f t="shared" si="36"/>
        <v>0</v>
      </c>
      <c r="AA72" s="16">
        <f t="shared" si="36"/>
        <v>0</v>
      </c>
      <c r="AB72" s="16">
        <f t="shared" si="36"/>
        <v>0</v>
      </c>
      <c r="AC72" s="16">
        <f t="shared" si="36"/>
        <v>0</v>
      </c>
      <c r="AD72" s="16">
        <f t="shared" si="36"/>
        <v>0</v>
      </c>
      <c r="AE72" s="16">
        <f t="shared" si="36"/>
        <v>0</v>
      </c>
      <c r="AF72" s="16">
        <f t="shared" si="36"/>
        <v>0</v>
      </c>
      <c r="AG72" s="16">
        <f t="shared" si="36"/>
        <v>0</v>
      </c>
      <c r="AH72" s="16">
        <f t="shared" ref="AH72:BM72" si="37">SUM(AH70:AH71)</f>
        <v>0</v>
      </c>
      <c r="AI72" s="16">
        <f t="shared" si="37"/>
        <v>0</v>
      </c>
      <c r="AJ72" s="16">
        <f t="shared" si="37"/>
        <v>0</v>
      </c>
      <c r="AK72" s="16">
        <f t="shared" si="37"/>
        <v>0</v>
      </c>
      <c r="AL72" s="16">
        <f t="shared" si="37"/>
        <v>0</v>
      </c>
      <c r="AM72" s="16">
        <f t="shared" si="37"/>
        <v>0</v>
      </c>
      <c r="AN72" s="16">
        <f t="shared" si="37"/>
        <v>0</v>
      </c>
      <c r="AO72" s="16">
        <f t="shared" si="37"/>
        <v>0</v>
      </c>
      <c r="AP72" s="16">
        <f t="shared" si="37"/>
        <v>0</v>
      </c>
      <c r="AQ72" s="16">
        <f t="shared" si="37"/>
        <v>0</v>
      </c>
      <c r="AR72" s="16">
        <f t="shared" si="37"/>
        <v>0</v>
      </c>
      <c r="AS72" s="16">
        <f t="shared" si="37"/>
        <v>0</v>
      </c>
      <c r="AT72" s="16">
        <f t="shared" si="37"/>
        <v>0</v>
      </c>
      <c r="AU72" s="16">
        <f t="shared" si="37"/>
        <v>0</v>
      </c>
      <c r="AV72" s="16">
        <f t="shared" si="37"/>
        <v>0</v>
      </c>
      <c r="AW72" s="16">
        <f t="shared" si="37"/>
        <v>0</v>
      </c>
      <c r="AX72" s="16">
        <f t="shared" si="37"/>
        <v>0</v>
      </c>
      <c r="AY72" s="16">
        <f t="shared" si="37"/>
        <v>0</v>
      </c>
      <c r="AZ72" s="16">
        <f t="shared" si="37"/>
        <v>0</v>
      </c>
      <c r="BA72" s="16">
        <f t="shared" si="37"/>
        <v>0</v>
      </c>
      <c r="BB72" s="16">
        <f t="shared" si="37"/>
        <v>0</v>
      </c>
      <c r="BC72" s="16">
        <f t="shared" si="37"/>
        <v>0</v>
      </c>
      <c r="BD72" s="16">
        <f t="shared" si="37"/>
        <v>0</v>
      </c>
      <c r="BE72" s="16">
        <f t="shared" si="37"/>
        <v>0</v>
      </c>
      <c r="BF72" s="16">
        <f t="shared" si="37"/>
        <v>5047.22</v>
      </c>
      <c r="BG72" s="16">
        <f t="shared" si="37"/>
        <v>0</v>
      </c>
      <c r="BH72" s="16">
        <f t="shared" si="37"/>
        <v>0</v>
      </c>
      <c r="BI72" s="16">
        <f t="shared" si="37"/>
        <v>2396.36</v>
      </c>
      <c r="BJ72" s="16">
        <f t="shared" si="37"/>
        <v>0</v>
      </c>
      <c r="BK72" s="16">
        <f t="shared" si="37"/>
        <v>0</v>
      </c>
      <c r="BL72" s="16">
        <f t="shared" si="37"/>
        <v>0</v>
      </c>
      <c r="BM72" s="16">
        <f t="shared" si="37"/>
        <v>0</v>
      </c>
      <c r="BN72" s="16">
        <f t="shared" ref="BN72:CS72" si="38">SUM(BN70:BN71)</f>
        <v>0</v>
      </c>
      <c r="BO72" s="16">
        <f t="shared" si="38"/>
        <v>0</v>
      </c>
      <c r="BP72" s="16">
        <f t="shared" si="38"/>
        <v>0</v>
      </c>
      <c r="BQ72" s="16">
        <f t="shared" si="38"/>
        <v>0</v>
      </c>
      <c r="BR72" s="16">
        <f t="shared" si="38"/>
        <v>0</v>
      </c>
      <c r="BS72" s="16">
        <f t="shared" si="38"/>
        <v>0</v>
      </c>
      <c r="BT72" s="16">
        <f t="shared" si="38"/>
        <v>0</v>
      </c>
      <c r="BU72" s="16">
        <f t="shared" si="38"/>
        <v>0</v>
      </c>
      <c r="BV72" s="16">
        <f t="shared" si="38"/>
        <v>0</v>
      </c>
      <c r="BW72" s="16">
        <f t="shared" si="38"/>
        <v>0</v>
      </c>
      <c r="BX72" s="16">
        <f t="shared" si="38"/>
        <v>0</v>
      </c>
      <c r="BY72" s="16">
        <f t="shared" si="38"/>
        <v>4595.78</v>
      </c>
      <c r="BZ72" s="16">
        <f t="shared" si="38"/>
        <v>0</v>
      </c>
      <c r="CA72" s="16">
        <f t="shared" si="38"/>
        <v>0</v>
      </c>
      <c r="CB72" s="16">
        <f t="shared" si="38"/>
        <v>0</v>
      </c>
      <c r="CC72" s="16">
        <f t="shared" si="38"/>
        <v>0</v>
      </c>
      <c r="CD72" s="16">
        <f t="shared" si="38"/>
        <v>0</v>
      </c>
      <c r="CE72" s="16">
        <f t="shared" si="38"/>
        <v>4090.46</v>
      </c>
      <c r="CF72" s="16">
        <f t="shared" si="38"/>
        <v>0</v>
      </c>
      <c r="CG72" s="16">
        <f t="shared" si="38"/>
        <v>0</v>
      </c>
      <c r="CH72" s="16">
        <f t="shared" si="38"/>
        <v>1790</v>
      </c>
      <c r="CI72" s="16">
        <f t="shared" si="38"/>
        <v>0</v>
      </c>
      <c r="CJ72" s="16">
        <f t="shared" si="38"/>
        <v>0</v>
      </c>
    </row>
    <row r="73" spans="1:88" x14ac:dyDescent="0.2">
      <c r="A73" s="9" t="s">
        <v>154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</row>
    <row r="74" spans="1:88" x14ac:dyDescent="0.2">
      <c r="A74" s="24" t="s">
        <v>155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-180.46</v>
      </c>
      <c r="I74" s="12">
        <v>-180.46</v>
      </c>
      <c r="J74" s="12">
        <v>-185.56</v>
      </c>
      <c r="K74" s="12">
        <v>-185.56</v>
      </c>
      <c r="L74" s="12">
        <v>-185.56</v>
      </c>
      <c r="M74" s="12">
        <v>-185.56</v>
      </c>
      <c r="N74" s="12">
        <v>-185.56</v>
      </c>
      <c r="O74" s="12">
        <v>-195.96</v>
      </c>
      <c r="P74" s="12">
        <v>0</v>
      </c>
      <c r="Q74" s="12">
        <v>0</v>
      </c>
      <c r="R74" s="12">
        <v>-5.17</v>
      </c>
      <c r="S74" s="12">
        <v>-399.89000000000004</v>
      </c>
      <c r="T74" s="12">
        <v>-399.89000000000004</v>
      </c>
      <c r="U74" s="12">
        <v>-410.23</v>
      </c>
      <c r="V74" s="12">
        <v>-410.23</v>
      </c>
      <c r="W74" s="12">
        <v>-410.23</v>
      </c>
      <c r="X74" s="12">
        <v>-410.23</v>
      </c>
      <c r="Y74" s="12">
        <v>-410.23</v>
      </c>
      <c r="Z74" s="12">
        <v>-421.35</v>
      </c>
      <c r="AA74" s="12">
        <v>-421.35</v>
      </c>
      <c r="AB74" s="12">
        <v>-421.35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</row>
    <row r="75" spans="1:88" x14ac:dyDescent="0.2">
      <c r="A75" s="24" t="s">
        <v>156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-16.600000000000001</v>
      </c>
      <c r="BA75" s="12">
        <v>-16.600000000000001</v>
      </c>
      <c r="BB75" s="12">
        <v>-16.600000000000001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</row>
    <row r="76" spans="1:88" x14ac:dyDescent="0.2">
      <c r="A76" s="24" t="s">
        <v>157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-48.87</v>
      </c>
      <c r="AX76" s="12">
        <v>-97.69</v>
      </c>
      <c r="AY76" s="12">
        <v>-151.16</v>
      </c>
      <c r="AZ76" s="12">
        <v>-2760.27</v>
      </c>
      <c r="BA76" s="12">
        <v>-2809.2</v>
      </c>
      <c r="BB76" s="12">
        <v>-3075.56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-0.28000000000000003</v>
      </c>
      <c r="BK76" s="12">
        <v>-0.28000000000000003</v>
      </c>
      <c r="BL76" s="12">
        <v>0</v>
      </c>
      <c r="BM76" s="12">
        <v>-0.48</v>
      </c>
      <c r="BN76" s="12">
        <v>-0.48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</row>
    <row r="77" spans="1:88" x14ac:dyDescent="0.2">
      <c r="A77" s="24" t="s">
        <v>158</v>
      </c>
      <c r="B77" s="12">
        <v>-3050.46</v>
      </c>
      <c r="C77" s="12">
        <v>0</v>
      </c>
      <c r="D77" s="12">
        <v>-58.8</v>
      </c>
      <c r="E77" s="12">
        <v>-225.37</v>
      </c>
      <c r="F77" s="12">
        <v>-1226.6500000000001</v>
      </c>
      <c r="G77" s="12">
        <v>-1547.75</v>
      </c>
      <c r="H77" s="12">
        <v>-1622.12</v>
      </c>
      <c r="I77" s="12">
        <v>-3545.09</v>
      </c>
      <c r="J77" s="12">
        <v>-6174.98</v>
      </c>
      <c r="K77" s="12">
        <v>-8178.08</v>
      </c>
      <c r="L77" s="12">
        <v>-10129.93</v>
      </c>
      <c r="M77" s="12">
        <v>-12105.15</v>
      </c>
      <c r="N77" s="12">
        <v>-13759.289999999999</v>
      </c>
      <c r="O77" s="12">
        <v>-15710.13</v>
      </c>
      <c r="P77" s="12">
        <v>0</v>
      </c>
      <c r="Q77" s="12">
        <v>-1694.41</v>
      </c>
      <c r="R77" s="12">
        <v>-3559.45</v>
      </c>
      <c r="S77" s="12">
        <v>-4107.43</v>
      </c>
      <c r="T77" s="12">
        <v>-7380.5300000000007</v>
      </c>
      <c r="U77" s="12">
        <v>-9095.91</v>
      </c>
      <c r="V77" s="12">
        <v>-11057.68</v>
      </c>
      <c r="W77" s="12">
        <v>-12290.69</v>
      </c>
      <c r="X77" s="12">
        <v>-13127.92</v>
      </c>
      <c r="Y77" s="12">
        <v>-13920.28</v>
      </c>
      <c r="Z77" s="12">
        <v>-14447.550000000001</v>
      </c>
      <c r="AA77" s="12">
        <v>-14505.86</v>
      </c>
      <c r="AB77" s="12">
        <v>-14564.18</v>
      </c>
      <c r="AC77" s="12">
        <v>0</v>
      </c>
      <c r="AD77" s="12">
        <v>-140.88999999999999</v>
      </c>
      <c r="AE77" s="12">
        <v>-332.15999999999997</v>
      </c>
      <c r="AF77" s="12">
        <v>-920.6</v>
      </c>
      <c r="AG77" s="12">
        <v>-979.14</v>
      </c>
      <c r="AH77" s="12">
        <v>-1178.1199999999999</v>
      </c>
      <c r="AI77" s="12">
        <v>-1236.4399999999998</v>
      </c>
      <c r="AJ77" s="12">
        <v>-1294.4799999999998</v>
      </c>
      <c r="AK77" s="12">
        <v>-1352.5199999999998</v>
      </c>
      <c r="AL77" s="12">
        <v>-1416.0299999999997</v>
      </c>
      <c r="AM77" s="12">
        <v>-1474.1799999999998</v>
      </c>
      <c r="AN77" s="12">
        <v>-1532.33</v>
      </c>
      <c r="AO77" s="12">
        <v>0</v>
      </c>
      <c r="AP77" s="12">
        <v>0</v>
      </c>
      <c r="AQ77" s="12">
        <v>-58.85</v>
      </c>
      <c r="AR77" s="12">
        <v>-138.18</v>
      </c>
      <c r="AS77" s="12">
        <v>-196.44</v>
      </c>
      <c r="AT77" s="12">
        <v>-254.76</v>
      </c>
      <c r="AU77" s="12">
        <v>-398.28</v>
      </c>
      <c r="AV77" s="12">
        <v>-1310.69</v>
      </c>
      <c r="AW77" s="12">
        <v>-1310.69</v>
      </c>
      <c r="AX77" s="12">
        <v>-1310.69</v>
      </c>
      <c r="AY77" s="12">
        <v>-1311.26</v>
      </c>
      <c r="AZ77" s="12">
        <v>-1311.26</v>
      </c>
      <c r="BA77" s="12">
        <v>-1311.26</v>
      </c>
      <c r="BB77" s="12">
        <v>-1311.26</v>
      </c>
      <c r="BC77" s="12">
        <v>0</v>
      </c>
      <c r="BD77" s="12">
        <v>-59.62</v>
      </c>
      <c r="BE77" s="12">
        <v>-118.47999999999999</v>
      </c>
      <c r="BF77" s="12">
        <v>-983.09</v>
      </c>
      <c r="BG77" s="12">
        <v>-1042.28</v>
      </c>
      <c r="BH77" s="12">
        <v>-1101.03</v>
      </c>
      <c r="BI77" s="12">
        <v>-1542.78</v>
      </c>
      <c r="BJ77" s="12">
        <v>-1601.48</v>
      </c>
      <c r="BK77" s="12">
        <v>-1801.05</v>
      </c>
      <c r="BL77" s="12">
        <v>-1860.12</v>
      </c>
      <c r="BM77" s="12">
        <v>-2005.4199999999998</v>
      </c>
      <c r="BN77" s="12">
        <v>-2064.21</v>
      </c>
      <c r="BO77" s="12">
        <v>0</v>
      </c>
      <c r="BP77" s="12">
        <v>0</v>
      </c>
      <c r="BQ77" s="12">
        <v>-58.83</v>
      </c>
      <c r="BR77" s="12">
        <v>-147.38</v>
      </c>
      <c r="BS77" s="12">
        <v>-1100.3</v>
      </c>
      <c r="BT77" s="12">
        <v>-1158.9099999999999</v>
      </c>
      <c r="BU77" s="12">
        <v>-1452.5499999999997</v>
      </c>
      <c r="BV77" s="12">
        <v>-1511.2699999999998</v>
      </c>
      <c r="BW77" s="12">
        <v>-1579.6799999999998</v>
      </c>
      <c r="BX77" s="12">
        <v>-1648.9499999999998</v>
      </c>
      <c r="BY77" s="12">
        <v>-2954.45</v>
      </c>
      <c r="BZ77" s="12">
        <v>-3251</v>
      </c>
      <c r="CA77" s="12">
        <v>-3450.11</v>
      </c>
      <c r="CB77" s="12">
        <v>0</v>
      </c>
      <c r="CC77" s="12">
        <v>-116.06</v>
      </c>
      <c r="CD77" s="12">
        <v>-231.67000000000002</v>
      </c>
      <c r="CE77" s="12">
        <v>-1000.8900000000001</v>
      </c>
      <c r="CF77" s="12">
        <v>-1116.8800000000001</v>
      </c>
      <c r="CG77" s="12">
        <v>-1275.0600000000002</v>
      </c>
      <c r="CH77" s="12">
        <v>-1676.5300000000002</v>
      </c>
      <c r="CI77" s="12">
        <v>-1790.5300000000002</v>
      </c>
      <c r="CJ77" s="12">
        <v>-1790.5300000000002</v>
      </c>
    </row>
    <row r="78" spans="1:88" x14ac:dyDescent="0.2">
      <c r="A78" s="24" t="s">
        <v>159</v>
      </c>
      <c r="B78" s="12">
        <v>0</v>
      </c>
      <c r="C78" s="12">
        <v>0</v>
      </c>
      <c r="D78" s="12">
        <v>0</v>
      </c>
      <c r="E78" s="12">
        <v>0</v>
      </c>
      <c r="F78" s="12">
        <v>-7.41</v>
      </c>
      <c r="G78" s="12">
        <v>-7.41</v>
      </c>
      <c r="H78" s="12">
        <v>-7.41</v>
      </c>
      <c r="I78" s="12">
        <v>-7.41</v>
      </c>
      <c r="J78" s="12">
        <v>-41.42</v>
      </c>
      <c r="K78" s="12">
        <v>-41.42</v>
      </c>
      <c r="L78" s="12">
        <v>-41.42</v>
      </c>
      <c r="M78" s="12">
        <v>-41.42</v>
      </c>
      <c r="N78" s="12">
        <v>-41.42</v>
      </c>
      <c r="O78" s="12">
        <v>-84.93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-33.82</v>
      </c>
      <c r="AT78" s="12">
        <v>-33.82</v>
      </c>
      <c r="AU78" s="12">
        <v>-33.82</v>
      </c>
      <c r="AV78" s="12">
        <v>-33.82</v>
      </c>
      <c r="AW78" s="12">
        <v>-33.82</v>
      </c>
      <c r="AX78" s="12">
        <v>-33.82</v>
      </c>
      <c r="AY78" s="12">
        <v>-33.82</v>
      </c>
      <c r="AZ78" s="12">
        <v>-33.82</v>
      </c>
      <c r="BA78" s="12">
        <v>-33.82</v>
      </c>
      <c r="BB78" s="12">
        <v>-33.82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</row>
    <row r="79" spans="1:88" x14ac:dyDescent="0.2">
      <c r="A79" s="24" t="s">
        <v>160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-16.91</v>
      </c>
      <c r="BN79" s="12">
        <v>-16.91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-19.71</v>
      </c>
      <c r="CA79" s="12">
        <v>-19.71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</row>
    <row r="80" spans="1:88" x14ac:dyDescent="0.2">
      <c r="A80" s="24" t="s">
        <v>161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3125.13</v>
      </c>
      <c r="J80" s="12">
        <v>372.68000000000029</v>
      </c>
      <c r="K80" s="12">
        <v>3463.1800000000003</v>
      </c>
      <c r="L80" s="12">
        <v>4.5474735088646412E-13</v>
      </c>
      <c r="M80" s="12">
        <v>4.5474735088646412E-13</v>
      </c>
      <c r="N80" s="12">
        <v>4.5474735088646412E-13</v>
      </c>
      <c r="O80" s="12">
        <v>172.00000000000045</v>
      </c>
      <c r="P80" s="12">
        <v>4.5474735088646412E-13</v>
      </c>
      <c r="Q80" s="12">
        <v>291.00000000000045</v>
      </c>
      <c r="R80" s="12">
        <v>84.000000000000455</v>
      </c>
      <c r="S80" s="12">
        <v>4.5474735088646412E-13</v>
      </c>
      <c r="T80" s="12">
        <v>4.5474735088646412E-13</v>
      </c>
      <c r="U80" s="12">
        <v>168.00000000000045</v>
      </c>
      <c r="V80" s="12">
        <v>4.5474735088646412E-13</v>
      </c>
      <c r="W80" s="12">
        <v>4.5474735088646412E-13</v>
      </c>
      <c r="X80" s="12">
        <v>4.5474735088646412E-13</v>
      </c>
      <c r="Y80" s="12">
        <v>4.5474735088646412E-13</v>
      </c>
      <c r="Z80" s="12">
        <v>180.00000000000045</v>
      </c>
      <c r="AA80" s="12">
        <v>4.5474735088646412E-13</v>
      </c>
      <c r="AB80" s="12">
        <v>4.5474735088646412E-13</v>
      </c>
      <c r="AC80" s="12">
        <v>4.5474735088646412E-13</v>
      </c>
      <c r="AD80" s="12">
        <v>516.46000000000049</v>
      </c>
      <c r="AE80" s="12">
        <v>4.5474735088646412E-13</v>
      </c>
      <c r="AF80" s="12">
        <v>4.5474735088646412E-13</v>
      </c>
      <c r="AG80" s="12">
        <v>4.5474735088646412E-13</v>
      </c>
      <c r="AH80" s="12">
        <v>4.5474735088646412E-13</v>
      </c>
      <c r="AI80" s="12">
        <v>4.5474735088646412E-13</v>
      </c>
      <c r="AJ80" s="12">
        <v>4.5474735088646412E-13</v>
      </c>
      <c r="AK80" s="12">
        <v>4.5474735088646412E-13</v>
      </c>
      <c r="AL80" s="12">
        <v>4.5474735088646412E-13</v>
      </c>
      <c r="AM80" s="12">
        <v>4.5474735088646412E-13</v>
      </c>
      <c r="AN80" s="12">
        <v>4.5474735088646412E-13</v>
      </c>
      <c r="AO80" s="12">
        <v>4.5474735088646412E-13</v>
      </c>
      <c r="AP80" s="12">
        <v>4.5474735088646412E-13</v>
      </c>
      <c r="AQ80" s="12">
        <v>4.5474735088646412E-13</v>
      </c>
      <c r="AR80" s="12">
        <v>4.5474735088646412E-13</v>
      </c>
      <c r="AS80" s="12">
        <v>4.5474735088646412E-13</v>
      </c>
      <c r="AT80" s="12">
        <v>4.5474735088646412E-13</v>
      </c>
      <c r="AU80" s="12">
        <v>4.5474735088646412E-13</v>
      </c>
      <c r="AV80" s="12">
        <v>4.5474735088646412E-13</v>
      </c>
      <c r="AW80" s="12">
        <v>4.5474735088646412E-13</v>
      </c>
      <c r="AX80" s="12">
        <v>4.5474735088646412E-13</v>
      </c>
      <c r="AY80" s="12">
        <v>4.5474735088646412E-13</v>
      </c>
      <c r="AZ80" s="12">
        <v>4.5474735088646412E-13</v>
      </c>
      <c r="BA80" s="12">
        <v>4.5474735088646412E-13</v>
      </c>
      <c r="BB80" s="12">
        <v>4.5474735088646412E-13</v>
      </c>
      <c r="BC80" s="12">
        <v>4.5474735088646412E-13</v>
      </c>
      <c r="BD80" s="12">
        <v>4.5474735088646412E-13</v>
      </c>
      <c r="BE80" s="12">
        <v>4.5474735088646412E-13</v>
      </c>
      <c r="BF80" s="12">
        <v>4.5474735088646412E-13</v>
      </c>
      <c r="BG80" s="12">
        <v>4.5474735088646412E-13</v>
      </c>
      <c r="BH80" s="12">
        <v>4.5474735088646412E-13</v>
      </c>
      <c r="BI80" s="12">
        <v>-47.999999999999545</v>
      </c>
      <c r="BJ80" s="12">
        <v>4.5474735088646412E-13</v>
      </c>
      <c r="BK80" s="12">
        <v>4.5474735088646412E-13</v>
      </c>
      <c r="BL80" s="12">
        <v>4.5474735088646412E-13</v>
      </c>
      <c r="BM80" s="12">
        <v>4.5474735088646412E-13</v>
      </c>
      <c r="BN80" s="12">
        <v>4.5474735088646412E-13</v>
      </c>
      <c r="BO80" s="12">
        <v>4.5474735088646412E-13</v>
      </c>
      <c r="BP80" s="12">
        <v>4.5474735088646412E-13</v>
      </c>
      <c r="BQ80" s="12">
        <v>4.5474735088646412E-13</v>
      </c>
      <c r="BR80" s="12">
        <v>4.5474735088646412E-13</v>
      </c>
      <c r="BS80" s="12">
        <v>4.5474735088646412E-13</v>
      </c>
      <c r="BT80" s="12">
        <v>4.5474735088646412E-13</v>
      </c>
      <c r="BU80" s="12">
        <v>4.5474735088646412E-13</v>
      </c>
      <c r="BV80" s="12">
        <v>4.5474735088646412E-13</v>
      </c>
      <c r="BW80" s="12">
        <v>4.5474735088646412E-13</v>
      </c>
      <c r="BX80" s="12">
        <v>4.5474735088646412E-13</v>
      </c>
      <c r="BY80" s="12">
        <v>4.5474735088646412E-13</v>
      </c>
      <c r="BZ80" s="12">
        <v>4.5474735088646412E-13</v>
      </c>
      <c r="CA80" s="12">
        <v>4.5474735088646412E-13</v>
      </c>
      <c r="CB80" s="12">
        <v>4.5474735088646412E-13</v>
      </c>
      <c r="CC80" s="12">
        <v>4.5474735088646412E-13</v>
      </c>
      <c r="CD80" s="12">
        <v>4.5474735088646412E-13</v>
      </c>
      <c r="CE80" s="12">
        <v>4.5474735088646412E-13</v>
      </c>
      <c r="CF80" s="12">
        <v>4.5474735088646412E-13</v>
      </c>
      <c r="CG80" s="12">
        <v>4.5474735088646412E-13</v>
      </c>
      <c r="CH80" s="12">
        <v>4.5474735088646412E-13</v>
      </c>
      <c r="CI80" s="12">
        <v>4.5474735088646412E-13</v>
      </c>
      <c r="CJ80" s="12">
        <v>4.5474735088646412E-13</v>
      </c>
    </row>
    <row r="81" spans="1:88" x14ac:dyDescent="0.2">
      <c r="A81" s="24" t="s">
        <v>162</v>
      </c>
      <c r="B81" s="12">
        <v>0</v>
      </c>
      <c r="C81" s="12">
        <v>0.14000000000000001</v>
      </c>
      <c r="D81" s="12">
        <v>0.14000000000000001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0.27</v>
      </c>
      <c r="Q81" s="12">
        <v>-2404.69</v>
      </c>
      <c r="R81" s="12">
        <v>-2404.69</v>
      </c>
      <c r="S81" s="12">
        <v>-2404.69</v>
      </c>
      <c r="T81" s="12">
        <v>-2404.69</v>
      </c>
      <c r="U81" s="12">
        <v>-2404.69</v>
      </c>
      <c r="V81" s="12">
        <v>-2404.69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0.4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</row>
    <row r="82" spans="1:88" x14ac:dyDescent="0.2">
      <c r="A82" s="24" t="s">
        <v>163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172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</row>
    <row r="83" spans="1:88" x14ac:dyDescent="0.2">
      <c r="A83" s="24" t="s">
        <v>164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12519.6</v>
      </c>
      <c r="M83" s="12">
        <v>5585.05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1988.67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</row>
    <row r="84" spans="1:88" x14ac:dyDescent="0.2">
      <c r="A84" s="24" t="s">
        <v>165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-133.63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-143.63</v>
      </c>
      <c r="CJ84" s="12">
        <v>-287.26</v>
      </c>
    </row>
    <row r="85" spans="1:88" x14ac:dyDescent="0.2">
      <c r="A85" s="24" t="s">
        <v>166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133.63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143.63</v>
      </c>
    </row>
    <row r="86" spans="1:88" x14ac:dyDescent="0.2">
      <c r="A86" s="24" t="s">
        <v>167</v>
      </c>
      <c r="B86" s="12">
        <v>0</v>
      </c>
      <c r="C86" s="12">
        <v>0</v>
      </c>
      <c r="D86" s="12">
        <v>0</v>
      </c>
      <c r="E86" s="12">
        <v>221.28</v>
      </c>
      <c r="F86" s="12">
        <v>442.56</v>
      </c>
      <c r="G86" s="12">
        <v>221.28</v>
      </c>
      <c r="H86" s="12">
        <v>442.56</v>
      </c>
      <c r="I86" s="12">
        <v>663.84</v>
      </c>
      <c r="J86" s="12">
        <v>221.28000000000003</v>
      </c>
      <c r="K86" s="12">
        <v>442.56000000000006</v>
      </c>
      <c r="L86" s="12">
        <v>663.84</v>
      </c>
      <c r="M86" s="12">
        <v>221.28000000000003</v>
      </c>
      <c r="N86" s="12">
        <v>442.56000000000006</v>
      </c>
      <c r="O86" s="12">
        <v>663.84</v>
      </c>
      <c r="P86" s="12">
        <v>663.84</v>
      </c>
      <c r="Q86" s="12">
        <v>214.69000000000005</v>
      </c>
      <c r="R86" s="12">
        <v>429.38000000000005</v>
      </c>
      <c r="S86" s="12">
        <v>663.75</v>
      </c>
      <c r="T86" s="12">
        <v>234.37</v>
      </c>
      <c r="U86" s="12">
        <v>468.74</v>
      </c>
      <c r="V86" s="12">
        <v>703.11</v>
      </c>
      <c r="W86" s="12">
        <v>234.37</v>
      </c>
      <c r="X86" s="12">
        <v>446.24</v>
      </c>
      <c r="Y86" s="12">
        <v>658.11</v>
      </c>
      <c r="Z86" s="12">
        <v>211.87</v>
      </c>
      <c r="AA86" s="12">
        <v>423.74</v>
      </c>
      <c r="AB86" s="12">
        <v>634.68000000000006</v>
      </c>
      <c r="AC86" s="12">
        <v>634.68000000000006</v>
      </c>
      <c r="AD86" s="12">
        <v>206.86000000000007</v>
      </c>
      <c r="AE86" s="12">
        <v>410.38000000000011</v>
      </c>
      <c r="AF86" s="12">
        <v>635.09000000000015</v>
      </c>
      <c r="AG86" s="12">
        <v>224.71000000000015</v>
      </c>
      <c r="AH86" s="12">
        <v>449.42000000000019</v>
      </c>
      <c r="AI86" s="12">
        <v>674.13000000000022</v>
      </c>
      <c r="AJ86" s="12">
        <v>224.71000000000021</v>
      </c>
      <c r="AK86" s="12">
        <v>449.42000000000019</v>
      </c>
      <c r="AL86" s="12">
        <v>674.13000000000022</v>
      </c>
      <c r="AM86" s="12">
        <v>224.71000000000021</v>
      </c>
      <c r="AN86" s="12">
        <v>449.42000000000019</v>
      </c>
      <c r="AO86" s="12">
        <v>674.19000000000017</v>
      </c>
      <c r="AP86" s="12">
        <v>674.19000000000017</v>
      </c>
      <c r="AQ86" s="12">
        <v>214.86000000000018</v>
      </c>
      <c r="AR86" s="12">
        <v>429.7200000000002</v>
      </c>
      <c r="AS86" s="12">
        <v>654.34000000000015</v>
      </c>
      <c r="AT86" s="12">
        <v>1.1368683772161603E-13</v>
      </c>
      <c r="AU86" s="12">
        <v>1.1368683772161603E-13</v>
      </c>
      <c r="AV86" s="12">
        <v>1.1368683772161603E-13</v>
      </c>
      <c r="AW86" s="12">
        <v>1.1368683772161603E-13</v>
      </c>
      <c r="AX86" s="12">
        <v>1.1368683772161603E-13</v>
      </c>
      <c r="AY86" s="12">
        <v>224.62000000000012</v>
      </c>
      <c r="AZ86" s="12">
        <v>224.62000000000012</v>
      </c>
      <c r="BA86" s="12">
        <v>449.24000000000012</v>
      </c>
      <c r="BB86" s="12">
        <v>673.86000000000013</v>
      </c>
      <c r="BC86" s="12">
        <v>673.86000000000013</v>
      </c>
      <c r="BD86" s="12">
        <v>201.83000000000015</v>
      </c>
      <c r="BE86" s="12">
        <v>403.6600000000002</v>
      </c>
      <c r="BF86" s="12">
        <v>614.6600000000002</v>
      </c>
      <c r="BG86" s="12">
        <v>211.00000000000017</v>
      </c>
      <c r="BH86" s="12">
        <v>422.00000000000017</v>
      </c>
      <c r="BI86" s="12">
        <v>633.00000000000023</v>
      </c>
      <c r="BJ86" s="12">
        <v>211.00000000000023</v>
      </c>
      <c r="BK86" s="12">
        <v>422.00000000000023</v>
      </c>
      <c r="BL86" s="12">
        <v>633.00000000000023</v>
      </c>
      <c r="BM86" s="12">
        <v>211.00000000000023</v>
      </c>
      <c r="BN86" s="12">
        <v>422.00000000000023</v>
      </c>
      <c r="BO86" s="12">
        <v>632.34000000000026</v>
      </c>
      <c r="BP86" s="12">
        <v>632.34000000000026</v>
      </c>
      <c r="BQ86" s="12">
        <v>202.66000000000025</v>
      </c>
      <c r="BR86" s="12">
        <v>405.32000000000028</v>
      </c>
      <c r="BS86" s="12">
        <v>607.98000000000025</v>
      </c>
      <c r="BT86" s="12">
        <v>202.66000000000025</v>
      </c>
      <c r="BU86" s="12">
        <v>405.32000000000028</v>
      </c>
      <c r="BV86" s="12">
        <v>607.98000000000025</v>
      </c>
      <c r="BW86" s="12">
        <v>176.94000000000023</v>
      </c>
      <c r="BX86" s="12">
        <v>103.16000000000022</v>
      </c>
      <c r="BY86" s="12">
        <v>383.74000000000024</v>
      </c>
      <c r="BZ86" s="12">
        <v>201.58000000000024</v>
      </c>
      <c r="CA86" s="12">
        <v>403.16000000000025</v>
      </c>
      <c r="CB86" s="12">
        <v>604.74000000000024</v>
      </c>
      <c r="CC86" s="12">
        <v>176.00000000000023</v>
      </c>
      <c r="CD86" s="12">
        <v>352.00000000000023</v>
      </c>
      <c r="CE86" s="12">
        <v>554.33000000000027</v>
      </c>
      <c r="CF86" s="12">
        <v>202.33000000000027</v>
      </c>
      <c r="CG86" s="12">
        <v>404.66000000000031</v>
      </c>
      <c r="CH86" s="12">
        <v>606.99000000000035</v>
      </c>
      <c r="CI86" s="12">
        <v>3.4106051316484809E-13</v>
      </c>
      <c r="CJ86" s="12">
        <v>3.4106051316484809E-13</v>
      </c>
    </row>
    <row r="87" spans="1:88" x14ac:dyDescent="0.2">
      <c r="A87" s="24" t="s">
        <v>168</v>
      </c>
      <c r="B87" s="12">
        <v>0</v>
      </c>
      <c r="C87" s="12">
        <v>0</v>
      </c>
      <c r="D87" s="12">
        <v>0</v>
      </c>
      <c r="E87" s="12">
        <v>0</v>
      </c>
      <c r="F87" s="12">
        <v>-877.7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34.82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6.84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17.690000000000001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</row>
    <row r="88" spans="1:88" x14ac:dyDescent="0.2">
      <c r="A88" s="24" t="s">
        <v>169</v>
      </c>
      <c r="B88" s="12">
        <v>18336.66</v>
      </c>
      <c r="C88" s="12">
        <v>0</v>
      </c>
      <c r="D88" s="12">
        <v>8795.01</v>
      </c>
      <c r="E88" s="12">
        <v>9424.31</v>
      </c>
      <c r="F88" s="12">
        <v>9424.31</v>
      </c>
      <c r="G88" s="12">
        <v>9424.31</v>
      </c>
      <c r="H88" s="12">
        <v>9424.31</v>
      </c>
      <c r="I88" s="12">
        <v>13008.66</v>
      </c>
      <c r="J88" s="12">
        <v>13085.039999999999</v>
      </c>
      <c r="K88" s="12">
        <v>13085.039999999999</v>
      </c>
      <c r="L88" s="12">
        <v>17467.73</v>
      </c>
      <c r="M88" s="12">
        <v>23175.33</v>
      </c>
      <c r="N88" s="12">
        <v>23175.33</v>
      </c>
      <c r="O88" s="12">
        <v>27541.530000000002</v>
      </c>
      <c r="P88" s="12">
        <v>3.637978807091713E-12</v>
      </c>
      <c r="Q88" s="12">
        <v>6929.0200000000041</v>
      </c>
      <c r="R88" s="12">
        <v>6929.0200000000041</v>
      </c>
      <c r="S88" s="12">
        <v>10178.020000000004</v>
      </c>
      <c r="T88" s="12">
        <v>10178.020000000004</v>
      </c>
      <c r="U88" s="12">
        <v>12724.210000000005</v>
      </c>
      <c r="V88" s="12">
        <v>14890.210000000005</v>
      </c>
      <c r="W88" s="12">
        <v>14890.210000000005</v>
      </c>
      <c r="X88" s="12">
        <v>16771.210000000006</v>
      </c>
      <c r="Y88" s="12">
        <v>20743.500000000007</v>
      </c>
      <c r="Z88" s="12">
        <v>22263.500000000007</v>
      </c>
      <c r="AA88" s="12">
        <v>23783.500000000007</v>
      </c>
      <c r="AB88" s="12">
        <v>24751.890000000007</v>
      </c>
      <c r="AC88" s="12">
        <v>7.2759576141834259E-12</v>
      </c>
      <c r="AD88" s="12">
        <v>6156.2900000000072</v>
      </c>
      <c r="AE88" s="12">
        <v>6344.6200000000072</v>
      </c>
      <c r="AF88" s="12">
        <v>7474.280000000007</v>
      </c>
      <c r="AG88" s="12">
        <v>7474.280000000007</v>
      </c>
      <c r="AH88" s="12">
        <v>7474.280000000007</v>
      </c>
      <c r="AI88" s="12">
        <v>7474.280000000007</v>
      </c>
      <c r="AJ88" s="12">
        <v>7474.280000000007</v>
      </c>
      <c r="AK88" s="12">
        <v>7474.280000000007</v>
      </c>
      <c r="AL88" s="12">
        <v>7474.280000000007</v>
      </c>
      <c r="AM88" s="12">
        <v>7474.280000000007</v>
      </c>
      <c r="AN88" s="12">
        <v>10210.280000000006</v>
      </c>
      <c r="AO88" s="12">
        <v>5.4569682106375694E-12</v>
      </c>
      <c r="AP88" s="12">
        <v>5.4569682106375694E-12</v>
      </c>
      <c r="AQ88" s="12">
        <v>7091.0900000000056</v>
      </c>
      <c r="AR88" s="12">
        <v>9587.690000000006</v>
      </c>
      <c r="AS88" s="12">
        <v>9587.690000000006</v>
      </c>
      <c r="AT88" s="12">
        <v>9587.690000000006</v>
      </c>
      <c r="AU88" s="12">
        <v>9587.690000000006</v>
      </c>
      <c r="AV88" s="12">
        <v>9587.690000000006</v>
      </c>
      <c r="AW88" s="12">
        <v>9587.690000000006</v>
      </c>
      <c r="AX88" s="12">
        <v>9587.690000000006</v>
      </c>
      <c r="AY88" s="12">
        <v>9587.690000000006</v>
      </c>
      <c r="AZ88" s="12">
        <v>9587.690000000006</v>
      </c>
      <c r="BA88" s="12">
        <v>9587.690000000006</v>
      </c>
      <c r="BB88" s="12">
        <v>10758.090000000006</v>
      </c>
      <c r="BC88" s="12">
        <v>5.4569682106375694E-12</v>
      </c>
      <c r="BD88" s="12">
        <v>6156.2900000000054</v>
      </c>
      <c r="BE88" s="12">
        <v>6156.2900000000054</v>
      </c>
      <c r="BF88" s="12">
        <v>10744.790000000005</v>
      </c>
      <c r="BG88" s="12">
        <v>10744.790000000005</v>
      </c>
      <c r="BH88" s="12">
        <v>10744.790000000005</v>
      </c>
      <c r="BI88" s="12">
        <v>10744.790000000005</v>
      </c>
      <c r="BJ88" s="12">
        <v>10744.790000000005</v>
      </c>
      <c r="BK88" s="12">
        <v>10744.790000000005</v>
      </c>
      <c r="BL88" s="12">
        <v>10744.790000000005</v>
      </c>
      <c r="BM88" s="12">
        <v>10744.790000000005</v>
      </c>
      <c r="BN88" s="12">
        <v>10886.100000000004</v>
      </c>
      <c r="BO88" s="12">
        <v>3.637978807091713E-12</v>
      </c>
      <c r="BP88" s="12">
        <v>3.637978807091713E-12</v>
      </c>
      <c r="BQ88" s="12">
        <v>6156.2900000000036</v>
      </c>
      <c r="BR88" s="12">
        <v>6156.2900000000036</v>
      </c>
      <c r="BS88" s="12">
        <v>9426.1900000000041</v>
      </c>
      <c r="BT88" s="12">
        <v>10315.390000000005</v>
      </c>
      <c r="BU88" s="12">
        <v>8276.1500000000051</v>
      </c>
      <c r="BV88" s="12">
        <v>8612.4500000000044</v>
      </c>
      <c r="BW88" s="12">
        <v>11107.140000000005</v>
      </c>
      <c r="BX88" s="12">
        <v>12201.540000000005</v>
      </c>
      <c r="BY88" s="12">
        <v>12733.540000000005</v>
      </c>
      <c r="BZ88" s="12">
        <v>14095.840000000004</v>
      </c>
      <c r="CA88" s="12">
        <v>15891.340000000004</v>
      </c>
      <c r="CB88" s="12">
        <v>3.637978807091713E-12</v>
      </c>
      <c r="CC88" s="12">
        <v>4976.7700000000041</v>
      </c>
      <c r="CD88" s="12">
        <v>6388.0900000000038</v>
      </c>
      <c r="CE88" s="12">
        <v>8707.9900000000034</v>
      </c>
      <c r="CF88" s="12">
        <v>9984.7900000000027</v>
      </c>
      <c r="CG88" s="12">
        <v>11872.630000000003</v>
      </c>
      <c r="CH88" s="12">
        <v>12518.630000000003</v>
      </c>
      <c r="CI88" s="12">
        <v>14444.270000000002</v>
      </c>
      <c r="CJ88" s="12">
        <v>15538.670000000002</v>
      </c>
    </row>
    <row r="89" spans="1:88" x14ac:dyDescent="0.2">
      <c r="A89" s="24" t="s">
        <v>170</v>
      </c>
      <c r="B89" s="12">
        <v>-15286.06</v>
      </c>
      <c r="C89" s="12">
        <v>0</v>
      </c>
      <c r="D89" s="12">
        <v>-500.87</v>
      </c>
      <c r="E89" s="12">
        <v>-8736.11</v>
      </c>
      <c r="F89" s="12">
        <v>-9198.82</v>
      </c>
      <c r="G89" s="12">
        <v>-8197.5399999999991</v>
      </c>
      <c r="H89" s="12">
        <v>-7876.4399999999987</v>
      </c>
      <c r="I89" s="12">
        <v>-7621.6099999999988</v>
      </c>
      <c r="J89" s="12">
        <v>-9282.989999999998</v>
      </c>
      <c r="K89" s="12">
        <v>-6724.3799999999974</v>
      </c>
      <c r="L89" s="12">
        <v>-4721.279999999997</v>
      </c>
      <c r="M89" s="12">
        <v>-7151.9699999999975</v>
      </c>
      <c r="N89" s="12">
        <v>-10884.349999999999</v>
      </c>
      <c r="O89" s="12">
        <v>-11635.169999999998</v>
      </c>
      <c r="P89" s="12">
        <v>1.8189894035458565E-12</v>
      </c>
      <c r="Q89" s="12">
        <v>1.8189894035458565E-12</v>
      </c>
      <c r="R89" s="12">
        <v>-5234.5099999999984</v>
      </c>
      <c r="S89" s="12">
        <v>-3364.2999999999984</v>
      </c>
      <c r="T89" s="12">
        <v>-5670.5999999999985</v>
      </c>
      <c r="U89" s="12">
        <v>-2397.4999999999986</v>
      </c>
      <c r="V89" s="12">
        <v>-3217.9699999999984</v>
      </c>
      <c r="W89" s="12">
        <v>-3422.1999999999985</v>
      </c>
      <c r="X89" s="12">
        <v>-2189.1899999999987</v>
      </c>
      <c r="Y89" s="12">
        <v>-3232.9599999999987</v>
      </c>
      <c r="Z89" s="12">
        <v>-6412.7399999999989</v>
      </c>
      <c r="AA89" s="12">
        <v>-7394.3499999999985</v>
      </c>
      <c r="AB89" s="12">
        <v>-9765.9599999999991</v>
      </c>
      <c r="AC89" s="12">
        <v>0</v>
      </c>
      <c r="AD89" s="12">
        <v>0</v>
      </c>
      <c r="AE89" s="12">
        <v>-6015.3</v>
      </c>
      <c r="AF89" s="12">
        <v>-6012.3200000000006</v>
      </c>
      <c r="AG89" s="12">
        <v>-6553.43</v>
      </c>
      <c r="AH89" s="12">
        <v>-6494.89</v>
      </c>
      <c r="AI89" s="12">
        <v>-6295.9100000000008</v>
      </c>
      <c r="AJ89" s="12">
        <v>-6237.5900000000011</v>
      </c>
      <c r="AK89" s="12">
        <v>-6179.5500000000011</v>
      </c>
      <c r="AL89" s="12">
        <v>-6121.5100000000011</v>
      </c>
      <c r="AM89" s="12">
        <v>-6058.0000000000009</v>
      </c>
      <c r="AN89" s="12">
        <v>-5999.8500000000013</v>
      </c>
      <c r="AO89" s="12">
        <v>-9.0949470177292824E-13</v>
      </c>
      <c r="AP89" s="12">
        <v>-9.0949470177292824E-13</v>
      </c>
      <c r="AQ89" s="12">
        <v>-9.0949470177292824E-13</v>
      </c>
      <c r="AR89" s="12">
        <v>-7032.1400000000012</v>
      </c>
      <c r="AS89" s="12">
        <v>-9449.4100000000017</v>
      </c>
      <c r="AT89" s="12">
        <v>-9391.1500000000015</v>
      </c>
      <c r="AU89" s="12">
        <v>-9332.8300000000017</v>
      </c>
      <c r="AV89" s="12">
        <v>-9189.3100000000013</v>
      </c>
      <c r="AW89" s="12">
        <v>-8276.9000000000015</v>
      </c>
      <c r="AX89" s="12">
        <v>-8276.9000000000015</v>
      </c>
      <c r="AY89" s="12">
        <v>-8179.2100000000019</v>
      </c>
      <c r="AZ89" s="12">
        <v>-8125.1700000000019</v>
      </c>
      <c r="BA89" s="12">
        <v>-5516.0600000000013</v>
      </c>
      <c r="BB89" s="12">
        <v>-5467.130000000001</v>
      </c>
      <c r="BC89" s="12">
        <v>9.9999999998544808E-2</v>
      </c>
      <c r="BD89" s="12">
        <v>-903.94000000000142</v>
      </c>
      <c r="BE89" s="12">
        <v>-903.94000000000142</v>
      </c>
      <c r="BF89" s="12">
        <v>-903.94000000000142</v>
      </c>
      <c r="BG89" s="12">
        <v>-10665.730000000003</v>
      </c>
      <c r="BH89" s="12">
        <v>-10665.730000000003</v>
      </c>
      <c r="BI89" s="12">
        <v>-10665.730000000003</v>
      </c>
      <c r="BJ89" s="12">
        <v>-9202.0000000000036</v>
      </c>
      <c r="BK89" s="12">
        <v>-9202.0000000000036</v>
      </c>
      <c r="BL89" s="12">
        <v>-9202.0000000000036</v>
      </c>
      <c r="BM89" s="12">
        <v>-8884.6600000000035</v>
      </c>
      <c r="BN89" s="12">
        <v>-8884.6600000000035</v>
      </c>
      <c r="BO89" s="12">
        <v>-3.637978807091713E-12</v>
      </c>
      <c r="BP89" s="12">
        <v>-3.637978807091713E-12</v>
      </c>
      <c r="BQ89" s="12">
        <v>-530.2900000000036</v>
      </c>
      <c r="BR89" s="12">
        <v>-6627.8400000000038</v>
      </c>
      <c r="BS89" s="12">
        <v>-6539.2900000000036</v>
      </c>
      <c r="BT89" s="12">
        <v>-8325.9800000000032</v>
      </c>
      <c r="BU89" s="12">
        <v>-9156.5700000000033</v>
      </c>
      <c r="BV89" s="12">
        <v>-10744.120000000003</v>
      </c>
      <c r="BW89" s="12">
        <v>-11021.700000000003</v>
      </c>
      <c r="BX89" s="12">
        <v>-13447.800000000003</v>
      </c>
      <c r="BY89" s="12">
        <v>-14472.930000000004</v>
      </c>
      <c r="BZ89" s="12">
        <v>-13699.430000000004</v>
      </c>
      <c r="CA89" s="12">
        <v>-14765.180000000004</v>
      </c>
      <c r="CB89" s="12">
        <v>-3.637978807091713E-12</v>
      </c>
      <c r="CC89" s="12">
        <v>-3.637978807091713E-12</v>
      </c>
      <c r="CD89" s="12">
        <v>-4860.6100000000033</v>
      </c>
      <c r="CE89" s="12">
        <v>-6156.3200000000033</v>
      </c>
      <c r="CF89" s="12">
        <v>-7707.0000000000036</v>
      </c>
      <c r="CG89" s="12">
        <v>-8867.8100000000031</v>
      </c>
      <c r="CH89" s="12">
        <v>-10597.470000000003</v>
      </c>
      <c r="CI89" s="12">
        <v>-10842.000000000004</v>
      </c>
      <c r="CJ89" s="12">
        <v>-10842.000000000004</v>
      </c>
    </row>
    <row r="90" spans="1:88" x14ac:dyDescent="0.2">
      <c r="A90" s="24" t="s">
        <v>171</v>
      </c>
      <c r="B90" s="12">
        <v>0</v>
      </c>
      <c r="C90" s="12">
        <v>0</v>
      </c>
      <c r="D90" s="12">
        <v>0</v>
      </c>
      <c r="E90" s="12">
        <v>0</v>
      </c>
      <c r="F90" s="12">
        <v>7.41</v>
      </c>
      <c r="G90" s="12">
        <v>7.41</v>
      </c>
      <c r="H90" s="12">
        <v>7.41</v>
      </c>
      <c r="I90" s="12">
        <v>7.41</v>
      </c>
      <c r="J90" s="12">
        <v>41.42</v>
      </c>
      <c r="K90" s="12">
        <v>41.42</v>
      </c>
      <c r="L90" s="12">
        <v>41.42</v>
      </c>
      <c r="M90" s="12">
        <v>41.42</v>
      </c>
      <c r="N90" s="12">
        <v>41.42</v>
      </c>
      <c r="O90" s="12">
        <v>84.93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16.600000000000001</v>
      </c>
      <c r="BA90" s="12">
        <v>16.600000000000001</v>
      </c>
      <c r="BB90" s="12">
        <v>16.600000000000001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16.91</v>
      </c>
      <c r="BN90" s="12">
        <v>16.91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19.71</v>
      </c>
      <c r="CA90" s="12">
        <v>19.71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</row>
    <row r="91" spans="1:88" x14ac:dyDescent="0.2">
      <c r="A91" s="24" t="s">
        <v>172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33.82</v>
      </c>
      <c r="AT91" s="12">
        <v>33.82</v>
      </c>
      <c r="AU91" s="12">
        <v>33.82</v>
      </c>
      <c r="AV91" s="12">
        <v>33.82</v>
      </c>
      <c r="AW91" s="12">
        <v>33.82</v>
      </c>
      <c r="AX91" s="12">
        <v>33.82</v>
      </c>
      <c r="AY91" s="12">
        <v>33.82</v>
      </c>
      <c r="AZ91" s="12">
        <v>33.82</v>
      </c>
      <c r="BA91" s="12">
        <v>33.82</v>
      </c>
      <c r="BB91" s="12">
        <v>33.82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</row>
    <row r="92" spans="1:88" x14ac:dyDescent="0.2">
      <c r="A92" s="24" t="s">
        <v>173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-909.92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</row>
    <row r="93" spans="1:88" x14ac:dyDescent="0.2">
      <c r="A93" s="24" t="s">
        <v>174</v>
      </c>
      <c r="B93" s="12">
        <v>500.87</v>
      </c>
      <c r="C93" s="12">
        <v>500.87</v>
      </c>
      <c r="D93" s="12">
        <v>500.87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2404.96</v>
      </c>
      <c r="P93" s="12">
        <v>2404.96</v>
      </c>
      <c r="Q93" s="12">
        <v>2404.96</v>
      </c>
      <c r="R93" s="12">
        <v>2404.96</v>
      </c>
      <c r="S93" s="12">
        <v>2404.96</v>
      </c>
      <c r="T93" s="12">
        <v>2404.96</v>
      </c>
      <c r="U93" s="12">
        <v>2404.96</v>
      </c>
      <c r="V93" s="12">
        <v>2404.96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909.92</v>
      </c>
      <c r="AC93" s="12">
        <v>909.92</v>
      </c>
      <c r="AD93" s="12">
        <v>909.92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1024.28</v>
      </c>
      <c r="AP93" s="12">
        <v>1024.28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904.04</v>
      </c>
      <c r="BD93" s="12">
        <v>904.04</v>
      </c>
      <c r="BE93" s="12">
        <v>904.04</v>
      </c>
      <c r="BF93" s="12">
        <v>904.04</v>
      </c>
      <c r="BG93" s="12">
        <v>904.04</v>
      </c>
      <c r="BH93" s="12">
        <v>904.04</v>
      </c>
      <c r="BI93" s="12">
        <v>904.04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530.29999999999995</v>
      </c>
      <c r="BP93" s="12">
        <v>530.29999999999995</v>
      </c>
      <c r="BQ93" s="12">
        <v>530.29999999999995</v>
      </c>
      <c r="BR93" s="12">
        <v>530.29999999999995</v>
      </c>
      <c r="BS93" s="12">
        <v>530.29999999999995</v>
      </c>
      <c r="BT93" s="12">
        <v>0</v>
      </c>
      <c r="BU93" s="12">
        <v>3920.6</v>
      </c>
      <c r="BV93" s="12">
        <v>3920.6</v>
      </c>
      <c r="BW93" s="12">
        <v>3920.6</v>
      </c>
      <c r="BX93" s="12">
        <v>3920.6</v>
      </c>
      <c r="BY93" s="12">
        <v>3920.6</v>
      </c>
      <c r="BZ93" s="12">
        <v>3920.6</v>
      </c>
      <c r="CA93" s="12">
        <v>3920.6</v>
      </c>
      <c r="CB93" s="12">
        <v>0</v>
      </c>
      <c r="CC93" s="12">
        <v>0</v>
      </c>
      <c r="CD93" s="12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</row>
    <row r="94" spans="1:88" x14ac:dyDescent="0.2">
      <c r="A94" s="15" t="s">
        <v>175</v>
      </c>
      <c r="B94" s="16">
        <f t="shared" ref="B94:AG94" si="39">SUM(B74:B93)</f>
        <v>501.01000000000124</v>
      </c>
      <c r="C94" s="16">
        <f t="shared" si="39"/>
        <v>501.01</v>
      </c>
      <c r="D94" s="16">
        <f t="shared" si="39"/>
        <v>8736.35</v>
      </c>
      <c r="E94" s="16">
        <f t="shared" si="39"/>
        <v>684.10999999999876</v>
      </c>
      <c r="F94" s="16">
        <f t="shared" si="39"/>
        <v>-1436.3000000000009</v>
      </c>
      <c r="G94" s="16">
        <f t="shared" si="39"/>
        <v>-99.699999999999676</v>
      </c>
      <c r="H94" s="16">
        <f t="shared" si="39"/>
        <v>187.85000000000051</v>
      </c>
      <c r="I94" s="16">
        <f t="shared" si="39"/>
        <v>5450.4700000000012</v>
      </c>
      <c r="J94" s="16">
        <f t="shared" si="39"/>
        <v>-1964.5299999999988</v>
      </c>
      <c r="K94" s="16">
        <f t="shared" si="39"/>
        <v>1902.7600000000039</v>
      </c>
      <c r="L94" s="16">
        <f t="shared" si="39"/>
        <v>15614.400000000005</v>
      </c>
      <c r="M94" s="16">
        <f t="shared" si="39"/>
        <v>9538.980000000005</v>
      </c>
      <c r="N94" s="16">
        <f t="shared" si="39"/>
        <v>-1211.3099999999959</v>
      </c>
      <c r="O94" s="16">
        <f t="shared" si="39"/>
        <v>3241.0700000000061</v>
      </c>
      <c r="P94" s="16">
        <f t="shared" si="39"/>
        <v>3241.0700000000061</v>
      </c>
      <c r="Q94" s="16">
        <f t="shared" si="39"/>
        <v>5740.570000000007</v>
      </c>
      <c r="R94" s="16">
        <f t="shared" si="39"/>
        <v>-1356.4599999999937</v>
      </c>
      <c r="S94" s="16">
        <f t="shared" si="39"/>
        <v>2970.4200000000055</v>
      </c>
      <c r="T94" s="16">
        <f t="shared" si="39"/>
        <v>-3038.3599999999942</v>
      </c>
      <c r="U94" s="16">
        <f t="shared" si="39"/>
        <v>1457.5800000000058</v>
      </c>
      <c r="V94" s="16">
        <f t="shared" si="39"/>
        <v>907.7100000000064</v>
      </c>
      <c r="W94" s="16">
        <f t="shared" si="39"/>
        <v>-998.53999999999314</v>
      </c>
      <c r="X94" s="16">
        <f t="shared" si="39"/>
        <v>1490.1100000000079</v>
      </c>
      <c r="Y94" s="16">
        <f t="shared" si="39"/>
        <v>3838.140000000009</v>
      </c>
      <c r="Z94" s="16">
        <f t="shared" si="39"/>
        <v>1373.7300000000077</v>
      </c>
      <c r="AA94" s="16">
        <f t="shared" si="39"/>
        <v>1885.6800000000076</v>
      </c>
      <c r="AB94" s="16">
        <f t="shared" si="39"/>
        <v>1545.0000000000073</v>
      </c>
      <c r="AC94" s="16">
        <f t="shared" si="39"/>
        <v>1545.0000000000077</v>
      </c>
      <c r="AD94" s="16">
        <f t="shared" si="39"/>
        <v>6738.7200000000075</v>
      </c>
      <c r="AE94" s="16">
        <f t="shared" si="39"/>
        <v>407.54000000000724</v>
      </c>
      <c r="AF94" s="16">
        <f t="shared" si="39"/>
        <v>1211.2700000000068</v>
      </c>
      <c r="AG94" s="16">
        <f t="shared" si="39"/>
        <v>166.42000000000735</v>
      </c>
      <c r="AH94" s="16">
        <f t="shared" ref="AH94:BM94" si="40">SUM(AH74:AH93)</f>
        <v>250.69000000000779</v>
      </c>
      <c r="AI94" s="16">
        <f t="shared" si="40"/>
        <v>616.06000000000677</v>
      </c>
      <c r="AJ94" s="16">
        <f t="shared" si="40"/>
        <v>166.92000000000644</v>
      </c>
      <c r="AK94" s="16">
        <f t="shared" si="40"/>
        <v>391.63000000000648</v>
      </c>
      <c r="AL94" s="16">
        <f t="shared" si="40"/>
        <v>610.87000000000717</v>
      </c>
      <c r="AM94" s="16">
        <f t="shared" si="40"/>
        <v>166.81000000000677</v>
      </c>
      <c r="AN94" s="16">
        <f t="shared" si="40"/>
        <v>3127.520000000005</v>
      </c>
      <c r="AO94" s="16">
        <f t="shared" si="40"/>
        <v>1698.4700000000053</v>
      </c>
      <c r="AP94" s="16">
        <f t="shared" si="40"/>
        <v>1698.4700000000053</v>
      </c>
      <c r="AQ94" s="16">
        <f t="shared" si="40"/>
        <v>7247.1000000000049</v>
      </c>
      <c r="AR94" s="16">
        <f t="shared" si="40"/>
        <v>2847.0900000000056</v>
      </c>
      <c r="AS94" s="16">
        <f t="shared" si="40"/>
        <v>596.18000000000427</v>
      </c>
      <c r="AT94" s="16">
        <f t="shared" si="40"/>
        <v>-58.219999999995416</v>
      </c>
      <c r="AU94" s="16">
        <f t="shared" si="40"/>
        <v>-136.57999999999601</v>
      </c>
      <c r="AV94" s="16">
        <f t="shared" si="40"/>
        <v>-912.30999999999369</v>
      </c>
      <c r="AW94" s="16">
        <f t="shared" si="40"/>
        <v>-48.769999999994688</v>
      </c>
      <c r="AX94" s="16">
        <f t="shared" si="40"/>
        <v>-97.589999999994404</v>
      </c>
      <c r="AY94" s="16">
        <f t="shared" si="40"/>
        <v>170.68000000000512</v>
      </c>
      <c r="AZ94" s="16">
        <f t="shared" si="40"/>
        <v>-2384.3899999999949</v>
      </c>
      <c r="BA94" s="16">
        <f t="shared" si="40"/>
        <v>400.41000000000525</v>
      </c>
      <c r="BB94" s="16">
        <f t="shared" si="40"/>
        <v>1578.0000000000052</v>
      </c>
      <c r="BC94" s="16">
        <f t="shared" si="40"/>
        <v>1578.0000000000045</v>
      </c>
      <c r="BD94" s="16">
        <f t="shared" si="40"/>
        <v>6298.6000000000049</v>
      </c>
      <c r="BE94" s="16">
        <f t="shared" si="40"/>
        <v>6441.5700000000043</v>
      </c>
      <c r="BF94" s="16">
        <f t="shared" si="40"/>
        <v>10394.150000000005</v>
      </c>
      <c r="BG94" s="16">
        <f t="shared" si="40"/>
        <v>151.82000000000244</v>
      </c>
      <c r="BH94" s="16">
        <f t="shared" si="40"/>
        <v>304.07000000000244</v>
      </c>
      <c r="BI94" s="16">
        <f t="shared" si="40"/>
        <v>25.320000000002437</v>
      </c>
      <c r="BJ94" s="16">
        <f t="shared" si="40"/>
        <v>152.03000000000247</v>
      </c>
      <c r="BK94" s="16">
        <f t="shared" si="40"/>
        <v>163.46000000000095</v>
      </c>
      <c r="BL94" s="16">
        <f t="shared" si="40"/>
        <v>315.67000000000189</v>
      </c>
      <c r="BM94" s="16">
        <f t="shared" si="40"/>
        <v>65.230000000001525</v>
      </c>
      <c r="BN94" s="16">
        <f t="shared" ref="BN94:CS94" si="41">SUM(BN74:BN93)</f>
        <v>358.75000000000199</v>
      </c>
      <c r="BO94" s="16">
        <f t="shared" si="41"/>
        <v>1162.6400000000008</v>
      </c>
      <c r="BP94" s="16">
        <f t="shared" si="41"/>
        <v>1162.6400000000008</v>
      </c>
      <c r="BQ94" s="16">
        <f t="shared" si="41"/>
        <v>6300.130000000001</v>
      </c>
      <c r="BR94" s="16">
        <f t="shared" si="41"/>
        <v>316.69000000000028</v>
      </c>
      <c r="BS94" s="16">
        <f t="shared" si="41"/>
        <v>2924.880000000001</v>
      </c>
      <c r="BT94" s="16">
        <f t="shared" si="41"/>
        <v>1033.1600000000035</v>
      </c>
      <c r="BU94" s="16">
        <f t="shared" si="41"/>
        <v>3981.6200000000022</v>
      </c>
      <c r="BV94" s="16">
        <f t="shared" si="41"/>
        <v>885.6400000000026</v>
      </c>
      <c r="BW94" s="16">
        <f t="shared" si="41"/>
        <v>2603.3000000000025</v>
      </c>
      <c r="BX94" s="16">
        <f t="shared" si="41"/>
        <v>1128.5500000000025</v>
      </c>
      <c r="BY94" s="16">
        <f t="shared" si="41"/>
        <v>-389.49999999999864</v>
      </c>
      <c r="BZ94" s="16">
        <f t="shared" si="41"/>
        <v>1267.5900000000006</v>
      </c>
      <c r="CA94" s="16">
        <f t="shared" si="41"/>
        <v>1999.81</v>
      </c>
      <c r="CB94" s="16">
        <f t="shared" si="41"/>
        <v>604.74000000000069</v>
      </c>
      <c r="CC94" s="16">
        <f t="shared" si="41"/>
        <v>5036.7100000000009</v>
      </c>
      <c r="CD94" s="16">
        <f t="shared" si="41"/>
        <v>1647.8100000000013</v>
      </c>
      <c r="CE94" s="16">
        <f t="shared" si="41"/>
        <v>2105.1100000000006</v>
      </c>
      <c r="CF94" s="16">
        <f t="shared" si="41"/>
        <v>1363.2399999999998</v>
      </c>
      <c r="CG94" s="16">
        <f t="shared" si="41"/>
        <v>2134.42</v>
      </c>
      <c r="CH94" s="16">
        <f t="shared" si="41"/>
        <v>851.6200000000008</v>
      </c>
      <c r="CI94" s="16">
        <f t="shared" si="41"/>
        <v>1668.1099999999988</v>
      </c>
      <c r="CJ94" s="16">
        <f t="shared" si="41"/>
        <v>2762.5099999999984</v>
      </c>
    </row>
    <row r="95" spans="1:88" x14ac:dyDescent="0.2">
      <c r="A95" s="17" t="s">
        <v>176</v>
      </c>
      <c r="B95" s="18">
        <f t="shared" ref="B95:AG95" si="42">0+0+0+B68+0+B72+0+B94</f>
        <v>501.01000000000124</v>
      </c>
      <c r="C95" s="18">
        <f t="shared" si="42"/>
        <v>501.01</v>
      </c>
      <c r="D95" s="18">
        <f t="shared" si="42"/>
        <v>8736.35</v>
      </c>
      <c r="E95" s="18">
        <f t="shared" si="42"/>
        <v>1362.4099999999987</v>
      </c>
      <c r="F95" s="18">
        <f t="shared" si="42"/>
        <v>4696.5599999999995</v>
      </c>
      <c r="G95" s="18">
        <f t="shared" si="42"/>
        <v>1548.2600000000014</v>
      </c>
      <c r="H95" s="18">
        <f t="shared" si="42"/>
        <v>4198.3700000000017</v>
      </c>
      <c r="I95" s="18">
        <f t="shared" si="42"/>
        <v>17130.18</v>
      </c>
      <c r="J95" s="18">
        <f t="shared" si="42"/>
        <v>14024.880000000001</v>
      </c>
      <c r="K95" s="18">
        <f t="shared" si="42"/>
        <v>14007.630000000003</v>
      </c>
      <c r="L95" s="18">
        <f t="shared" si="42"/>
        <v>27473.180000000004</v>
      </c>
      <c r="M95" s="18">
        <f t="shared" si="42"/>
        <v>21544.120000000003</v>
      </c>
      <c r="N95" s="18">
        <f t="shared" si="42"/>
        <v>8784.6900000000041</v>
      </c>
      <c r="O95" s="18">
        <f t="shared" si="42"/>
        <v>13761.860000000008</v>
      </c>
      <c r="P95" s="18">
        <f t="shared" si="42"/>
        <v>13761.860000000008</v>
      </c>
      <c r="Q95" s="18">
        <f t="shared" si="42"/>
        <v>15950.180000000008</v>
      </c>
      <c r="R95" s="18">
        <f t="shared" si="42"/>
        <v>10180.190000000008</v>
      </c>
      <c r="S95" s="18">
        <f t="shared" si="42"/>
        <v>6036.2700000000077</v>
      </c>
      <c r="T95" s="18">
        <f t="shared" si="42"/>
        <v>7152.7100000000091</v>
      </c>
      <c r="U95" s="18">
        <f t="shared" si="42"/>
        <v>12783.350000000009</v>
      </c>
      <c r="V95" s="18">
        <f t="shared" si="42"/>
        <v>12705.97000000001</v>
      </c>
      <c r="W95" s="18">
        <f t="shared" si="42"/>
        <v>1646.8300000000113</v>
      </c>
      <c r="X95" s="18">
        <f t="shared" si="42"/>
        <v>5583.8600000000124</v>
      </c>
      <c r="Y95" s="18">
        <f t="shared" si="42"/>
        <v>8453.2700000000132</v>
      </c>
      <c r="Z95" s="18">
        <f t="shared" si="42"/>
        <v>4629.4300000000121</v>
      </c>
      <c r="AA95" s="18">
        <f t="shared" si="42"/>
        <v>2324.2000000000121</v>
      </c>
      <c r="AB95" s="18">
        <f t="shared" si="42"/>
        <v>1545.0000000000118</v>
      </c>
      <c r="AC95" s="18">
        <f t="shared" si="42"/>
        <v>1545.0000000000123</v>
      </c>
      <c r="AD95" s="18">
        <f t="shared" si="42"/>
        <v>6738.7200000000121</v>
      </c>
      <c r="AE95" s="18">
        <f t="shared" si="42"/>
        <v>1240.5400000000118</v>
      </c>
      <c r="AF95" s="18">
        <f t="shared" si="42"/>
        <v>5076.1500000000115</v>
      </c>
      <c r="AG95" s="18">
        <f t="shared" si="42"/>
        <v>218.44000000001188</v>
      </c>
      <c r="AH95" s="18">
        <f t="shared" ref="AH95:BM95" si="43">0+0+0+AH68+0+AH72+0+AH94</f>
        <v>1132.0000000000123</v>
      </c>
      <c r="AI95" s="18">
        <f t="shared" si="43"/>
        <v>616.06000000001131</v>
      </c>
      <c r="AJ95" s="18">
        <f t="shared" si="43"/>
        <v>166.92000000001099</v>
      </c>
      <c r="AK95" s="18">
        <f t="shared" si="43"/>
        <v>391.63000000001102</v>
      </c>
      <c r="AL95" s="18">
        <f t="shared" si="43"/>
        <v>610.87000000001171</v>
      </c>
      <c r="AM95" s="18">
        <f t="shared" si="43"/>
        <v>166.81000000001131</v>
      </c>
      <c r="AN95" s="18">
        <f t="shared" si="43"/>
        <v>3127.5200000000095</v>
      </c>
      <c r="AO95" s="18">
        <f t="shared" si="43"/>
        <v>1698.4700000000098</v>
      </c>
      <c r="AP95" s="18">
        <f t="shared" si="43"/>
        <v>1698.4700000000098</v>
      </c>
      <c r="AQ95" s="18">
        <f t="shared" si="43"/>
        <v>7372.7300000000096</v>
      </c>
      <c r="AR95" s="18">
        <f t="shared" si="43"/>
        <v>2847.0900000000101</v>
      </c>
      <c r="AS95" s="18">
        <f t="shared" si="43"/>
        <v>3336.1800000000089</v>
      </c>
      <c r="AT95" s="18">
        <f t="shared" si="43"/>
        <v>2751.7400000000093</v>
      </c>
      <c r="AU95" s="18">
        <f t="shared" si="43"/>
        <v>2662.140000000009</v>
      </c>
      <c r="AV95" s="18">
        <f t="shared" si="43"/>
        <v>1827.6900000000114</v>
      </c>
      <c r="AW95" s="18">
        <f t="shared" si="43"/>
        <v>2691.2300000000105</v>
      </c>
      <c r="AX95" s="18">
        <f t="shared" si="43"/>
        <v>2642.4100000000108</v>
      </c>
      <c r="AY95" s="18">
        <f t="shared" si="43"/>
        <v>2946.5000000000105</v>
      </c>
      <c r="AZ95" s="18">
        <f t="shared" si="43"/>
        <v>442.99000000001024</v>
      </c>
      <c r="BA95" s="18">
        <f t="shared" si="43"/>
        <v>3140.4100000000103</v>
      </c>
      <c r="BB95" s="18">
        <f t="shared" si="43"/>
        <v>4318.00000000001</v>
      </c>
      <c r="BC95" s="18">
        <f t="shared" si="43"/>
        <v>4318.0000000000091</v>
      </c>
      <c r="BD95" s="18">
        <f t="shared" si="43"/>
        <v>9038.6000000000095</v>
      </c>
      <c r="BE95" s="18">
        <f t="shared" si="43"/>
        <v>9181.5700000000088</v>
      </c>
      <c r="BF95" s="18">
        <f t="shared" si="43"/>
        <v>18309.900000000009</v>
      </c>
      <c r="BG95" s="18">
        <f t="shared" si="43"/>
        <v>2891.8200000000074</v>
      </c>
      <c r="BH95" s="18">
        <f t="shared" si="43"/>
        <v>3095.1200000000076</v>
      </c>
      <c r="BI95" s="18">
        <f t="shared" si="43"/>
        <v>5161.6800000000076</v>
      </c>
      <c r="BJ95" s="18">
        <f t="shared" si="43"/>
        <v>2892.0300000000075</v>
      </c>
      <c r="BK95" s="18">
        <f t="shared" si="43"/>
        <v>2903.4600000000059</v>
      </c>
      <c r="BL95" s="18">
        <f t="shared" si="43"/>
        <v>3055.6700000000069</v>
      </c>
      <c r="BM95" s="18">
        <f t="shared" si="43"/>
        <v>3349.4400000000064</v>
      </c>
      <c r="BN95" s="18">
        <f t="shared" ref="BN95:CS95" si="44">0+0+0+BN68+0+BN72+0+BN94</f>
        <v>3098.7500000000068</v>
      </c>
      <c r="BO95" s="18">
        <f t="shared" si="44"/>
        <v>3902.6400000000058</v>
      </c>
      <c r="BP95" s="18">
        <f t="shared" si="44"/>
        <v>3902.6400000000058</v>
      </c>
      <c r="BQ95" s="18">
        <f t="shared" si="44"/>
        <v>9040.1300000000065</v>
      </c>
      <c r="BR95" s="18">
        <f t="shared" si="44"/>
        <v>3056.6900000000051</v>
      </c>
      <c r="BS95" s="18">
        <f t="shared" si="44"/>
        <v>5664.8800000000065</v>
      </c>
      <c r="BT95" s="18">
        <f t="shared" si="44"/>
        <v>3833.7600000000084</v>
      </c>
      <c r="BU95" s="18">
        <f t="shared" si="44"/>
        <v>6721.6200000000072</v>
      </c>
      <c r="BV95" s="18">
        <f t="shared" si="44"/>
        <v>3625.6400000000076</v>
      </c>
      <c r="BW95" s="18">
        <f t="shared" si="44"/>
        <v>5343.3000000000075</v>
      </c>
      <c r="BX95" s="18">
        <f t="shared" si="44"/>
        <v>3868.5500000000075</v>
      </c>
      <c r="BY95" s="18">
        <f t="shared" si="44"/>
        <v>7006.2800000000061</v>
      </c>
      <c r="BZ95" s="18">
        <f t="shared" si="44"/>
        <v>4007.5900000000056</v>
      </c>
      <c r="CA95" s="18">
        <f t="shared" si="44"/>
        <v>4739.8100000000049</v>
      </c>
      <c r="CB95" s="18">
        <f t="shared" si="44"/>
        <v>604.74000000000569</v>
      </c>
      <c r="CC95" s="18">
        <f t="shared" si="44"/>
        <v>5036.7100000000064</v>
      </c>
      <c r="CD95" s="18">
        <f t="shared" si="44"/>
        <v>1647.8100000000063</v>
      </c>
      <c r="CE95" s="18">
        <f t="shared" si="44"/>
        <v>6405.0400000000054</v>
      </c>
      <c r="CF95" s="18">
        <f t="shared" si="44"/>
        <v>1441.2800000000047</v>
      </c>
      <c r="CG95" s="18">
        <f t="shared" si="44"/>
        <v>2234.3200000000052</v>
      </c>
      <c r="CH95" s="18">
        <f t="shared" si="44"/>
        <v>2641.6200000000058</v>
      </c>
      <c r="CI95" s="18">
        <f t="shared" si="44"/>
        <v>1718.1100000000038</v>
      </c>
      <c r="CJ95" s="18">
        <f t="shared" si="44"/>
        <v>2762.5100000000034</v>
      </c>
    </row>
    <row r="96" spans="1:88" x14ac:dyDescent="0.2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</row>
    <row r="97" spans="1:88" ht="12" x14ac:dyDescent="0.2">
      <c r="A97" s="7" t="s">
        <v>177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</row>
    <row r="98" spans="1:88" x14ac:dyDescent="0.2">
      <c r="A98" s="19" t="s">
        <v>178</v>
      </c>
      <c r="B98" s="12">
        <v>4938.54</v>
      </c>
      <c r="C98" s="12">
        <v>4938.54</v>
      </c>
      <c r="D98" s="12">
        <v>4938.54</v>
      </c>
      <c r="E98" s="12">
        <v>4938.54</v>
      </c>
      <c r="F98" s="12">
        <v>3427.84</v>
      </c>
      <c r="G98" s="12">
        <v>3427.84</v>
      </c>
      <c r="H98" s="12">
        <v>3427.84</v>
      </c>
      <c r="I98" s="12">
        <v>1917.14</v>
      </c>
      <c r="J98" s="12">
        <v>1917.14</v>
      </c>
      <c r="K98" s="12">
        <v>1917.14</v>
      </c>
      <c r="L98" s="12">
        <v>406.45000000000005</v>
      </c>
      <c r="M98" s="12">
        <v>5980.26</v>
      </c>
      <c r="N98" s="12">
        <v>5980.26</v>
      </c>
      <c r="O98" s="12">
        <v>5573.81</v>
      </c>
      <c r="P98" s="12">
        <v>5573.81</v>
      </c>
      <c r="Q98" s="12">
        <v>5573.81</v>
      </c>
      <c r="R98" s="12">
        <v>5573.81</v>
      </c>
      <c r="S98" s="12">
        <v>3901.6500000000005</v>
      </c>
      <c r="T98" s="12">
        <v>3901.6500000000005</v>
      </c>
      <c r="U98" s="12">
        <v>3901.6500000000005</v>
      </c>
      <c r="V98" s="12">
        <v>2229.4900000000007</v>
      </c>
      <c r="W98" s="12">
        <v>2229.4900000000007</v>
      </c>
      <c r="X98" s="12">
        <v>2229.4900000000007</v>
      </c>
      <c r="Y98" s="12">
        <v>557.33000000000061</v>
      </c>
      <c r="Z98" s="12">
        <v>557.33000000000061</v>
      </c>
      <c r="AA98" s="12">
        <v>557.33000000000061</v>
      </c>
      <c r="AB98" s="12">
        <v>3103.0000000000009</v>
      </c>
      <c r="AC98" s="12">
        <v>3103.0000000000009</v>
      </c>
      <c r="AD98" s="12">
        <v>3103.0000000000009</v>
      </c>
      <c r="AE98" s="12">
        <v>3103.0000000000009</v>
      </c>
      <c r="AF98" s="12">
        <v>3527.2500000000009</v>
      </c>
      <c r="AG98" s="12">
        <v>3527.2500000000009</v>
      </c>
      <c r="AH98" s="12">
        <v>3527.2500000000009</v>
      </c>
      <c r="AI98" s="12">
        <v>2751.5000000000009</v>
      </c>
      <c r="AJ98" s="12">
        <v>2751.5000000000009</v>
      </c>
      <c r="AK98" s="12">
        <v>2751.5000000000009</v>
      </c>
      <c r="AL98" s="12">
        <v>1975.7500000000009</v>
      </c>
      <c r="AM98" s="12">
        <v>1975.7500000000009</v>
      </c>
      <c r="AN98" s="12">
        <v>1975.7500000000009</v>
      </c>
      <c r="AO98" s="12">
        <v>7067.0000000000009</v>
      </c>
      <c r="AP98" s="12">
        <v>7067.0000000000009</v>
      </c>
      <c r="AQ98" s="12">
        <v>7067.0000000000009</v>
      </c>
      <c r="AR98" s="12">
        <v>9257</v>
      </c>
      <c r="AS98" s="12">
        <v>6590.25</v>
      </c>
      <c r="AT98" s="12">
        <v>6590.25</v>
      </c>
      <c r="AU98" s="12">
        <v>6590.25</v>
      </c>
      <c r="AV98" s="12">
        <v>5123.5</v>
      </c>
      <c r="AW98" s="12">
        <v>5123.5</v>
      </c>
      <c r="AX98" s="12">
        <v>5123.5</v>
      </c>
      <c r="AY98" s="12">
        <v>3656.75</v>
      </c>
      <c r="AZ98" s="12">
        <v>3656.75</v>
      </c>
      <c r="BA98" s="12">
        <v>3656.75</v>
      </c>
      <c r="BB98" s="12">
        <v>2190</v>
      </c>
      <c r="BC98" s="12">
        <v>2190</v>
      </c>
      <c r="BD98" s="12">
        <v>2190</v>
      </c>
      <c r="BE98" s="12">
        <v>2190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</row>
    <row r="99" spans="1:88" x14ac:dyDescent="0.2">
      <c r="A99" s="19" t="s">
        <v>179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5646.67</v>
      </c>
      <c r="BC99" s="12">
        <v>5646.67</v>
      </c>
      <c r="BD99" s="12">
        <v>34834.720000000001</v>
      </c>
      <c r="BE99" s="12">
        <v>31621.27</v>
      </c>
      <c r="BF99" s="12">
        <v>50545.32</v>
      </c>
      <c r="BG99" s="12">
        <v>45319.37</v>
      </c>
      <c r="BH99" s="12">
        <v>40093.420000000006</v>
      </c>
      <c r="BI99" s="12">
        <v>34867.470000000008</v>
      </c>
      <c r="BJ99" s="12">
        <v>29641.520000000008</v>
      </c>
      <c r="BK99" s="12">
        <v>24415.570000000007</v>
      </c>
      <c r="BL99" s="12">
        <v>19189.620000000006</v>
      </c>
      <c r="BM99" s="12">
        <v>13963.670000000006</v>
      </c>
      <c r="BN99" s="12">
        <v>8737.6800000000057</v>
      </c>
      <c r="BO99" s="12">
        <v>6729.1700000000055</v>
      </c>
      <c r="BP99" s="12">
        <v>6729.1700000000055</v>
      </c>
      <c r="BQ99" s="12">
        <v>34172.22</v>
      </c>
      <c r="BR99" s="12">
        <v>29213.77</v>
      </c>
      <c r="BS99" s="12">
        <v>42043.68</v>
      </c>
      <c r="BT99" s="12">
        <v>41953.57</v>
      </c>
      <c r="BU99" s="12">
        <v>46260.18</v>
      </c>
      <c r="BV99" s="12">
        <v>41844.92</v>
      </c>
      <c r="BW99" s="12">
        <v>48137.95</v>
      </c>
      <c r="BX99" s="12">
        <v>46581.03</v>
      </c>
      <c r="BY99" s="12">
        <v>39264.11</v>
      </c>
      <c r="BZ99" s="12">
        <v>38519.69</v>
      </c>
      <c r="CA99" s="12">
        <v>39267.730000000003</v>
      </c>
      <c r="CB99" s="12">
        <v>33515.75</v>
      </c>
      <c r="CC99" s="12">
        <v>51524.66</v>
      </c>
      <c r="CD99" s="12">
        <v>50148.97</v>
      </c>
      <c r="CE99" s="12">
        <v>54119.54</v>
      </c>
      <c r="CF99" s="12">
        <v>52430.04</v>
      </c>
      <c r="CG99" s="12">
        <v>53953.760000000002</v>
      </c>
      <c r="CH99" s="12">
        <v>48658.12</v>
      </c>
      <c r="CI99" s="12">
        <v>58793.070000000007</v>
      </c>
      <c r="CJ99" s="12">
        <v>64553.070000000007</v>
      </c>
    </row>
    <row r="100" spans="1:88" x14ac:dyDescent="0.2">
      <c r="A100" s="20" t="s">
        <v>180</v>
      </c>
      <c r="B100" s="16">
        <f t="shared" ref="B100:AG100" si="45">SUM(B98:B99)</f>
        <v>4938.54</v>
      </c>
      <c r="C100" s="16">
        <f t="shared" si="45"/>
        <v>4938.54</v>
      </c>
      <c r="D100" s="16">
        <f t="shared" si="45"/>
        <v>4938.54</v>
      </c>
      <c r="E100" s="16">
        <f t="shared" si="45"/>
        <v>4938.54</v>
      </c>
      <c r="F100" s="16">
        <f t="shared" si="45"/>
        <v>3427.84</v>
      </c>
      <c r="G100" s="16">
        <f t="shared" si="45"/>
        <v>3427.84</v>
      </c>
      <c r="H100" s="16">
        <f t="shared" si="45"/>
        <v>3427.84</v>
      </c>
      <c r="I100" s="16">
        <f t="shared" si="45"/>
        <v>1917.14</v>
      </c>
      <c r="J100" s="16">
        <f t="shared" si="45"/>
        <v>1917.14</v>
      </c>
      <c r="K100" s="16">
        <f t="shared" si="45"/>
        <v>1917.14</v>
      </c>
      <c r="L100" s="16">
        <f t="shared" si="45"/>
        <v>406.45000000000005</v>
      </c>
      <c r="M100" s="16">
        <f t="shared" si="45"/>
        <v>5980.26</v>
      </c>
      <c r="N100" s="16">
        <f t="shared" si="45"/>
        <v>5980.26</v>
      </c>
      <c r="O100" s="16">
        <f t="shared" si="45"/>
        <v>5573.81</v>
      </c>
      <c r="P100" s="16">
        <f t="shared" si="45"/>
        <v>5573.81</v>
      </c>
      <c r="Q100" s="16">
        <f t="shared" si="45"/>
        <v>5573.81</v>
      </c>
      <c r="R100" s="16">
        <f t="shared" si="45"/>
        <v>5573.81</v>
      </c>
      <c r="S100" s="16">
        <f t="shared" si="45"/>
        <v>3901.6500000000005</v>
      </c>
      <c r="T100" s="16">
        <f t="shared" si="45"/>
        <v>3901.6500000000005</v>
      </c>
      <c r="U100" s="16">
        <f t="shared" si="45"/>
        <v>3901.6500000000005</v>
      </c>
      <c r="V100" s="16">
        <f t="shared" si="45"/>
        <v>2229.4900000000007</v>
      </c>
      <c r="W100" s="16">
        <f t="shared" si="45"/>
        <v>2229.4900000000007</v>
      </c>
      <c r="X100" s="16">
        <f t="shared" si="45"/>
        <v>2229.4900000000007</v>
      </c>
      <c r="Y100" s="16">
        <f t="shared" si="45"/>
        <v>557.33000000000061</v>
      </c>
      <c r="Z100" s="16">
        <f t="shared" si="45"/>
        <v>557.33000000000061</v>
      </c>
      <c r="AA100" s="16">
        <f t="shared" si="45"/>
        <v>557.33000000000061</v>
      </c>
      <c r="AB100" s="16">
        <f t="shared" si="45"/>
        <v>3103.0000000000009</v>
      </c>
      <c r="AC100" s="16">
        <f t="shared" si="45"/>
        <v>3103.0000000000009</v>
      </c>
      <c r="AD100" s="16">
        <f t="shared" si="45"/>
        <v>3103.0000000000009</v>
      </c>
      <c r="AE100" s="16">
        <f t="shared" si="45"/>
        <v>3103.0000000000009</v>
      </c>
      <c r="AF100" s="16">
        <f t="shared" si="45"/>
        <v>3527.2500000000009</v>
      </c>
      <c r="AG100" s="16">
        <f t="shared" si="45"/>
        <v>3527.2500000000009</v>
      </c>
      <c r="AH100" s="16">
        <f t="shared" ref="AH100:BM100" si="46">SUM(AH98:AH99)</f>
        <v>3527.2500000000009</v>
      </c>
      <c r="AI100" s="16">
        <f t="shared" si="46"/>
        <v>2751.5000000000009</v>
      </c>
      <c r="AJ100" s="16">
        <f t="shared" si="46"/>
        <v>2751.5000000000009</v>
      </c>
      <c r="AK100" s="16">
        <f t="shared" si="46"/>
        <v>2751.5000000000009</v>
      </c>
      <c r="AL100" s="16">
        <f t="shared" si="46"/>
        <v>1975.7500000000009</v>
      </c>
      <c r="AM100" s="16">
        <f t="shared" si="46"/>
        <v>1975.7500000000009</v>
      </c>
      <c r="AN100" s="16">
        <f t="shared" si="46"/>
        <v>1975.7500000000009</v>
      </c>
      <c r="AO100" s="16">
        <f t="shared" si="46"/>
        <v>7067.0000000000009</v>
      </c>
      <c r="AP100" s="16">
        <f t="shared" si="46"/>
        <v>7067.0000000000009</v>
      </c>
      <c r="AQ100" s="16">
        <f t="shared" si="46"/>
        <v>7067.0000000000009</v>
      </c>
      <c r="AR100" s="16">
        <f t="shared" si="46"/>
        <v>9257</v>
      </c>
      <c r="AS100" s="16">
        <f t="shared" si="46"/>
        <v>6590.25</v>
      </c>
      <c r="AT100" s="16">
        <f t="shared" si="46"/>
        <v>6590.25</v>
      </c>
      <c r="AU100" s="16">
        <f t="shared" si="46"/>
        <v>6590.25</v>
      </c>
      <c r="AV100" s="16">
        <f t="shared" si="46"/>
        <v>5123.5</v>
      </c>
      <c r="AW100" s="16">
        <f t="shared" si="46"/>
        <v>5123.5</v>
      </c>
      <c r="AX100" s="16">
        <f t="shared" si="46"/>
        <v>5123.5</v>
      </c>
      <c r="AY100" s="16">
        <f t="shared" si="46"/>
        <v>3656.75</v>
      </c>
      <c r="AZ100" s="16">
        <f t="shared" si="46"/>
        <v>3656.75</v>
      </c>
      <c r="BA100" s="16">
        <f t="shared" si="46"/>
        <v>3656.75</v>
      </c>
      <c r="BB100" s="16">
        <f t="shared" si="46"/>
        <v>7836.67</v>
      </c>
      <c r="BC100" s="16">
        <f t="shared" si="46"/>
        <v>7836.67</v>
      </c>
      <c r="BD100" s="16">
        <f t="shared" si="46"/>
        <v>37024.720000000001</v>
      </c>
      <c r="BE100" s="16">
        <f t="shared" si="46"/>
        <v>33811.270000000004</v>
      </c>
      <c r="BF100" s="16">
        <f t="shared" si="46"/>
        <v>50545.32</v>
      </c>
      <c r="BG100" s="16">
        <f t="shared" si="46"/>
        <v>45319.37</v>
      </c>
      <c r="BH100" s="16">
        <f t="shared" si="46"/>
        <v>40093.420000000006</v>
      </c>
      <c r="BI100" s="16">
        <f t="shared" si="46"/>
        <v>34867.470000000008</v>
      </c>
      <c r="BJ100" s="16">
        <f t="shared" si="46"/>
        <v>29641.520000000008</v>
      </c>
      <c r="BK100" s="16">
        <f t="shared" si="46"/>
        <v>24415.570000000007</v>
      </c>
      <c r="BL100" s="16">
        <f t="shared" si="46"/>
        <v>19189.620000000006</v>
      </c>
      <c r="BM100" s="16">
        <f t="shared" si="46"/>
        <v>13963.670000000006</v>
      </c>
      <c r="BN100" s="16">
        <f t="shared" ref="BN100:CS100" si="47">SUM(BN98:BN99)</f>
        <v>8737.6800000000057</v>
      </c>
      <c r="BO100" s="16">
        <f t="shared" si="47"/>
        <v>6729.1700000000055</v>
      </c>
      <c r="BP100" s="16">
        <f t="shared" si="47"/>
        <v>6729.1700000000055</v>
      </c>
      <c r="BQ100" s="16">
        <f t="shared" si="47"/>
        <v>34172.22</v>
      </c>
      <c r="BR100" s="16">
        <f t="shared" si="47"/>
        <v>29213.77</v>
      </c>
      <c r="BS100" s="16">
        <f t="shared" si="47"/>
        <v>42043.68</v>
      </c>
      <c r="BT100" s="16">
        <f t="shared" si="47"/>
        <v>41953.57</v>
      </c>
      <c r="BU100" s="16">
        <f t="shared" si="47"/>
        <v>46260.18</v>
      </c>
      <c r="BV100" s="16">
        <f t="shared" si="47"/>
        <v>41844.92</v>
      </c>
      <c r="BW100" s="16">
        <f t="shared" si="47"/>
        <v>48137.95</v>
      </c>
      <c r="BX100" s="16">
        <f t="shared" si="47"/>
        <v>46581.03</v>
      </c>
      <c r="BY100" s="16">
        <f t="shared" si="47"/>
        <v>39264.11</v>
      </c>
      <c r="BZ100" s="16">
        <f t="shared" si="47"/>
        <v>38519.69</v>
      </c>
      <c r="CA100" s="16">
        <f t="shared" si="47"/>
        <v>39267.730000000003</v>
      </c>
      <c r="CB100" s="16">
        <f t="shared" si="47"/>
        <v>33515.75</v>
      </c>
      <c r="CC100" s="16">
        <f t="shared" si="47"/>
        <v>51524.66</v>
      </c>
      <c r="CD100" s="16">
        <f t="shared" si="47"/>
        <v>50148.97</v>
      </c>
      <c r="CE100" s="16">
        <f t="shared" si="47"/>
        <v>54119.54</v>
      </c>
      <c r="CF100" s="16">
        <f t="shared" si="47"/>
        <v>52430.04</v>
      </c>
      <c r="CG100" s="16">
        <f t="shared" si="47"/>
        <v>53953.760000000002</v>
      </c>
      <c r="CH100" s="16">
        <f t="shared" si="47"/>
        <v>48658.12</v>
      </c>
      <c r="CI100" s="16">
        <f t="shared" si="47"/>
        <v>58793.070000000007</v>
      </c>
      <c r="CJ100" s="16">
        <f t="shared" si="47"/>
        <v>64553.070000000007</v>
      </c>
    </row>
    <row r="101" spans="1:88" ht="12" thickBot="1" x14ac:dyDescent="0.25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</row>
    <row r="102" spans="1:88" ht="12.75" thickTop="1" x14ac:dyDescent="0.2">
      <c r="A102" s="21" t="s">
        <v>181</v>
      </c>
      <c r="B102" s="22">
        <f t="shared" ref="B102:AG102" si="48">B48+B49+B62+B63+B95+B96+B100+B101+0</f>
        <v>215157.09</v>
      </c>
      <c r="C102" s="22">
        <f t="shared" si="48"/>
        <v>215157.09</v>
      </c>
      <c r="D102" s="22">
        <f t="shared" si="48"/>
        <v>285920.46999999997</v>
      </c>
      <c r="E102" s="22">
        <f t="shared" si="48"/>
        <v>276967.82999999996</v>
      </c>
      <c r="F102" s="22">
        <f t="shared" si="48"/>
        <v>270059.53000000003</v>
      </c>
      <c r="G102" s="22">
        <f t="shared" si="48"/>
        <v>262690.93999999901</v>
      </c>
      <c r="H102" s="22">
        <f t="shared" si="48"/>
        <v>254449.16999999998</v>
      </c>
      <c r="I102" s="22">
        <f t="shared" si="48"/>
        <v>268585.93999999901</v>
      </c>
      <c r="J102" s="22">
        <f t="shared" si="48"/>
        <v>249210.87999999902</v>
      </c>
      <c r="K102" s="22">
        <f t="shared" si="48"/>
        <v>231248.829999999</v>
      </c>
      <c r="L102" s="22">
        <f t="shared" si="48"/>
        <v>238702.649999999</v>
      </c>
      <c r="M102" s="22">
        <f t="shared" si="48"/>
        <v>249887.429999999</v>
      </c>
      <c r="N102" s="22">
        <f t="shared" si="48"/>
        <v>218820.67</v>
      </c>
      <c r="O102" s="22">
        <f t="shared" si="48"/>
        <v>241278.88999999902</v>
      </c>
      <c r="P102" s="22">
        <f t="shared" si="48"/>
        <v>241278.88999999902</v>
      </c>
      <c r="Q102" s="22">
        <f t="shared" si="48"/>
        <v>270418.11999999901</v>
      </c>
      <c r="R102" s="22">
        <f t="shared" si="48"/>
        <v>246902.739999999</v>
      </c>
      <c r="S102" s="22">
        <f t="shared" si="48"/>
        <v>244768.99999999901</v>
      </c>
      <c r="T102" s="22">
        <f t="shared" si="48"/>
        <v>225977.16999999902</v>
      </c>
      <c r="U102" s="22">
        <f t="shared" si="48"/>
        <v>234407.03999999899</v>
      </c>
      <c r="V102" s="22">
        <f t="shared" si="48"/>
        <v>231779.88999999998</v>
      </c>
      <c r="W102" s="22">
        <f t="shared" si="48"/>
        <v>211601.679999999</v>
      </c>
      <c r="X102" s="22">
        <f t="shared" si="48"/>
        <v>219890.69999999899</v>
      </c>
      <c r="Y102" s="22">
        <f t="shared" si="48"/>
        <v>236972.889999999</v>
      </c>
      <c r="Z102" s="22">
        <f t="shared" si="48"/>
        <v>235591.37999999902</v>
      </c>
      <c r="AA102" s="22">
        <f t="shared" si="48"/>
        <v>238325.53999999899</v>
      </c>
      <c r="AB102" s="22">
        <f t="shared" si="48"/>
        <v>247001.52</v>
      </c>
      <c r="AC102" s="22">
        <f t="shared" si="48"/>
        <v>247001.52</v>
      </c>
      <c r="AD102" s="22">
        <f t="shared" si="48"/>
        <v>281225.26000000007</v>
      </c>
      <c r="AE102" s="22">
        <f t="shared" si="48"/>
        <v>272013.19999999902</v>
      </c>
      <c r="AF102" s="22">
        <f t="shared" si="48"/>
        <v>274452.28000000003</v>
      </c>
      <c r="AG102" s="22">
        <f t="shared" si="48"/>
        <v>262556.14999999903</v>
      </c>
      <c r="AH102" s="22">
        <f t="shared" ref="AH102:BM102" si="49">AH48+AH49+AH62+AH63+AH95+AH96+AH100+AH101+0</f>
        <v>258622.15</v>
      </c>
      <c r="AI102" s="22">
        <f t="shared" si="49"/>
        <v>253693.28999999899</v>
      </c>
      <c r="AJ102" s="22">
        <f t="shared" si="49"/>
        <v>250207.38999999902</v>
      </c>
      <c r="AK102" s="22">
        <f t="shared" si="49"/>
        <v>246663.34</v>
      </c>
      <c r="AL102" s="22">
        <f t="shared" si="49"/>
        <v>242907.62999999902</v>
      </c>
      <c r="AM102" s="22">
        <f t="shared" si="49"/>
        <v>239356.25</v>
      </c>
      <c r="AN102" s="22">
        <f t="shared" si="49"/>
        <v>252947.59999999902</v>
      </c>
      <c r="AO102" s="22">
        <f t="shared" si="49"/>
        <v>258482.52999999901</v>
      </c>
      <c r="AP102" s="22">
        <f t="shared" si="49"/>
        <v>258482.52999999901</v>
      </c>
      <c r="AQ102" s="22">
        <f t="shared" si="49"/>
        <v>298368.01</v>
      </c>
      <c r="AR102" s="22">
        <f t="shared" si="49"/>
        <v>302934</v>
      </c>
      <c r="AS102" s="22">
        <f t="shared" si="49"/>
        <v>296245.109999999</v>
      </c>
      <c r="AT102" s="22">
        <f t="shared" si="49"/>
        <v>294796.28999999899</v>
      </c>
      <c r="AU102" s="22">
        <f t="shared" si="49"/>
        <v>292924.41999999899</v>
      </c>
      <c r="AV102" s="22">
        <f t="shared" si="49"/>
        <v>288274.89</v>
      </c>
      <c r="AW102" s="22">
        <f t="shared" si="49"/>
        <v>288824.82999999996</v>
      </c>
      <c r="AX102" s="22">
        <f t="shared" si="49"/>
        <v>287687.21000000002</v>
      </c>
      <c r="AY102" s="22">
        <f t="shared" si="49"/>
        <v>284859.91000000003</v>
      </c>
      <c r="AZ102" s="22">
        <f t="shared" si="49"/>
        <v>263167.87999999902</v>
      </c>
      <c r="BA102" s="22">
        <f t="shared" si="49"/>
        <v>262765.32</v>
      </c>
      <c r="BB102" s="22">
        <f t="shared" si="49"/>
        <v>267722.28999999998</v>
      </c>
      <c r="BC102" s="22">
        <f t="shared" si="49"/>
        <v>268721.71999999997</v>
      </c>
      <c r="BD102" s="22">
        <f t="shared" si="49"/>
        <v>304639.02999999898</v>
      </c>
      <c r="BE102" s="22">
        <f t="shared" si="49"/>
        <v>303297.16999999905</v>
      </c>
      <c r="BF102" s="22">
        <f t="shared" si="49"/>
        <v>324657.11999999901</v>
      </c>
      <c r="BG102" s="22">
        <f t="shared" si="49"/>
        <v>306079.31999999902</v>
      </c>
      <c r="BH102" s="22">
        <f t="shared" si="49"/>
        <v>302720.21999999898</v>
      </c>
      <c r="BI102" s="22">
        <f t="shared" si="49"/>
        <v>301074.72999999905</v>
      </c>
      <c r="BJ102" s="22">
        <f t="shared" si="49"/>
        <v>295598.18999999901</v>
      </c>
      <c r="BK102" s="22">
        <f t="shared" si="49"/>
        <v>291329.69999999902</v>
      </c>
      <c r="BL102" s="22">
        <f t="shared" si="49"/>
        <v>288078.94999999896</v>
      </c>
      <c r="BM102" s="22">
        <f t="shared" si="49"/>
        <v>285148.78999999899</v>
      </c>
      <c r="BN102" s="22">
        <f t="shared" ref="BN102:CS102" si="50">BN48+BN49+BN62+BN63+BN95+BN96+BN100+BN101+0</f>
        <v>282370.36999999901</v>
      </c>
      <c r="BO102" s="22">
        <f t="shared" si="50"/>
        <v>285036.99999999895</v>
      </c>
      <c r="BP102" s="22">
        <f t="shared" si="50"/>
        <v>285036.99999999895</v>
      </c>
      <c r="BQ102" s="22">
        <f t="shared" si="50"/>
        <v>319277.63999999897</v>
      </c>
      <c r="BR102" s="22">
        <f t="shared" si="50"/>
        <v>309635.88999999897</v>
      </c>
      <c r="BS102" s="22">
        <f t="shared" si="50"/>
        <v>321051.89999999898</v>
      </c>
      <c r="BT102" s="22">
        <f t="shared" si="50"/>
        <v>320620.109999999</v>
      </c>
      <c r="BU102" s="22">
        <f t="shared" si="50"/>
        <v>330675.12999999902</v>
      </c>
      <c r="BV102" s="22">
        <f t="shared" si="50"/>
        <v>326996.86999999901</v>
      </c>
      <c r="BW102" s="22">
        <f t="shared" si="50"/>
        <v>341054.49999999901</v>
      </c>
      <c r="BX102" s="22">
        <f t="shared" si="50"/>
        <v>346188.48999999894</v>
      </c>
      <c r="BY102" s="22">
        <f t="shared" si="50"/>
        <v>345660.71999999904</v>
      </c>
      <c r="BZ102" s="22">
        <f t="shared" si="50"/>
        <v>351862.25999999902</v>
      </c>
      <c r="CA102" s="22">
        <f t="shared" si="50"/>
        <v>362488.58999999898</v>
      </c>
      <c r="CB102" s="22">
        <f t="shared" si="50"/>
        <v>317373.77999999898</v>
      </c>
      <c r="CC102" s="22">
        <f t="shared" si="50"/>
        <v>344354.74999999907</v>
      </c>
      <c r="CD102" s="22">
        <f t="shared" si="50"/>
        <v>344060.51999999897</v>
      </c>
      <c r="CE102" s="22">
        <f t="shared" si="50"/>
        <v>352751.26999999897</v>
      </c>
      <c r="CF102" s="22">
        <f t="shared" si="50"/>
        <v>356421.33999999898</v>
      </c>
      <c r="CG102" s="22">
        <f t="shared" si="50"/>
        <v>356735.679999999</v>
      </c>
      <c r="CH102" s="22">
        <f t="shared" si="50"/>
        <v>354729.58999999898</v>
      </c>
      <c r="CI102" s="22">
        <f t="shared" si="50"/>
        <v>363291.02999999898</v>
      </c>
      <c r="CJ102" s="22">
        <f t="shared" si="50"/>
        <v>370095.429999999</v>
      </c>
    </row>
  </sheetData>
  <mergeCells count="3">
    <mergeCell ref="A1:CJ1"/>
    <mergeCell ref="A2:CJ2"/>
    <mergeCell ref="A3:CJ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PGBalanceSheetbyEntityand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2023-08-08T16:56:09Z</dcterms:created>
  <dcterms:modified xsi:type="dcterms:W3CDTF">2023-08-08T16:56:56Z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