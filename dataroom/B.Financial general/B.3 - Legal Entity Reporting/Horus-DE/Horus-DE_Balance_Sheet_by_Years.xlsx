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Horus-DE\"/>
    </mc:Choice>
  </mc:AlternateContent>
  <xr:revisionPtr revIDLastSave="0" documentId="13_ncr:40009_{21EEC750-C095-4C9D-969F-F01ED672DABE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 l="1"/>
  <c r="H83" i="1"/>
  <c r="G83" i="1"/>
  <c r="F83" i="1"/>
  <c r="E83" i="1"/>
  <c r="D83" i="1"/>
  <c r="C83" i="1"/>
  <c r="B83" i="1"/>
  <c r="I77" i="1"/>
  <c r="H77" i="1"/>
  <c r="G77" i="1"/>
  <c r="F77" i="1"/>
  <c r="E77" i="1"/>
  <c r="D77" i="1"/>
  <c r="C77" i="1"/>
  <c r="B77" i="1"/>
  <c r="I66" i="1"/>
  <c r="I78" i="1" s="1"/>
  <c r="H66" i="1"/>
  <c r="H78" i="1" s="1"/>
  <c r="G66" i="1"/>
  <c r="G78" i="1" s="1"/>
  <c r="F66" i="1"/>
  <c r="F78" i="1" s="1"/>
  <c r="E66" i="1"/>
  <c r="E78" i="1" s="1"/>
  <c r="D66" i="1"/>
  <c r="D78" i="1" s="1"/>
  <c r="C66" i="1"/>
  <c r="C78" i="1" s="1"/>
  <c r="B66" i="1"/>
  <c r="B78" i="1" s="1"/>
  <c r="I59" i="1"/>
  <c r="H59" i="1"/>
  <c r="G59" i="1"/>
  <c r="F59" i="1"/>
  <c r="E59" i="1"/>
  <c r="D59" i="1"/>
  <c r="C59" i="1"/>
  <c r="B59" i="1"/>
  <c r="I53" i="1"/>
  <c r="I60" i="1" s="1"/>
  <c r="H53" i="1"/>
  <c r="H60" i="1" s="1"/>
  <c r="G53" i="1"/>
  <c r="G60" i="1" s="1"/>
  <c r="F53" i="1"/>
  <c r="F60" i="1" s="1"/>
  <c r="E53" i="1"/>
  <c r="E60" i="1" s="1"/>
  <c r="D53" i="1"/>
  <c r="D60" i="1" s="1"/>
  <c r="C53" i="1"/>
  <c r="C60" i="1" s="1"/>
  <c r="B53" i="1"/>
  <c r="B60" i="1" s="1"/>
  <c r="I44" i="1"/>
  <c r="H44" i="1"/>
  <c r="G44" i="1"/>
  <c r="F44" i="1"/>
  <c r="E44" i="1"/>
  <c r="D44" i="1"/>
  <c r="C44" i="1"/>
  <c r="B44" i="1"/>
  <c r="I43" i="1"/>
  <c r="I46" i="1" s="1"/>
  <c r="I85" i="1" s="1"/>
  <c r="H43" i="1"/>
  <c r="H46" i="1" s="1"/>
  <c r="H85" i="1" s="1"/>
  <c r="G43" i="1"/>
  <c r="G46" i="1" s="1"/>
  <c r="G85" i="1" s="1"/>
  <c r="F43" i="1"/>
  <c r="F46" i="1" s="1"/>
  <c r="F85" i="1" s="1"/>
  <c r="E43" i="1"/>
  <c r="E46" i="1" s="1"/>
  <c r="E85" i="1" s="1"/>
  <c r="D43" i="1"/>
  <c r="D46" i="1" s="1"/>
  <c r="D85" i="1" s="1"/>
  <c r="C43" i="1"/>
  <c r="C46" i="1" s="1"/>
  <c r="C85" i="1" s="1"/>
  <c r="B43" i="1"/>
  <c r="B46" i="1" s="1"/>
  <c r="B85" i="1" s="1"/>
  <c r="I36" i="1"/>
  <c r="H36" i="1"/>
  <c r="G36" i="1"/>
  <c r="F36" i="1"/>
  <c r="E36" i="1"/>
  <c r="D36" i="1"/>
  <c r="C36" i="1"/>
  <c r="B36" i="1"/>
  <c r="I30" i="1"/>
  <c r="I31" i="1" s="1"/>
  <c r="H30" i="1"/>
  <c r="H31" i="1" s="1"/>
  <c r="G30" i="1"/>
  <c r="G31" i="1" s="1"/>
  <c r="F30" i="1"/>
  <c r="F31" i="1" s="1"/>
  <c r="E30" i="1"/>
  <c r="E31" i="1" s="1"/>
  <c r="D30" i="1"/>
  <c r="D31" i="1" s="1"/>
  <c r="C30" i="1"/>
  <c r="C31" i="1" s="1"/>
  <c r="B30" i="1"/>
  <c r="B31" i="1" s="1"/>
  <c r="I22" i="1"/>
  <c r="H22" i="1"/>
  <c r="G22" i="1"/>
  <c r="F22" i="1"/>
  <c r="E22" i="1"/>
  <c r="D22" i="1"/>
  <c r="C22" i="1"/>
  <c r="B22" i="1"/>
  <c r="I17" i="1"/>
  <c r="H17" i="1"/>
  <c r="G17" i="1"/>
  <c r="F17" i="1"/>
  <c r="E17" i="1"/>
  <c r="D17" i="1"/>
  <c r="C17" i="1"/>
  <c r="B17" i="1"/>
  <c r="I13" i="1"/>
  <c r="I23" i="1" s="1"/>
  <c r="H13" i="1"/>
  <c r="H23" i="1" s="1"/>
  <c r="H32" i="1" s="1"/>
  <c r="H37" i="1" s="1"/>
  <c r="G13" i="1"/>
  <c r="G23" i="1" s="1"/>
  <c r="G32" i="1" s="1"/>
  <c r="G37" i="1" s="1"/>
  <c r="F13" i="1"/>
  <c r="F23" i="1" s="1"/>
  <c r="F32" i="1" s="1"/>
  <c r="F37" i="1" s="1"/>
  <c r="E13" i="1"/>
  <c r="E23" i="1" s="1"/>
  <c r="E32" i="1" s="1"/>
  <c r="E37" i="1" s="1"/>
  <c r="D13" i="1"/>
  <c r="D23" i="1" s="1"/>
  <c r="D32" i="1" s="1"/>
  <c r="C13" i="1"/>
  <c r="C23" i="1" s="1"/>
  <c r="C32" i="1" s="1"/>
  <c r="C37" i="1" s="1"/>
  <c r="B13" i="1"/>
  <c r="B23" i="1" s="1"/>
  <c r="B32" i="1" s="1"/>
  <c r="D37" i="1" l="1"/>
  <c r="I32" i="1"/>
  <c r="I37" i="1" s="1"/>
  <c r="B37" i="1"/>
</calcChain>
</file>

<file path=xl/sharedStrings.xml><?xml version="1.0" encoding="utf-8"?>
<sst xmlns="http://schemas.openxmlformats.org/spreadsheetml/2006/main" count="94" uniqueCount="86">
  <si>
    <t>Firma : Horus software GmbH</t>
  </si>
  <si>
    <t>PG Balance Sheet by Entity and Month/Quarter/Year</t>
  </si>
  <si>
    <t>End of Dez 2023</t>
  </si>
  <si>
    <t> 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</si>
  <si>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</si>
  <si>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</si>
  <si>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</si>
  <si>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</si>
  <si>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</si>
  <si>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</si>
  <si>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</si>
  <si>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</si>
  <si>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As of Dez 2023</t>
  </si>
  <si>
    <t>ASSETS</t>
  </si>
  <si>
    <t>B. Current assets</t>
  </si>
  <si>
    <t>II. Trade receivables and other receivables</t>
  </si>
  <si>
    <t>1. Trade receivables</t>
  </si>
  <si>
    <t>120000 - Trade receivables -3</t>
  </si>
  <si>
    <t>120100 - Trade receivables</t>
  </si>
  <si>
    <t>Total Trade receivables</t>
  </si>
  <si>
    <t>2. Receivables from affiliated companies</t>
  </si>
  <si>
    <t>126000 - Receivables from affiliated companies</t>
  </si>
  <si>
    <t>127101 - Receivables from PROMATIS software GmbH</t>
  </si>
  <si>
    <t>Total Receivables from affiliated companies</t>
  </si>
  <si>
    <t>6. Other receivables and other assets</t>
  </si>
  <si>
    <t>142000 - VAT receivables</t>
  </si>
  <si>
    <t>143500 - Receivables from trade tax overpayments</t>
  </si>
  <si>
    <t>145000 - Reclaimed corporate income tax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</si>
  <si>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</si>
  <si>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</si>
  <si>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</si>
  <si>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</si>
  <si>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180008 - GEFA BANK Tagesgeld 1000392495 - Horus</t>
  </si>
  <si>
    <t>180034 - Volksbank Karlsruhe Girokonto -10138965- Horus</t>
  </si>
  <si>
    <t>180035 - Clearing Volksbank Karlsruhe Girokonto -10138965</t>
  </si>
  <si>
    <t>180037 - Volksbank Karlsruhe Tagesgeld- Horus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</si>
  <si>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</si>
  <si>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</si>
  <si>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</si>
  <si>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</si>
  <si>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</si>
  <si>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</si>
  <si>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</si>
  <si>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</si>
  <si>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</si>
  <si>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</si>
  <si>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</si>
  <si>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</si>
  <si>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</si>
  <si>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</si>
  <si>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</si>
  <si>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</si>
  <si>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</si>
  <si>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303000 - Provision for trade tax</t>
  </si>
  <si>
    <t>303500 - Provision for trade tax, section 4(5b) EStG</t>
  </si>
  <si>
    <t>304000 - Provision for corporate income tax</t>
  </si>
  <si>
    <t>Total Provision for taxes</t>
  </si>
  <si>
    <t>3. Other provisions</t>
  </si>
  <si>
    <t>309500 - Provisions for period-end closing and audit costs</t>
  </si>
  <si>
    <t>307400 - Provisions for personnel expenses</t>
  </si>
  <si>
    <t>309600 - Provisions for record retention obligations</t>
  </si>
  <si>
    <t>307900 - Provisions for vacation pay</t>
  </si>
  <si>
    <t>Total Other provisions</t>
  </si>
  <si>
    <t>Total Provisions</t>
  </si>
  <si>
    <t>C. Liabilities</t>
  </si>
  <si>
    <t>4. Trade payables</t>
  </si>
  <si>
    <t>3301 - Trade payables</t>
  </si>
  <si>
    <t>330100 - Trade payables starting with 2016</t>
  </si>
  <si>
    <t>Total Trade payables</t>
  </si>
  <si>
    <t>8. Other liabilities</t>
  </si>
  <si>
    <t>140600 - VAT on Purchases</t>
  </si>
  <si>
    <t>3500 - Other liabilities</t>
  </si>
  <si>
    <t>350100 - Other liabilities - due within 1 year</t>
  </si>
  <si>
    <t>372500 - Liabilities for amounts withheld from employees</t>
  </si>
  <si>
    <t>372508 - BAV - HDI Lebensversicherung AG</t>
  </si>
  <si>
    <t>373000 - Wage and church tax payables</t>
  </si>
  <si>
    <t>380600 - VAT - standard rate</t>
  </si>
  <si>
    <t>382000 - VAT prepayments</t>
  </si>
  <si>
    <t>386000 - Vat liabilities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</si>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</sst>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2" fillId="0" borderId="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A4" sqref="A4:XFD4"/>
    </sheetView>
  </sheetViews>
  <sheetFormatPr baseColWidth="10" defaultRowHeight="11.25" x14ac:dyDescent="0.2"/>
  <cols>
    <col min="1" max="1" width="57.1640625" bestFit="1" customWidth="1"/>
    <col min="2" max="9" width="14.33203125" bestFit="1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ht="12.75" x14ac:dyDescent="0.2">
      <c r="A6" s="5" t="s">
        <v>13</v>
      </c>
      <c r="B6" s="6"/>
      <c r="C6" s="6"/>
      <c r="D6" s="6"/>
      <c r="E6" s="6"/>
      <c r="F6" s="6"/>
      <c r="G6" s="6"/>
      <c r="H6" s="6"/>
      <c r="I6" s="6"/>
    </row>
    <row r="7" spans="1:9" x14ac:dyDescent="0.2">
      <c r="A7" s="7"/>
      <c r="B7" s="8"/>
      <c r="C7" s="8"/>
      <c r="D7" s="8"/>
      <c r="E7" s="8"/>
      <c r="F7" s="8"/>
      <c r="G7" s="8"/>
      <c r="H7" s="8"/>
      <c r="I7" s="8"/>
    </row>
    <row r="8" spans="1:9" ht="12" x14ac:dyDescent="0.2">
      <c r="A8" s="9" t="s">
        <v>14</v>
      </c>
      <c r="B8" s="10"/>
      <c r="C8" s="10"/>
      <c r="D8" s="10"/>
      <c r="E8" s="10"/>
      <c r="F8" s="10"/>
      <c r="G8" s="10"/>
      <c r="H8" s="10"/>
      <c r="I8" s="10"/>
    </row>
    <row r="9" spans="1:9" x14ac:dyDescent="0.2">
      <c r="A9" s="11" t="s">
        <v>15</v>
      </c>
      <c r="B9" s="8">
        <v>6602.12</v>
      </c>
      <c r="C9" s="8">
        <v>23214.92</v>
      </c>
      <c r="D9" s="8">
        <v>3342.0299999999997</v>
      </c>
      <c r="E9" s="8">
        <v>208408.9</v>
      </c>
      <c r="F9" s="8">
        <v>201177.76</v>
      </c>
      <c r="G9" s="8">
        <v>200000</v>
      </c>
      <c r="H9" s="8">
        <v>7066.0199999999995</v>
      </c>
      <c r="I9" s="8">
        <v>7995.5899999999992</v>
      </c>
    </row>
    <row r="10" spans="1:9" hidden="1" x14ac:dyDescent="0.2">
      <c r="A10" s="12" t="s">
        <v>16</v>
      </c>
      <c r="B10" s="8"/>
      <c r="C10" s="8"/>
      <c r="D10" s="8"/>
      <c r="E10" s="8"/>
      <c r="F10" s="8"/>
      <c r="G10" s="8"/>
      <c r="H10" s="8"/>
      <c r="I10" s="8"/>
    </row>
    <row r="11" spans="1:9" hidden="1" x14ac:dyDescent="0.2">
      <c r="A11" s="13" t="s">
        <v>17</v>
      </c>
      <c r="B11" s="14">
        <v>6602.12</v>
      </c>
      <c r="C11" s="14">
        <v>6997.2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</row>
    <row r="12" spans="1:9" hidden="1" x14ac:dyDescent="0.2">
      <c r="A12" s="13" t="s">
        <v>18</v>
      </c>
      <c r="B12" s="14">
        <v>0</v>
      </c>
      <c r="C12" s="14">
        <v>0</v>
      </c>
      <c r="D12" s="14">
        <v>0</v>
      </c>
      <c r="E12" s="14">
        <v>3510.5</v>
      </c>
      <c r="F12" s="14">
        <v>0</v>
      </c>
      <c r="G12" s="14">
        <v>0</v>
      </c>
      <c r="H12" s="14">
        <v>3510.5</v>
      </c>
      <c r="I12" s="14">
        <v>0</v>
      </c>
    </row>
    <row r="13" spans="1:9" hidden="1" x14ac:dyDescent="0.2">
      <c r="A13" s="15" t="s">
        <v>19</v>
      </c>
      <c r="B13" s="16">
        <f t="shared" ref="B13:I13" si="0">SUM(B11:B12)</f>
        <v>6602.12</v>
      </c>
      <c r="C13" s="16">
        <f t="shared" si="0"/>
        <v>6997.2</v>
      </c>
      <c r="D13" s="16">
        <f t="shared" si="0"/>
        <v>0</v>
      </c>
      <c r="E13" s="16">
        <f t="shared" si="0"/>
        <v>3510.5</v>
      </c>
      <c r="F13" s="16">
        <f t="shared" si="0"/>
        <v>0</v>
      </c>
      <c r="G13" s="16">
        <f t="shared" si="0"/>
        <v>0</v>
      </c>
      <c r="H13" s="16">
        <f t="shared" si="0"/>
        <v>3510.5</v>
      </c>
      <c r="I13" s="16">
        <f t="shared" si="0"/>
        <v>0</v>
      </c>
    </row>
    <row r="14" spans="1:9" hidden="1" x14ac:dyDescent="0.2">
      <c r="A14" s="12" t="s">
        <v>20</v>
      </c>
      <c r="B14" s="8"/>
      <c r="C14" s="8"/>
      <c r="D14" s="8"/>
      <c r="E14" s="8"/>
      <c r="F14" s="8"/>
      <c r="G14" s="8"/>
      <c r="H14" s="8"/>
      <c r="I14" s="8"/>
    </row>
    <row r="15" spans="1:9" hidden="1" x14ac:dyDescent="0.2">
      <c r="A15" s="13" t="s">
        <v>21</v>
      </c>
      <c r="B15" s="14">
        <v>0</v>
      </c>
      <c r="C15" s="14">
        <v>0</v>
      </c>
      <c r="D15" s="14">
        <v>0</v>
      </c>
      <c r="E15" s="14">
        <v>200000</v>
      </c>
      <c r="F15" s="14">
        <v>200000</v>
      </c>
      <c r="G15" s="14">
        <v>200000</v>
      </c>
      <c r="H15" s="14">
        <v>0</v>
      </c>
      <c r="I15" s="14">
        <v>0</v>
      </c>
    </row>
    <row r="16" spans="1:9" hidden="1" x14ac:dyDescent="0.2">
      <c r="A16" s="13" t="s">
        <v>22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6854.4</v>
      </c>
    </row>
    <row r="17" spans="1:9" hidden="1" x14ac:dyDescent="0.2">
      <c r="A17" s="15" t="s">
        <v>23</v>
      </c>
      <c r="B17" s="16">
        <f t="shared" ref="B17:I17" si="1">SUM(B15:B16)</f>
        <v>0</v>
      </c>
      <c r="C17" s="16">
        <f t="shared" si="1"/>
        <v>0</v>
      </c>
      <c r="D17" s="16">
        <f t="shared" si="1"/>
        <v>0</v>
      </c>
      <c r="E17" s="16">
        <f t="shared" si="1"/>
        <v>200000</v>
      </c>
      <c r="F17" s="16">
        <f t="shared" si="1"/>
        <v>200000</v>
      </c>
      <c r="G17" s="16">
        <f t="shared" si="1"/>
        <v>200000</v>
      </c>
      <c r="H17" s="16">
        <f t="shared" si="1"/>
        <v>0</v>
      </c>
      <c r="I17" s="16">
        <f t="shared" si="1"/>
        <v>6854.4</v>
      </c>
    </row>
    <row r="18" spans="1:9" hidden="1" x14ac:dyDescent="0.2">
      <c r="A18" s="12" t="s">
        <v>24</v>
      </c>
      <c r="B18" s="8"/>
      <c r="C18" s="8"/>
      <c r="D18" s="8"/>
      <c r="E18" s="8"/>
      <c r="F18" s="8"/>
      <c r="G18" s="8"/>
      <c r="H18" s="8"/>
      <c r="I18" s="8"/>
    </row>
    <row r="19" spans="1:9" hidden="1" x14ac:dyDescent="0.2">
      <c r="A19" s="13" t="s">
        <v>25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2414.0700000000002</v>
      </c>
      <c r="I19" s="14">
        <v>-0.25999999999976353</v>
      </c>
    </row>
    <row r="20" spans="1:9" hidden="1" x14ac:dyDescent="0.2">
      <c r="A20" s="13" t="s">
        <v>26</v>
      </c>
      <c r="B20" s="14">
        <v>0</v>
      </c>
      <c r="C20" s="14">
        <v>7246</v>
      </c>
      <c r="D20" s="14">
        <v>675</v>
      </c>
      <c r="E20" s="14">
        <v>2186</v>
      </c>
      <c r="F20" s="14">
        <v>319</v>
      </c>
      <c r="G20" s="14">
        <v>0</v>
      </c>
      <c r="H20" s="14">
        <v>519</v>
      </c>
      <c r="I20" s="14">
        <v>519</v>
      </c>
    </row>
    <row r="21" spans="1:9" hidden="1" x14ac:dyDescent="0.2">
      <c r="A21" s="13" t="s">
        <v>27</v>
      </c>
      <c r="B21" s="14">
        <v>0</v>
      </c>
      <c r="C21" s="14">
        <v>8971.7199999999993</v>
      </c>
      <c r="D21" s="14">
        <v>2667.0299999999997</v>
      </c>
      <c r="E21" s="14">
        <v>2712.3999999999996</v>
      </c>
      <c r="F21" s="14">
        <v>858.75999999999954</v>
      </c>
      <c r="G21" s="14">
        <v>-4.5474735088646412E-13</v>
      </c>
      <c r="H21" s="14">
        <v>622.44999999999959</v>
      </c>
      <c r="I21" s="14">
        <v>622.44999999999959</v>
      </c>
    </row>
    <row r="22" spans="1:9" hidden="1" x14ac:dyDescent="0.2">
      <c r="A22" s="15" t="s">
        <v>28</v>
      </c>
      <c r="B22" s="16">
        <f t="shared" ref="B22:I22" si="2">SUM(B19:B21)</f>
        <v>0</v>
      </c>
      <c r="C22" s="16">
        <f t="shared" si="2"/>
        <v>16217.72</v>
      </c>
      <c r="D22" s="16">
        <f t="shared" si="2"/>
        <v>3342.0299999999997</v>
      </c>
      <c r="E22" s="16">
        <f t="shared" si="2"/>
        <v>4898.3999999999996</v>
      </c>
      <c r="F22" s="16">
        <f t="shared" si="2"/>
        <v>1177.7599999999995</v>
      </c>
      <c r="G22" s="16">
        <f t="shared" si="2"/>
        <v>-4.5474735088646412E-13</v>
      </c>
      <c r="H22" s="16">
        <f t="shared" si="2"/>
        <v>3555.5199999999995</v>
      </c>
      <c r="I22" s="16">
        <f t="shared" si="2"/>
        <v>1141.1899999999998</v>
      </c>
    </row>
    <row r="23" spans="1:9" hidden="1" x14ac:dyDescent="0.2">
      <c r="A23" s="17" t="s">
        <v>29</v>
      </c>
      <c r="B23" s="18">
        <f t="shared" ref="B23:I23" si="3">B13+B17+0+0+0+B22</f>
        <v>6602.12</v>
      </c>
      <c r="C23" s="18">
        <f t="shared" si="3"/>
        <v>23214.92</v>
      </c>
      <c r="D23" s="18">
        <f t="shared" si="3"/>
        <v>3342.0299999999997</v>
      </c>
      <c r="E23" s="18">
        <f t="shared" si="3"/>
        <v>208408.9</v>
      </c>
      <c r="F23" s="18">
        <f t="shared" si="3"/>
        <v>201177.76</v>
      </c>
      <c r="G23" s="18">
        <f t="shared" si="3"/>
        <v>200000</v>
      </c>
      <c r="H23" s="18">
        <f t="shared" si="3"/>
        <v>7066.0199999999995</v>
      </c>
      <c r="I23" s="18">
        <f t="shared" si="3"/>
        <v>7995.5899999999992</v>
      </c>
    </row>
    <row r="24" spans="1:9" x14ac:dyDescent="0.2">
      <c r="A24" s="11" t="s">
        <v>30</v>
      </c>
      <c r="B24" s="8">
        <v>208554.96999999997</v>
      </c>
      <c r="C24" s="8">
        <v>218063.96999999997</v>
      </c>
      <c r="D24" s="8">
        <v>239712.49</v>
      </c>
      <c r="E24" s="8">
        <v>50073.62999999999</v>
      </c>
      <c r="F24" s="8">
        <v>67543.959999999992</v>
      </c>
      <c r="G24" s="8">
        <v>84691.87</v>
      </c>
      <c r="H24" s="8">
        <v>309303.14</v>
      </c>
      <c r="I24" s="8">
        <v>361745.4</v>
      </c>
    </row>
    <row r="25" spans="1:9" hidden="1" x14ac:dyDescent="0.2">
      <c r="A25" s="12" t="s">
        <v>31</v>
      </c>
      <c r="B25" s="8"/>
      <c r="C25" s="8"/>
      <c r="D25" s="8"/>
      <c r="E25" s="8"/>
      <c r="F25" s="8"/>
      <c r="G25" s="8"/>
      <c r="H25" s="8"/>
      <c r="I25" s="8"/>
    </row>
    <row r="26" spans="1:9" hidden="1" x14ac:dyDescent="0.2">
      <c r="A26" s="13" t="s">
        <v>32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330385.77</v>
      </c>
    </row>
    <row r="27" spans="1:9" hidden="1" x14ac:dyDescent="0.2">
      <c r="A27" s="13" t="s">
        <v>33</v>
      </c>
      <c r="B27" s="14">
        <v>63846.95</v>
      </c>
      <c r="C27" s="14">
        <v>23355.949999999997</v>
      </c>
      <c r="D27" s="14">
        <v>85004.47</v>
      </c>
      <c r="E27" s="14">
        <v>25365.61</v>
      </c>
      <c r="F27" s="14">
        <v>22835.940000000002</v>
      </c>
      <c r="G27" s="14">
        <v>34783.850000000006</v>
      </c>
      <c r="H27" s="14">
        <v>259395.12</v>
      </c>
      <c r="I27" s="14">
        <v>25460.28</v>
      </c>
    </row>
    <row r="28" spans="1:9" hidden="1" x14ac:dyDescent="0.2">
      <c r="A28" s="13" t="s">
        <v>34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-50</v>
      </c>
    </row>
    <row r="29" spans="1:9" hidden="1" x14ac:dyDescent="0.2">
      <c r="A29" s="13" t="s">
        <v>35</v>
      </c>
      <c r="B29" s="14">
        <v>144708.01999999999</v>
      </c>
      <c r="C29" s="14">
        <v>194708.02</v>
      </c>
      <c r="D29" s="14">
        <v>154708.01999999999</v>
      </c>
      <c r="E29" s="14">
        <v>24708.01999999999</v>
      </c>
      <c r="F29" s="14">
        <v>44708.01999999999</v>
      </c>
      <c r="G29" s="14">
        <v>49908.01999999999</v>
      </c>
      <c r="H29" s="14">
        <v>49908.01999999999</v>
      </c>
      <c r="I29" s="14">
        <v>5949.3499999999913</v>
      </c>
    </row>
    <row r="30" spans="1:9" hidden="1" x14ac:dyDescent="0.2">
      <c r="A30" s="15" t="s">
        <v>36</v>
      </c>
      <c r="B30" s="18">
        <f t="shared" ref="B30:I30" si="4">SUM(B26:B29)</f>
        <v>208554.96999999997</v>
      </c>
      <c r="C30" s="18">
        <f t="shared" si="4"/>
        <v>218063.96999999997</v>
      </c>
      <c r="D30" s="18">
        <f t="shared" si="4"/>
        <v>239712.49</v>
      </c>
      <c r="E30" s="18">
        <f t="shared" si="4"/>
        <v>50073.62999999999</v>
      </c>
      <c r="F30" s="18">
        <f t="shared" si="4"/>
        <v>67543.959999999992</v>
      </c>
      <c r="G30" s="18">
        <f t="shared" si="4"/>
        <v>84691.87</v>
      </c>
      <c r="H30" s="18">
        <f t="shared" si="4"/>
        <v>309303.14</v>
      </c>
      <c r="I30" s="18">
        <f t="shared" si="4"/>
        <v>361745.4</v>
      </c>
    </row>
    <row r="31" spans="1:9" hidden="1" x14ac:dyDescent="0.2">
      <c r="A31" s="17" t="s">
        <v>37</v>
      </c>
      <c r="B31" s="18">
        <f t="shared" ref="B31:I31" si="5">0+0+B30</f>
        <v>208554.96999999997</v>
      </c>
      <c r="C31" s="18">
        <f t="shared" si="5"/>
        <v>218063.96999999997</v>
      </c>
      <c r="D31" s="18">
        <f t="shared" si="5"/>
        <v>239712.49</v>
      </c>
      <c r="E31" s="18">
        <f t="shared" si="5"/>
        <v>50073.62999999999</v>
      </c>
      <c r="F31" s="18">
        <f t="shared" si="5"/>
        <v>67543.959999999992</v>
      </c>
      <c r="G31" s="18">
        <f t="shared" si="5"/>
        <v>84691.87</v>
      </c>
      <c r="H31" s="18">
        <f t="shared" si="5"/>
        <v>309303.14</v>
      </c>
      <c r="I31" s="18">
        <f t="shared" si="5"/>
        <v>361745.4</v>
      </c>
    </row>
    <row r="32" spans="1:9" x14ac:dyDescent="0.2">
      <c r="A32" s="19" t="s">
        <v>38</v>
      </c>
      <c r="B32" s="20">
        <f t="shared" ref="B32:I32" si="6">0+B23+0+B31</f>
        <v>215157.08999999997</v>
      </c>
      <c r="C32" s="20">
        <f t="shared" si="6"/>
        <v>241278.88999999996</v>
      </c>
      <c r="D32" s="20">
        <f t="shared" si="6"/>
        <v>243054.52</v>
      </c>
      <c r="E32" s="20">
        <f t="shared" si="6"/>
        <v>258482.52999999997</v>
      </c>
      <c r="F32" s="20">
        <f t="shared" si="6"/>
        <v>268721.71999999997</v>
      </c>
      <c r="G32" s="20">
        <f t="shared" si="6"/>
        <v>284691.87</v>
      </c>
      <c r="H32" s="20">
        <f t="shared" si="6"/>
        <v>316369.16000000003</v>
      </c>
      <c r="I32" s="20">
        <f t="shared" si="6"/>
        <v>369740.99000000005</v>
      </c>
    </row>
    <row r="33" spans="1:9" x14ac:dyDescent="0.2">
      <c r="A33" s="7"/>
      <c r="B33" s="8"/>
      <c r="C33" s="8"/>
      <c r="D33" s="8"/>
      <c r="E33" s="8"/>
      <c r="F33" s="8"/>
      <c r="G33" s="8"/>
      <c r="H33" s="8"/>
      <c r="I33" s="8"/>
    </row>
    <row r="34" spans="1:9" ht="12.75" thickBot="1" x14ac:dyDescent="0.25">
      <c r="A34" s="9" t="s">
        <v>39</v>
      </c>
      <c r="B34" s="10">
        <v>0</v>
      </c>
      <c r="C34" s="10">
        <v>0</v>
      </c>
      <c r="D34" s="10">
        <v>3947</v>
      </c>
      <c r="E34" s="10">
        <v>0</v>
      </c>
      <c r="F34" s="10">
        <v>0</v>
      </c>
      <c r="G34" s="10">
        <v>345.13</v>
      </c>
      <c r="H34" s="10">
        <v>1004.62</v>
      </c>
      <c r="I34" s="10">
        <v>354.44000000000005</v>
      </c>
    </row>
    <row r="35" spans="1:9" ht="12" hidden="1" thickBot="1" x14ac:dyDescent="0.25">
      <c r="A35" s="21" t="s">
        <v>40</v>
      </c>
      <c r="B35" s="14">
        <v>0</v>
      </c>
      <c r="C35" s="14">
        <v>0</v>
      </c>
      <c r="D35" s="14">
        <v>3947</v>
      </c>
      <c r="E35" s="14">
        <v>0</v>
      </c>
      <c r="F35" s="14">
        <v>0</v>
      </c>
      <c r="G35" s="14">
        <v>345.13</v>
      </c>
      <c r="H35" s="14">
        <v>1004.62</v>
      </c>
      <c r="I35" s="14">
        <v>354.44000000000005</v>
      </c>
    </row>
    <row r="36" spans="1:9" ht="12" hidden="1" thickBot="1" x14ac:dyDescent="0.25">
      <c r="A36" s="22" t="s">
        <v>41</v>
      </c>
      <c r="B36" s="18">
        <f t="shared" ref="B36:I36" si="7">SUM(B35)</f>
        <v>0</v>
      </c>
      <c r="C36" s="18">
        <f t="shared" si="7"/>
        <v>0</v>
      </c>
      <c r="D36" s="18">
        <f t="shared" si="7"/>
        <v>3947</v>
      </c>
      <c r="E36" s="18">
        <f t="shared" si="7"/>
        <v>0</v>
      </c>
      <c r="F36" s="18">
        <f t="shared" si="7"/>
        <v>0</v>
      </c>
      <c r="G36" s="18">
        <f t="shared" si="7"/>
        <v>345.13</v>
      </c>
      <c r="H36" s="18">
        <f t="shared" si="7"/>
        <v>1004.62</v>
      </c>
      <c r="I36" s="18">
        <f t="shared" si="7"/>
        <v>354.44000000000005</v>
      </c>
    </row>
    <row r="37" spans="1:9" ht="12.75" thickTop="1" x14ac:dyDescent="0.2">
      <c r="A37" s="23" t="s">
        <v>42</v>
      </c>
      <c r="B37" s="24">
        <f t="shared" ref="B37:I37" si="8">0+B7+B32+B33+B36+0</f>
        <v>215157.08999999997</v>
      </c>
      <c r="C37" s="24">
        <f t="shared" si="8"/>
        <v>241278.88999999996</v>
      </c>
      <c r="D37" s="24">
        <f t="shared" si="8"/>
        <v>247001.52</v>
      </c>
      <c r="E37" s="24">
        <f t="shared" si="8"/>
        <v>258482.52999999997</v>
      </c>
      <c r="F37" s="24">
        <f t="shared" si="8"/>
        <v>268721.71999999997</v>
      </c>
      <c r="G37" s="24">
        <f t="shared" si="8"/>
        <v>285037</v>
      </c>
      <c r="H37" s="24">
        <f t="shared" si="8"/>
        <v>317373.78000000003</v>
      </c>
      <c r="I37" s="24">
        <f t="shared" si="8"/>
        <v>370095.43000000005</v>
      </c>
    </row>
    <row r="38" spans="1:9" x14ac:dyDescent="0.2">
      <c r="A38" s="25"/>
      <c r="B38" s="8"/>
      <c r="C38" s="8"/>
      <c r="D38" s="8"/>
      <c r="E38" s="8"/>
      <c r="F38" s="8"/>
      <c r="G38" s="8"/>
      <c r="H38" s="8"/>
      <c r="I38" s="8"/>
    </row>
    <row r="39" spans="1:9" ht="12.75" x14ac:dyDescent="0.2">
      <c r="A39" s="5" t="s">
        <v>43</v>
      </c>
      <c r="B39" s="6"/>
      <c r="C39" s="6"/>
      <c r="D39" s="6"/>
      <c r="E39" s="6"/>
      <c r="F39" s="6"/>
      <c r="G39" s="6"/>
      <c r="H39" s="6"/>
      <c r="I39" s="6"/>
    </row>
    <row r="40" spans="1:9" ht="12" x14ac:dyDescent="0.2">
      <c r="A40" s="9" t="s">
        <v>44</v>
      </c>
      <c r="B40" s="10"/>
      <c r="C40" s="10"/>
      <c r="D40" s="10"/>
      <c r="E40" s="10"/>
      <c r="F40" s="10"/>
      <c r="G40" s="10"/>
      <c r="H40" s="10"/>
      <c r="I40" s="10"/>
    </row>
    <row r="41" spans="1:9" x14ac:dyDescent="0.2">
      <c r="A41" s="11" t="s">
        <v>45</v>
      </c>
      <c r="B41" s="8">
        <v>25000</v>
      </c>
      <c r="C41" s="8">
        <v>25000</v>
      </c>
      <c r="D41" s="8">
        <v>25000</v>
      </c>
      <c r="E41" s="8">
        <v>25000</v>
      </c>
      <c r="F41" s="8">
        <v>25000</v>
      </c>
      <c r="G41" s="8">
        <v>25000</v>
      </c>
      <c r="H41" s="8">
        <v>25000</v>
      </c>
      <c r="I41" s="8">
        <v>25000</v>
      </c>
    </row>
    <row r="42" spans="1:9" hidden="1" x14ac:dyDescent="0.2">
      <c r="A42" s="26" t="s">
        <v>46</v>
      </c>
      <c r="B42" s="14">
        <v>25000</v>
      </c>
      <c r="C42" s="14">
        <v>25000</v>
      </c>
      <c r="D42" s="14">
        <v>25000</v>
      </c>
      <c r="E42" s="14">
        <v>25000</v>
      </c>
      <c r="F42" s="14">
        <v>25000</v>
      </c>
      <c r="G42" s="14">
        <v>25000</v>
      </c>
      <c r="H42" s="14">
        <v>25000</v>
      </c>
      <c r="I42" s="14">
        <v>25000</v>
      </c>
    </row>
    <row r="43" spans="1:9" hidden="1" x14ac:dyDescent="0.2">
      <c r="A43" s="17" t="s">
        <v>47</v>
      </c>
      <c r="B43" s="18">
        <f t="shared" ref="B43:I43" si="9">SUM(B42)</f>
        <v>25000</v>
      </c>
      <c r="C43" s="18">
        <f t="shared" si="9"/>
        <v>25000</v>
      </c>
      <c r="D43" s="18">
        <f t="shared" si="9"/>
        <v>25000</v>
      </c>
      <c r="E43" s="18">
        <f t="shared" si="9"/>
        <v>25000</v>
      </c>
      <c r="F43" s="18">
        <f t="shared" si="9"/>
        <v>25000</v>
      </c>
      <c r="G43" s="18">
        <f t="shared" si="9"/>
        <v>25000</v>
      </c>
      <c r="H43" s="18">
        <f t="shared" si="9"/>
        <v>25000</v>
      </c>
      <c r="I43" s="18">
        <f t="shared" si="9"/>
        <v>25000</v>
      </c>
    </row>
    <row r="44" spans="1:9" x14ac:dyDescent="0.2">
      <c r="A44" s="17" t="s">
        <v>48</v>
      </c>
      <c r="B44" s="18">
        <f>171497.99-B45</f>
        <v>171497.99</v>
      </c>
      <c r="C44" s="18">
        <f>195445.219999999-C45</f>
        <v>195445.21999999901</v>
      </c>
      <c r="D44" s="18">
        <f>215627.52-D45</f>
        <v>215627.51999999999</v>
      </c>
      <c r="E44" s="18">
        <f>223571.06-E45</f>
        <v>223571.06</v>
      </c>
      <c r="F44" s="18">
        <f>229795.05-F45</f>
        <v>229795.05</v>
      </c>
      <c r="G44" s="18">
        <f>244872.52-G45</f>
        <v>244872.52</v>
      </c>
      <c r="H44" s="18">
        <f>257157.29-H45</f>
        <v>257157.29</v>
      </c>
      <c r="I44" s="18">
        <f>276819.85-I45</f>
        <v>257157.28999999998</v>
      </c>
    </row>
    <row r="45" spans="1:9" x14ac:dyDescent="0.2">
      <c r="A45" s="11" t="s">
        <v>49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19662.560000000001</v>
      </c>
    </row>
    <row r="46" spans="1:9" x14ac:dyDescent="0.2">
      <c r="A46" s="19" t="s">
        <v>50</v>
      </c>
      <c r="B46" s="20">
        <f t="shared" ref="B46:I46" si="10">B43+0+0+B44+0+B45</f>
        <v>196497.99</v>
      </c>
      <c r="C46" s="20">
        <f t="shared" si="10"/>
        <v>220445.21999999901</v>
      </c>
      <c r="D46" s="20">
        <f t="shared" si="10"/>
        <v>240627.52</v>
      </c>
      <c r="E46" s="20">
        <f t="shared" si="10"/>
        <v>248571.06</v>
      </c>
      <c r="F46" s="20">
        <f t="shared" si="10"/>
        <v>254795.05</v>
      </c>
      <c r="G46" s="20">
        <f t="shared" si="10"/>
        <v>269872.52</v>
      </c>
      <c r="H46" s="20">
        <f t="shared" si="10"/>
        <v>282157.29000000004</v>
      </c>
      <c r="I46" s="20">
        <f t="shared" si="10"/>
        <v>301819.84999999998</v>
      </c>
    </row>
    <row r="47" spans="1:9" x14ac:dyDescent="0.2">
      <c r="A47" s="7"/>
      <c r="B47" s="8"/>
      <c r="C47" s="8"/>
      <c r="D47" s="8"/>
      <c r="E47" s="8"/>
      <c r="F47" s="8"/>
      <c r="G47" s="8"/>
      <c r="H47" s="8"/>
      <c r="I47" s="8"/>
    </row>
    <row r="48" spans="1:9" ht="12" x14ac:dyDescent="0.2">
      <c r="A48" s="9" t="s">
        <v>51</v>
      </c>
      <c r="B48" s="10"/>
      <c r="C48" s="10"/>
      <c r="D48" s="10"/>
      <c r="E48" s="10"/>
      <c r="F48" s="10"/>
      <c r="G48" s="10"/>
      <c r="H48" s="10"/>
      <c r="I48" s="10"/>
    </row>
    <row r="49" spans="1:9" x14ac:dyDescent="0.2">
      <c r="A49" s="11" t="s">
        <v>52</v>
      </c>
      <c r="B49" s="8">
        <v>12519.55</v>
      </c>
      <c r="C49" s="8">
        <v>0</v>
      </c>
      <c r="D49" s="8">
        <v>0</v>
      </c>
      <c r="E49" s="8">
        <v>0</v>
      </c>
      <c r="F49" s="8">
        <v>0</v>
      </c>
      <c r="G49" s="8">
        <v>3664.67</v>
      </c>
      <c r="H49" s="8">
        <v>0</v>
      </c>
      <c r="I49" s="8">
        <v>0</v>
      </c>
    </row>
    <row r="50" spans="1:9" hidden="1" x14ac:dyDescent="0.2">
      <c r="A50" s="26" t="s">
        <v>53</v>
      </c>
      <c r="B50" s="14">
        <v>5585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</row>
    <row r="51" spans="1:9" hidden="1" x14ac:dyDescent="0.2">
      <c r="A51" s="26" t="s">
        <v>54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1676</v>
      </c>
      <c r="H51" s="14">
        <v>0</v>
      </c>
      <c r="I51" s="14">
        <v>0</v>
      </c>
    </row>
    <row r="52" spans="1:9" hidden="1" x14ac:dyDescent="0.2">
      <c r="A52" s="26" t="s">
        <v>55</v>
      </c>
      <c r="B52" s="14">
        <v>6934.55</v>
      </c>
      <c r="C52" s="14">
        <v>0</v>
      </c>
      <c r="D52" s="14">
        <v>0</v>
      </c>
      <c r="E52" s="14">
        <v>0</v>
      </c>
      <c r="F52" s="14">
        <v>0</v>
      </c>
      <c r="G52" s="14">
        <v>1988.67</v>
      </c>
      <c r="H52" s="14">
        <v>0</v>
      </c>
      <c r="I52" s="14">
        <v>0</v>
      </c>
    </row>
    <row r="53" spans="1:9" hidden="1" x14ac:dyDescent="0.2">
      <c r="A53" s="17" t="s">
        <v>56</v>
      </c>
      <c r="B53" s="18">
        <f t="shared" ref="B53:I53" si="11">SUM(B50:B52)</f>
        <v>12519.55</v>
      </c>
      <c r="C53" s="18">
        <f t="shared" si="11"/>
        <v>0</v>
      </c>
      <c r="D53" s="18">
        <f t="shared" si="11"/>
        <v>0</v>
      </c>
      <c r="E53" s="18">
        <f t="shared" si="11"/>
        <v>0</v>
      </c>
      <c r="F53" s="18">
        <f t="shared" si="11"/>
        <v>0</v>
      </c>
      <c r="G53" s="18">
        <f t="shared" si="11"/>
        <v>3664.67</v>
      </c>
      <c r="H53" s="18">
        <f t="shared" si="11"/>
        <v>0</v>
      </c>
      <c r="I53" s="18">
        <f t="shared" si="11"/>
        <v>0</v>
      </c>
    </row>
    <row r="54" spans="1:9" x14ac:dyDescent="0.2">
      <c r="A54" s="11" t="s">
        <v>57</v>
      </c>
      <c r="B54" s="8">
        <v>700</v>
      </c>
      <c r="C54" s="8">
        <v>1498</v>
      </c>
      <c r="D54" s="8">
        <v>1726</v>
      </c>
      <c r="E54" s="8">
        <v>1146</v>
      </c>
      <c r="F54" s="8">
        <v>1772</v>
      </c>
      <c r="G54" s="8">
        <v>868</v>
      </c>
      <c r="H54" s="8">
        <v>1096</v>
      </c>
      <c r="I54" s="8">
        <v>960</v>
      </c>
    </row>
    <row r="55" spans="1:9" hidden="1" x14ac:dyDescent="0.2">
      <c r="A55" s="26" t="s">
        <v>58</v>
      </c>
      <c r="B55" s="14">
        <v>600</v>
      </c>
      <c r="C55" s="14">
        <v>850</v>
      </c>
      <c r="D55" s="14">
        <v>760</v>
      </c>
      <c r="E55" s="14">
        <v>740</v>
      </c>
      <c r="F55" s="14">
        <v>710</v>
      </c>
      <c r="G55" s="14">
        <v>720</v>
      </c>
      <c r="H55" s="14">
        <v>800</v>
      </c>
      <c r="I55" s="14">
        <v>800</v>
      </c>
    </row>
    <row r="56" spans="1:9" hidden="1" x14ac:dyDescent="0.2">
      <c r="A56" s="26" t="s">
        <v>59</v>
      </c>
      <c r="B56" s="14">
        <v>0</v>
      </c>
      <c r="C56" s="14">
        <v>48</v>
      </c>
      <c r="D56" s="14">
        <v>48</v>
      </c>
      <c r="E56" s="14">
        <v>50</v>
      </c>
      <c r="F56" s="14">
        <v>48</v>
      </c>
      <c r="G56" s="14">
        <v>48</v>
      </c>
      <c r="H56" s="14">
        <v>60</v>
      </c>
      <c r="I56" s="14">
        <v>60</v>
      </c>
    </row>
    <row r="57" spans="1:9" hidden="1" x14ac:dyDescent="0.2">
      <c r="A57" s="26" t="s">
        <v>60</v>
      </c>
      <c r="B57" s="14">
        <v>100</v>
      </c>
      <c r="C57" s="14">
        <v>100</v>
      </c>
      <c r="D57" s="14">
        <v>100</v>
      </c>
      <c r="E57" s="14">
        <v>100</v>
      </c>
      <c r="F57" s="14">
        <v>100</v>
      </c>
      <c r="G57" s="14">
        <v>100</v>
      </c>
      <c r="H57" s="14">
        <v>100</v>
      </c>
      <c r="I57" s="14">
        <v>100</v>
      </c>
    </row>
    <row r="58" spans="1:9" hidden="1" x14ac:dyDescent="0.2">
      <c r="A58" s="26" t="s">
        <v>61</v>
      </c>
      <c r="B58" s="14">
        <v>0</v>
      </c>
      <c r="C58" s="14">
        <v>500</v>
      </c>
      <c r="D58" s="14">
        <v>818</v>
      </c>
      <c r="E58" s="14">
        <v>256</v>
      </c>
      <c r="F58" s="14">
        <v>914</v>
      </c>
      <c r="G58" s="14">
        <v>0</v>
      </c>
      <c r="H58" s="14">
        <v>136</v>
      </c>
      <c r="I58" s="14">
        <v>0</v>
      </c>
    </row>
    <row r="59" spans="1:9" hidden="1" x14ac:dyDescent="0.2">
      <c r="A59" s="17" t="s">
        <v>62</v>
      </c>
      <c r="B59" s="18">
        <f t="shared" ref="B59:I59" si="12">SUM(B55:B58)</f>
        <v>700</v>
      </c>
      <c r="C59" s="18">
        <f t="shared" si="12"/>
        <v>1498</v>
      </c>
      <c r="D59" s="18">
        <f t="shared" si="12"/>
        <v>1726</v>
      </c>
      <c r="E59" s="18">
        <f t="shared" si="12"/>
        <v>1146</v>
      </c>
      <c r="F59" s="18">
        <f t="shared" si="12"/>
        <v>1772</v>
      </c>
      <c r="G59" s="18">
        <f t="shared" si="12"/>
        <v>868</v>
      </c>
      <c r="H59" s="18">
        <f t="shared" si="12"/>
        <v>1096</v>
      </c>
      <c r="I59" s="18">
        <f t="shared" si="12"/>
        <v>960</v>
      </c>
    </row>
    <row r="60" spans="1:9" x14ac:dyDescent="0.2">
      <c r="A60" s="19" t="s">
        <v>63</v>
      </c>
      <c r="B60" s="20">
        <f t="shared" ref="B60:I60" si="13">0+B53+B59</f>
        <v>13219.55</v>
      </c>
      <c r="C60" s="20">
        <f t="shared" si="13"/>
        <v>1498</v>
      </c>
      <c r="D60" s="20">
        <f t="shared" si="13"/>
        <v>1726</v>
      </c>
      <c r="E60" s="20">
        <f t="shared" si="13"/>
        <v>1146</v>
      </c>
      <c r="F60" s="20">
        <f t="shared" si="13"/>
        <v>1772</v>
      </c>
      <c r="G60" s="20">
        <f t="shared" si="13"/>
        <v>4532.67</v>
      </c>
      <c r="H60" s="20">
        <f t="shared" si="13"/>
        <v>1096</v>
      </c>
      <c r="I60" s="20">
        <f t="shared" si="13"/>
        <v>960</v>
      </c>
    </row>
    <row r="61" spans="1:9" x14ac:dyDescent="0.2">
      <c r="A61" s="7"/>
      <c r="B61" s="8"/>
      <c r="C61" s="8"/>
      <c r="D61" s="8"/>
      <c r="E61" s="8"/>
      <c r="F61" s="8"/>
      <c r="G61" s="8"/>
      <c r="H61" s="8"/>
      <c r="I61" s="8"/>
    </row>
    <row r="62" spans="1:9" ht="12" x14ac:dyDescent="0.2">
      <c r="A62" s="9" t="s">
        <v>64</v>
      </c>
      <c r="B62" s="10"/>
      <c r="C62" s="10"/>
      <c r="D62" s="10"/>
      <c r="E62" s="10"/>
      <c r="F62" s="10"/>
      <c r="G62" s="10"/>
      <c r="H62" s="10"/>
      <c r="I62" s="10"/>
    </row>
    <row r="63" spans="1:9" x14ac:dyDescent="0.2">
      <c r="A63" s="11" t="s">
        <v>65</v>
      </c>
      <c r="B63" s="8">
        <v>0</v>
      </c>
      <c r="C63" s="8">
        <v>10520.79</v>
      </c>
      <c r="D63" s="8">
        <v>0</v>
      </c>
      <c r="E63" s="8">
        <v>0</v>
      </c>
      <c r="F63" s="8">
        <v>2740</v>
      </c>
      <c r="G63" s="8">
        <v>2740</v>
      </c>
      <c r="H63" s="8">
        <v>0</v>
      </c>
      <c r="I63" s="8">
        <v>0</v>
      </c>
    </row>
    <row r="64" spans="1:9" hidden="1" x14ac:dyDescent="0.2">
      <c r="A64" s="26" t="s">
        <v>66</v>
      </c>
      <c r="B64" s="14">
        <v>0</v>
      </c>
      <c r="C64" s="14">
        <v>10520.79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</row>
    <row r="65" spans="1:9" hidden="1" x14ac:dyDescent="0.2">
      <c r="A65" s="26" t="s">
        <v>67</v>
      </c>
      <c r="B65" s="14">
        <v>0</v>
      </c>
      <c r="C65" s="14">
        <v>0</v>
      </c>
      <c r="D65" s="14">
        <v>0</v>
      </c>
      <c r="E65" s="14">
        <v>0</v>
      </c>
      <c r="F65" s="14">
        <v>2740</v>
      </c>
      <c r="G65" s="14">
        <v>2740</v>
      </c>
      <c r="H65" s="14">
        <v>0</v>
      </c>
      <c r="I65" s="14">
        <v>0</v>
      </c>
    </row>
    <row r="66" spans="1:9" hidden="1" x14ac:dyDescent="0.2">
      <c r="A66" s="17" t="s">
        <v>68</v>
      </c>
      <c r="B66" s="18">
        <f t="shared" ref="B66:I66" si="14">SUM(B64:B65)</f>
        <v>0</v>
      </c>
      <c r="C66" s="18">
        <f t="shared" si="14"/>
        <v>10520.79</v>
      </c>
      <c r="D66" s="18">
        <f t="shared" si="14"/>
        <v>0</v>
      </c>
      <c r="E66" s="18">
        <f t="shared" si="14"/>
        <v>0</v>
      </c>
      <c r="F66" s="18">
        <f t="shared" si="14"/>
        <v>2740</v>
      </c>
      <c r="G66" s="18">
        <f t="shared" si="14"/>
        <v>2740</v>
      </c>
      <c r="H66" s="18">
        <f t="shared" si="14"/>
        <v>0</v>
      </c>
      <c r="I66" s="18">
        <f t="shared" si="14"/>
        <v>0</v>
      </c>
    </row>
    <row r="67" spans="1:9" x14ac:dyDescent="0.2">
      <c r="A67" s="11" t="s">
        <v>69</v>
      </c>
      <c r="B67" s="8">
        <v>501.01</v>
      </c>
      <c r="C67" s="8">
        <v>3241.07</v>
      </c>
      <c r="D67" s="8">
        <v>1545</v>
      </c>
      <c r="E67" s="8">
        <v>1698.47</v>
      </c>
      <c r="F67" s="8">
        <v>1578</v>
      </c>
      <c r="G67" s="8">
        <v>1162.6399999999999</v>
      </c>
      <c r="H67" s="8">
        <v>604.74</v>
      </c>
      <c r="I67" s="8">
        <v>2762.51</v>
      </c>
    </row>
    <row r="68" spans="1:9" hidden="1" x14ac:dyDescent="0.2">
      <c r="A68" s="26" t="s">
        <v>70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-1790.53</v>
      </c>
    </row>
    <row r="69" spans="1:9" hidden="1" x14ac:dyDescent="0.2">
      <c r="A69" s="26" t="s">
        <v>71</v>
      </c>
      <c r="B69" s="14">
        <v>0.14000000000000001</v>
      </c>
      <c r="C69" s="14">
        <v>0.27</v>
      </c>
      <c r="D69" s="14">
        <v>0.4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</row>
    <row r="70" spans="1:9" hidden="1" x14ac:dyDescent="0.2">
      <c r="A70" s="26" t="s">
        <v>72</v>
      </c>
      <c r="B70" s="14">
        <v>0</v>
      </c>
      <c r="C70" s="14">
        <v>172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</row>
    <row r="71" spans="1:9" hidden="1" x14ac:dyDescent="0.2">
      <c r="A71" s="26" t="s">
        <v>73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-287.26</v>
      </c>
    </row>
    <row r="72" spans="1:9" hidden="1" x14ac:dyDescent="0.2">
      <c r="A72" s="26" t="s">
        <v>74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143.63</v>
      </c>
    </row>
    <row r="73" spans="1:9" hidden="1" x14ac:dyDescent="0.2">
      <c r="A73" s="26" t="s">
        <v>75</v>
      </c>
      <c r="B73" s="14">
        <v>0</v>
      </c>
      <c r="C73" s="14">
        <v>663.84</v>
      </c>
      <c r="D73" s="14">
        <v>634.68000000000006</v>
      </c>
      <c r="E73" s="14">
        <v>674.19</v>
      </c>
      <c r="F73" s="14">
        <v>673.86</v>
      </c>
      <c r="G73" s="14">
        <v>632.34</v>
      </c>
      <c r="H73" s="14">
        <v>604.74</v>
      </c>
      <c r="I73" s="14">
        <v>0</v>
      </c>
    </row>
    <row r="74" spans="1:9" hidden="1" x14ac:dyDescent="0.2">
      <c r="A74" s="26" t="s">
        <v>76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15538.67</v>
      </c>
    </row>
    <row r="75" spans="1:9" hidden="1" x14ac:dyDescent="0.2">
      <c r="A75" s="26" t="s">
        <v>77</v>
      </c>
      <c r="B75" s="14">
        <v>0</v>
      </c>
      <c r="C75" s="14">
        <v>0</v>
      </c>
      <c r="D75" s="14">
        <v>0</v>
      </c>
      <c r="E75" s="14">
        <v>0</v>
      </c>
      <c r="F75" s="14">
        <v>0.1</v>
      </c>
      <c r="G75" s="14">
        <v>0</v>
      </c>
      <c r="H75" s="14">
        <v>0</v>
      </c>
      <c r="I75" s="14">
        <v>-10842</v>
      </c>
    </row>
    <row r="76" spans="1:9" hidden="1" x14ac:dyDescent="0.2">
      <c r="A76" s="26" t="s">
        <v>78</v>
      </c>
      <c r="B76" s="14">
        <v>500.87</v>
      </c>
      <c r="C76" s="14">
        <v>2404.96</v>
      </c>
      <c r="D76" s="14">
        <v>909.92000000000007</v>
      </c>
      <c r="E76" s="14">
        <v>1024.28</v>
      </c>
      <c r="F76" s="14">
        <v>904.04</v>
      </c>
      <c r="G76" s="14">
        <v>530.29999999999995</v>
      </c>
      <c r="H76" s="14">
        <v>0</v>
      </c>
      <c r="I76" s="14">
        <v>0</v>
      </c>
    </row>
    <row r="77" spans="1:9" hidden="1" x14ac:dyDescent="0.2">
      <c r="A77" s="17" t="s">
        <v>79</v>
      </c>
      <c r="B77" s="18">
        <f t="shared" ref="B77:I77" si="15">SUM(B68:B76)</f>
        <v>501.01</v>
      </c>
      <c r="C77" s="18">
        <f t="shared" si="15"/>
        <v>3241.07</v>
      </c>
      <c r="D77" s="18">
        <f t="shared" si="15"/>
        <v>1545</v>
      </c>
      <c r="E77" s="18">
        <f t="shared" si="15"/>
        <v>1698.47</v>
      </c>
      <c r="F77" s="18">
        <f t="shared" si="15"/>
        <v>1578</v>
      </c>
      <c r="G77" s="18">
        <f t="shared" si="15"/>
        <v>1162.6399999999999</v>
      </c>
      <c r="H77" s="18">
        <f t="shared" si="15"/>
        <v>604.74</v>
      </c>
      <c r="I77" s="18">
        <f t="shared" si="15"/>
        <v>2762.51</v>
      </c>
    </row>
    <row r="78" spans="1:9" x14ac:dyDescent="0.2">
      <c r="A78" s="19" t="s">
        <v>80</v>
      </c>
      <c r="B78" s="20">
        <f t="shared" ref="B78:I78" si="16">0+0+0+B66+0+0+0+B77</f>
        <v>501.01</v>
      </c>
      <c r="C78" s="20">
        <f t="shared" si="16"/>
        <v>13761.86</v>
      </c>
      <c r="D78" s="20">
        <f t="shared" si="16"/>
        <v>1545</v>
      </c>
      <c r="E78" s="20">
        <f t="shared" si="16"/>
        <v>1698.47</v>
      </c>
      <c r="F78" s="20">
        <f t="shared" si="16"/>
        <v>4318</v>
      </c>
      <c r="G78" s="20">
        <f t="shared" si="16"/>
        <v>3902.64</v>
      </c>
      <c r="H78" s="20">
        <f t="shared" si="16"/>
        <v>604.74</v>
      </c>
      <c r="I78" s="20">
        <f t="shared" si="16"/>
        <v>2762.51</v>
      </c>
    </row>
    <row r="79" spans="1:9" x14ac:dyDescent="0.2">
      <c r="A79" s="7"/>
      <c r="B79" s="8"/>
      <c r="C79" s="8"/>
      <c r="D79" s="8"/>
      <c r="E79" s="8"/>
      <c r="F79" s="8"/>
      <c r="G79" s="8"/>
      <c r="H79" s="8"/>
      <c r="I79" s="8"/>
    </row>
    <row r="80" spans="1:9" ht="12" x14ac:dyDescent="0.2">
      <c r="A80" s="9" t="s">
        <v>81</v>
      </c>
      <c r="B80" s="10">
        <v>4938.54</v>
      </c>
      <c r="C80" s="10">
        <v>5573.8099999999995</v>
      </c>
      <c r="D80" s="10">
        <v>3102.9999999999995</v>
      </c>
      <c r="E80" s="10">
        <v>7067</v>
      </c>
      <c r="F80" s="10">
        <v>7836.67</v>
      </c>
      <c r="G80" s="10">
        <v>6729.17</v>
      </c>
      <c r="H80" s="10">
        <v>33515.75</v>
      </c>
      <c r="I80" s="10">
        <v>64553.07</v>
      </c>
    </row>
    <row r="81" spans="1:9" hidden="1" x14ac:dyDescent="0.2">
      <c r="A81" s="21" t="s">
        <v>82</v>
      </c>
      <c r="B81" s="14">
        <v>4938.54</v>
      </c>
      <c r="C81" s="14">
        <v>5573.8099999999995</v>
      </c>
      <c r="D81" s="14">
        <v>3102.9999999999995</v>
      </c>
      <c r="E81" s="14">
        <v>7067</v>
      </c>
      <c r="F81" s="14">
        <v>2190</v>
      </c>
      <c r="G81" s="14">
        <v>0</v>
      </c>
      <c r="H81" s="14">
        <v>0</v>
      </c>
      <c r="I81" s="14">
        <v>0</v>
      </c>
    </row>
    <row r="82" spans="1:9" hidden="1" x14ac:dyDescent="0.2">
      <c r="A82" s="21" t="s">
        <v>83</v>
      </c>
      <c r="B82" s="14">
        <v>0</v>
      </c>
      <c r="C82" s="14">
        <v>0</v>
      </c>
      <c r="D82" s="14">
        <v>0</v>
      </c>
      <c r="E82" s="14">
        <v>0</v>
      </c>
      <c r="F82" s="14">
        <v>5646.67</v>
      </c>
      <c r="G82" s="14">
        <v>6729.17</v>
      </c>
      <c r="H82" s="14">
        <v>33515.75</v>
      </c>
      <c r="I82" s="14">
        <v>64553.07</v>
      </c>
    </row>
    <row r="83" spans="1:9" hidden="1" x14ac:dyDescent="0.2">
      <c r="A83" s="22" t="s">
        <v>84</v>
      </c>
      <c r="B83" s="18">
        <f t="shared" ref="B83:I83" si="17">SUM(B81:B82)</f>
        <v>4938.54</v>
      </c>
      <c r="C83" s="18">
        <f t="shared" si="17"/>
        <v>5573.8099999999995</v>
      </c>
      <c r="D83" s="18">
        <f t="shared" si="17"/>
        <v>3102.9999999999995</v>
      </c>
      <c r="E83" s="18">
        <f t="shared" si="17"/>
        <v>7067</v>
      </c>
      <c r="F83" s="18">
        <f t="shared" si="17"/>
        <v>7836.67</v>
      </c>
      <c r="G83" s="18">
        <f t="shared" si="17"/>
        <v>6729.17</v>
      </c>
      <c r="H83" s="18">
        <f t="shared" si="17"/>
        <v>33515.75</v>
      </c>
      <c r="I83" s="18">
        <f t="shared" si="17"/>
        <v>64553.07</v>
      </c>
    </row>
    <row r="84" spans="1:9" ht="12" thickBot="1" x14ac:dyDescent="0.25">
      <c r="A84" s="7"/>
      <c r="B84" s="8"/>
      <c r="C84" s="8"/>
      <c r="D84" s="8"/>
      <c r="E84" s="8"/>
      <c r="F84" s="8"/>
      <c r="G84" s="8"/>
      <c r="H84" s="8"/>
      <c r="I84" s="8"/>
    </row>
    <row r="85" spans="1:9" ht="12.75" thickTop="1" x14ac:dyDescent="0.2">
      <c r="A85" s="23" t="s">
        <v>85</v>
      </c>
      <c r="B85" s="24">
        <f t="shared" ref="B85:I85" si="18">B46+B47+B60+B61+B78+B79+B83+B84+0</f>
        <v>215157.09</v>
      </c>
      <c r="C85" s="24">
        <f t="shared" si="18"/>
        <v>241278.88999999902</v>
      </c>
      <c r="D85" s="24">
        <f t="shared" si="18"/>
        <v>247001.52</v>
      </c>
      <c r="E85" s="24">
        <f t="shared" si="18"/>
        <v>258482.53</v>
      </c>
      <c r="F85" s="24">
        <f t="shared" si="18"/>
        <v>268721.71999999997</v>
      </c>
      <c r="G85" s="24">
        <f t="shared" si="18"/>
        <v>285037</v>
      </c>
      <c r="H85" s="24">
        <f t="shared" si="18"/>
        <v>317373.78000000003</v>
      </c>
      <c r="I85" s="24">
        <f t="shared" si="18"/>
        <v>370095.43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2023-08-08T16:58:02Z</dcterms:created>
  <dcterms:modified xsi:type="dcterms:W3CDTF">2023-08-08T16:58:16Z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