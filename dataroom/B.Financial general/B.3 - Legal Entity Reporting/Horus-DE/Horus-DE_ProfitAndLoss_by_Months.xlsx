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Horus-DE\"/>
    </mc:Choice>
  </mc:AlternateContent>
  <xr:revisionPtr revIDLastSave="0" documentId="13_ncr:40009_{87CF3F93-516E-4933-9988-9C3E8C308373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9" i="1" l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U68" i="1"/>
  <c r="AU67" i="1"/>
  <c r="AU66" i="1"/>
  <c r="AU65" i="1"/>
  <c r="AU64" i="1"/>
  <c r="AU63" i="1"/>
  <c r="AB61" i="1"/>
  <c r="B61" i="1"/>
  <c r="AT60" i="1"/>
  <c r="AT61" i="1" s="1"/>
  <c r="AS60" i="1"/>
  <c r="AS61" i="1" s="1"/>
  <c r="AR60" i="1"/>
  <c r="AR61" i="1" s="1"/>
  <c r="AQ60" i="1"/>
  <c r="AQ61" i="1" s="1"/>
  <c r="AP60" i="1"/>
  <c r="AP61" i="1" s="1"/>
  <c r="AO60" i="1"/>
  <c r="AO61" i="1" s="1"/>
  <c r="AN60" i="1"/>
  <c r="AN61" i="1" s="1"/>
  <c r="AM60" i="1"/>
  <c r="AM61" i="1" s="1"/>
  <c r="AL60" i="1"/>
  <c r="AL61" i="1" s="1"/>
  <c r="AK60" i="1"/>
  <c r="AK61" i="1" s="1"/>
  <c r="AJ60" i="1"/>
  <c r="AJ61" i="1" s="1"/>
  <c r="AI60" i="1"/>
  <c r="AI61" i="1" s="1"/>
  <c r="AH60" i="1"/>
  <c r="AH61" i="1" s="1"/>
  <c r="AG60" i="1"/>
  <c r="AG61" i="1" s="1"/>
  <c r="AF60" i="1"/>
  <c r="AF61" i="1" s="1"/>
  <c r="AE60" i="1"/>
  <c r="AE61" i="1" s="1"/>
  <c r="AD60" i="1"/>
  <c r="AD61" i="1" s="1"/>
  <c r="AC60" i="1"/>
  <c r="AC61" i="1" s="1"/>
  <c r="AB60" i="1"/>
  <c r="AA60" i="1"/>
  <c r="AA61" i="1" s="1"/>
  <c r="Z60" i="1"/>
  <c r="Z61" i="1" s="1"/>
  <c r="Y60" i="1"/>
  <c r="Y61" i="1" s="1"/>
  <c r="X60" i="1"/>
  <c r="X61" i="1" s="1"/>
  <c r="W60" i="1"/>
  <c r="W61" i="1" s="1"/>
  <c r="V60" i="1"/>
  <c r="V61" i="1" s="1"/>
  <c r="U60" i="1"/>
  <c r="U61" i="1" s="1"/>
  <c r="T60" i="1"/>
  <c r="T61" i="1" s="1"/>
  <c r="S60" i="1"/>
  <c r="S61" i="1" s="1"/>
  <c r="R60" i="1"/>
  <c r="R61" i="1" s="1"/>
  <c r="Q60" i="1"/>
  <c r="Q61" i="1" s="1"/>
  <c r="P60" i="1"/>
  <c r="P61" i="1" s="1"/>
  <c r="O60" i="1"/>
  <c r="O61" i="1" s="1"/>
  <c r="N60" i="1"/>
  <c r="N61" i="1" s="1"/>
  <c r="M60" i="1"/>
  <c r="M61" i="1" s="1"/>
  <c r="L60" i="1"/>
  <c r="L61" i="1" s="1"/>
  <c r="K60" i="1"/>
  <c r="K61" i="1" s="1"/>
  <c r="J60" i="1"/>
  <c r="J61" i="1" s="1"/>
  <c r="I60" i="1"/>
  <c r="I61" i="1" s="1"/>
  <c r="H60" i="1"/>
  <c r="H61" i="1" s="1"/>
  <c r="G60" i="1"/>
  <c r="G61" i="1" s="1"/>
  <c r="F60" i="1"/>
  <c r="F61" i="1" s="1"/>
  <c r="E60" i="1"/>
  <c r="E61" i="1" s="1"/>
  <c r="D60" i="1"/>
  <c r="D61" i="1" s="1"/>
  <c r="C60" i="1"/>
  <c r="C61" i="1" s="1"/>
  <c r="B60" i="1"/>
  <c r="AU59" i="1"/>
  <c r="AU58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U52" i="1"/>
  <c r="AU51" i="1"/>
  <c r="AU50" i="1"/>
  <c r="AU49" i="1"/>
  <c r="AU48" i="1"/>
  <c r="AU47" i="1"/>
  <c r="AU46" i="1"/>
  <c r="AU45" i="1"/>
  <c r="AU44" i="1"/>
  <c r="AU43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U39" i="1"/>
  <c r="AU38" i="1"/>
  <c r="AU37" i="1"/>
  <c r="AU36" i="1"/>
  <c r="AT34" i="1"/>
  <c r="AT41" i="1" s="1"/>
  <c r="AT54" i="1" s="1"/>
  <c r="AS34" i="1"/>
  <c r="AR34" i="1"/>
  <c r="AQ34" i="1"/>
  <c r="AP34" i="1"/>
  <c r="AP41" i="1" s="1"/>
  <c r="AP54" i="1" s="1"/>
  <c r="AO34" i="1"/>
  <c r="AN34" i="1"/>
  <c r="AN41" i="1" s="1"/>
  <c r="AN54" i="1" s="1"/>
  <c r="AM34" i="1"/>
  <c r="AL34" i="1"/>
  <c r="AL41" i="1" s="1"/>
  <c r="AL54" i="1" s="1"/>
  <c r="AK34" i="1"/>
  <c r="AJ34" i="1"/>
  <c r="AI34" i="1"/>
  <c r="AH34" i="1"/>
  <c r="AH41" i="1" s="1"/>
  <c r="AH54" i="1" s="1"/>
  <c r="AG34" i="1"/>
  <c r="AF34" i="1"/>
  <c r="AF41" i="1" s="1"/>
  <c r="AF54" i="1" s="1"/>
  <c r="AE34" i="1"/>
  <c r="AD34" i="1"/>
  <c r="AD41" i="1" s="1"/>
  <c r="AD54" i="1" s="1"/>
  <c r="AC34" i="1"/>
  <c r="AB34" i="1"/>
  <c r="AA34" i="1"/>
  <c r="Z34" i="1"/>
  <c r="Z41" i="1" s="1"/>
  <c r="Z54" i="1" s="1"/>
  <c r="Y34" i="1"/>
  <c r="X34" i="1"/>
  <c r="X41" i="1" s="1"/>
  <c r="X54" i="1" s="1"/>
  <c r="W34" i="1"/>
  <c r="V34" i="1"/>
  <c r="V41" i="1" s="1"/>
  <c r="V54" i="1" s="1"/>
  <c r="U34" i="1"/>
  <c r="T34" i="1"/>
  <c r="S34" i="1"/>
  <c r="R34" i="1"/>
  <c r="R41" i="1" s="1"/>
  <c r="R54" i="1" s="1"/>
  <c r="Q34" i="1"/>
  <c r="P34" i="1"/>
  <c r="P41" i="1" s="1"/>
  <c r="P54" i="1" s="1"/>
  <c r="O34" i="1"/>
  <c r="N34" i="1"/>
  <c r="N41" i="1" s="1"/>
  <c r="N54" i="1" s="1"/>
  <c r="M34" i="1"/>
  <c r="L34" i="1"/>
  <c r="K34" i="1"/>
  <c r="J34" i="1"/>
  <c r="J41" i="1" s="1"/>
  <c r="J54" i="1" s="1"/>
  <c r="I34" i="1"/>
  <c r="H34" i="1"/>
  <c r="H41" i="1" s="1"/>
  <c r="H54" i="1" s="1"/>
  <c r="G34" i="1"/>
  <c r="F34" i="1"/>
  <c r="F41" i="1" s="1"/>
  <c r="F54" i="1" s="1"/>
  <c r="E34" i="1"/>
  <c r="D34" i="1"/>
  <c r="C34" i="1"/>
  <c r="B34" i="1"/>
  <c r="B41" i="1" s="1"/>
  <c r="B54" i="1" s="1"/>
  <c r="AU33" i="1"/>
  <c r="AU32" i="1"/>
  <c r="AU31" i="1"/>
  <c r="AU30" i="1"/>
  <c r="AU34" i="1" s="1"/>
  <c r="N25" i="1"/>
  <c r="AT24" i="1"/>
  <c r="AT25" i="1" s="1"/>
  <c r="AS24" i="1"/>
  <c r="AS25" i="1" s="1"/>
  <c r="AR24" i="1"/>
  <c r="AR25" i="1" s="1"/>
  <c r="AQ24" i="1"/>
  <c r="AQ25" i="1" s="1"/>
  <c r="AP24" i="1"/>
  <c r="AP25" i="1" s="1"/>
  <c r="AO24" i="1"/>
  <c r="AO25" i="1" s="1"/>
  <c r="AN24" i="1"/>
  <c r="AN25" i="1" s="1"/>
  <c r="AM24" i="1"/>
  <c r="AM25" i="1" s="1"/>
  <c r="AL24" i="1"/>
  <c r="AL25" i="1" s="1"/>
  <c r="AK24" i="1"/>
  <c r="AK25" i="1" s="1"/>
  <c r="AJ24" i="1"/>
  <c r="AJ25" i="1" s="1"/>
  <c r="AI24" i="1"/>
  <c r="AI25" i="1" s="1"/>
  <c r="AH24" i="1"/>
  <c r="AH25" i="1" s="1"/>
  <c r="AG24" i="1"/>
  <c r="AG25" i="1" s="1"/>
  <c r="AF24" i="1"/>
  <c r="AF25" i="1" s="1"/>
  <c r="AE24" i="1"/>
  <c r="AE25" i="1" s="1"/>
  <c r="AD24" i="1"/>
  <c r="AD25" i="1" s="1"/>
  <c r="AC24" i="1"/>
  <c r="AC25" i="1" s="1"/>
  <c r="AB24" i="1"/>
  <c r="AB25" i="1" s="1"/>
  <c r="AA24" i="1"/>
  <c r="AA25" i="1" s="1"/>
  <c r="Z24" i="1"/>
  <c r="Z25" i="1" s="1"/>
  <c r="Y24" i="1"/>
  <c r="Y25" i="1" s="1"/>
  <c r="X24" i="1"/>
  <c r="X25" i="1" s="1"/>
  <c r="W24" i="1"/>
  <c r="W25" i="1" s="1"/>
  <c r="V24" i="1"/>
  <c r="V25" i="1" s="1"/>
  <c r="U24" i="1"/>
  <c r="U25" i="1" s="1"/>
  <c r="T24" i="1"/>
  <c r="T25" i="1" s="1"/>
  <c r="S24" i="1"/>
  <c r="S25" i="1" s="1"/>
  <c r="R24" i="1"/>
  <c r="R25" i="1" s="1"/>
  <c r="Q24" i="1"/>
  <c r="Q25" i="1" s="1"/>
  <c r="P24" i="1"/>
  <c r="P25" i="1" s="1"/>
  <c r="O24" i="1"/>
  <c r="O25" i="1" s="1"/>
  <c r="N24" i="1"/>
  <c r="M24" i="1"/>
  <c r="M25" i="1" s="1"/>
  <c r="L24" i="1"/>
  <c r="L25" i="1" s="1"/>
  <c r="K24" i="1"/>
  <c r="K25" i="1" s="1"/>
  <c r="J24" i="1"/>
  <c r="J25" i="1" s="1"/>
  <c r="I24" i="1"/>
  <c r="I25" i="1" s="1"/>
  <c r="H24" i="1"/>
  <c r="H25" i="1" s="1"/>
  <c r="G24" i="1"/>
  <c r="G25" i="1" s="1"/>
  <c r="F24" i="1"/>
  <c r="F25" i="1" s="1"/>
  <c r="E24" i="1"/>
  <c r="E25" i="1" s="1"/>
  <c r="D24" i="1"/>
  <c r="D25" i="1" s="1"/>
  <c r="C24" i="1"/>
  <c r="C25" i="1" s="1"/>
  <c r="B24" i="1"/>
  <c r="B25" i="1" s="1"/>
  <c r="AU23" i="1"/>
  <c r="AU24" i="1" s="1"/>
  <c r="AU25" i="1" s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U18" i="1"/>
  <c r="AU17" i="1"/>
  <c r="AU19" i="1" s="1"/>
  <c r="AT15" i="1"/>
  <c r="AS15" i="1"/>
  <c r="AR15" i="1"/>
  <c r="AQ15" i="1"/>
  <c r="AP15" i="1"/>
  <c r="AO15" i="1"/>
  <c r="AO20" i="1" s="1"/>
  <c r="AO26" i="1" s="1"/>
  <c r="AN15" i="1"/>
  <c r="AM15" i="1"/>
  <c r="AM20" i="1" s="1"/>
  <c r="AL15" i="1"/>
  <c r="AK15" i="1"/>
  <c r="AJ15" i="1"/>
  <c r="AI15" i="1"/>
  <c r="AH15" i="1"/>
  <c r="AG15" i="1"/>
  <c r="AG20" i="1" s="1"/>
  <c r="AG26" i="1" s="1"/>
  <c r="AF15" i="1"/>
  <c r="AE15" i="1"/>
  <c r="AE20" i="1" s="1"/>
  <c r="AD15" i="1"/>
  <c r="AC15" i="1"/>
  <c r="AB15" i="1"/>
  <c r="AA15" i="1"/>
  <c r="Z15" i="1"/>
  <c r="Y15" i="1"/>
  <c r="Y20" i="1" s="1"/>
  <c r="Y26" i="1" s="1"/>
  <c r="X15" i="1"/>
  <c r="W15" i="1"/>
  <c r="W20" i="1" s="1"/>
  <c r="V15" i="1"/>
  <c r="U15" i="1"/>
  <c r="T15" i="1"/>
  <c r="S15" i="1"/>
  <c r="R15" i="1"/>
  <c r="Q15" i="1"/>
  <c r="Q20" i="1" s="1"/>
  <c r="Q26" i="1" s="1"/>
  <c r="P15" i="1"/>
  <c r="O15" i="1"/>
  <c r="O20" i="1" s="1"/>
  <c r="N15" i="1"/>
  <c r="M15" i="1"/>
  <c r="L15" i="1"/>
  <c r="K15" i="1"/>
  <c r="J15" i="1"/>
  <c r="I15" i="1"/>
  <c r="I20" i="1" s="1"/>
  <c r="I26" i="1" s="1"/>
  <c r="H15" i="1"/>
  <c r="G15" i="1"/>
  <c r="G20" i="1" s="1"/>
  <c r="F15" i="1"/>
  <c r="E15" i="1"/>
  <c r="D15" i="1"/>
  <c r="C15" i="1"/>
  <c r="B15" i="1"/>
  <c r="AU14" i="1"/>
  <c r="AU13" i="1"/>
  <c r="AU12" i="1"/>
  <c r="AU11" i="1"/>
  <c r="G41" i="1" l="1"/>
  <c r="G54" i="1" s="1"/>
  <c r="O41" i="1"/>
  <c r="O54" i="1" s="1"/>
  <c r="W41" i="1"/>
  <c r="W54" i="1" s="1"/>
  <c r="AE41" i="1"/>
  <c r="AE54" i="1" s="1"/>
  <c r="AM41" i="1"/>
  <c r="AM54" i="1" s="1"/>
  <c r="AU40" i="1"/>
  <c r="AU41" i="1" s="1"/>
  <c r="AU60" i="1"/>
  <c r="AU61" i="1" s="1"/>
  <c r="H20" i="1"/>
  <c r="H26" i="1" s="1"/>
  <c r="P20" i="1"/>
  <c r="P26" i="1" s="1"/>
  <c r="P55" i="1" s="1"/>
  <c r="P70" i="1" s="1"/>
  <c r="C41" i="1"/>
  <c r="C54" i="1" s="1"/>
  <c r="K41" i="1"/>
  <c r="K54" i="1" s="1"/>
  <c r="S41" i="1"/>
  <c r="S54" i="1" s="1"/>
  <c r="AA41" i="1"/>
  <c r="AA54" i="1" s="1"/>
  <c r="AI41" i="1"/>
  <c r="AI54" i="1" s="1"/>
  <c r="AQ41" i="1"/>
  <c r="AQ54" i="1" s="1"/>
  <c r="I55" i="1"/>
  <c r="I70" i="1" s="1"/>
  <c r="B20" i="1"/>
  <c r="B26" i="1" s="1"/>
  <c r="B55" i="1" s="1"/>
  <c r="B70" i="1" s="1"/>
  <c r="AP20" i="1"/>
  <c r="AP26" i="1" s="1"/>
  <c r="AP55" i="1" s="1"/>
  <c r="AP70" i="1" s="1"/>
  <c r="S20" i="1"/>
  <c r="S26" i="1" s="1"/>
  <c r="S55" i="1" s="1"/>
  <c r="S70" i="1" s="1"/>
  <c r="I41" i="1"/>
  <c r="I54" i="1" s="1"/>
  <c r="Q41" i="1"/>
  <c r="Q54" i="1" s="1"/>
  <c r="Y41" i="1"/>
  <c r="Y54" i="1" s="1"/>
  <c r="Y55" i="1" s="1"/>
  <c r="Y70" i="1" s="1"/>
  <c r="AG41" i="1"/>
  <c r="AG54" i="1" s="1"/>
  <c r="AO41" i="1"/>
  <c r="AO54" i="1" s="1"/>
  <c r="AO55" i="1" s="1"/>
  <c r="AO70" i="1" s="1"/>
  <c r="AG55" i="1"/>
  <c r="AG70" i="1" s="1"/>
  <c r="Z20" i="1"/>
  <c r="Z26" i="1" s="1"/>
  <c r="Z55" i="1" s="1"/>
  <c r="Z70" i="1" s="1"/>
  <c r="K20" i="1"/>
  <c r="AA20" i="1"/>
  <c r="AA26" i="1" s="1"/>
  <c r="AA55" i="1" s="1"/>
  <c r="AA70" i="1" s="1"/>
  <c r="Q55" i="1"/>
  <c r="Q70" i="1" s="1"/>
  <c r="R20" i="1"/>
  <c r="R26" i="1" s="1"/>
  <c r="R55" i="1" s="1"/>
  <c r="R70" i="1" s="1"/>
  <c r="AQ20" i="1"/>
  <c r="AQ26" i="1" s="1"/>
  <c r="O26" i="1"/>
  <c r="W26" i="1"/>
  <c r="AE26" i="1"/>
  <c r="AE55" i="1" s="1"/>
  <c r="AE70" i="1" s="1"/>
  <c r="AM26" i="1"/>
  <c r="J20" i="1"/>
  <c r="AH20" i="1"/>
  <c r="AH26" i="1" s="1"/>
  <c r="AH55" i="1" s="1"/>
  <c r="AH70" i="1" s="1"/>
  <c r="C20" i="1"/>
  <c r="AI20" i="1"/>
  <c r="AI26" i="1" s="1"/>
  <c r="G26" i="1"/>
  <c r="G55" i="1" s="1"/>
  <c r="G70" i="1" s="1"/>
  <c r="X20" i="1"/>
  <c r="X26" i="1" s="1"/>
  <c r="X55" i="1" s="1"/>
  <c r="X70" i="1" s="1"/>
  <c r="AF20" i="1"/>
  <c r="AF26" i="1" s="1"/>
  <c r="AF55" i="1" s="1"/>
  <c r="AF70" i="1" s="1"/>
  <c r="AN20" i="1"/>
  <c r="AN26" i="1" s="1"/>
  <c r="E41" i="1"/>
  <c r="E54" i="1" s="1"/>
  <c r="M41" i="1"/>
  <c r="M54" i="1" s="1"/>
  <c r="U41" i="1"/>
  <c r="U54" i="1" s="1"/>
  <c r="AC41" i="1"/>
  <c r="AC54" i="1" s="1"/>
  <c r="AK41" i="1"/>
  <c r="AK54" i="1" s="1"/>
  <c r="AS41" i="1"/>
  <c r="AS54" i="1" s="1"/>
  <c r="AB20" i="1"/>
  <c r="AB26" i="1" s="1"/>
  <c r="T20" i="1"/>
  <c r="T26" i="1" s="1"/>
  <c r="E20" i="1"/>
  <c r="E26" i="1" s="1"/>
  <c r="E55" i="1" s="1"/>
  <c r="E70" i="1" s="1"/>
  <c r="AS20" i="1"/>
  <c r="AS26" i="1" s="1"/>
  <c r="F20" i="1"/>
  <c r="F26" i="1" s="1"/>
  <c r="F55" i="1" s="1"/>
  <c r="F70" i="1" s="1"/>
  <c r="N20" i="1"/>
  <c r="N26" i="1" s="1"/>
  <c r="N55" i="1" s="1"/>
  <c r="N70" i="1" s="1"/>
  <c r="V20" i="1"/>
  <c r="V26" i="1" s="1"/>
  <c r="V55" i="1" s="1"/>
  <c r="V70" i="1" s="1"/>
  <c r="AD20" i="1"/>
  <c r="AD26" i="1" s="1"/>
  <c r="AD55" i="1" s="1"/>
  <c r="AD70" i="1" s="1"/>
  <c r="AL20" i="1"/>
  <c r="AL26" i="1" s="1"/>
  <c r="AL55" i="1" s="1"/>
  <c r="AL70" i="1" s="1"/>
  <c r="AT20" i="1"/>
  <c r="AT26" i="1" s="1"/>
  <c r="AT55" i="1" s="1"/>
  <c r="AT70" i="1" s="1"/>
  <c r="AU53" i="1"/>
  <c r="D20" i="1"/>
  <c r="D26" i="1" s="1"/>
  <c r="U20" i="1"/>
  <c r="U26" i="1" s="1"/>
  <c r="U55" i="1" s="1"/>
  <c r="U70" i="1" s="1"/>
  <c r="AU15" i="1"/>
  <c r="AU20" i="1" s="1"/>
  <c r="AU26" i="1" s="1"/>
  <c r="AR20" i="1"/>
  <c r="AR26" i="1" s="1"/>
  <c r="M20" i="1"/>
  <c r="M26" i="1" s="1"/>
  <c r="M55" i="1" s="1"/>
  <c r="M70" i="1" s="1"/>
  <c r="AU69" i="1"/>
  <c r="AJ20" i="1"/>
  <c r="AJ26" i="1" s="1"/>
  <c r="AK20" i="1"/>
  <c r="AK26" i="1" s="1"/>
  <c r="L20" i="1"/>
  <c r="L26" i="1" s="1"/>
  <c r="AC20" i="1"/>
  <c r="AC26" i="1" s="1"/>
  <c r="J26" i="1"/>
  <c r="J55" i="1" s="1"/>
  <c r="J70" i="1" s="1"/>
  <c r="D41" i="1"/>
  <c r="D54" i="1" s="1"/>
  <c r="L41" i="1"/>
  <c r="L54" i="1" s="1"/>
  <c r="T41" i="1"/>
  <c r="T54" i="1" s="1"/>
  <c r="AB41" i="1"/>
  <c r="AB54" i="1" s="1"/>
  <c r="AJ41" i="1"/>
  <c r="AJ54" i="1" s="1"/>
  <c r="AR41" i="1"/>
  <c r="AR54" i="1" s="1"/>
  <c r="AM55" i="1"/>
  <c r="AM70" i="1" s="1"/>
  <c r="C26" i="1"/>
  <c r="C55" i="1" s="1"/>
  <c r="C70" i="1" s="1"/>
  <c r="H55" i="1"/>
  <c r="H70" i="1" s="1"/>
  <c r="AN55" i="1"/>
  <c r="AN70" i="1" s="1"/>
  <c r="K26" i="1"/>
  <c r="W55" i="1" l="1"/>
  <c r="W70" i="1" s="1"/>
  <c r="O55" i="1"/>
  <c r="O70" i="1" s="1"/>
  <c r="AI55" i="1"/>
  <c r="AI70" i="1" s="1"/>
  <c r="AQ55" i="1"/>
  <c r="AQ70" i="1" s="1"/>
  <c r="K55" i="1"/>
  <c r="K70" i="1" s="1"/>
  <c r="AS55" i="1"/>
  <c r="AS70" i="1" s="1"/>
  <c r="AK55" i="1"/>
  <c r="AK70" i="1" s="1"/>
  <c r="AC55" i="1"/>
  <c r="AC70" i="1" s="1"/>
  <c r="AB55" i="1"/>
  <c r="AB70" i="1" s="1"/>
  <c r="AR55" i="1"/>
  <c r="AR70" i="1" s="1"/>
  <c r="L55" i="1"/>
  <c r="L70" i="1" s="1"/>
  <c r="D55" i="1"/>
  <c r="D70" i="1" s="1"/>
  <c r="AU54" i="1"/>
  <c r="AU55" i="1" s="1"/>
  <c r="AU70" i="1" s="1"/>
  <c r="AJ55" i="1"/>
  <c r="AJ70" i="1" s="1"/>
  <c r="T55" i="1"/>
  <c r="T70" i="1" s="1"/>
</calcChain>
</file>

<file path=xl/sharedStrings.xml><?xml version="1.0" encoding="utf-8"?>
<sst xmlns="http://schemas.openxmlformats.org/spreadsheetml/2006/main" count="162" uniqueCount="116">
  <si>
    <t>Firma : Horus software GmbH</t>
  </si>
  <si>
    <t>PG P+L by Entity and Month/Quarter/Year</t>
  </si>
  <si>
    <t>From Jan 2020 to Dez 2023</t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</si>
  <si>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</si>
  <si>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</si>
  <si>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</si>
  <si>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</si>
  <si>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</si>
  <si>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</si>
  <si>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</si>
  <si>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</si>
  <si>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</si>
  <si>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</si>
  <si>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</si>
  <si>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</si>
  <si>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</si>
  <si>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</si>
  <si>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</si>
  <si>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</si>
  <si>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</si>
  <si>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</si>
  <si>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</si>
  <si>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</si>
  <si>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</si>
  <si>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</si>
  <si>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</si>
  <si>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</si>
  <si>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</si>
  <si>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</si>
  <si>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 xml:space="preserve">Adjust 2021 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</si>
  <si>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</si>
  <si>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</si>
  <si>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</si>
  <si>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</si>
  <si>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</si>
  <si>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</si>
  <si>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</si>
  <si>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</si>
  <si>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</si>
  <si>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</si>
  <si>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</si>
  <si>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</si>
  <si>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</si>
  <si>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</si>
  <si>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</si>
  <si>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</si>
  <si>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</si>
  <si>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</si>
  <si>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Jul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</si>
  <si>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</si>
  <si>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</si>
  <si>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</si>
  <si>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</si>
  <si>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</si>
  <si>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</si>
  <si>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</si>
  <si>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400000 - Sales (free text)</t>
  </si>
  <si>
    <t>440000 - Revenue Services- standard VAT</t>
  </si>
  <si>
    <t>477000 - Rebates granted</t>
  </si>
  <si>
    <t>479000 - Rebates granted, Standard VAT</t>
  </si>
  <si>
    <t>Total Revenue</t>
  </si>
  <si>
    <t>4. Other operating income</t>
  </si>
  <si>
    <t>483900 - Other infrequent income</t>
  </si>
  <si>
    <t>493200 - Income from remission of liabilities</t>
  </si>
  <si>
    <t>Total Other operating income</t>
  </si>
  <si>
    <t>Total Operating income</t>
  </si>
  <si>
    <t>5. Cost of materials</t>
  </si>
  <si>
    <t>b) Cost of purchased services</t>
  </si>
  <si>
    <t>590000 - Purchased services standard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</si>
  <si>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</si>
  <si>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</si>
  <si>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</si>
  <si>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</si>
  <si>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</si>
  <si>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</si>
  <si>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497200 - Refunds Act on Reimbursement of Employers' Expenses (AAG)</t>
  </si>
  <si>
    <t>602000 - Salaries</t>
  </si>
  <si>
    <t>602200 - Vacation pay -provision-</t>
  </si>
  <si>
    <t>607800 - Refunds Expenditure Compensation Act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</si>
  <si>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</si>
  <si>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</si>
  <si>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</si>
  <si>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</si>
  <si>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613000 - Voluntary social benefits not subject to wage tax</t>
  </si>
  <si>
    <t>614000 - Cost of old age pensions</t>
  </si>
  <si>
    <t>Total Social security, post-employ, and other employee benft costs</t>
  </si>
  <si>
    <t>Total Personnel expenses</t>
  </si>
  <si>
    <t>8. Other operating expenses</t>
  </si>
  <si>
    <t>642000 - Contributions</t>
  </si>
  <si>
    <t>660000 - Advertising costs</t>
  </si>
  <si>
    <t>681000 - Fax and Internet costs</t>
  </si>
  <si>
    <t>681500 - Office supplies</t>
  </si>
  <si>
    <t>682100 - Training costs</t>
  </si>
  <si>
    <t>682500 - Legal and consulting costs</t>
  </si>
  <si>
    <t>682700 - Period-end closing and audit costs</t>
  </si>
  <si>
    <t>683000 - Bookkeeping costs</t>
  </si>
  <si>
    <t>683700 - Expenses for temp. transfer of rights(licences, concessions)</t>
  </si>
  <si>
    <t>685500 - Incidental monetary transaction costs</t>
  </si>
  <si>
    <t>Total Other operating expenses</t>
  </si>
  <si>
    <t>Total Operating expenses (except cost of materials)</t>
  </si>
  <si>
    <t>Total EBIT</t>
  </si>
  <si>
    <t>Financial result</t>
  </si>
  <si>
    <t>11. Other interest and similar income</t>
  </si>
  <si>
    <t>710000 - Other interest and similar income</t>
  </si>
  <si>
    <t>711900 - Other interest income from affiliated companies</t>
  </si>
  <si>
    <t>Total Other interest and similar income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</si>
  <si>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</si>
  <si>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</si>
  <si>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</si>
  <si>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</si>
  <si>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</si>
  <si>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</si>
  <si>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</si>
  <si>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764100 - Backpayments and refunds of trade tax for prior years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</si>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</sst>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tabSelected="1" workbookViewId="0">
      <pane ySplit="5" topLeftCell="A30" activePane="bottomLeft" state="frozen"/>
      <selection pane="bottomLeft" activeCell="H54" sqref="H54"/>
    </sheetView>
  </sheetViews>
  <sheetFormatPr baseColWidth="10" defaultRowHeight="11.25" x14ac:dyDescent="0.2"/>
  <cols>
    <col min="1" max="1" width="70.5" bestFit="1" customWidth="1"/>
    <col min="2" max="2" width="10.83203125" bestFit="1" customWidth="1"/>
    <col min="3" max="3" width="10.1640625" bestFit="1" customWidth="1"/>
    <col min="4" max="4" width="9.83203125" bestFit="1" customWidth="1"/>
    <col min="5" max="5" width="9" bestFit="1" customWidth="1"/>
    <col min="6" max="7" width="9.83203125" bestFit="1" customWidth="1"/>
    <col min="8" max="8" width="8.5" bestFit="1" customWidth="1"/>
    <col min="9" max="10" width="9.83203125" bestFit="1" customWidth="1"/>
    <col min="11" max="11" width="10.83203125" bestFit="1" customWidth="1"/>
    <col min="12" max="13" width="9.83203125" bestFit="1" customWidth="1"/>
    <col min="15" max="25" width="9.83203125" bestFit="1" customWidth="1"/>
    <col min="26" max="26" width="10.1640625" bestFit="1" customWidth="1"/>
    <col min="27" max="27" width="11.6640625" bestFit="1" customWidth="1"/>
    <col min="28" max="32" width="9.83203125" bestFit="1" customWidth="1"/>
    <col min="33" max="38" width="10.1640625" bestFit="1" customWidth="1"/>
    <col min="39" max="39" width="10.83203125" bestFit="1" customWidth="1"/>
    <col min="40" max="43" width="10.1640625" bestFit="1" customWidth="1"/>
    <col min="44" max="44" width="10.83203125" bestFit="1" customWidth="1"/>
    <col min="45" max="45" width="10.1640625" bestFit="1" customWidth="1"/>
    <col min="46" max="46" width="8.5" bestFit="1" customWidth="1"/>
    <col min="47" max="47" width="11.83203125" bestFit="1" customWidth="1"/>
  </cols>
  <sheetData>
    <row r="1" spans="1:47" s="23" customFormat="1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spans="1:47" s="23" customFormat="1" ht="1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</row>
    <row r="3" spans="1:47" s="23" customFormat="1" ht="18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</row>
    <row r="4" spans="1:47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x14ac:dyDescent="0.2">
      <c r="A5" s="1" t="s">
        <v>3</v>
      </c>
      <c r="B5" s="2" t="s">
        <v>50</v>
      </c>
      <c r="C5" s="2" t="s">
        <v>50</v>
      </c>
      <c r="D5" s="2" t="s">
        <v>50</v>
      </c>
      <c r="E5" s="2" t="s">
        <v>50</v>
      </c>
      <c r="F5" s="2" t="s">
        <v>50</v>
      </c>
      <c r="G5" s="2" t="s">
        <v>50</v>
      </c>
      <c r="H5" s="2" t="s">
        <v>50</v>
      </c>
      <c r="I5" s="2" t="s">
        <v>50</v>
      </c>
      <c r="J5" s="2" t="s">
        <v>50</v>
      </c>
      <c r="K5" s="2" t="s">
        <v>50</v>
      </c>
      <c r="L5" s="2" t="s">
        <v>50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50</v>
      </c>
      <c r="S5" s="2" t="s">
        <v>50</v>
      </c>
      <c r="T5" s="2" t="s">
        <v>50</v>
      </c>
      <c r="U5" s="2" t="s">
        <v>50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50</v>
      </c>
      <c r="AG5" s="2" t="s">
        <v>50</v>
      </c>
      <c r="AH5" s="2" t="s">
        <v>50</v>
      </c>
      <c r="AI5" s="2" t="s">
        <v>50</v>
      </c>
      <c r="AJ5" s="2" t="s">
        <v>50</v>
      </c>
      <c r="AK5" s="2" t="s">
        <v>50</v>
      </c>
      <c r="AL5" s="2" t="s">
        <v>50</v>
      </c>
      <c r="AM5" s="2" t="s">
        <v>50</v>
      </c>
      <c r="AN5" s="2" t="s">
        <v>50</v>
      </c>
      <c r="AO5" s="2" t="s">
        <v>50</v>
      </c>
      <c r="AP5" s="2" t="s">
        <v>50</v>
      </c>
      <c r="AQ5" s="2" t="s">
        <v>50</v>
      </c>
      <c r="AR5" s="2" t="s">
        <v>50</v>
      </c>
      <c r="AS5" s="2" t="s">
        <v>50</v>
      </c>
      <c r="AT5" s="2" t="s">
        <v>50</v>
      </c>
      <c r="AU5" s="2" t="s">
        <v>50</v>
      </c>
    </row>
    <row r="6" spans="1:47" x14ac:dyDescent="0.2">
      <c r="A6" s="3" t="s">
        <v>51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x14ac:dyDescent="0.2">
      <c r="A7" s="5" t="s">
        <v>52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x14ac:dyDescent="0.2">
      <c r="A8" s="6" t="s">
        <v>53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x14ac:dyDescent="0.2">
      <c r="A9" s="7" t="s">
        <v>54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x14ac:dyDescent="0.2">
      <c r="A10" s="8" t="s">
        <v>55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x14ac:dyDescent="0.2">
      <c r="A11" s="9" t="s">
        <v>56</v>
      </c>
      <c r="B11" s="10">
        <v>0</v>
      </c>
      <c r="C11" s="10">
        <v>-2190</v>
      </c>
      <c r="D11" s="10">
        <v>2666.75</v>
      </c>
      <c r="E11" s="10">
        <v>0</v>
      </c>
      <c r="F11" s="10">
        <v>0</v>
      </c>
      <c r="G11" s="10">
        <v>1466.75</v>
      </c>
      <c r="H11" s="10">
        <v>0</v>
      </c>
      <c r="I11" s="10">
        <v>0</v>
      </c>
      <c r="J11" s="10">
        <v>1466.75</v>
      </c>
      <c r="K11" s="10">
        <v>0</v>
      </c>
      <c r="L11" s="10">
        <v>0</v>
      </c>
      <c r="M11" s="10">
        <v>1466.75</v>
      </c>
      <c r="N11" s="10">
        <v>513.33000000000004</v>
      </c>
      <c r="O11" s="10">
        <v>0</v>
      </c>
      <c r="P11" s="10">
        <v>0</v>
      </c>
      <c r="Q11" s="10">
        <v>2190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f>SUM(B11:AT11)</f>
        <v>7580.33</v>
      </c>
    </row>
    <row r="12" spans="1:47" x14ac:dyDescent="0.2">
      <c r="A12" s="9" t="s">
        <v>57</v>
      </c>
      <c r="B12" s="10">
        <v>58895</v>
      </c>
      <c r="C12" s="10">
        <v>21900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691.66</v>
      </c>
      <c r="N12" s="10">
        <v>-691.66</v>
      </c>
      <c r="O12" s="10">
        <v>5189.58</v>
      </c>
      <c r="P12" s="10">
        <v>5189.58</v>
      </c>
      <c r="Q12" s="10">
        <v>8543.73</v>
      </c>
      <c r="R12" s="10">
        <v>8543.73</v>
      </c>
      <c r="S12" s="10">
        <v>8543.73</v>
      </c>
      <c r="T12" s="10">
        <v>8543.73</v>
      </c>
      <c r="U12" s="10">
        <v>8543.73</v>
      </c>
      <c r="V12" s="10">
        <v>8543.73</v>
      </c>
      <c r="W12" s="10">
        <v>8543.73</v>
      </c>
      <c r="X12" s="10">
        <v>8543.73</v>
      </c>
      <c r="Y12" s="10">
        <v>9287.56</v>
      </c>
      <c r="Z12" s="10">
        <v>10154.11</v>
      </c>
      <c r="AA12" s="10">
        <v>0</v>
      </c>
      <c r="AB12" s="10">
        <v>8097.9</v>
      </c>
      <c r="AC12" s="10">
        <v>8098.1</v>
      </c>
      <c r="AD12" s="10">
        <v>7134.02</v>
      </c>
      <c r="AE12" s="10">
        <v>7784.03</v>
      </c>
      <c r="AF12" s="10">
        <v>9159.26</v>
      </c>
      <c r="AG12" s="10">
        <v>10142.58</v>
      </c>
      <c r="AH12" s="10">
        <v>11228.7</v>
      </c>
      <c r="AI12" s="10">
        <v>12028.7</v>
      </c>
      <c r="AJ12" s="10">
        <v>14828.7</v>
      </c>
      <c r="AK12" s="10">
        <v>13024.53</v>
      </c>
      <c r="AL12" s="10">
        <v>14337.07</v>
      </c>
      <c r="AM12" s="10">
        <v>14336.99</v>
      </c>
      <c r="AN12" s="10">
        <v>13819.7</v>
      </c>
      <c r="AO12" s="10">
        <v>14851.53</v>
      </c>
      <c r="AP12" s="10">
        <v>13910.96</v>
      </c>
      <c r="AQ12" s="10">
        <v>14194.44</v>
      </c>
      <c r="AR12" s="10">
        <v>14199.18</v>
      </c>
      <c r="AS12" s="10">
        <v>14482.44</v>
      </c>
      <c r="AT12" s="10">
        <v>0</v>
      </c>
      <c r="AU12" s="10">
        <f>SUM(B12:AT12)</f>
        <v>394624.50000000012</v>
      </c>
    </row>
    <row r="13" spans="1:47" x14ac:dyDescent="0.2">
      <c r="A13" s="9" t="s">
        <v>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-178.33</v>
      </c>
      <c r="N13" s="10">
        <v>178.33</v>
      </c>
      <c r="O13" s="10">
        <v>-1976.13</v>
      </c>
      <c r="P13" s="10">
        <v>-1976.13</v>
      </c>
      <c r="Q13" s="10">
        <v>3952.26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-3564</v>
      </c>
      <c r="AG13" s="10">
        <v>0</v>
      </c>
      <c r="AH13" s="10">
        <v>-4391.78</v>
      </c>
      <c r="AI13" s="10">
        <v>-4711.78</v>
      </c>
      <c r="AJ13" s="10">
        <v>-4711.78</v>
      </c>
      <c r="AK13" s="10">
        <v>-5110.1099999999997</v>
      </c>
      <c r="AL13" s="10">
        <v>-5635.11</v>
      </c>
      <c r="AM13" s="10">
        <v>28124.560000000001</v>
      </c>
      <c r="AN13" s="10">
        <v>0</v>
      </c>
      <c r="AO13" s="10">
        <v>0</v>
      </c>
      <c r="AP13" s="10">
        <v>0</v>
      </c>
      <c r="AQ13" s="10">
        <v>-5784.94</v>
      </c>
      <c r="AR13" s="10">
        <v>5784.94</v>
      </c>
      <c r="AS13" s="10">
        <v>0</v>
      </c>
      <c r="AT13" s="10">
        <v>0</v>
      </c>
      <c r="AU13" s="10">
        <f>SUM(B13:AT13)</f>
        <v>0</v>
      </c>
    </row>
    <row r="14" spans="1:47" x14ac:dyDescent="0.2">
      <c r="A14" s="9" t="s">
        <v>59</v>
      </c>
      <c r="B14" s="10">
        <v>-21573.5</v>
      </c>
      <c r="C14" s="10">
        <v>-8760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-7270.04</v>
      </c>
      <c r="R14" s="10">
        <v>-3317.78</v>
      </c>
      <c r="S14" s="10">
        <v>-3317.78</v>
      </c>
      <c r="T14" s="10">
        <v>-3317.78</v>
      </c>
      <c r="U14" s="10">
        <v>-3317.78</v>
      </c>
      <c r="V14" s="10">
        <v>-3317.78</v>
      </c>
      <c r="W14" s="10">
        <v>-3317.78</v>
      </c>
      <c r="X14" s="10">
        <v>-3317.78</v>
      </c>
      <c r="Y14" s="10">
        <v>-3317.82</v>
      </c>
      <c r="Z14" s="10">
        <v>-3139.35</v>
      </c>
      <c r="AA14" s="10">
        <v>0</v>
      </c>
      <c r="AB14" s="10">
        <v>-3139.45</v>
      </c>
      <c r="AC14" s="10">
        <v>-3139.65</v>
      </c>
      <c r="AD14" s="10">
        <v>-2753.91</v>
      </c>
      <c r="AE14" s="10">
        <v>-3013.92</v>
      </c>
      <c r="AF14" s="10">
        <v>0</v>
      </c>
      <c r="AG14" s="10">
        <v>-3957.32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-33759.57</v>
      </c>
      <c r="AN14" s="10">
        <v>-5635.11</v>
      </c>
      <c r="AO14" s="10">
        <v>-6047.84</v>
      </c>
      <c r="AP14" s="10">
        <v>-5671.53</v>
      </c>
      <c r="AQ14" s="10">
        <v>0</v>
      </c>
      <c r="AR14" s="10">
        <v>-11571.84</v>
      </c>
      <c r="AS14" s="10">
        <v>-5786.8</v>
      </c>
      <c r="AT14" s="10">
        <v>0</v>
      </c>
      <c r="AU14" s="10">
        <f>SUM(B14:AT14)</f>
        <v>-151762.10999999999</v>
      </c>
    </row>
    <row r="15" spans="1:47" x14ac:dyDescent="0.2">
      <c r="A15" s="11" t="s">
        <v>60</v>
      </c>
      <c r="B15" s="12">
        <f t="shared" ref="B15:AU15" si="0">SUM(B11:B14)</f>
        <v>37321.5</v>
      </c>
      <c r="C15" s="12">
        <f t="shared" si="0"/>
        <v>10950</v>
      </c>
      <c r="D15" s="12">
        <f t="shared" si="0"/>
        <v>2666.75</v>
      </c>
      <c r="E15" s="12">
        <f t="shared" si="0"/>
        <v>0</v>
      </c>
      <c r="F15" s="12">
        <f t="shared" si="0"/>
        <v>0</v>
      </c>
      <c r="G15" s="12">
        <f t="shared" si="0"/>
        <v>1466.75</v>
      </c>
      <c r="H15" s="12">
        <f t="shared" si="0"/>
        <v>0</v>
      </c>
      <c r="I15" s="12">
        <f t="shared" si="0"/>
        <v>0</v>
      </c>
      <c r="J15" s="12">
        <f t="shared" si="0"/>
        <v>1466.75</v>
      </c>
      <c r="K15" s="12">
        <f t="shared" si="0"/>
        <v>0</v>
      </c>
      <c r="L15" s="12">
        <f t="shared" si="0"/>
        <v>0</v>
      </c>
      <c r="M15" s="12">
        <f t="shared" si="0"/>
        <v>1980.08</v>
      </c>
      <c r="N15" s="12">
        <f t="shared" si="0"/>
        <v>8.5265128291212022E-14</v>
      </c>
      <c r="O15" s="12">
        <f t="shared" si="0"/>
        <v>3213.45</v>
      </c>
      <c r="P15" s="12">
        <f t="shared" si="0"/>
        <v>3213.45</v>
      </c>
      <c r="Q15" s="12">
        <f t="shared" si="0"/>
        <v>7415.95</v>
      </c>
      <c r="R15" s="12">
        <f t="shared" si="0"/>
        <v>5225.9499999999989</v>
      </c>
      <c r="S15" s="12">
        <f t="shared" si="0"/>
        <v>5225.9499999999989</v>
      </c>
      <c r="T15" s="12">
        <f t="shared" si="0"/>
        <v>5225.9499999999989</v>
      </c>
      <c r="U15" s="12">
        <f t="shared" si="0"/>
        <v>5225.9499999999989</v>
      </c>
      <c r="V15" s="12">
        <f t="shared" si="0"/>
        <v>5225.9499999999989</v>
      </c>
      <c r="W15" s="12">
        <f t="shared" si="0"/>
        <v>5225.9499999999989</v>
      </c>
      <c r="X15" s="12">
        <f t="shared" si="0"/>
        <v>5225.9499999999989</v>
      </c>
      <c r="Y15" s="12">
        <f t="shared" si="0"/>
        <v>5969.74</v>
      </c>
      <c r="Z15" s="12">
        <f t="shared" si="0"/>
        <v>7014.76</v>
      </c>
      <c r="AA15" s="12">
        <f t="shared" si="0"/>
        <v>0</v>
      </c>
      <c r="AB15" s="12">
        <f t="shared" si="0"/>
        <v>4958.45</v>
      </c>
      <c r="AC15" s="12">
        <f t="shared" si="0"/>
        <v>4958.4500000000007</v>
      </c>
      <c r="AD15" s="12">
        <f t="shared" si="0"/>
        <v>4380.1100000000006</v>
      </c>
      <c r="AE15" s="12">
        <f t="shared" si="0"/>
        <v>4770.1099999999997</v>
      </c>
      <c r="AF15" s="12">
        <f t="shared" si="0"/>
        <v>5595.26</v>
      </c>
      <c r="AG15" s="12">
        <f t="shared" si="0"/>
        <v>6185.26</v>
      </c>
      <c r="AH15" s="12">
        <f t="shared" si="0"/>
        <v>6836.920000000001</v>
      </c>
      <c r="AI15" s="12">
        <f t="shared" si="0"/>
        <v>7316.920000000001</v>
      </c>
      <c r="AJ15" s="12">
        <f t="shared" si="0"/>
        <v>10116.920000000002</v>
      </c>
      <c r="AK15" s="12">
        <f t="shared" si="0"/>
        <v>7914.420000000001</v>
      </c>
      <c r="AL15" s="12">
        <f t="shared" si="0"/>
        <v>8701.9599999999991</v>
      </c>
      <c r="AM15" s="12">
        <f t="shared" si="0"/>
        <v>8701.9800000000032</v>
      </c>
      <c r="AN15" s="12">
        <f t="shared" si="0"/>
        <v>8184.5900000000011</v>
      </c>
      <c r="AO15" s="12">
        <f t="shared" si="0"/>
        <v>8803.69</v>
      </c>
      <c r="AP15" s="12">
        <f t="shared" si="0"/>
        <v>8239.43</v>
      </c>
      <c r="AQ15" s="12">
        <f t="shared" si="0"/>
        <v>8409.5</v>
      </c>
      <c r="AR15" s="12">
        <f t="shared" si="0"/>
        <v>8412.2799999999988</v>
      </c>
      <c r="AS15" s="12">
        <f t="shared" si="0"/>
        <v>8695.64</v>
      </c>
      <c r="AT15" s="12">
        <f t="shared" si="0"/>
        <v>0</v>
      </c>
      <c r="AU15" s="12">
        <f t="shared" si="0"/>
        <v>250442.72000000015</v>
      </c>
    </row>
    <row r="16" spans="1:47" x14ac:dyDescent="0.2">
      <c r="A16" s="8" t="s">
        <v>61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">
      <c r="A17" s="9" t="s">
        <v>62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300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f>SUM(B17:AT17)</f>
        <v>300</v>
      </c>
    </row>
    <row r="18" spans="1:47" x14ac:dyDescent="0.2">
      <c r="A18" s="9" t="s">
        <v>63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2740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f>SUM(B18:AT18)</f>
        <v>2740</v>
      </c>
    </row>
    <row r="19" spans="1:47" x14ac:dyDescent="0.2">
      <c r="A19" s="13" t="s">
        <v>64</v>
      </c>
      <c r="B19" s="14">
        <f t="shared" ref="B19:AU19" si="1">SUM(B17:B18)</f>
        <v>0</v>
      </c>
      <c r="C19" s="14">
        <f t="shared" si="1"/>
        <v>0</v>
      </c>
      <c r="D19" s="14">
        <f t="shared" si="1"/>
        <v>0</v>
      </c>
      <c r="E19" s="14">
        <f t="shared" si="1"/>
        <v>0</v>
      </c>
      <c r="F19" s="14">
        <f t="shared" si="1"/>
        <v>0</v>
      </c>
      <c r="G19" s="14">
        <f t="shared" si="1"/>
        <v>0</v>
      </c>
      <c r="H19" s="14">
        <f t="shared" si="1"/>
        <v>0</v>
      </c>
      <c r="I19" s="14">
        <f t="shared" si="1"/>
        <v>0</v>
      </c>
      <c r="J19" s="14">
        <f t="shared" si="1"/>
        <v>0</v>
      </c>
      <c r="K19" s="14">
        <f t="shared" si="1"/>
        <v>0</v>
      </c>
      <c r="L19" s="14">
        <f t="shared" si="1"/>
        <v>0</v>
      </c>
      <c r="M19" s="14">
        <f t="shared" si="1"/>
        <v>0</v>
      </c>
      <c r="N19" s="14">
        <f t="shared" si="1"/>
        <v>0</v>
      </c>
      <c r="O19" s="14">
        <f t="shared" si="1"/>
        <v>0</v>
      </c>
      <c r="P19" s="14">
        <f t="shared" si="1"/>
        <v>0</v>
      </c>
      <c r="Q19" s="14">
        <f t="shared" si="1"/>
        <v>0</v>
      </c>
      <c r="R19" s="14">
        <f t="shared" si="1"/>
        <v>0</v>
      </c>
      <c r="S19" s="14">
        <f t="shared" si="1"/>
        <v>0</v>
      </c>
      <c r="T19" s="14">
        <f t="shared" si="1"/>
        <v>0</v>
      </c>
      <c r="U19" s="14">
        <f t="shared" si="1"/>
        <v>0</v>
      </c>
      <c r="V19" s="14">
        <f t="shared" si="1"/>
        <v>0</v>
      </c>
      <c r="W19" s="14">
        <f t="shared" si="1"/>
        <v>0</v>
      </c>
      <c r="X19" s="14">
        <f t="shared" si="1"/>
        <v>0</v>
      </c>
      <c r="Y19" s="14">
        <f t="shared" si="1"/>
        <v>0</v>
      </c>
      <c r="Z19" s="14">
        <f t="shared" si="1"/>
        <v>0</v>
      </c>
      <c r="AA19" s="14">
        <f t="shared" si="1"/>
        <v>0</v>
      </c>
      <c r="AB19" s="14">
        <f t="shared" si="1"/>
        <v>0</v>
      </c>
      <c r="AC19" s="14">
        <f t="shared" si="1"/>
        <v>0</v>
      </c>
      <c r="AD19" s="14">
        <f t="shared" si="1"/>
        <v>0</v>
      </c>
      <c r="AE19" s="14">
        <f t="shared" si="1"/>
        <v>0</v>
      </c>
      <c r="AF19" s="14">
        <f t="shared" si="1"/>
        <v>0</v>
      </c>
      <c r="AG19" s="14">
        <f t="shared" si="1"/>
        <v>0</v>
      </c>
      <c r="AH19" s="14">
        <f t="shared" si="1"/>
        <v>0</v>
      </c>
      <c r="AI19" s="14">
        <f t="shared" si="1"/>
        <v>300</v>
      </c>
      <c r="AJ19" s="14">
        <f t="shared" si="1"/>
        <v>0</v>
      </c>
      <c r="AK19" s="14">
        <f t="shared" si="1"/>
        <v>0</v>
      </c>
      <c r="AL19" s="14">
        <f t="shared" si="1"/>
        <v>0</v>
      </c>
      <c r="AM19" s="14">
        <f t="shared" si="1"/>
        <v>2740</v>
      </c>
      <c r="AN19" s="14">
        <f t="shared" si="1"/>
        <v>0</v>
      </c>
      <c r="AO19" s="14">
        <f t="shared" si="1"/>
        <v>0</v>
      </c>
      <c r="AP19" s="14">
        <f t="shared" si="1"/>
        <v>0</v>
      </c>
      <c r="AQ19" s="14">
        <f t="shared" si="1"/>
        <v>0</v>
      </c>
      <c r="AR19" s="14">
        <f t="shared" si="1"/>
        <v>0</v>
      </c>
      <c r="AS19" s="14">
        <f t="shared" si="1"/>
        <v>0</v>
      </c>
      <c r="AT19" s="14">
        <f t="shared" si="1"/>
        <v>0</v>
      </c>
      <c r="AU19" s="14">
        <f t="shared" si="1"/>
        <v>3040</v>
      </c>
    </row>
    <row r="20" spans="1:47" x14ac:dyDescent="0.2">
      <c r="A20" s="15" t="s">
        <v>65</v>
      </c>
      <c r="B20" s="14">
        <f t="shared" ref="B20:AU20" si="2">B15+0+0+B19</f>
        <v>37321.5</v>
      </c>
      <c r="C20" s="14">
        <f t="shared" si="2"/>
        <v>10950</v>
      </c>
      <c r="D20" s="14">
        <f t="shared" si="2"/>
        <v>2666.75</v>
      </c>
      <c r="E20" s="14">
        <f t="shared" si="2"/>
        <v>0</v>
      </c>
      <c r="F20" s="14">
        <f t="shared" si="2"/>
        <v>0</v>
      </c>
      <c r="G20" s="14">
        <f t="shared" si="2"/>
        <v>1466.75</v>
      </c>
      <c r="H20" s="14">
        <f t="shared" si="2"/>
        <v>0</v>
      </c>
      <c r="I20" s="14">
        <f t="shared" si="2"/>
        <v>0</v>
      </c>
      <c r="J20" s="14">
        <f t="shared" si="2"/>
        <v>1466.75</v>
      </c>
      <c r="K20" s="14">
        <f t="shared" si="2"/>
        <v>0</v>
      </c>
      <c r="L20" s="14">
        <f t="shared" si="2"/>
        <v>0</v>
      </c>
      <c r="M20" s="14">
        <f t="shared" si="2"/>
        <v>1980.08</v>
      </c>
      <c r="N20" s="14">
        <f t="shared" si="2"/>
        <v>8.5265128291212022E-14</v>
      </c>
      <c r="O20" s="14">
        <f t="shared" si="2"/>
        <v>3213.45</v>
      </c>
      <c r="P20" s="14">
        <f t="shared" si="2"/>
        <v>3213.45</v>
      </c>
      <c r="Q20" s="14">
        <f t="shared" si="2"/>
        <v>7415.95</v>
      </c>
      <c r="R20" s="14">
        <f t="shared" si="2"/>
        <v>5225.9499999999989</v>
      </c>
      <c r="S20" s="14">
        <f t="shared" si="2"/>
        <v>5225.9499999999989</v>
      </c>
      <c r="T20" s="14">
        <f t="shared" si="2"/>
        <v>5225.9499999999989</v>
      </c>
      <c r="U20" s="14">
        <f t="shared" si="2"/>
        <v>5225.9499999999989</v>
      </c>
      <c r="V20" s="14">
        <f t="shared" si="2"/>
        <v>5225.9499999999989</v>
      </c>
      <c r="W20" s="14">
        <f t="shared" si="2"/>
        <v>5225.9499999999989</v>
      </c>
      <c r="X20" s="14">
        <f t="shared" si="2"/>
        <v>5225.9499999999989</v>
      </c>
      <c r="Y20" s="14">
        <f t="shared" si="2"/>
        <v>5969.74</v>
      </c>
      <c r="Z20" s="14">
        <f t="shared" si="2"/>
        <v>7014.76</v>
      </c>
      <c r="AA20" s="14">
        <f t="shared" si="2"/>
        <v>0</v>
      </c>
      <c r="AB20" s="14">
        <f t="shared" si="2"/>
        <v>4958.45</v>
      </c>
      <c r="AC20" s="14">
        <f t="shared" si="2"/>
        <v>4958.4500000000007</v>
      </c>
      <c r="AD20" s="14">
        <f t="shared" si="2"/>
        <v>4380.1100000000006</v>
      </c>
      <c r="AE20" s="14">
        <f t="shared" si="2"/>
        <v>4770.1099999999997</v>
      </c>
      <c r="AF20" s="14">
        <f t="shared" si="2"/>
        <v>5595.26</v>
      </c>
      <c r="AG20" s="14">
        <f t="shared" si="2"/>
        <v>6185.26</v>
      </c>
      <c r="AH20" s="14">
        <f t="shared" si="2"/>
        <v>6836.920000000001</v>
      </c>
      <c r="AI20" s="14">
        <f t="shared" si="2"/>
        <v>7616.920000000001</v>
      </c>
      <c r="AJ20" s="14">
        <f t="shared" si="2"/>
        <v>10116.920000000002</v>
      </c>
      <c r="AK20" s="14">
        <f t="shared" si="2"/>
        <v>7914.420000000001</v>
      </c>
      <c r="AL20" s="14">
        <f t="shared" si="2"/>
        <v>8701.9599999999991</v>
      </c>
      <c r="AM20" s="14">
        <f t="shared" si="2"/>
        <v>11441.980000000003</v>
      </c>
      <c r="AN20" s="14">
        <f t="shared" si="2"/>
        <v>8184.5900000000011</v>
      </c>
      <c r="AO20" s="14">
        <f t="shared" si="2"/>
        <v>8803.69</v>
      </c>
      <c r="AP20" s="14">
        <f t="shared" si="2"/>
        <v>8239.43</v>
      </c>
      <c r="AQ20" s="14">
        <f t="shared" si="2"/>
        <v>8409.5</v>
      </c>
      <c r="AR20" s="14">
        <f t="shared" si="2"/>
        <v>8412.2799999999988</v>
      </c>
      <c r="AS20" s="14">
        <f t="shared" si="2"/>
        <v>8695.64</v>
      </c>
      <c r="AT20" s="14">
        <f t="shared" si="2"/>
        <v>0</v>
      </c>
      <c r="AU20" s="14">
        <f t="shared" si="2"/>
        <v>253482.72000000015</v>
      </c>
    </row>
    <row r="21" spans="1:47" x14ac:dyDescent="0.2">
      <c r="A21" s="7" t="s">
        <v>66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">
      <c r="A22" s="8" t="s">
        <v>67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">
      <c r="A23" s="9" t="s">
        <v>68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-2240</v>
      </c>
      <c r="AK23" s="10">
        <v>0</v>
      </c>
      <c r="AL23" s="10">
        <v>0</v>
      </c>
      <c r="AM23" s="10">
        <v>-11880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f>SUM(B23:AT23)</f>
        <v>-14120</v>
      </c>
    </row>
    <row r="24" spans="1:47" x14ac:dyDescent="0.2">
      <c r="A24" s="13" t="s">
        <v>69</v>
      </c>
      <c r="B24" s="14">
        <f t="shared" ref="B24:AU24" si="3">SUM(B23)</f>
        <v>0</v>
      </c>
      <c r="C24" s="14">
        <f t="shared" si="3"/>
        <v>0</v>
      </c>
      <c r="D24" s="14">
        <f t="shared" si="3"/>
        <v>0</v>
      </c>
      <c r="E24" s="14">
        <f t="shared" si="3"/>
        <v>0</v>
      </c>
      <c r="F24" s="14">
        <f t="shared" si="3"/>
        <v>0</v>
      </c>
      <c r="G24" s="14">
        <f t="shared" si="3"/>
        <v>0</v>
      </c>
      <c r="H24" s="14">
        <f t="shared" si="3"/>
        <v>0</v>
      </c>
      <c r="I24" s="14">
        <f t="shared" si="3"/>
        <v>0</v>
      </c>
      <c r="J24" s="14">
        <f t="shared" si="3"/>
        <v>0</v>
      </c>
      <c r="K24" s="14">
        <f t="shared" si="3"/>
        <v>0</v>
      </c>
      <c r="L24" s="14">
        <f t="shared" si="3"/>
        <v>0</v>
      </c>
      <c r="M24" s="14">
        <f t="shared" si="3"/>
        <v>0</v>
      </c>
      <c r="N24" s="14">
        <f t="shared" si="3"/>
        <v>0</v>
      </c>
      <c r="O24" s="14">
        <f t="shared" si="3"/>
        <v>0</v>
      </c>
      <c r="P24" s="14">
        <f t="shared" si="3"/>
        <v>0</v>
      </c>
      <c r="Q24" s="14">
        <f t="shared" si="3"/>
        <v>0</v>
      </c>
      <c r="R24" s="14">
        <f t="shared" si="3"/>
        <v>0</v>
      </c>
      <c r="S24" s="14">
        <f t="shared" si="3"/>
        <v>0</v>
      </c>
      <c r="T24" s="14">
        <f t="shared" si="3"/>
        <v>0</v>
      </c>
      <c r="U24" s="14">
        <f t="shared" si="3"/>
        <v>0</v>
      </c>
      <c r="V24" s="14">
        <f t="shared" si="3"/>
        <v>0</v>
      </c>
      <c r="W24" s="14">
        <f t="shared" si="3"/>
        <v>0</v>
      </c>
      <c r="X24" s="14">
        <f t="shared" si="3"/>
        <v>0</v>
      </c>
      <c r="Y24" s="14">
        <f t="shared" si="3"/>
        <v>0</v>
      </c>
      <c r="Z24" s="14">
        <f t="shared" si="3"/>
        <v>0</v>
      </c>
      <c r="AA24" s="14">
        <f t="shared" si="3"/>
        <v>0</v>
      </c>
      <c r="AB24" s="14">
        <f t="shared" si="3"/>
        <v>0</v>
      </c>
      <c r="AC24" s="14">
        <f t="shared" si="3"/>
        <v>0</v>
      </c>
      <c r="AD24" s="14">
        <f t="shared" si="3"/>
        <v>0</v>
      </c>
      <c r="AE24" s="14">
        <f t="shared" si="3"/>
        <v>0</v>
      </c>
      <c r="AF24" s="14">
        <f t="shared" si="3"/>
        <v>0</v>
      </c>
      <c r="AG24" s="14">
        <f t="shared" si="3"/>
        <v>0</v>
      </c>
      <c r="AH24" s="14">
        <f t="shared" si="3"/>
        <v>0</v>
      </c>
      <c r="AI24" s="14">
        <f t="shared" si="3"/>
        <v>0</v>
      </c>
      <c r="AJ24" s="14">
        <f t="shared" si="3"/>
        <v>-2240</v>
      </c>
      <c r="AK24" s="14">
        <f t="shared" si="3"/>
        <v>0</v>
      </c>
      <c r="AL24" s="14">
        <f t="shared" si="3"/>
        <v>0</v>
      </c>
      <c r="AM24" s="14">
        <f t="shared" si="3"/>
        <v>-11880</v>
      </c>
      <c r="AN24" s="14">
        <f t="shared" si="3"/>
        <v>0</v>
      </c>
      <c r="AO24" s="14">
        <f t="shared" si="3"/>
        <v>0</v>
      </c>
      <c r="AP24" s="14">
        <f t="shared" si="3"/>
        <v>0</v>
      </c>
      <c r="AQ24" s="14">
        <f t="shared" si="3"/>
        <v>0</v>
      </c>
      <c r="AR24" s="14">
        <f t="shared" si="3"/>
        <v>0</v>
      </c>
      <c r="AS24" s="14">
        <f t="shared" si="3"/>
        <v>0</v>
      </c>
      <c r="AT24" s="14">
        <f t="shared" si="3"/>
        <v>0</v>
      </c>
      <c r="AU24" s="14">
        <f t="shared" si="3"/>
        <v>-14120</v>
      </c>
    </row>
    <row r="25" spans="1:47" x14ac:dyDescent="0.2">
      <c r="A25" s="15" t="s">
        <v>70</v>
      </c>
      <c r="B25" s="14">
        <f t="shared" ref="B25:AU25" si="4">0+B24</f>
        <v>0</v>
      </c>
      <c r="C25" s="14">
        <f t="shared" si="4"/>
        <v>0</v>
      </c>
      <c r="D25" s="14">
        <f t="shared" si="4"/>
        <v>0</v>
      </c>
      <c r="E25" s="14">
        <f t="shared" si="4"/>
        <v>0</v>
      </c>
      <c r="F25" s="14">
        <f t="shared" si="4"/>
        <v>0</v>
      </c>
      <c r="G25" s="14">
        <f t="shared" si="4"/>
        <v>0</v>
      </c>
      <c r="H25" s="14">
        <f t="shared" si="4"/>
        <v>0</v>
      </c>
      <c r="I25" s="14">
        <f t="shared" si="4"/>
        <v>0</v>
      </c>
      <c r="J25" s="14">
        <f t="shared" si="4"/>
        <v>0</v>
      </c>
      <c r="K25" s="14">
        <f t="shared" si="4"/>
        <v>0</v>
      </c>
      <c r="L25" s="14">
        <f t="shared" si="4"/>
        <v>0</v>
      </c>
      <c r="M25" s="14">
        <f t="shared" si="4"/>
        <v>0</v>
      </c>
      <c r="N25" s="14">
        <f t="shared" si="4"/>
        <v>0</v>
      </c>
      <c r="O25" s="14">
        <f t="shared" si="4"/>
        <v>0</v>
      </c>
      <c r="P25" s="14">
        <f t="shared" si="4"/>
        <v>0</v>
      </c>
      <c r="Q25" s="14">
        <f t="shared" si="4"/>
        <v>0</v>
      </c>
      <c r="R25" s="14">
        <f t="shared" si="4"/>
        <v>0</v>
      </c>
      <c r="S25" s="14">
        <f t="shared" si="4"/>
        <v>0</v>
      </c>
      <c r="T25" s="14">
        <f t="shared" si="4"/>
        <v>0</v>
      </c>
      <c r="U25" s="14">
        <f t="shared" si="4"/>
        <v>0</v>
      </c>
      <c r="V25" s="14">
        <f t="shared" si="4"/>
        <v>0</v>
      </c>
      <c r="W25" s="14">
        <f t="shared" si="4"/>
        <v>0</v>
      </c>
      <c r="X25" s="14">
        <f t="shared" si="4"/>
        <v>0</v>
      </c>
      <c r="Y25" s="14">
        <f t="shared" si="4"/>
        <v>0</v>
      </c>
      <c r="Z25" s="14">
        <f t="shared" si="4"/>
        <v>0</v>
      </c>
      <c r="AA25" s="14">
        <f t="shared" si="4"/>
        <v>0</v>
      </c>
      <c r="AB25" s="14">
        <f t="shared" si="4"/>
        <v>0</v>
      </c>
      <c r="AC25" s="14">
        <f t="shared" si="4"/>
        <v>0</v>
      </c>
      <c r="AD25" s="14">
        <f t="shared" si="4"/>
        <v>0</v>
      </c>
      <c r="AE25" s="14">
        <f t="shared" si="4"/>
        <v>0</v>
      </c>
      <c r="AF25" s="14">
        <f t="shared" si="4"/>
        <v>0</v>
      </c>
      <c r="AG25" s="14">
        <f t="shared" si="4"/>
        <v>0</v>
      </c>
      <c r="AH25" s="14">
        <f t="shared" si="4"/>
        <v>0</v>
      </c>
      <c r="AI25" s="14">
        <f t="shared" si="4"/>
        <v>0</v>
      </c>
      <c r="AJ25" s="14">
        <f t="shared" si="4"/>
        <v>-2240</v>
      </c>
      <c r="AK25" s="14">
        <f t="shared" si="4"/>
        <v>0</v>
      </c>
      <c r="AL25" s="14">
        <f t="shared" si="4"/>
        <v>0</v>
      </c>
      <c r="AM25" s="14">
        <f t="shared" si="4"/>
        <v>-11880</v>
      </c>
      <c r="AN25" s="14">
        <f t="shared" si="4"/>
        <v>0</v>
      </c>
      <c r="AO25" s="14">
        <f t="shared" si="4"/>
        <v>0</v>
      </c>
      <c r="AP25" s="14">
        <f t="shared" si="4"/>
        <v>0</v>
      </c>
      <c r="AQ25" s="14">
        <f t="shared" si="4"/>
        <v>0</v>
      </c>
      <c r="AR25" s="14">
        <f t="shared" si="4"/>
        <v>0</v>
      </c>
      <c r="AS25" s="14">
        <f t="shared" si="4"/>
        <v>0</v>
      </c>
      <c r="AT25" s="14">
        <f t="shared" si="4"/>
        <v>0</v>
      </c>
      <c r="AU25" s="14">
        <f t="shared" si="4"/>
        <v>-14120</v>
      </c>
    </row>
    <row r="26" spans="1:47" x14ac:dyDescent="0.2">
      <c r="A26" s="16" t="s">
        <v>71</v>
      </c>
      <c r="B26" s="14">
        <f t="shared" ref="B26:AU26" si="5">B20+B25</f>
        <v>37321.5</v>
      </c>
      <c r="C26" s="14">
        <f t="shared" si="5"/>
        <v>10950</v>
      </c>
      <c r="D26" s="14">
        <f t="shared" si="5"/>
        <v>2666.75</v>
      </c>
      <c r="E26" s="14">
        <f t="shared" si="5"/>
        <v>0</v>
      </c>
      <c r="F26" s="14">
        <f t="shared" si="5"/>
        <v>0</v>
      </c>
      <c r="G26" s="14">
        <f t="shared" si="5"/>
        <v>1466.75</v>
      </c>
      <c r="H26" s="14">
        <f t="shared" si="5"/>
        <v>0</v>
      </c>
      <c r="I26" s="14">
        <f t="shared" si="5"/>
        <v>0</v>
      </c>
      <c r="J26" s="14">
        <f t="shared" si="5"/>
        <v>1466.75</v>
      </c>
      <c r="K26" s="14">
        <f t="shared" si="5"/>
        <v>0</v>
      </c>
      <c r="L26" s="14">
        <f t="shared" si="5"/>
        <v>0</v>
      </c>
      <c r="M26" s="14">
        <f t="shared" si="5"/>
        <v>1980.08</v>
      </c>
      <c r="N26" s="14">
        <f t="shared" si="5"/>
        <v>8.5265128291212022E-14</v>
      </c>
      <c r="O26" s="14">
        <f t="shared" si="5"/>
        <v>3213.45</v>
      </c>
      <c r="P26" s="14">
        <f t="shared" si="5"/>
        <v>3213.45</v>
      </c>
      <c r="Q26" s="14">
        <f t="shared" si="5"/>
        <v>7415.95</v>
      </c>
      <c r="R26" s="14">
        <f t="shared" si="5"/>
        <v>5225.9499999999989</v>
      </c>
      <c r="S26" s="14">
        <f t="shared" si="5"/>
        <v>5225.9499999999989</v>
      </c>
      <c r="T26" s="14">
        <f t="shared" si="5"/>
        <v>5225.9499999999989</v>
      </c>
      <c r="U26" s="14">
        <f t="shared" si="5"/>
        <v>5225.9499999999989</v>
      </c>
      <c r="V26" s="14">
        <f t="shared" si="5"/>
        <v>5225.9499999999989</v>
      </c>
      <c r="W26" s="14">
        <f t="shared" si="5"/>
        <v>5225.9499999999989</v>
      </c>
      <c r="X26" s="14">
        <f t="shared" si="5"/>
        <v>5225.9499999999989</v>
      </c>
      <c r="Y26" s="14">
        <f t="shared" si="5"/>
        <v>5969.74</v>
      </c>
      <c r="Z26" s="14">
        <f t="shared" si="5"/>
        <v>7014.76</v>
      </c>
      <c r="AA26" s="14">
        <f t="shared" si="5"/>
        <v>0</v>
      </c>
      <c r="AB26" s="14">
        <f t="shared" si="5"/>
        <v>4958.45</v>
      </c>
      <c r="AC26" s="14">
        <f t="shared" si="5"/>
        <v>4958.4500000000007</v>
      </c>
      <c r="AD26" s="14">
        <f t="shared" si="5"/>
        <v>4380.1100000000006</v>
      </c>
      <c r="AE26" s="14">
        <f t="shared" si="5"/>
        <v>4770.1099999999997</v>
      </c>
      <c r="AF26" s="14">
        <f t="shared" si="5"/>
        <v>5595.26</v>
      </c>
      <c r="AG26" s="14">
        <f t="shared" si="5"/>
        <v>6185.26</v>
      </c>
      <c r="AH26" s="14">
        <f t="shared" si="5"/>
        <v>6836.920000000001</v>
      </c>
      <c r="AI26" s="14">
        <f t="shared" si="5"/>
        <v>7616.920000000001</v>
      </c>
      <c r="AJ26" s="14">
        <f t="shared" si="5"/>
        <v>7876.9200000000019</v>
      </c>
      <c r="AK26" s="14">
        <f t="shared" si="5"/>
        <v>7914.420000000001</v>
      </c>
      <c r="AL26" s="14">
        <f t="shared" si="5"/>
        <v>8701.9599999999991</v>
      </c>
      <c r="AM26" s="14">
        <f t="shared" si="5"/>
        <v>-438.0199999999968</v>
      </c>
      <c r="AN26" s="14">
        <f t="shared" si="5"/>
        <v>8184.5900000000011</v>
      </c>
      <c r="AO26" s="14">
        <f t="shared" si="5"/>
        <v>8803.69</v>
      </c>
      <c r="AP26" s="14">
        <f t="shared" si="5"/>
        <v>8239.43</v>
      </c>
      <c r="AQ26" s="14">
        <f t="shared" si="5"/>
        <v>8409.5</v>
      </c>
      <c r="AR26" s="14">
        <f t="shared" si="5"/>
        <v>8412.2799999999988</v>
      </c>
      <c r="AS26" s="14">
        <f t="shared" si="5"/>
        <v>8695.64</v>
      </c>
      <c r="AT26" s="14">
        <f t="shared" si="5"/>
        <v>0</v>
      </c>
      <c r="AU26" s="14">
        <f t="shared" si="5"/>
        <v>239362.72000000015</v>
      </c>
    </row>
    <row r="27" spans="1:47" x14ac:dyDescent="0.2">
      <c r="A27" s="6" t="s">
        <v>72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x14ac:dyDescent="0.2">
      <c r="A28" s="7" t="s">
        <v>73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x14ac:dyDescent="0.2">
      <c r="A29" s="8" t="s">
        <v>74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x14ac:dyDescent="0.2">
      <c r="A30" s="9" t="s">
        <v>75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508.93</v>
      </c>
      <c r="AL30" s="10">
        <v>0</v>
      </c>
      <c r="AM30" s="10">
        <v>-508.93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f>SUM(B30:AT30)</f>
        <v>0</v>
      </c>
    </row>
    <row r="31" spans="1:47" x14ac:dyDescent="0.2">
      <c r="A31" s="9" t="s">
        <v>76</v>
      </c>
      <c r="B31" s="10">
        <v>-2250</v>
      </c>
      <c r="C31" s="10">
        <v>-2250</v>
      </c>
      <c r="D31" s="10">
        <v>-2291.67</v>
      </c>
      <c r="E31" s="10">
        <v>-398.33</v>
      </c>
      <c r="F31" s="10">
        <v>-90.66</v>
      </c>
      <c r="G31" s="10">
        <v>-86.54</v>
      </c>
      <c r="H31" s="10">
        <v>0</v>
      </c>
      <c r="I31" s="10">
        <v>-654.76</v>
      </c>
      <c r="J31" s="10">
        <v>-2291.67</v>
      </c>
      <c r="K31" s="10">
        <v>-2291.67</v>
      </c>
      <c r="L31" s="10">
        <v>-2291.67</v>
      </c>
      <c r="M31" s="10">
        <v>-2291.67</v>
      </c>
      <c r="N31" s="10">
        <v>0</v>
      </c>
      <c r="O31" s="10">
        <v>-2291.67</v>
      </c>
      <c r="P31" s="10">
        <v>-2291.67</v>
      </c>
      <c r="Q31" s="10">
        <v>-2333.34</v>
      </c>
      <c r="R31" s="10">
        <v>-2333.34</v>
      </c>
      <c r="S31" s="10">
        <v>-2333.34</v>
      </c>
      <c r="T31" s="10">
        <v>-2333.34</v>
      </c>
      <c r="U31" s="10">
        <v>-2333.34</v>
      </c>
      <c r="V31" s="10">
        <v>-2333.34</v>
      </c>
      <c r="W31" s="10">
        <v>-2333.34</v>
      </c>
      <c r="X31" s="10">
        <v>-2333.34</v>
      </c>
      <c r="Y31" s="10">
        <v>-2333.34</v>
      </c>
      <c r="Z31" s="10">
        <v>-2333.34</v>
      </c>
      <c r="AA31" s="10">
        <v>0</v>
      </c>
      <c r="AB31" s="10">
        <v>-2333.34</v>
      </c>
      <c r="AC31" s="10">
        <v>-2333.34</v>
      </c>
      <c r="AD31" s="10">
        <v>-2333.34</v>
      </c>
      <c r="AE31" s="10">
        <v>-2333.34</v>
      </c>
      <c r="AF31" s="10">
        <v>-2333.34</v>
      </c>
      <c r="AG31" s="10">
        <v>-2333.34</v>
      </c>
      <c r="AH31" s="10">
        <v>-2541.64</v>
      </c>
      <c r="AI31" s="10">
        <v>-2375</v>
      </c>
      <c r="AJ31" s="10">
        <v>-2675</v>
      </c>
      <c r="AK31" s="10">
        <v>-2375</v>
      </c>
      <c r="AL31" s="10">
        <v>-2375</v>
      </c>
      <c r="AM31" s="10">
        <v>-2375</v>
      </c>
      <c r="AN31" s="10">
        <v>-2375</v>
      </c>
      <c r="AO31" s="10">
        <v>-2375</v>
      </c>
      <c r="AP31" s="10">
        <v>-2500</v>
      </c>
      <c r="AQ31" s="10">
        <v>-2500</v>
      </c>
      <c r="AR31" s="10">
        <v>-2500</v>
      </c>
      <c r="AS31" s="10">
        <v>-2500</v>
      </c>
      <c r="AT31" s="10">
        <v>0</v>
      </c>
      <c r="AU31" s="10">
        <f>SUM(B31:AT31)</f>
        <v>-88572.059999999954</v>
      </c>
    </row>
    <row r="32" spans="1:47" x14ac:dyDescent="0.2">
      <c r="A32" s="9" t="s">
        <v>77</v>
      </c>
      <c r="B32" s="10">
        <v>256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-914</v>
      </c>
      <c r="N32" s="10">
        <v>0</v>
      </c>
      <c r="O32" s="10">
        <v>914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-136</v>
      </c>
      <c r="AN32" s="10">
        <v>136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f>SUM(B32:AT32)</f>
        <v>256</v>
      </c>
    </row>
    <row r="33" spans="1:47" x14ac:dyDescent="0.2">
      <c r="A33" s="9" t="s">
        <v>78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508.93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f>SUM(B33:AT33)</f>
        <v>508.93</v>
      </c>
    </row>
    <row r="34" spans="1:47" x14ac:dyDescent="0.2">
      <c r="A34" s="13" t="s">
        <v>79</v>
      </c>
      <c r="B34" s="14">
        <f t="shared" ref="B34:AU34" si="6">SUM(B30:B33)</f>
        <v>-1994</v>
      </c>
      <c r="C34" s="14">
        <f t="shared" si="6"/>
        <v>-2250</v>
      </c>
      <c r="D34" s="14">
        <f t="shared" si="6"/>
        <v>-2291.67</v>
      </c>
      <c r="E34" s="14">
        <f t="shared" si="6"/>
        <v>-398.33</v>
      </c>
      <c r="F34" s="14">
        <f t="shared" si="6"/>
        <v>-90.66</v>
      </c>
      <c r="G34" s="14">
        <f t="shared" si="6"/>
        <v>-86.54</v>
      </c>
      <c r="H34" s="14">
        <f t="shared" si="6"/>
        <v>0</v>
      </c>
      <c r="I34" s="14">
        <f t="shared" si="6"/>
        <v>-654.76</v>
      </c>
      <c r="J34" s="14">
        <f t="shared" si="6"/>
        <v>-2291.67</v>
      </c>
      <c r="K34" s="14">
        <f t="shared" si="6"/>
        <v>-2291.67</v>
      </c>
      <c r="L34" s="14">
        <f t="shared" si="6"/>
        <v>-2291.67</v>
      </c>
      <c r="M34" s="14">
        <f t="shared" si="6"/>
        <v>-3205.67</v>
      </c>
      <c r="N34" s="14">
        <f t="shared" si="6"/>
        <v>0</v>
      </c>
      <c r="O34" s="14">
        <f t="shared" si="6"/>
        <v>-1377.67</v>
      </c>
      <c r="P34" s="14">
        <f t="shared" si="6"/>
        <v>-2291.67</v>
      </c>
      <c r="Q34" s="14">
        <f t="shared" si="6"/>
        <v>-2333.34</v>
      </c>
      <c r="R34" s="14">
        <f t="shared" si="6"/>
        <v>-2333.34</v>
      </c>
      <c r="S34" s="14">
        <f t="shared" si="6"/>
        <v>-2333.34</v>
      </c>
      <c r="T34" s="14">
        <f t="shared" si="6"/>
        <v>-2333.34</v>
      </c>
      <c r="U34" s="14">
        <f t="shared" si="6"/>
        <v>-2333.34</v>
      </c>
      <c r="V34" s="14">
        <f t="shared" si="6"/>
        <v>-2333.34</v>
      </c>
      <c r="W34" s="14">
        <f t="shared" si="6"/>
        <v>-2333.34</v>
      </c>
      <c r="X34" s="14">
        <f t="shared" si="6"/>
        <v>-2333.34</v>
      </c>
      <c r="Y34" s="14">
        <f t="shared" si="6"/>
        <v>-2333.34</v>
      </c>
      <c r="Z34" s="14">
        <f t="shared" si="6"/>
        <v>-2333.34</v>
      </c>
      <c r="AA34" s="14">
        <f t="shared" si="6"/>
        <v>0</v>
      </c>
      <c r="AB34" s="14">
        <f t="shared" si="6"/>
        <v>-2333.34</v>
      </c>
      <c r="AC34" s="14">
        <f t="shared" si="6"/>
        <v>-2333.34</v>
      </c>
      <c r="AD34" s="14">
        <f t="shared" si="6"/>
        <v>-2333.34</v>
      </c>
      <c r="AE34" s="14">
        <f t="shared" si="6"/>
        <v>-2333.34</v>
      </c>
      <c r="AF34" s="14">
        <f t="shared" si="6"/>
        <v>-2333.34</v>
      </c>
      <c r="AG34" s="14">
        <f t="shared" si="6"/>
        <v>-2333.34</v>
      </c>
      <c r="AH34" s="14">
        <f t="shared" si="6"/>
        <v>-2541.64</v>
      </c>
      <c r="AI34" s="14">
        <f t="shared" si="6"/>
        <v>-2375</v>
      </c>
      <c r="AJ34" s="14">
        <f t="shared" si="6"/>
        <v>-2675</v>
      </c>
      <c r="AK34" s="14">
        <f t="shared" si="6"/>
        <v>-1866.07</v>
      </c>
      <c r="AL34" s="14">
        <f t="shared" si="6"/>
        <v>-2375</v>
      </c>
      <c r="AM34" s="14">
        <f t="shared" si="6"/>
        <v>-2511</v>
      </c>
      <c r="AN34" s="14">
        <f t="shared" si="6"/>
        <v>-2239</v>
      </c>
      <c r="AO34" s="14">
        <f t="shared" si="6"/>
        <v>-2375</v>
      </c>
      <c r="AP34" s="14">
        <f t="shared" si="6"/>
        <v>-2500</v>
      </c>
      <c r="AQ34" s="14">
        <f t="shared" si="6"/>
        <v>-2500</v>
      </c>
      <c r="AR34" s="14">
        <f t="shared" si="6"/>
        <v>-2500</v>
      </c>
      <c r="AS34" s="14">
        <f t="shared" si="6"/>
        <v>-2500</v>
      </c>
      <c r="AT34" s="14">
        <f t="shared" si="6"/>
        <v>0</v>
      </c>
      <c r="AU34" s="14">
        <f t="shared" si="6"/>
        <v>-87807.129999999961</v>
      </c>
    </row>
    <row r="35" spans="1:47" x14ac:dyDescent="0.2">
      <c r="A35" s="8" t="s">
        <v>80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x14ac:dyDescent="0.2">
      <c r="A36" s="9" t="s">
        <v>81</v>
      </c>
      <c r="B36" s="10">
        <v>-464.44</v>
      </c>
      <c r="C36" s="10">
        <v>-464.44</v>
      </c>
      <c r="D36" s="10">
        <v>-473.48</v>
      </c>
      <c r="E36" s="10">
        <v>-72.760000000000005</v>
      </c>
      <c r="F36" s="10">
        <v>-31.07</v>
      </c>
      <c r="G36" s="10">
        <v>-28.6</v>
      </c>
      <c r="H36" s="10">
        <v>8.25</v>
      </c>
      <c r="I36" s="10">
        <v>-112.46</v>
      </c>
      <c r="J36" s="10">
        <v>-486.15</v>
      </c>
      <c r="K36" s="10">
        <v>-486.15</v>
      </c>
      <c r="L36" s="10">
        <v>-486.15</v>
      </c>
      <c r="M36" s="10">
        <v>-486.15</v>
      </c>
      <c r="N36" s="10">
        <v>0</v>
      </c>
      <c r="O36" s="10">
        <v>-488.08</v>
      </c>
      <c r="P36" s="10">
        <v>-488.08</v>
      </c>
      <c r="Q36" s="10">
        <v>-497.41</v>
      </c>
      <c r="R36" s="10">
        <v>-497.41</v>
      </c>
      <c r="S36" s="10">
        <v>-497.41</v>
      </c>
      <c r="T36" s="10">
        <v>-497.41</v>
      </c>
      <c r="U36" s="10">
        <v>-497.41</v>
      </c>
      <c r="V36" s="10">
        <v>-494.08</v>
      </c>
      <c r="W36" s="10">
        <v>-494.08</v>
      </c>
      <c r="X36" s="10">
        <v>-494.08</v>
      </c>
      <c r="Y36" s="10">
        <v>-494.08</v>
      </c>
      <c r="Z36" s="10">
        <v>-494.08</v>
      </c>
      <c r="AA36" s="10">
        <v>0</v>
      </c>
      <c r="AB36" s="10">
        <v>-495.64</v>
      </c>
      <c r="AC36" s="10">
        <v>-495.64</v>
      </c>
      <c r="AD36" s="10">
        <v>-495.64</v>
      </c>
      <c r="AE36" s="10">
        <v>-495.64</v>
      </c>
      <c r="AF36" s="10">
        <v>-495.64</v>
      </c>
      <c r="AG36" s="10">
        <v>-495.64</v>
      </c>
      <c r="AH36" s="10">
        <v>-542.24</v>
      </c>
      <c r="AI36" s="10">
        <v>-504.96</v>
      </c>
      <c r="AJ36" s="10">
        <v>-504.96</v>
      </c>
      <c r="AK36" s="10">
        <v>-504.96</v>
      </c>
      <c r="AL36" s="10">
        <v>-504.96</v>
      </c>
      <c r="AM36" s="10">
        <v>-504.96</v>
      </c>
      <c r="AN36" s="10">
        <v>-507.96</v>
      </c>
      <c r="AO36" s="10">
        <v>-507.96</v>
      </c>
      <c r="AP36" s="10">
        <v>-536.19000000000005</v>
      </c>
      <c r="AQ36" s="10">
        <v>-536.19000000000005</v>
      </c>
      <c r="AR36" s="10">
        <v>-536.19000000000005</v>
      </c>
      <c r="AS36" s="10">
        <v>-536.19000000000005</v>
      </c>
      <c r="AT36" s="10">
        <v>0</v>
      </c>
      <c r="AU36" s="10">
        <f>SUM(B36:AT36)</f>
        <v>-18718.769999999986</v>
      </c>
    </row>
    <row r="37" spans="1:47" x14ac:dyDescent="0.2">
      <c r="A37" s="9" t="s">
        <v>82</v>
      </c>
      <c r="B37" s="10">
        <v>0</v>
      </c>
      <c r="C37" s="10">
        <v>0</v>
      </c>
      <c r="D37" s="10">
        <v>0</v>
      </c>
      <c r="E37" s="10">
        <v>0</v>
      </c>
      <c r="F37" s="10">
        <v>-8.7200000000000006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-48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-51.05</v>
      </c>
      <c r="T37" s="10">
        <v>0</v>
      </c>
      <c r="U37" s="10">
        <v>48</v>
      </c>
      <c r="V37" s="10">
        <v>0</v>
      </c>
      <c r="W37" s="10">
        <v>0</v>
      </c>
      <c r="X37" s="10">
        <v>0</v>
      </c>
      <c r="Y37" s="10">
        <v>0</v>
      </c>
      <c r="Z37" s="10">
        <v>-48</v>
      </c>
      <c r="AA37" s="10">
        <v>0</v>
      </c>
      <c r="AB37" s="10">
        <v>0</v>
      </c>
      <c r="AC37" s="10">
        <v>0</v>
      </c>
      <c r="AD37" s="10">
        <v>0</v>
      </c>
      <c r="AE37" s="10">
        <v>-12.6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-60</v>
      </c>
      <c r="AN37" s="10">
        <v>0</v>
      </c>
      <c r="AO37" s="10">
        <v>0</v>
      </c>
      <c r="AP37" s="10">
        <v>0</v>
      </c>
      <c r="AQ37" s="10">
        <v>-78.040000000000006</v>
      </c>
      <c r="AR37" s="10">
        <v>0</v>
      </c>
      <c r="AS37" s="10">
        <v>0</v>
      </c>
      <c r="AT37" s="10">
        <v>0</v>
      </c>
      <c r="AU37" s="10">
        <f>SUM(B37:AT37)</f>
        <v>-258.41000000000003</v>
      </c>
    </row>
    <row r="38" spans="1:47" x14ac:dyDescent="0.2">
      <c r="A38" s="9" t="s">
        <v>83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-50</v>
      </c>
      <c r="AJ38" s="10">
        <v>-60</v>
      </c>
      <c r="AK38" s="10">
        <v>0</v>
      </c>
      <c r="AL38" s="10">
        <v>-90</v>
      </c>
      <c r="AM38" s="10">
        <v>-1700</v>
      </c>
      <c r="AN38" s="10">
        <v>0</v>
      </c>
      <c r="AO38" s="10">
        <v>0</v>
      </c>
      <c r="AP38" s="10">
        <v>0</v>
      </c>
      <c r="AQ38" s="10">
        <v>0</v>
      </c>
      <c r="AR38" s="10">
        <v>-120</v>
      </c>
      <c r="AS38" s="10">
        <v>0</v>
      </c>
      <c r="AT38" s="10">
        <v>-50</v>
      </c>
      <c r="AU38" s="10">
        <f>SUM(B38:AT38)</f>
        <v>-2070</v>
      </c>
    </row>
    <row r="39" spans="1:47" x14ac:dyDescent="0.2">
      <c r="A39" s="9" t="s">
        <v>84</v>
      </c>
      <c r="B39" s="10">
        <v>-16.39</v>
      </c>
      <c r="C39" s="10">
        <v>-16.39</v>
      </c>
      <c r="D39" s="10">
        <v>-16.39</v>
      </c>
      <c r="E39" s="10">
        <v>-16.39</v>
      </c>
      <c r="F39" s="10">
        <v>-16.39</v>
      </c>
      <c r="G39" s="10">
        <v>-16.39</v>
      </c>
      <c r="H39" s="10">
        <v>-16.39</v>
      </c>
      <c r="I39" s="10">
        <v>-16.39</v>
      </c>
      <c r="J39" s="10">
        <v>-16.39</v>
      </c>
      <c r="K39" s="10">
        <v>-16.39</v>
      </c>
      <c r="L39" s="10">
        <v>-16.39</v>
      </c>
      <c r="M39" s="10">
        <v>-16.39</v>
      </c>
      <c r="N39" s="10">
        <v>0</v>
      </c>
      <c r="O39" s="10">
        <v>-17.43</v>
      </c>
      <c r="P39" s="10">
        <v>-17.43</v>
      </c>
      <c r="Q39" s="10">
        <v>-17.43</v>
      </c>
      <c r="R39" s="10">
        <v>-17.43</v>
      </c>
      <c r="S39" s="10">
        <v>-17.43</v>
      </c>
      <c r="T39" s="10">
        <v>-17.43</v>
      </c>
      <c r="U39" s="10">
        <v>-17.43</v>
      </c>
      <c r="V39" s="10">
        <v>-17.43</v>
      </c>
      <c r="W39" s="10">
        <v>-17.43</v>
      </c>
      <c r="X39" s="10">
        <v>-17.43</v>
      </c>
      <c r="Y39" s="10">
        <v>-17.43</v>
      </c>
      <c r="Z39" s="10">
        <v>-17.43</v>
      </c>
      <c r="AA39" s="10">
        <v>0</v>
      </c>
      <c r="AB39" s="10">
        <v>-17.43</v>
      </c>
      <c r="AC39" s="10">
        <v>-17.43</v>
      </c>
      <c r="AD39" s="10">
        <v>-17.43</v>
      </c>
      <c r="AE39" s="10">
        <v>-17.43</v>
      </c>
      <c r="AF39" s="10">
        <v>-17.43</v>
      </c>
      <c r="AG39" s="10">
        <v>-17.43</v>
      </c>
      <c r="AH39" s="10">
        <v>-17.43</v>
      </c>
      <c r="AI39" s="10">
        <v>-17.43</v>
      </c>
      <c r="AJ39" s="10">
        <v>-17.43</v>
      </c>
      <c r="AK39" s="10">
        <v>-17.43</v>
      </c>
      <c r="AL39" s="10">
        <v>-17.43</v>
      </c>
      <c r="AM39" s="10">
        <v>-17.43</v>
      </c>
      <c r="AN39" s="10">
        <v>-18.739999999999998</v>
      </c>
      <c r="AO39" s="10">
        <v>-18.739999999999998</v>
      </c>
      <c r="AP39" s="10">
        <v>-18.739999999999998</v>
      </c>
      <c r="AQ39" s="10">
        <v>-18.739999999999998</v>
      </c>
      <c r="AR39" s="10">
        <v>-18.739999999999998</v>
      </c>
      <c r="AS39" s="10">
        <v>-18.739999999999998</v>
      </c>
      <c r="AT39" s="10">
        <v>0</v>
      </c>
      <c r="AU39" s="10">
        <f>SUM(B39:AT39)</f>
        <v>-727.43999999999983</v>
      </c>
    </row>
    <row r="40" spans="1:47" x14ac:dyDescent="0.2">
      <c r="A40" s="13" t="s">
        <v>85</v>
      </c>
      <c r="B40" s="14">
        <f t="shared" ref="B40:AU40" si="7">SUM(B36:B39)</f>
        <v>-480.83</v>
      </c>
      <c r="C40" s="14">
        <f t="shared" si="7"/>
        <v>-480.83</v>
      </c>
      <c r="D40" s="14">
        <f t="shared" si="7"/>
        <v>-489.87</v>
      </c>
      <c r="E40" s="14">
        <f t="shared" si="7"/>
        <v>-89.15</v>
      </c>
      <c r="F40" s="14">
        <f t="shared" si="7"/>
        <v>-56.18</v>
      </c>
      <c r="G40" s="14">
        <f t="shared" si="7"/>
        <v>-44.99</v>
      </c>
      <c r="H40" s="14">
        <f t="shared" si="7"/>
        <v>-8.14</v>
      </c>
      <c r="I40" s="14">
        <f t="shared" si="7"/>
        <v>-128.85</v>
      </c>
      <c r="J40" s="14">
        <f t="shared" si="7"/>
        <v>-502.53999999999996</v>
      </c>
      <c r="K40" s="14">
        <f t="shared" si="7"/>
        <v>-502.53999999999996</v>
      </c>
      <c r="L40" s="14">
        <f t="shared" si="7"/>
        <v>-502.53999999999996</v>
      </c>
      <c r="M40" s="14">
        <f t="shared" si="7"/>
        <v>-550.54</v>
      </c>
      <c r="N40" s="14">
        <f t="shared" si="7"/>
        <v>0</v>
      </c>
      <c r="O40" s="14">
        <f t="shared" si="7"/>
        <v>-505.51</v>
      </c>
      <c r="P40" s="14">
        <f t="shared" si="7"/>
        <v>-505.51</v>
      </c>
      <c r="Q40" s="14">
        <f t="shared" si="7"/>
        <v>-514.84</v>
      </c>
      <c r="R40" s="14">
        <f t="shared" si="7"/>
        <v>-514.84</v>
      </c>
      <c r="S40" s="14">
        <f t="shared" si="7"/>
        <v>-565.89</v>
      </c>
      <c r="T40" s="14">
        <f t="shared" si="7"/>
        <v>-514.84</v>
      </c>
      <c r="U40" s="14">
        <f t="shared" si="7"/>
        <v>-466.84000000000003</v>
      </c>
      <c r="V40" s="14">
        <f t="shared" si="7"/>
        <v>-511.51</v>
      </c>
      <c r="W40" s="14">
        <f t="shared" si="7"/>
        <v>-511.51</v>
      </c>
      <c r="X40" s="14">
        <f t="shared" si="7"/>
        <v>-511.51</v>
      </c>
      <c r="Y40" s="14">
        <f t="shared" si="7"/>
        <v>-511.51</v>
      </c>
      <c r="Z40" s="14">
        <f t="shared" si="7"/>
        <v>-559.50999999999988</v>
      </c>
      <c r="AA40" s="14">
        <f t="shared" si="7"/>
        <v>0</v>
      </c>
      <c r="AB40" s="14">
        <f t="shared" si="7"/>
        <v>-513.06999999999994</v>
      </c>
      <c r="AC40" s="14">
        <f t="shared" si="7"/>
        <v>-513.06999999999994</v>
      </c>
      <c r="AD40" s="14">
        <f t="shared" si="7"/>
        <v>-513.06999999999994</v>
      </c>
      <c r="AE40" s="14">
        <f t="shared" si="7"/>
        <v>-525.66999999999996</v>
      </c>
      <c r="AF40" s="14">
        <f t="shared" si="7"/>
        <v>-513.06999999999994</v>
      </c>
      <c r="AG40" s="14">
        <f t="shared" si="7"/>
        <v>-513.06999999999994</v>
      </c>
      <c r="AH40" s="14">
        <f t="shared" si="7"/>
        <v>-559.66999999999996</v>
      </c>
      <c r="AI40" s="14">
        <f t="shared" si="7"/>
        <v>-572.39</v>
      </c>
      <c r="AJ40" s="14">
        <f t="shared" si="7"/>
        <v>-582.39</v>
      </c>
      <c r="AK40" s="14">
        <f t="shared" si="7"/>
        <v>-522.39</v>
      </c>
      <c r="AL40" s="14">
        <f t="shared" si="7"/>
        <v>-612.39</v>
      </c>
      <c r="AM40" s="14">
        <f t="shared" si="7"/>
        <v>-2282.39</v>
      </c>
      <c r="AN40" s="14">
        <f t="shared" si="7"/>
        <v>-526.69999999999993</v>
      </c>
      <c r="AO40" s="14">
        <f t="shared" si="7"/>
        <v>-526.69999999999993</v>
      </c>
      <c r="AP40" s="14">
        <f t="shared" si="7"/>
        <v>-554.93000000000006</v>
      </c>
      <c r="AQ40" s="14">
        <f t="shared" si="7"/>
        <v>-632.97</v>
      </c>
      <c r="AR40" s="14">
        <f t="shared" si="7"/>
        <v>-674.93000000000006</v>
      </c>
      <c r="AS40" s="14">
        <f t="shared" si="7"/>
        <v>-554.93000000000006</v>
      </c>
      <c r="AT40" s="14">
        <f t="shared" si="7"/>
        <v>-50</v>
      </c>
      <c r="AU40" s="14">
        <f t="shared" si="7"/>
        <v>-21774.619999999984</v>
      </c>
    </row>
    <row r="41" spans="1:47" x14ac:dyDescent="0.2">
      <c r="A41" s="15" t="s">
        <v>86</v>
      </c>
      <c r="B41" s="14">
        <f t="shared" ref="B41:AU41" si="8">B34+B40</f>
        <v>-2474.83</v>
      </c>
      <c r="C41" s="14">
        <f t="shared" si="8"/>
        <v>-2730.83</v>
      </c>
      <c r="D41" s="14">
        <f t="shared" si="8"/>
        <v>-2781.54</v>
      </c>
      <c r="E41" s="14">
        <f t="shared" si="8"/>
        <v>-487.48</v>
      </c>
      <c r="F41" s="14">
        <f t="shared" si="8"/>
        <v>-146.84</v>
      </c>
      <c r="G41" s="14">
        <f t="shared" si="8"/>
        <v>-131.53</v>
      </c>
      <c r="H41" s="14">
        <f t="shared" si="8"/>
        <v>-8.14</v>
      </c>
      <c r="I41" s="14">
        <f t="shared" si="8"/>
        <v>-783.61</v>
      </c>
      <c r="J41" s="14">
        <f t="shared" si="8"/>
        <v>-2794.21</v>
      </c>
      <c r="K41" s="14">
        <f t="shared" si="8"/>
        <v>-2794.21</v>
      </c>
      <c r="L41" s="14">
        <f t="shared" si="8"/>
        <v>-2794.21</v>
      </c>
      <c r="M41" s="14">
        <f t="shared" si="8"/>
        <v>-3756.21</v>
      </c>
      <c r="N41" s="14">
        <f t="shared" si="8"/>
        <v>0</v>
      </c>
      <c r="O41" s="14">
        <f t="shared" si="8"/>
        <v>-1883.18</v>
      </c>
      <c r="P41" s="14">
        <f t="shared" si="8"/>
        <v>-2797.1800000000003</v>
      </c>
      <c r="Q41" s="14">
        <f t="shared" si="8"/>
        <v>-2848.1800000000003</v>
      </c>
      <c r="R41" s="14">
        <f t="shared" si="8"/>
        <v>-2848.1800000000003</v>
      </c>
      <c r="S41" s="14">
        <f t="shared" si="8"/>
        <v>-2899.23</v>
      </c>
      <c r="T41" s="14">
        <f t="shared" si="8"/>
        <v>-2848.1800000000003</v>
      </c>
      <c r="U41" s="14">
        <f t="shared" si="8"/>
        <v>-2800.1800000000003</v>
      </c>
      <c r="V41" s="14">
        <f t="shared" si="8"/>
        <v>-2844.8500000000004</v>
      </c>
      <c r="W41" s="14">
        <f t="shared" si="8"/>
        <v>-2844.8500000000004</v>
      </c>
      <c r="X41" s="14">
        <f t="shared" si="8"/>
        <v>-2844.8500000000004</v>
      </c>
      <c r="Y41" s="14">
        <f t="shared" si="8"/>
        <v>-2844.8500000000004</v>
      </c>
      <c r="Z41" s="14">
        <f t="shared" si="8"/>
        <v>-2892.85</v>
      </c>
      <c r="AA41" s="14">
        <f t="shared" si="8"/>
        <v>0</v>
      </c>
      <c r="AB41" s="14">
        <f t="shared" si="8"/>
        <v>-2846.41</v>
      </c>
      <c r="AC41" s="14">
        <f t="shared" si="8"/>
        <v>-2846.41</v>
      </c>
      <c r="AD41" s="14">
        <f t="shared" si="8"/>
        <v>-2846.41</v>
      </c>
      <c r="AE41" s="14">
        <f t="shared" si="8"/>
        <v>-2859.01</v>
      </c>
      <c r="AF41" s="14">
        <f t="shared" si="8"/>
        <v>-2846.41</v>
      </c>
      <c r="AG41" s="14">
        <f t="shared" si="8"/>
        <v>-2846.41</v>
      </c>
      <c r="AH41" s="14">
        <f t="shared" si="8"/>
        <v>-3101.31</v>
      </c>
      <c r="AI41" s="14">
        <f t="shared" si="8"/>
        <v>-2947.39</v>
      </c>
      <c r="AJ41" s="14">
        <f t="shared" si="8"/>
        <v>-3257.39</v>
      </c>
      <c r="AK41" s="14">
        <f t="shared" si="8"/>
        <v>-2388.46</v>
      </c>
      <c r="AL41" s="14">
        <f t="shared" si="8"/>
        <v>-2987.39</v>
      </c>
      <c r="AM41" s="14">
        <f t="shared" si="8"/>
        <v>-4793.3899999999994</v>
      </c>
      <c r="AN41" s="14">
        <f t="shared" si="8"/>
        <v>-2765.7</v>
      </c>
      <c r="AO41" s="14">
        <f t="shared" si="8"/>
        <v>-2901.7</v>
      </c>
      <c r="AP41" s="14">
        <f t="shared" si="8"/>
        <v>-3054.9300000000003</v>
      </c>
      <c r="AQ41" s="14">
        <f t="shared" si="8"/>
        <v>-3132.9700000000003</v>
      </c>
      <c r="AR41" s="14">
        <f t="shared" si="8"/>
        <v>-3174.9300000000003</v>
      </c>
      <c r="AS41" s="14">
        <f t="shared" si="8"/>
        <v>-3054.9300000000003</v>
      </c>
      <c r="AT41" s="14">
        <f t="shared" si="8"/>
        <v>-50</v>
      </c>
      <c r="AU41" s="14">
        <f t="shared" si="8"/>
        <v>-109581.74999999994</v>
      </c>
    </row>
    <row r="42" spans="1:47" x14ac:dyDescent="0.2">
      <c r="A42" s="7" t="s">
        <v>87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x14ac:dyDescent="0.2">
      <c r="A43" s="17" t="s">
        <v>88</v>
      </c>
      <c r="B43" s="10">
        <v>0</v>
      </c>
      <c r="C43" s="10">
        <v>0</v>
      </c>
      <c r="D43" s="10">
        <v>-54.58</v>
      </c>
      <c r="E43" s="10">
        <v>0</v>
      </c>
      <c r="F43" s="10">
        <v>-449.05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-128.53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-36.68</v>
      </c>
      <c r="Y43" s="10">
        <v>-57.91</v>
      </c>
      <c r="Z43" s="10">
        <v>-59.84</v>
      </c>
      <c r="AA43" s="10">
        <v>0</v>
      </c>
      <c r="AB43" s="10">
        <v>-59.84</v>
      </c>
      <c r="AC43" s="10">
        <v>-54.05</v>
      </c>
      <c r="AD43" s="10">
        <v>-188.94</v>
      </c>
      <c r="AE43" s="10">
        <v>-57.91</v>
      </c>
      <c r="AF43" s="10">
        <v>-52.22</v>
      </c>
      <c r="AG43" s="10">
        <v>-35.06</v>
      </c>
      <c r="AH43" s="10">
        <v>-36.229999999999997</v>
      </c>
      <c r="AI43" s="10">
        <v>-36.229999999999997</v>
      </c>
      <c r="AJ43" s="10">
        <v>-35.06</v>
      </c>
      <c r="AK43" s="10">
        <v>-36.229999999999997</v>
      </c>
      <c r="AL43" s="10">
        <v>-35.06</v>
      </c>
      <c r="AM43" s="10">
        <v>-36.229999999999997</v>
      </c>
      <c r="AN43" s="10">
        <v>-36.229999999999997</v>
      </c>
      <c r="AO43" s="10">
        <v>-32.729999999999997</v>
      </c>
      <c r="AP43" s="10">
        <v>-245.7</v>
      </c>
      <c r="AQ43" s="10">
        <v>-35.06</v>
      </c>
      <c r="AR43" s="10">
        <v>-24.56</v>
      </c>
      <c r="AS43" s="10">
        <v>0</v>
      </c>
      <c r="AT43" s="10">
        <v>0</v>
      </c>
      <c r="AU43" s="10">
        <f t="shared" ref="AU43:AU52" si="9">SUM(B43:AT43)</f>
        <v>-1823.9299999999998</v>
      </c>
    </row>
    <row r="44" spans="1:47" x14ac:dyDescent="0.2">
      <c r="A44" s="17" t="s">
        <v>89</v>
      </c>
      <c r="B44" s="10">
        <v>0</v>
      </c>
      <c r="C44" s="10">
        <v>0</v>
      </c>
      <c r="D44" s="10">
        <v>-2740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-16000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f t="shared" si="9"/>
        <v>-18740</v>
      </c>
    </row>
    <row r="45" spans="1:47" x14ac:dyDescent="0.2">
      <c r="A45" s="17" t="s">
        <v>90</v>
      </c>
      <c r="B45" s="10">
        <v>-69.959999999999994</v>
      </c>
      <c r="C45" s="10">
        <v>0</v>
      </c>
      <c r="D45" s="10">
        <v>0</v>
      </c>
      <c r="E45" s="10">
        <v>-69.959999999999994</v>
      </c>
      <c r="F45" s="10">
        <v>69.959999999999994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-69.959999999999994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-74.89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-6.24</v>
      </c>
      <c r="AO45" s="10">
        <v>-5.63</v>
      </c>
      <c r="AP45" s="10">
        <v>-6.24</v>
      </c>
      <c r="AQ45" s="10">
        <v>-6.04</v>
      </c>
      <c r="AR45" s="10">
        <v>-6.24</v>
      </c>
      <c r="AS45" s="10">
        <v>-6.04</v>
      </c>
      <c r="AT45" s="10">
        <v>0</v>
      </c>
      <c r="AU45" s="10">
        <f t="shared" si="9"/>
        <v>-251.24</v>
      </c>
    </row>
    <row r="46" spans="1:47" x14ac:dyDescent="0.2">
      <c r="A46" s="17" t="s">
        <v>91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-98.21</v>
      </c>
      <c r="AS46" s="10">
        <v>0</v>
      </c>
      <c r="AT46" s="10">
        <v>0</v>
      </c>
      <c r="AU46" s="10">
        <f t="shared" si="9"/>
        <v>-98.21</v>
      </c>
    </row>
    <row r="47" spans="1:47" x14ac:dyDescent="0.2">
      <c r="A47" s="17" t="s">
        <v>92</v>
      </c>
      <c r="B47" s="10">
        <v>0</v>
      </c>
      <c r="C47" s="10">
        <v>-110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f t="shared" si="9"/>
        <v>-110</v>
      </c>
    </row>
    <row r="48" spans="1:47" x14ac:dyDescent="0.2">
      <c r="A48" s="17" t="s">
        <v>93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-156.1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f t="shared" si="9"/>
        <v>-156.1</v>
      </c>
    </row>
    <row r="49" spans="1:47" x14ac:dyDescent="0.2">
      <c r="A49" s="17" t="s">
        <v>94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32.1</v>
      </c>
      <c r="H49" s="10">
        <v>0</v>
      </c>
      <c r="I49" s="10">
        <v>0</v>
      </c>
      <c r="J49" s="10">
        <v>-30.8</v>
      </c>
      <c r="K49" s="10">
        <v>0</v>
      </c>
      <c r="L49" s="10">
        <v>0</v>
      </c>
      <c r="M49" s="10">
        <v>-710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-29.75</v>
      </c>
      <c r="W49" s="10">
        <v>0</v>
      </c>
      <c r="X49" s="10">
        <v>-30.8</v>
      </c>
      <c r="Y49" s="10">
        <v>0</v>
      </c>
      <c r="Z49" s="10">
        <v>-720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-89.25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-54.47</v>
      </c>
      <c r="AM49" s="10">
        <v>-800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f t="shared" si="9"/>
        <v>-2432.9700000000003</v>
      </c>
    </row>
    <row r="50" spans="1:47" x14ac:dyDescent="0.2">
      <c r="A50" s="17" t="s">
        <v>95</v>
      </c>
      <c r="B50" s="10">
        <v>-300</v>
      </c>
      <c r="C50" s="10">
        <v>-300</v>
      </c>
      <c r="D50" s="10">
        <v>-300</v>
      </c>
      <c r="E50" s="10">
        <v>-300</v>
      </c>
      <c r="F50" s="10">
        <v>-300</v>
      </c>
      <c r="G50" s="10">
        <v>-300</v>
      </c>
      <c r="H50" s="10">
        <v>-300</v>
      </c>
      <c r="I50" s="10">
        <v>-300</v>
      </c>
      <c r="J50" s="10">
        <v>-300</v>
      </c>
      <c r="K50" s="10">
        <v>-300</v>
      </c>
      <c r="L50" s="10">
        <v>-300</v>
      </c>
      <c r="M50" s="10">
        <v>-300</v>
      </c>
      <c r="N50" s="10">
        <v>0</v>
      </c>
      <c r="O50" s="10">
        <v>-300</v>
      </c>
      <c r="P50" s="10">
        <v>-300</v>
      </c>
      <c r="Q50" s="10">
        <v>-300</v>
      </c>
      <c r="R50" s="10">
        <v>-300</v>
      </c>
      <c r="S50" s="10">
        <v>-300</v>
      </c>
      <c r="T50" s="10">
        <v>-300</v>
      </c>
      <c r="U50" s="10">
        <v>-300</v>
      </c>
      <c r="V50" s="10">
        <v>-300</v>
      </c>
      <c r="W50" s="10">
        <v>-300</v>
      </c>
      <c r="X50" s="10">
        <v>-300</v>
      </c>
      <c r="Y50" s="10">
        <v>-300</v>
      </c>
      <c r="Z50" s="10">
        <v>-300</v>
      </c>
      <c r="AA50" s="10">
        <v>0</v>
      </c>
      <c r="AB50" s="10">
        <v>-300</v>
      </c>
      <c r="AC50" s="10">
        <v>-300</v>
      </c>
      <c r="AD50" s="10">
        <v>-300</v>
      </c>
      <c r="AE50" s="10">
        <v>-300</v>
      </c>
      <c r="AF50" s="10">
        <v>-300</v>
      </c>
      <c r="AG50" s="10">
        <v>-300</v>
      </c>
      <c r="AH50" s="10">
        <v>-300</v>
      </c>
      <c r="AI50" s="10">
        <v>-300</v>
      </c>
      <c r="AJ50" s="10">
        <v>-3000</v>
      </c>
      <c r="AK50" s="10">
        <v>-600</v>
      </c>
      <c r="AL50" s="10">
        <v>-600</v>
      </c>
      <c r="AM50" s="10">
        <v>-600</v>
      </c>
      <c r="AN50" s="10">
        <v>-600</v>
      </c>
      <c r="AO50" s="10">
        <v>-600</v>
      </c>
      <c r="AP50" s="10">
        <v>-600</v>
      </c>
      <c r="AQ50" s="10">
        <v>-600</v>
      </c>
      <c r="AR50" s="10">
        <v>-600</v>
      </c>
      <c r="AS50" s="10">
        <v>-600</v>
      </c>
      <c r="AT50" s="10">
        <v>-600</v>
      </c>
      <c r="AU50" s="10">
        <f t="shared" si="9"/>
        <v>-18600</v>
      </c>
    </row>
    <row r="51" spans="1:47" x14ac:dyDescent="0.2">
      <c r="A51" s="17" t="s">
        <v>96</v>
      </c>
      <c r="B51" s="10">
        <v>0</v>
      </c>
      <c r="C51" s="10">
        <v>0</v>
      </c>
      <c r="D51" s="10">
        <v>-178</v>
      </c>
      <c r="E51" s="10">
        <v>0</v>
      </c>
      <c r="F51" s="10">
        <v>0</v>
      </c>
      <c r="G51" s="10">
        <v>-3784.61</v>
      </c>
      <c r="H51" s="10">
        <v>0</v>
      </c>
      <c r="I51" s="10">
        <v>0</v>
      </c>
      <c r="J51" s="10">
        <v>0</v>
      </c>
      <c r="K51" s="10">
        <v>-87.38</v>
      </c>
      <c r="L51" s="10">
        <v>0</v>
      </c>
      <c r="M51" s="10">
        <v>-1357.5</v>
      </c>
      <c r="N51" s="10">
        <v>0</v>
      </c>
      <c r="O51" s="10">
        <v>0</v>
      </c>
      <c r="P51" s="10">
        <v>0</v>
      </c>
      <c r="Q51" s="10">
        <v>-4241.3599999999997</v>
      </c>
      <c r="R51" s="10">
        <v>0</v>
      </c>
      <c r="S51" s="10">
        <v>0</v>
      </c>
      <c r="T51" s="10">
        <v>-2013.75</v>
      </c>
      <c r="U51" s="10">
        <v>0</v>
      </c>
      <c r="V51" s="10">
        <v>0</v>
      </c>
      <c r="W51" s="10">
        <v>0</v>
      </c>
      <c r="X51" s="10">
        <v>-1.22</v>
      </c>
      <c r="Y51" s="10">
        <v>-7.3</v>
      </c>
      <c r="Z51" s="10">
        <v>-1579.92</v>
      </c>
      <c r="AA51" s="10">
        <v>0</v>
      </c>
      <c r="AB51" s="10">
        <v>-7.54</v>
      </c>
      <c r="AC51" s="10">
        <v>-6.81</v>
      </c>
      <c r="AD51" s="10">
        <v>-4713.8999999999996</v>
      </c>
      <c r="AE51" s="10">
        <v>-7.3</v>
      </c>
      <c r="AF51" s="10">
        <v>-7.54</v>
      </c>
      <c r="AG51" s="10">
        <v>-7.3</v>
      </c>
      <c r="AH51" s="10">
        <v>-57.95</v>
      </c>
      <c r="AI51" s="10">
        <v>-57.95</v>
      </c>
      <c r="AJ51" s="10">
        <v>-1629.3</v>
      </c>
      <c r="AK51" s="10">
        <v>-44.41</v>
      </c>
      <c r="AL51" s="10">
        <v>-379.86</v>
      </c>
      <c r="AM51" s="10">
        <v>-1557.23</v>
      </c>
      <c r="AN51" s="10">
        <v>-89.47</v>
      </c>
      <c r="AO51" s="10">
        <v>-80.81</v>
      </c>
      <c r="AP51" s="10">
        <v>-3526.83</v>
      </c>
      <c r="AQ51" s="10">
        <v>-86.58</v>
      </c>
      <c r="AR51" s="10">
        <v>-89.47</v>
      </c>
      <c r="AS51" s="10">
        <v>-1590.78</v>
      </c>
      <c r="AT51" s="10">
        <v>0</v>
      </c>
      <c r="AU51" s="10">
        <f t="shared" si="9"/>
        <v>-27192.07</v>
      </c>
    </row>
    <row r="52" spans="1:47" x14ac:dyDescent="0.2">
      <c r="A52" s="17" t="s">
        <v>97</v>
      </c>
      <c r="B52" s="10">
        <v>-9.49</v>
      </c>
      <c r="C52" s="10">
        <v>-7.54</v>
      </c>
      <c r="D52" s="10">
        <v>-6.62</v>
      </c>
      <c r="E52" s="10">
        <v>-6.94</v>
      </c>
      <c r="F52" s="10">
        <v>-6.34</v>
      </c>
      <c r="G52" s="10">
        <v>-57.62</v>
      </c>
      <c r="H52" s="10">
        <v>-5.46</v>
      </c>
      <c r="I52" s="10">
        <v>-5.19</v>
      </c>
      <c r="J52" s="10">
        <v>-6.38</v>
      </c>
      <c r="K52" s="10">
        <v>-6.93</v>
      </c>
      <c r="L52" s="10">
        <v>-5.77</v>
      </c>
      <c r="M52" s="10">
        <v>-7.26</v>
      </c>
      <c r="N52" s="10">
        <v>0</v>
      </c>
      <c r="O52" s="10">
        <v>-13.78</v>
      </c>
      <c r="P52" s="10">
        <v>-9.7799999999999994</v>
      </c>
      <c r="Q52" s="10">
        <v>-9.17</v>
      </c>
      <c r="R52" s="10">
        <v>-11.54</v>
      </c>
      <c r="S52" s="10">
        <v>-9.17</v>
      </c>
      <c r="T52" s="10">
        <v>-11.26</v>
      </c>
      <c r="U52" s="10">
        <v>-58.71</v>
      </c>
      <c r="V52" s="10">
        <v>-12.32</v>
      </c>
      <c r="W52" s="10">
        <v>-9.1300000000000008</v>
      </c>
      <c r="X52" s="10">
        <v>-10.38</v>
      </c>
      <c r="Y52" s="10">
        <v>-9.42</v>
      </c>
      <c r="Z52" s="10">
        <v>-9.94</v>
      </c>
      <c r="AA52" s="10">
        <v>0</v>
      </c>
      <c r="AB52" s="10">
        <v>-9.67</v>
      </c>
      <c r="AC52" s="10">
        <v>-9.94</v>
      </c>
      <c r="AD52" s="10">
        <v>-9.02</v>
      </c>
      <c r="AE52" s="10">
        <v>-8.4499999999999993</v>
      </c>
      <c r="AF52" s="10">
        <v>-9.6199999999999992</v>
      </c>
      <c r="AG52" s="10">
        <v>-57.06</v>
      </c>
      <c r="AH52" s="10">
        <v>-9.67</v>
      </c>
      <c r="AI52" s="10">
        <v>-14.14</v>
      </c>
      <c r="AJ52" s="10">
        <v>-9.06</v>
      </c>
      <c r="AK52" s="10">
        <v>-10.78</v>
      </c>
      <c r="AL52" s="10">
        <v>-10.220000000000001</v>
      </c>
      <c r="AM52" s="10">
        <v>-9.31</v>
      </c>
      <c r="AN52" s="10">
        <v>-10.86</v>
      </c>
      <c r="AO52" s="10">
        <v>-8.4600000000000009</v>
      </c>
      <c r="AP52" s="10">
        <v>-11.14</v>
      </c>
      <c r="AQ52" s="10">
        <v>-10.46</v>
      </c>
      <c r="AR52" s="10">
        <v>-14.34</v>
      </c>
      <c r="AS52" s="10">
        <v>-56.73</v>
      </c>
      <c r="AT52" s="10">
        <v>0</v>
      </c>
      <c r="AU52" s="10">
        <f t="shared" si="9"/>
        <v>-585.07000000000005</v>
      </c>
    </row>
    <row r="53" spans="1:47" x14ac:dyDescent="0.2">
      <c r="A53" s="15" t="s">
        <v>98</v>
      </c>
      <c r="B53" s="14">
        <f t="shared" ref="B53:AU53" si="10">SUM(B43:B52)</f>
        <v>-379.45</v>
      </c>
      <c r="C53" s="14">
        <f t="shared" si="10"/>
        <v>-417.54</v>
      </c>
      <c r="D53" s="14">
        <f t="shared" si="10"/>
        <v>-3279.2</v>
      </c>
      <c r="E53" s="14">
        <f t="shared" si="10"/>
        <v>-376.9</v>
      </c>
      <c r="F53" s="14">
        <f t="shared" si="10"/>
        <v>-685.43000000000006</v>
      </c>
      <c r="G53" s="14">
        <f t="shared" si="10"/>
        <v>-4110.13</v>
      </c>
      <c r="H53" s="14">
        <f t="shared" si="10"/>
        <v>-305.45999999999998</v>
      </c>
      <c r="I53" s="14">
        <f t="shared" si="10"/>
        <v>-305.19</v>
      </c>
      <c r="J53" s="14">
        <f t="shared" si="10"/>
        <v>-337.18</v>
      </c>
      <c r="K53" s="14">
        <f t="shared" si="10"/>
        <v>-16394.310000000001</v>
      </c>
      <c r="L53" s="14">
        <f t="shared" si="10"/>
        <v>-305.77</v>
      </c>
      <c r="M53" s="14">
        <f t="shared" si="10"/>
        <v>-2374.7600000000002</v>
      </c>
      <c r="N53" s="14">
        <f t="shared" si="10"/>
        <v>0</v>
      </c>
      <c r="O53" s="14">
        <f t="shared" si="10"/>
        <v>-383.73999999999995</v>
      </c>
      <c r="P53" s="14">
        <f t="shared" si="10"/>
        <v>-309.77999999999997</v>
      </c>
      <c r="Q53" s="14">
        <f t="shared" si="10"/>
        <v>-4679.0599999999995</v>
      </c>
      <c r="R53" s="14">
        <f t="shared" si="10"/>
        <v>-311.54000000000002</v>
      </c>
      <c r="S53" s="14">
        <f t="shared" si="10"/>
        <v>-309.17</v>
      </c>
      <c r="T53" s="14">
        <f t="shared" si="10"/>
        <v>-2325.0100000000002</v>
      </c>
      <c r="U53" s="14">
        <f t="shared" si="10"/>
        <v>-358.71</v>
      </c>
      <c r="V53" s="14">
        <f t="shared" si="10"/>
        <v>-342.07</v>
      </c>
      <c r="W53" s="14">
        <f t="shared" si="10"/>
        <v>-309.13</v>
      </c>
      <c r="X53" s="14">
        <f t="shared" si="10"/>
        <v>-379.08000000000004</v>
      </c>
      <c r="Y53" s="14">
        <f t="shared" si="10"/>
        <v>-374.63</v>
      </c>
      <c r="Z53" s="14">
        <f t="shared" si="10"/>
        <v>-2669.7000000000003</v>
      </c>
      <c r="AA53" s="14">
        <f t="shared" si="10"/>
        <v>0</v>
      </c>
      <c r="AB53" s="14">
        <f t="shared" si="10"/>
        <v>-451.94000000000005</v>
      </c>
      <c r="AC53" s="14">
        <f t="shared" si="10"/>
        <v>-526.9</v>
      </c>
      <c r="AD53" s="14">
        <f t="shared" si="10"/>
        <v>-5211.8599999999997</v>
      </c>
      <c r="AE53" s="14">
        <f t="shared" si="10"/>
        <v>-373.65999999999997</v>
      </c>
      <c r="AF53" s="14">
        <f t="shared" si="10"/>
        <v>-458.63000000000005</v>
      </c>
      <c r="AG53" s="14">
        <f t="shared" si="10"/>
        <v>-399.42</v>
      </c>
      <c r="AH53" s="14">
        <f t="shared" si="10"/>
        <v>-403.85</v>
      </c>
      <c r="AI53" s="14">
        <f t="shared" si="10"/>
        <v>-408.32</v>
      </c>
      <c r="AJ53" s="14">
        <f t="shared" si="10"/>
        <v>-4673.42</v>
      </c>
      <c r="AK53" s="14">
        <f t="shared" si="10"/>
        <v>-691.42</v>
      </c>
      <c r="AL53" s="14">
        <f t="shared" si="10"/>
        <v>-1079.6099999999999</v>
      </c>
      <c r="AM53" s="14">
        <f t="shared" si="10"/>
        <v>-3002.77</v>
      </c>
      <c r="AN53" s="14">
        <f t="shared" si="10"/>
        <v>-742.80000000000007</v>
      </c>
      <c r="AO53" s="14">
        <f t="shared" si="10"/>
        <v>-727.63000000000011</v>
      </c>
      <c r="AP53" s="14">
        <f t="shared" si="10"/>
        <v>-4389.9100000000008</v>
      </c>
      <c r="AQ53" s="14">
        <f t="shared" si="10"/>
        <v>-738.1400000000001</v>
      </c>
      <c r="AR53" s="14">
        <f t="shared" si="10"/>
        <v>-832.82</v>
      </c>
      <c r="AS53" s="14">
        <f t="shared" si="10"/>
        <v>-2253.5499999999997</v>
      </c>
      <c r="AT53" s="14">
        <f t="shared" si="10"/>
        <v>-600</v>
      </c>
      <c r="AU53" s="14">
        <f t="shared" si="10"/>
        <v>-69989.59</v>
      </c>
    </row>
    <row r="54" spans="1:47" x14ac:dyDescent="0.2">
      <c r="A54" s="16" t="s">
        <v>99</v>
      </c>
      <c r="B54" s="14">
        <f t="shared" ref="B54:AU54" si="11">B41+0+B53</f>
        <v>-2854.2799999999997</v>
      </c>
      <c r="C54" s="14">
        <f t="shared" si="11"/>
        <v>-3148.37</v>
      </c>
      <c r="D54" s="14">
        <f t="shared" si="11"/>
        <v>-6060.74</v>
      </c>
      <c r="E54" s="14">
        <f t="shared" si="11"/>
        <v>-864.38</v>
      </c>
      <c r="F54" s="14">
        <f t="shared" si="11"/>
        <v>-832.2700000000001</v>
      </c>
      <c r="G54" s="14">
        <f t="shared" si="11"/>
        <v>-4241.66</v>
      </c>
      <c r="H54" s="14">
        <f t="shared" si="11"/>
        <v>-313.59999999999997</v>
      </c>
      <c r="I54" s="14">
        <f t="shared" si="11"/>
        <v>-1088.8</v>
      </c>
      <c r="J54" s="14">
        <f t="shared" si="11"/>
        <v>-3131.39</v>
      </c>
      <c r="K54" s="14">
        <f t="shared" si="11"/>
        <v>-19188.52</v>
      </c>
      <c r="L54" s="14">
        <f t="shared" si="11"/>
        <v>-3099.98</v>
      </c>
      <c r="M54" s="14">
        <f t="shared" si="11"/>
        <v>-6130.97</v>
      </c>
      <c r="N54" s="14">
        <f t="shared" si="11"/>
        <v>0</v>
      </c>
      <c r="O54" s="14">
        <f t="shared" si="11"/>
        <v>-2266.92</v>
      </c>
      <c r="P54" s="14">
        <f t="shared" si="11"/>
        <v>-3106.96</v>
      </c>
      <c r="Q54" s="14">
        <f t="shared" si="11"/>
        <v>-7527.24</v>
      </c>
      <c r="R54" s="14">
        <f t="shared" si="11"/>
        <v>-3159.7200000000003</v>
      </c>
      <c r="S54" s="14">
        <f t="shared" si="11"/>
        <v>-3208.4</v>
      </c>
      <c r="T54" s="14">
        <f t="shared" si="11"/>
        <v>-5173.1900000000005</v>
      </c>
      <c r="U54" s="14">
        <f t="shared" si="11"/>
        <v>-3158.8900000000003</v>
      </c>
      <c r="V54" s="14">
        <f t="shared" si="11"/>
        <v>-3186.9200000000005</v>
      </c>
      <c r="W54" s="14">
        <f t="shared" si="11"/>
        <v>-3153.9800000000005</v>
      </c>
      <c r="X54" s="14">
        <f t="shared" si="11"/>
        <v>-3223.9300000000003</v>
      </c>
      <c r="Y54" s="14">
        <f t="shared" si="11"/>
        <v>-3219.4800000000005</v>
      </c>
      <c r="Z54" s="14">
        <f t="shared" si="11"/>
        <v>-5562.55</v>
      </c>
      <c r="AA54" s="14">
        <f t="shared" si="11"/>
        <v>0</v>
      </c>
      <c r="AB54" s="14">
        <f t="shared" si="11"/>
        <v>-3298.35</v>
      </c>
      <c r="AC54" s="14">
        <f t="shared" si="11"/>
        <v>-3373.31</v>
      </c>
      <c r="AD54" s="14">
        <f t="shared" si="11"/>
        <v>-8058.2699999999995</v>
      </c>
      <c r="AE54" s="14">
        <f t="shared" si="11"/>
        <v>-3232.67</v>
      </c>
      <c r="AF54" s="14">
        <f t="shared" si="11"/>
        <v>-3305.04</v>
      </c>
      <c r="AG54" s="14">
        <f t="shared" si="11"/>
        <v>-3245.83</v>
      </c>
      <c r="AH54" s="14">
        <f t="shared" si="11"/>
        <v>-3505.16</v>
      </c>
      <c r="AI54" s="14">
        <f t="shared" si="11"/>
        <v>-3355.71</v>
      </c>
      <c r="AJ54" s="14">
        <f t="shared" si="11"/>
        <v>-7930.8099999999995</v>
      </c>
      <c r="AK54" s="14">
        <f t="shared" si="11"/>
        <v>-3079.88</v>
      </c>
      <c r="AL54" s="14">
        <f t="shared" si="11"/>
        <v>-4067</v>
      </c>
      <c r="AM54" s="14">
        <f t="shared" si="11"/>
        <v>-7796.16</v>
      </c>
      <c r="AN54" s="14">
        <f t="shared" si="11"/>
        <v>-3508.5</v>
      </c>
      <c r="AO54" s="14">
        <f t="shared" si="11"/>
        <v>-3629.33</v>
      </c>
      <c r="AP54" s="14">
        <f t="shared" si="11"/>
        <v>-7444.8400000000011</v>
      </c>
      <c r="AQ54" s="14">
        <f t="shared" si="11"/>
        <v>-3871.1100000000006</v>
      </c>
      <c r="AR54" s="14">
        <f t="shared" si="11"/>
        <v>-4007.7500000000005</v>
      </c>
      <c r="AS54" s="14">
        <f t="shared" si="11"/>
        <v>-5308.48</v>
      </c>
      <c r="AT54" s="14">
        <f t="shared" si="11"/>
        <v>-650</v>
      </c>
      <c r="AU54" s="14">
        <f t="shared" si="11"/>
        <v>-179571.33999999994</v>
      </c>
    </row>
    <row r="55" spans="1:47" x14ac:dyDescent="0.2">
      <c r="A55" s="18" t="s">
        <v>100</v>
      </c>
      <c r="B55" s="14">
        <f t="shared" ref="B55:AU55" si="12">B26+B54</f>
        <v>34467.22</v>
      </c>
      <c r="C55" s="14">
        <f t="shared" si="12"/>
        <v>7801.63</v>
      </c>
      <c r="D55" s="14">
        <f t="shared" si="12"/>
        <v>-3393.99</v>
      </c>
      <c r="E55" s="14">
        <f t="shared" si="12"/>
        <v>-864.38</v>
      </c>
      <c r="F55" s="14">
        <f t="shared" si="12"/>
        <v>-832.2700000000001</v>
      </c>
      <c r="G55" s="14">
        <f t="shared" si="12"/>
        <v>-2774.91</v>
      </c>
      <c r="H55" s="14">
        <f t="shared" si="12"/>
        <v>-313.59999999999997</v>
      </c>
      <c r="I55" s="14">
        <f t="shared" si="12"/>
        <v>-1088.8</v>
      </c>
      <c r="J55" s="14">
        <f t="shared" si="12"/>
        <v>-1664.6399999999999</v>
      </c>
      <c r="K55" s="14">
        <f t="shared" si="12"/>
        <v>-19188.52</v>
      </c>
      <c r="L55" s="14">
        <f t="shared" si="12"/>
        <v>-3099.98</v>
      </c>
      <c r="M55" s="14">
        <f t="shared" si="12"/>
        <v>-4150.8900000000003</v>
      </c>
      <c r="N55" s="14">
        <f t="shared" si="12"/>
        <v>8.5265128291212022E-14</v>
      </c>
      <c r="O55" s="14">
        <f t="shared" si="12"/>
        <v>946.52999999999975</v>
      </c>
      <c r="P55" s="14">
        <f t="shared" si="12"/>
        <v>106.48999999999978</v>
      </c>
      <c r="Q55" s="14">
        <f t="shared" si="12"/>
        <v>-111.28999999999996</v>
      </c>
      <c r="R55" s="14">
        <f t="shared" si="12"/>
        <v>2066.2299999999987</v>
      </c>
      <c r="S55" s="14">
        <f t="shared" si="12"/>
        <v>2017.5499999999988</v>
      </c>
      <c r="T55" s="14">
        <f t="shared" si="12"/>
        <v>52.759999999998399</v>
      </c>
      <c r="U55" s="14">
        <f t="shared" si="12"/>
        <v>2067.0599999999986</v>
      </c>
      <c r="V55" s="14">
        <f t="shared" si="12"/>
        <v>2039.0299999999984</v>
      </c>
      <c r="W55" s="14">
        <f t="shared" si="12"/>
        <v>2071.9699999999984</v>
      </c>
      <c r="X55" s="14">
        <f t="shared" si="12"/>
        <v>2002.0199999999986</v>
      </c>
      <c r="Y55" s="14">
        <f t="shared" si="12"/>
        <v>2750.2599999999993</v>
      </c>
      <c r="Z55" s="14">
        <f t="shared" si="12"/>
        <v>1452.21</v>
      </c>
      <c r="AA55" s="14">
        <f t="shared" si="12"/>
        <v>0</v>
      </c>
      <c r="AB55" s="14">
        <f t="shared" si="12"/>
        <v>1660.1</v>
      </c>
      <c r="AC55" s="14">
        <f t="shared" si="12"/>
        <v>1585.1400000000008</v>
      </c>
      <c r="AD55" s="14">
        <f t="shared" si="12"/>
        <v>-3678.1599999999989</v>
      </c>
      <c r="AE55" s="14">
        <f t="shared" si="12"/>
        <v>1537.4399999999996</v>
      </c>
      <c r="AF55" s="14">
        <f t="shared" si="12"/>
        <v>2290.2200000000003</v>
      </c>
      <c r="AG55" s="14">
        <f t="shared" si="12"/>
        <v>2939.4300000000003</v>
      </c>
      <c r="AH55" s="14">
        <f t="shared" si="12"/>
        <v>3331.7600000000011</v>
      </c>
      <c r="AI55" s="14">
        <f t="shared" si="12"/>
        <v>4261.2100000000009</v>
      </c>
      <c r="AJ55" s="14">
        <f t="shared" si="12"/>
        <v>-53.889999999997599</v>
      </c>
      <c r="AK55" s="14">
        <f t="shared" si="12"/>
        <v>4834.5400000000009</v>
      </c>
      <c r="AL55" s="14">
        <f t="shared" si="12"/>
        <v>4634.9599999999991</v>
      </c>
      <c r="AM55" s="14">
        <f t="shared" si="12"/>
        <v>-8234.1799999999967</v>
      </c>
      <c r="AN55" s="14">
        <f t="shared" si="12"/>
        <v>4676.0900000000011</v>
      </c>
      <c r="AO55" s="14">
        <f t="shared" si="12"/>
        <v>5174.3600000000006</v>
      </c>
      <c r="AP55" s="14">
        <f t="shared" si="12"/>
        <v>794.58999999999924</v>
      </c>
      <c r="AQ55" s="14">
        <f t="shared" si="12"/>
        <v>4538.3899999999994</v>
      </c>
      <c r="AR55" s="14">
        <f t="shared" si="12"/>
        <v>4404.5299999999988</v>
      </c>
      <c r="AS55" s="14">
        <f t="shared" si="12"/>
        <v>3387.16</v>
      </c>
      <c r="AT55" s="14">
        <f t="shared" si="12"/>
        <v>-650</v>
      </c>
      <c r="AU55" s="14">
        <f t="shared" si="12"/>
        <v>59791.380000000208</v>
      </c>
    </row>
    <row r="56" spans="1:47" x14ac:dyDescent="0.2">
      <c r="A56" s="5" t="s">
        <v>101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x14ac:dyDescent="0.2">
      <c r="A57" s="6" t="s">
        <v>102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x14ac:dyDescent="0.2">
      <c r="A58" s="19" t="s">
        <v>103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12.48</v>
      </c>
      <c r="AQ58" s="10">
        <v>0</v>
      </c>
      <c r="AR58" s="10">
        <v>111.36</v>
      </c>
      <c r="AS58" s="10">
        <v>456.25</v>
      </c>
      <c r="AT58" s="10">
        <v>0</v>
      </c>
      <c r="AU58" s="10">
        <f>SUM(B58:AT58)</f>
        <v>580.09</v>
      </c>
    </row>
    <row r="59" spans="1:47" x14ac:dyDescent="0.2">
      <c r="A59" s="19" t="s">
        <v>104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1900.02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1900.02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1900.02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1900.02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1900.02</v>
      </c>
      <c r="AH59" s="10">
        <v>0</v>
      </c>
      <c r="AI59" s="10">
        <v>316.67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f>SUM(B59:AT59)</f>
        <v>9816.77</v>
      </c>
    </row>
    <row r="60" spans="1:47" x14ac:dyDescent="0.2">
      <c r="A60" s="16" t="s">
        <v>105</v>
      </c>
      <c r="B60" s="14">
        <f t="shared" ref="B60:AU60" si="13">SUM(B58:B59)</f>
        <v>0</v>
      </c>
      <c r="C60" s="14">
        <f t="shared" si="13"/>
        <v>0</v>
      </c>
      <c r="D60" s="14">
        <f t="shared" si="13"/>
        <v>0</v>
      </c>
      <c r="E60" s="14">
        <f t="shared" si="13"/>
        <v>0</v>
      </c>
      <c r="F60" s="14">
        <f t="shared" si="13"/>
        <v>0</v>
      </c>
      <c r="G60" s="14">
        <f t="shared" si="13"/>
        <v>1900.02</v>
      </c>
      <c r="H60" s="14">
        <f t="shared" si="13"/>
        <v>0</v>
      </c>
      <c r="I60" s="14">
        <f t="shared" si="13"/>
        <v>0</v>
      </c>
      <c r="J60" s="14">
        <f t="shared" si="13"/>
        <v>0</v>
      </c>
      <c r="K60" s="14">
        <f t="shared" si="13"/>
        <v>0</v>
      </c>
      <c r="L60" s="14">
        <f t="shared" si="13"/>
        <v>0</v>
      </c>
      <c r="M60" s="14">
        <f t="shared" si="13"/>
        <v>1900.02</v>
      </c>
      <c r="N60" s="14">
        <f t="shared" si="13"/>
        <v>0</v>
      </c>
      <c r="O60" s="14">
        <f t="shared" si="13"/>
        <v>0</v>
      </c>
      <c r="P60" s="14">
        <f t="shared" si="13"/>
        <v>0</v>
      </c>
      <c r="Q60" s="14">
        <f t="shared" si="13"/>
        <v>0</v>
      </c>
      <c r="R60" s="14">
        <f t="shared" si="13"/>
        <v>0</v>
      </c>
      <c r="S60" s="14">
        <f t="shared" si="13"/>
        <v>0</v>
      </c>
      <c r="T60" s="14">
        <f t="shared" si="13"/>
        <v>1900.02</v>
      </c>
      <c r="U60" s="14">
        <f t="shared" si="13"/>
        <v>0</v>
      </c>
      <c r="V60" s="14">
        <f t="shared" si="13"/>
        <v>0</v>
      </c>
      <c r="W60" s="14">
        <f t="shared" si="13"/>
        <v>0</v>
      </c>
      <c r="X60" s="14">
        <f t="shared" si="13"/>
        <v>0</v>
      </c>
      <c r="Y60" s="14">
        <f t="shared" si="13"/>
        <v>0</v>
      </c>
      <c r="Z60" s="14">
        <f t="shared" si="13"/>
        <v>1900.02</v>
      </c>
      <c r="AA60" s="14">
        <f t="shared" si="13"/>
        <v>0</v>
      </c>
      <c r="AB60" s="14">
        <f t="shared" si="13"/>
        <v>0</v>
      </c>
      <c r="AC60" s="14">
        <f t="shared" si="13"/>
        <v>0</v>
      </c>
      <c r="AD60" s="14">
        <f t="shared" si="13"/>
        <v>0</v>
      </c>
      <c r="AE60" s="14">
        <f t="shared" si="13"/>
        <v>0</v>
      </c>
      <c r="AF60" s="14">
        <f t="shared" si="13"/>
        <v>0</v>
      </c>
      <c r="AG60" s="14">
        <f t="shared" si="13"/>
        <v>1900.02</v>
      </c>
      <c r="AH60" s="14">
        <f t="shared" si="13"/>
        <v>0</v>
      </c>
      <c r="AI60" s="14">
        <f t="shared" si="13"/>
        <v>316.67</v>
      </c>
      <c r="AJ60" s="14">
        <f t="shared" si="13"/>
        <v>0</v>
      </c>
      <c r="AK60" s="14">
        <f t="shared" si="13"/>
        <v>0</v>
      </c>
      <c r="AL60" s="14">
        <f t="shared" si="13"/>
        <v>0</v>
      </c>
      <c r="AM60" s="14">
        <f t="shared" si="13"/>
        <v>0</v>
      </c>
      <c r="AN60" s="14">
        <f t="shared" si="13"/>
        <v>0</v>
      </c>
      <c r="AO60" s="14">
        <f t="shared" si="13"/>
        <v>0</v>
      </c>
      <c r="AP60" s="14">
        <f t="shared" si="13"/>
        <v>12.48</v>
      </c>
      <c r="AQ60" s="14">
        <f t="shared" si="13"/>
        <v>0</v>
      </c>
      <c r="AR60" s="14">
        <f t="shared" si="13"/>
        <v>111.36</v>
      </c>
      <c r="AS60" s="14">
        <f t="shared" si="13"/>
        <v>456.25</v>
      </c>
      <c r="AT60" s="14">
        <f t="shared" si="13"/>
        <v>0</v>
      </c>
      <c r="AU60" s="14">
        <f t="shared" si="13"/>
        <v>10396.86</v>
      </c>
    </row>
    <row r="61" spans="1:47" x14ac:dyDescent="0.2">
      <c r="A61" s="18" t="s">
        <v>106</v>
      </c>
      <c r="B61" s="14">
        <f t="shared" ref="B61:AU61" si="14">0+0+B60+0+0</f>
        <v>0</v>
      </c>
      <c r="C61" s="14">
        <f t="shared" si="14"/>
        <v>0</v>
      </c>
      <c r="D61" s="14">
        <f t="shared" si="14"/>
        <v>0</v>
      </c>
      <c r="E61" s="14">
        <f t="shared" si="14"/>
        <v>0</v>
      </c>
      <c r="F61" s="14">
        <f t="shared" si="14"/>
        <v>0</v>
      </c>
      <c r="G61" s="14">
        <f t="shared" si="14"/>
        <v>1900.02</v>
      </c>
      <c r="H61" s="14">
        <f t="shared" si="14"/>
        <v>0</v>
      </c>
      <c r="I61" s="14">
        <f t="shared" si="14"/>
        <v>0</v>
      </c>
      <c r="J61" s="14">
        <f t="shared" si="14"/>
        <v>0</v>
      </c>
      <c r="K61" s="14">
        <f t="shared" si="14"/>
        <v>0</v>
      </c>
      <c r="L61" s="14">
        <f t="shared" si="14"/>
        <v>0</v>
      </c>
      <c r="M61" s="14">
        <f t="shared" si="14"/>
        <v>1900.02</v>
      </c>
      <c r="N61" s="14">
        <f t="shared" si="14"/>
        <v>0</v>
      </c>
      <c r="O61" s="14">
        <f t="shared" si="14"/>
        <v>0</v>
      </c>
      <c r="P61" s="14">
        <f t="shared" si="14"/>
        <v>0</v>
      </c>
      <c r="Q61" s="14">
        <f t="shared" si="14"/>
        <v>0</v>
      </c>
      <c r="R61" s="14">
        <f t="shared" si="14"/>
        <v>0</v>
      </c>
      <c r="S61" s="14">
        <f t="shared" si="14"/>
        <v>0</v>
      </c>
      <c r="T61" s="14">
        <f t="shared" si="14"/>
        <v>1900.02</v>
      </c>
      <c r="U61" s="14">
        <f t="shared" si="14"/>
        <v>0</v>
      </c>
      <c r="V61" s="14">
        <f t="shared" si="14"/>
        <v>0</v>
      </c>
      <c r="W61" s="14">
        <f t="shared" si="14"/>
        <v>0</v>
      </c>
      <c r="X61" s="14">
        <f t="shared" si="14"/>
        <v>0</v>
      </c>
      <c r="Y61" s="14">
        <f t="shared" si="14"/>
        <v>0</v>
      </c>
      <c r="Z61" s="14">
        <f t="shared" si="14"/>
        <v>1900.02</v>
      </c>
      <c r="AA61" s="14">
        <f t="shared" si="14"/>
        <v>0</v>
      </c>
      <c r="AB61" s="14">
        <f t="shared" si="14"/>
        <v>0</v>
      </c>
      <c r="AC61" s="14">
        <f t="shared" si="14"/>
        <v>0</v>
      </c>
      <c r="AD61" s="14">
        <f t="shared" si="14"/>
        <v>0</v>
      </c>
      <c r="AE61" s="14">
        <f t="shared" si="14"/>
        <v>0</v>
      </c>
      <c r="AF61" s="14">
        <f t="shared" si="14"/>
        <v>0</v>
      </c>
      <c r="AG61" s="14">
        <f t="shared" si="14"/>
        <v>1900.02</v>
      </c>
      <c r="AH61" s="14">
        <f t="shared" si="14"/>
        <v>0</v>
      </c>
      <c r="AI61" s="14">
        <f t="shared" si="14"/>
        <v>316.67</v>
      </c>
      <c r="AJ61" s="14">
        <f t="shared" si="14"/>
        <v>0</v>
      </c>
      <c r="AK61" s="14">
        <f t="shared" si="14"/>
        <v>0</v>
      </c>
      <c r="AL61" s="14">
        <f t="shared" si="14"/>
        <v>0</v>
      </c>
      <c r="AM61" s="14">
        <f t="shared" si="14"/>
        <v>0</v>
      </c>
      <c r="AN61" s="14">
        <f t="shared" si="14"/>
        <v>0</v>
      </c>
      <c r="AO61" s="14">
        <f t="shared" si="14"/>
        <v>0</v>
      </c>
      <c r="AP61" s="14">
        <f t="shared" si="14"/>
        <v>12.48</v>
      </c>
      <c r="AQ61" s="14">
        <f t="shared" si="14"/>
        <v>0</v>
      </c>
      <c r="AR61" s="14">
        <f t="shared" si="14"/>
        <v>111.36</v>
      </c>
      <c r="AS61" s="14">
        <f t="shared" si="14"/>
        <v>456.25</v>
      </c>
      <c r="AT61" s="14">
        <f t="shared" si="14"/>
        <v>0</v>
      </c>
      <c r="AU61" s="14">
        <f t="shared" si="14"/>
        <v>10396.86</v>
      </c>
    </row>
    <row r="62" spans="1:47" x14ac:dyDescent="0.2">
      <c r="A62" s="5" t="s">
        <v>107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x14ac:dyDescent="0.2">
      <c r="A63" s="20" t="s">
        <v>108</v>
      </c>
      <c r="B63" s="10">
        <v>0</v>
      </c>
      <c r="C63" s="10">
        <v>0</v>
      </c>
      <c r="D63" s="10">
        <v>-1059</v>
      </c>
      <c r="E63" s="10">
        <v>0</v>
      </c>
      <c r="F63" s="10">
        <v>0</v>
      </c>
      <c r="G63" s="10">
        <v>-1059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814</v>
      </c>
      <c r="O63" s="10">
        <v>0</v>
      </c>
      <c r="P63" s="10">
        <v>0</v>
      </c>
      <c r="Q63" s="10">
        <v>-438.88</v>
      </c>
      <c r="R63" s="10">
        <v>0</v>
      </c>
      <c r="S63" s="10">
        <v>0</v>
      </c>
      <c r="T63" s="10">
        <v>-438.88</v>
      </c>
      <c r="U63" s="10">
        <v>0</v>
      </c>
      <c r="V63" s="10">
        <v>0</v>
      </c>
      <c r="W63" s="10">
        <v>-248.98</v>
      </c>
      <c r="X63" s="10">
        <v>0</v>
      </c>
      <c r="Y63" s="10">
        <v>0</v>
      </c>
      <c r="Z63" s="10">
        <v>-2062.2600000000002</v>
      </c>
      <c r="AA63" s="10">
        <v>0</v>
      </c>
      <c r="AB63" s="10">
        <v>0</v>
      </c>
      <c r="AC63" s="10">
        <v>0</v>
      </c>
      <c r="AD63" s="10">
        <v>-343.93</v>
      </c>
      <c r="AE63" s="10">
        <v>0</v>
      </c>
      <c r="AF63" s="10">
        <v>0</v>
      </c>
      <c r="AG63" s="10">
        <v>-954</v>
      </c>
      <c r="AH63" s="10">
        <v>0</v>
      </c>
      <c r="AI63" s="10">
        <v>0</v>
      </c>
      <c r="AJ63" s="10">
        <v>-954</v>
      </c>
      <c r="AK63" s="10">
        <v>0</v>
      </c>
      <c r="AL63" s="10">
        <v>0</v>
      </c>
      <c r="AM63" s="10">
        <v>-346.07</v>
      </c>
      <c r="AN63" s="10">
        <v>0</v>
      </c>
      <c r="AO63" s="10">
        <v>0</v>
      </c>
      <c r="AP63" s="10">
        <v>-797</v>
      </c>
      <c r="AQ63" s="10">
        <v>0</v>
      </c>
      <c r="AR63" s="10">
        <v>0</v>
      </c>
      <c r="AS63" s="10">
        <v>-797</v>
      </c>
      <c r="AT63" s="10">
        <v>0</v>
      </c>
      <c r="AU63" s="10">
        <f t="shared" ref="AU63:AU68" si="15">SUM(B63:AT63)</f>
        <v>-8685</v>
      </c>
    </row>
    <row r="64" spans="1:47" x14ac:dyDescent="0.2">
      <c r="A64" s="20" t="s">
        <v>109</v>
      </c>
      <c r="B64" s="10">
        <v>0</v>
      </c>
      <c r="C64" s="10">
        <v>0</v>
      </c>
      <c r="D64" s="10">
        <v>-58.24</v>
      </c>
      <c r="E64" s="10">
        <v>0</v>
      </c>
      <c r="F64" s="10">
        <v>0</v>
      </c>
      <c r="G64" s="10">
        <v>-58.24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44.76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-175.39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-52.47</v>
      </c>
      <c r="AH64" s="10">
        <v>0</v>
      </c>
      <c r="AI64" s="10">
        <v>0</v>
      </c>
      <c r="AJ64" s="10">
        <v>-52.47</v>
      </c>
      <c r="AK64" s="10">
        <v>0</v>
      </c>
      <c r="AL64" s="10">
        <v>0</v>
      </c>
      <c r="AM64" s="10">
        <v>-37.950000000000003</v>
      </c>
      <c r="AN64" s="10">
        <v>0</v>
      </c>
      <c r="AO64" s="10">
        <v>0</v>
      </c>
      <c r="AP64" s="10">
        <v>-43.83</v>
      </c>
      <c r="AQ64" s="10">
        <v>0</v>
      </c>
      <c r="AR64" s="10">
        <v>0</v>
      </c>
      <c r="AS64" s="10">
        <v>-43.83</v>
      </c>
      <c r="AT64" s="10">
        <v>0</v>
      </c>
      <c r="AU64" s="10">
        <f t="shared" si="15"/>
        <v>-477.65999999999991</v>
      </c>
    </row>
    <row r="65" spans="1:47" x14ac:dyDescent="0.2">
      <c r="A65" s="20" t="s">
        <v>110</v>
      </c>
      <c r="B65" s="10">
        <v>0</v>
      </c>
      <c r="C65" s="10">
        <v>-900</v>
      </c>
      <c r="D65" s="10">
        <v>0</v>
      </c>
      <c r="E65" s="10">
        <v>0</v>
      </c>
      <c r="F65" s="10">
        <v>-900</v>
      </c>
      <c r="G65" s="10">
        <v>383.8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319</v>
      </c>
      <c r="O65" s="10">
        <v>0</v>
      </c>
      <c r="P65" s="10">
        <v>-354</v>
      </c>
      <c r="Q65" s="10">
        <v>0</v>
      </c>
      <c r="R65" s="10">
        <v>0</v>
      </c>
      <c r="S65" s="10">
        <v>-354</v>
      </c>
      <c r="T65" s="10">
        <v>0</v>
      </c>
      <c r="U65" s="10">
        <v>0</v>
      </c>
      <c r="V65" s="10">
        <v>-383</v>
      </c>
      <c r="W65" s="10">
        <v>0</v>
      </c>
      <c r="X65" s="10">
        <v>0</v>
      </c>
      <c r="Y65" s="10">
        <v>-52</v>
      </c>
      <c r="Z65" s="10">
        <v>-1676</v>
      </c>
      <c r="AA65" s="10">
        <v>0</v>
      </c>
      <c r="AB65" s="10">
        <v>0</v>
      </c>
      <c r="AC65" s="10">
        <v>-285</v>
      </c>
      <c r="AD65" s="10">
        <v>0</v>
      </c>
      <c r="AE65" s="10">
        <v>0</v>
      </c>
      <c r="AF65" s="10">
        <v>-285</v>
      </c>
      <c r="AG65" s="10">
        <v>0</v>
      </c>
      <c r="AH65" s="10">
        <v>0</v>
      </c>
      <c r="AI65" s="10">
        <v>-1124</v>
      </c>
      <c r="AJ65" s="10">
        <v>0</v>
      </c>
      <c r="AK65" s="10">
        <v>0</v>
      </c>
      <c r="AL65" s="10">
        <v>-1124</v>
      </c>
      <c r="AM65" s="10">
        <v>519</v>
      </c>
      <c r="AN65" s="10">
        <v>0</v>
      </c>
      <c r="AO65" s="10">
        <v>-704</v>
      </c>
      <c r="AP65" s="10">
        <v>0</v>
      </c>
      <c r="AQ65" s="10">
        <v>0</v>
      </c>
      <c r="AR65" s="10">
        <v>-704</v>
      </c>
      <c r="AS65" s="10">
        <v>0</v>
      </c>
      <c r="AT65" s="10">
        <v>0</v>
      </c>
      <c r="AU65" s="10">
        <f t="shared" si="15"/>
        <v>-7623.2</v>
      </c>
    </row>
    <row r="66" spans="1:47" x14ac:dyDescent="0.2">
      <c r="A66" s="20" t="s">
        <v>111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-3.12</v>
      </c>
      <c r="AQ66" s="10">
        <v>0</v>
      </c>
      <c r="AR66" s="10">
        <v>-27.84</v>
      </c>
      <c r="AS66" s="10">
        <v>-114.06</v>
      </c>
      <c r="AT66" s="10">
        <v>0</v>
      </c>
      <c r="AU66" s="10">
        <f t="shared" si="15"/>
        <v>-145.02000000000001</v>
      </c>
    </row>
    <row r="67" spans="1:47" x14ac:dyDescent="0.2">
      <c r="A67" s="20" t="s">
        <v>112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-0.17</v>
      </c>
      <c r="AQ67" s="10">
        <v>0</v>
      </c>
      <c r="AR67" s="10">
        <v>-1.53</v>
      </c>
      <c r="AS67" s="10">
        <v>-6.27</v>
      </c>
      <c r="AT67" s="10">
        <v>0</v>
      </c>
      <c r="AU67" s="10">
        <f t="shared" si="15"/>
        <v>-7.97</v>
      </c>
    </row>
    <row r="68" spans="1:47" x14ac:dyDescent="0.2">
      <c r="A68" s="20" t="s">
        <v>113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-0.6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f t="shared" si="15"/>
        <v>-0.6</v>
      </c>
    </row>
    <row r="69" spans="1:47" x14ac:dyDescent="0.2">
      <c r="A69" s="18" t="s">
        <v>114</v>
      </c>
      <c r="B69" s="14">
        <f t="shared" ref="B69:AU69" si="16">SUM(B63:B68)</f>
        <v>0</v>
      </c>
      <c r="C69" s="14">
        <f t="shared" si="16"/>
        <v>-900</v>
      </c>
      <c r="D69" s="14">
        <f t="shared" si="16"/>
        <v>-1117.24</v>
      </c>
      <c r="E69" s="14">
        <f t="shared" si="16"/>
        <v>0</v>
      </c>
      <c r="F69" s="14">
        <f t="shared" si="16"/>
        <v>-900</v>
      </c>
      <c r="G69" s="14">
        <f t="shared" si="16"/>
        <v>-733.44</v>
      </c>
      <c r="H69" s="14">
        <f t="shared" si="16"/>
        <v>0</v>
      </c>
      <c r="I69" s="14">
        <f t="shared" si="16"/>
        <v>0</v>
      </c>
      <c r="J69" s="14">
        <f t="shared" si="16"/>
        <v>0</v>
      </c>
      <c r="K69" s="14">
        <f t="shared" si="16"/>
        <v>0</v>
      </c>
      <c r="L69" s="14">
        <f t="shared" si="16"/>
        <v>0</v>
      </c>
      <c r="M69" s="14">
        <f t="shared" si="16"/>
        <v>0</v>
      </c>
      <c r="N69" s="14">
        <f t="shared" si="16"/>
        <v>1177.76</v>
      </c>
      <c r="O69" s="14">
        <f t="shared" si="16"/>
        <v>0</v>
      </c>
      <c r="P69" s="14">
        <f t="shared" si="16"/>
        <v>-354</v>
      </c>
      <c r="Q69" s="14">
        <f t="shared" si="16"/>
        <v>-438.88</v>
      </c>
      <c r="R69" s="14">
        <f t="shared" si="16"/>
        <v>0</v>
      </c>
      <c r="S69" s="14">
        <f t="shared" si="16"/>
        <v>-354</v>
      </c>
      <c r="T69" s="14">
        <f t="shared" si="16"/>
        <v>-438.88</v>
      </c>
      <c r="U69" s="14">
        <f t="shared" si="16"/>
        <v>0</v>
      </c>
      <c r="V69" s="14">
        <f t="shared" si="16"/>
        <v>-383</v>
      </c>
      <c r="W69" s="14">
        <f t="shared" si="16"/>
        <v>-248.98</v>
      </c>
      <c r="X69" s="14">
        <f t="shared" si="16"/>
        <v>0</v>
      </c>
      <c r="Y69" s="14">
        <f t="shared" si="16"/>
        <v>-52</v>
      </c>
      <c r="Z69" s="14">
        <f t="shared" si="16"/>
        <v>-3913.65</v>
      </c>
      <c r="AA69" s="14">
        <f t="shared" si="16"/>
        <v>0</v>
      </c>
      <c r="AB69" s="14">
        <f t="shared" si="16"/>
        <v>0</v>
      </c>
      <c r="AC69" s="14">
        <f t="shared" si="16"/>
        <v>-285</v>
      </c>
      <c r="AD69" s="14">
        <f t="shared" si="16"/>
        <v>-343.93</v>
      </c>
      <c r="AE69" s="14">
        <f t="shared" si="16"/>
        <v>0</v>
      </c>
      <c r="AF69" s="14">
        <f t="shared" si="16"/>
        <v>-285</v>
      </c>
      <c r="AG69" s="14">
        <f t="shared" si="16"/>
        <v>-1006.47</v>
      </c>
      <c r="AH69" s="14">
        <f t="shared" si="16"/>
        <v>-0.6</v>
      </c>
      <c r="AI69" s="14">
        <f t="shared" si="16"/>
        <v>-1124</v>
      </c>
      <c r="AJ69" s="14">
        <f t="shared" si="16"/>
        <v>-1006.47</v>
      </c>
      <c r="AK69" s="14">
        <f t="shared" si="16"/>
        <v>0</v>
      </c>
      <c r="AL69" s="14">
        <f t="shared" si="16"/>
        <v>-1124</v>
      </c>
      <c r="AM69" s="14">
        <f t="shared" si="16"/>
        <v>134.98000000000002</v>
      </c>
      <c r="AN69" s="14">
        <f t="shared" si="16"/>
        <v>0</v>
      </c>
      <c r="AO69" s="14">
        <f t="shared" si="16"/>
        <v>-704</v>
      </c>
      <c r="AP69" s="14">
        <f t="shared" si="16"/>
        <v>-844.12</v>
      </c>
      <c r="AQ69" s="14">
        <f t="shared" si="16"/>
        <v>0</v>
      </c>
      <c r="AR69" s="14">
        <f t="shared" si="16"/>
        <v>-733.37</v>
      </c>
      <c r="AS69" s="14">
        <f t="shared" si="16"/>
        <v>-961.16000000000008</v>
      </c>
      <c r="AT69" s="14">
        <f t="shared" si="16"/>
        <v>0</v>
      </c>
      <c r="AU69" s="14">
        <f t="shared" si="16"/>
        <v>-16939.45</v>
      </c>
    </row>
    <row r="70" spans="1:47" x14ac:dyDescent="0.2">
      <c r="A70" s="21" t="s">
        <v>115</v>
      </c>
      <c r="B70" s="14">
        <f t="shared" ref="B70:AU70" si="17">B55+B61+B69+0</f>
        <v>34467.22</v>
      </c>
      <c r="C70" s="14">
        <f t="shared" si="17"/>
        <v>6901.63</v>
      </c>
      <c r="D70" s="14">
        <f t="shared" si="17"/>
        <v>-4511.2299999999996</v>
      </c>
      <c r="E70" s="14">
        <f t="shared" si="17"/>
        <v>-864.38</v>
      </c>
      <c r="F70" s="14">
        <f t="shared" si="17"/>
        <v>-1732.27</v>
      </c>
      <c r="G70" s="14">
        <f t="shared" si="17"/>
        <v>-1608.33</v>
      </c>
      <c r="H70" s="14">
        <f t="shared" si="17"/>
        <v>-313.59999999999997</v>
      </c>
      <c r="I70" s="14">
        <f t="shared" si="17"/>
        <v>-1088.8</v>
      </c>
      <c r="J70" s="14">
        <f t="shared" si="17"/>
        <v>-1664.6399999999999</v>
      </c>
      <c r="K70" s="14">
        <f t="shared" si="17"/>
        <v>-19188.52</v>
      </c>
      <c r="L70" s="14">
        <f t="shared" si="17"/>
        <v>-3099.98</v>
      </c>
      <c r="M70" s="14">
        <f t="shared" si="17"/>
        <v>-2250.8700000000003</v>
      </c>
      <c r="N70" s="14">
        <f t="shared" si="17"/>
        <v>1177.76</v>
      </c>
      <c r="O70" s="14">
        <f t="shared" si="17"/>
        <v>946.52999999999975</v>
      </c>
      <c r="P70" s="14">
        <f t="shared" si="17"/>
        <v>-247.51000000000022</v>
      </c>
      <c r="Q70" s="14">
        <f t="shared" si="17"/>
        <v>-550.16999999999996</v>
      </c>
      <c r="R70" s="14">
        <f t="shared" si="17"/>
        <v>2066.2299999999987</v>
      </c>
      <c r="S70" s="14">
        <f t="shared" si="17"/>
        <v>1663.5499999999988</v>
      </c>
      <c r="T70" s="14">
        <f t="shared" si="17"/>
        <v>1513.8999999999983</v>
      </c>
      <c r="U70" s="14">
        <f t="shared" si="17"/>
        <v>2067.0599999999986</v>
      </c>
      <c r="V70" s="14">
        <f t="shared" si="17"/>
        <v>1656.0299999999984</v>
      </c>
      <c r="W70" s="14">
        <f t="shared" si="17"/>
        <v>1822.9899999999984</v>
      </c>
      <c r="X70" s="14">
        <f t="shared" si="17"/>
        <v>2002.0199999999986</v>
      </c>
      <c r="Y70" s="14">
        <f t="shared" si="17"/>
        <v>2698.2599999999993</v>
      </c>
      <c r="Z70" s="14">
        <f t="shared" si="17"/>
        <v>-561.42000000000007</v>
      </c>
      <c r="AA70" s="14">
        <f t="shared" si="17"/>
        <v>0</v>
      </c>
      <c r="AB70" s="14">
        <f t="shared" si="17"/>
        <v>1660.1</v>
      </c>
      <c r="AC70" s="14">
        <f t="shared" si="17"/>
        <v>1300.1400000000008</v>
      </c>
      <c r="AD70" s="14">
        <f t="shared" si="17"/>
        <v>-4022.0899999999988</v>
      </c>
      <c r="AE70" s="14">
        <f t="shared" si="17"/>
        <v>1537.4399999999996</v>
      </c>
      <c r="AF70" s="14">
        <f t="shared" si="17"/>
        <v>2005.2200000000003</v>
      </c>
      <c r="AG70" s="14">
        <f t="shared" si="17"/>
        <v>3832.9800000000005</v>
      </c>
      <c r="AH70" s="14">
        <f t="shared" si="17"/>
        <v>3331.1600000000012</v>
      </c>
      <c r="AI70" s="14">
        <f t="shared" si="17"/>
        <v>3453.880000000001</v>
      </c>
      <c r="AJ70" s="14">
        <f t="shared" si="17"/>
        <v>-1060.3599999999976</v>
      </c>
      <c r="AK70" s="14">
        <f t="shared" si="17"/>
        <v>4834.5400000000009</v>
      </c>
      <c r="AL70" s="14">
        <f t="shared" si="17"/>
        <v>3510.9599999999991</v>
      </c>
      <c r="AM70" s="14">
        <f t="shared" si="17"/>
        <v>-8099.1999999999971</v>
      </c>
      <c r="AN70" s="14">
        <f t="shared" si="17"/>
        <v>4676.0900000000011</v>
      </c>
      <c r="AO70" s="14">
        <f t="shared" si="17"/>
        <v>4470.3600000000006</v>
      </c>
      <c r="AP70" s="14">
        <f t="shared" si="17"/>
        <v>-37.05000000000075</v>
      </c>
      <c r="AQ70" s="14">
        <f t="shared" si="17"/>
        <v>4538.3899999999994</v>
      </c>
      <c r="AR70" s="14">
        <f t="shared" si="17"/>
        <v>3782.5199999999986</v>
      </c>
      <c r="AS70" s="14">
        <f t="shared" si="17"/>
        <v>2882.25</v>
      </c>
      <c r="AT70" s="14">
        <f t="shared" si="17"/>
        <v>-650</v>
      </c>
      <c r="AU70" s="14">
        <f t="shared" si="17"/>
        <v>53248.790000000212</v>
      </c>
    </row>
  </sheetData>
  <mergeCells count="3">
    <mergeCell ref="A1:AU1"/>
    <mergeCell ref="A2:AU2"/>
    <mergeCell ref="A3:A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2023-08-08T18:07:33Z</dcterms:created>
  <dcterms:modified xsi:type="dcterms:W3CDTF">2023-08-08T18:09:50Z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