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Horus-DE\"/>
    </mc:Choice>
  </mc:AlternateContent>
  <xr:revisionPtr revIDLastSave="0" documentId="13_ncr:40009_{F0D68069-CE78-4B47-8BB5-9C0BE16CF413}" xr6:coauthVersionLast="47" xr6:coauthVersionMax="47" xr10:uidLastSave="{00000000-0000-0000-0000-000000000000}"/>
  <bookViews>
    <workbookView xWindow="-289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D67" i="1"/>
  <c r="C67" i="1"/>
  <c r="B67" i="1"/>
  <c r="F66" i="1"/>
  <c r="F65" i="1"/>
  <c r="F64" i="1"/>
  <c r="F63" i="1"/>
  <c r="F62" i="1"/>
  <c r="F61" i="1"/>
  <c r="E58" i="1"/>
  <c r="E59" i="1" s="1"/>
  <c r="D58" i="1"/>
  <c r="D59" i="1" s="1"/>
  <c r="C58" i="1"/>
  <c r="C59" i="1" s="1"/>
  <c r="B58" i="1"/>
  <c r="B59" i="1" s="1"/>
  <c r="F57" i="1"/>
  <c r="F56" i="1"/>
  <c r="E51" i="1"/>
  <c r="D51" i="1"/>
  <c r="C51" i="1"/>
  <c r="B51" i="1"/>
  <c r="F50" i="1"/>
  <c r="F49" i="1"/>
  <c r="F48" i="1"/>
  <c r="F47" i="1"/>
  <c r="F46" i="1"/>
  <c r="F45" i="1"/>
  <c r="F44" i="1"/>
  <c r="F43" i="1"/>
  <c r="F42" i="1"/>
  <c r="F41" i="1"/>
  <c r="E38" i="1"/>
  <c r="D38" i="1"/>
  <c r="C38" i="1"/>
  <c r="B38" i="1"/>
  <c r="F37" i="1"/>
  <c r="F36" i="1"/>
  <c r="F35" i="1"/>
  <c r="F34" i="1"/>
  <c r="E32" i="1"/>
  <c r="D32" i="1"/>
  <c r="D39" i="1" s="1"/>
  <c r="D52" i="1" s="1"/>
  <c r="C32" i="1"/>
  <c r="C39" i="1" s="1"/>
  <c r="C52" i="1" s="1"/>
  <c r="B32" i="1"/>
  <c r="B39" i="1" s="1"/>
  <c r="F31" i="1"/>
  <c r="F30" i="1"/>
  <c r="F29" i="1"/>
  <c r="F32" i="1" s="1"/>
  <c r="E23" i="1"/>
  <c r="E24" i="1" s="1"/>
  <c r="D23" i="1"/>
  <c r="D24" i="1" s="1"/>
  <c r="C23" i="1"/>
  <c r="C24" i="1" s="1"/>
  <c r="B23" i="1"/>
  <c r="B24" i="1" s="1"/>
  <c r="F22" i="1"/>
  <c r="F23" i="1" s="1"/>
  <c r="F24" i="1" s="1"/>
  <c r="E18" i="1"/>
  <c r="D18" i="1"/>
  <c r="C18" i="1"/>
  <c r="B18" i="1"/>
  <c r="F17" i="1"/>
  <c r="F16" i="1"/>
  <c r="F18" i="1" s="1"/>
  <c r="E14" i="1"/>
  <c r="D14" i="1"/>
  <c r="C14" i="1"/>
  <c r="B14" i="1"/>
  <c r="F13" i="1"/>
  <c r="F12" i="1"/>
  <c r="F11" i="1"/>
  <c r="E39" i="1" l="1"/>
  <c r="E52" i="1" s="1"/>
  <c r="D19" i="1"/>
  <c r="D25" i="1" s="1"/>
  <c r="D53" i="1" s="1"/>
  <c r="D68" i="1" s="1"/>
  <c r="B52" i="1"/>
  <c r="E19" i="1"/>
  <c r="E25" i="1" s="1"/>
  <c r="E53" i="1" s="1"/>
  <c r="E68" i="1" s="1"/>
  <c r="C19" i="1"/>
  <c r="F14" i="1"/>
  <c r="F19" i="1" s="1"/>
  <c r="F25" i="1" s="1"/>
  <c r="F51" i="1"/>
  <c r="B19" i="1"/>
  <c r="B25" i="1" s="1"/>
  <c r="B53" i="1" s="1"/>
  <c r="B68" i="1" s="1"/>
  <c r="C25" i="1"/>
  <c r="C53" i="1" s="1"/>
  <c r="C68" i="1" s="1"/>
  <c r="F38" i="1"/>
  <c r="F39" i="1" s="1"/>
  <c r="F58" i="1"/>
  <c r="F59" i="1" s="1"/>
  <c r="F67" i="1"/>
  <c r="F52" i="1" l="1"/>
  <c r="F53" i="1" s="1"/>
  <c r="F68" i="1" s="1"/>
</calcChain>
</file>

<file path=xl/sharedStrings.xml><?xml version="1.0" encoding="utf-8"?>
<sst xmlns="http://schemas.openxmlformats.org/spreadsheetml/2006/main" count="78" uniqueCount="73">
  <si>
    <t>Firma : Horus software GmbH</t>
  </si>
  <si>
    <t>PG P+L by Entity and Month/Quarter/Year</t>
  </si>
  <si>
    <t>From Jan 2020 to Dez 2023</t>
  </si>
  <si>
    <t> </t>
  </si>
  <si>
    <t>FY 2020</t>
  </si>
  <si>
    <t>FY 2021</t>
  </si>
  <si>
    <t>FY 2022</t>
  </si>
  <si>
    <t>FY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</si>
  <si>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</si>
  <si>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</si>
  <si>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</si>
  <si>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</si>
  <si>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</si>
  <si>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</si>
  <si>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</si>
  <si>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400000 - Sales (free text)</t>
  </si>
  <si>
    <t>440000 - Revenue Services- standard VAT</t>
  </si>
  <si>
    <t>479000 - Rebates granted, Standard VAT</t>
  </si>
  <si>
    <t>Total Revenue</t>
  </si>
  <si>
    <t>4. Other operating income</t>
  </si>
  <si>
    <t>483900 - Other infrequent income</t>
  </si>
  <si>
    <t>493200 - Income from remission of liabilities</t>
  </si>
  <si>
    <t>Total Other operating income</t>
  </si>
  <si>
    <t>Total Operating income</t>
  </si>
  <si>
    <t>5. Cost of materials</t>
  </si>
  <si>
    <t>b) Cost of purchased services</t>
  </si>
  <si>
    <t>590000 - Purchased services standard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</si>
  <si>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</si>
  <si>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</si>
  <si>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</si>
  <si>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</si>
  <si>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</si>
  <si>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</si>
  <si>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602000 - Salaries</t>
  </si>
  <si>
    <t>602200 - Vacation pay -provision-</t>
  </si>
  <si>
    <t>607800 - Refunds Expenditure Compensation Act</t>
  </si>
  <si>
    <t>Total Wages and salaries</t>
  </si>
  <si>
    <t>b) Social security, post-employ, and other employee benft costs</t>
  </si>
  <si>
    <t>611000 - Statutory social security expenses</t>
  </si>
  <si>
    <t>612000 - Contributions to occupational health and safety agency</t>
  </si>
  <si>
    <t>613000 - Voluntary social benefits not subject to wage tax</t>
  </si>
  <si>
    <t>614000 - Cost of old age pensions</t>
  </si>
  <si>
    <t>Total Social security, post-employ, and other employee benft costs</t>
  </si>
  <si>
    <t>Total Personnel expenses</t>
  </si>
  <si>
    <t>8. Other operating expenses</t>
  </si>
  <si>
    <t>642000 - Contributions</t>
  </si>
  <si>
    <t>660000 - Advertising costs</t>
  </si>
  <si>
    <t>681000 - Fax and Internet costs</t>
  </si>
  <si>
    <t>681500 - Office supplies</t>
  </si>
  <si>
    <t>682100 - Training costs</t>
  </si>
  <si>
    <t>682500 - Legal and consulting costs</t>
  </si>
  <si>
    <t>682700 - Period-end closing and audit costs</t>
  </si>
  <si>
    <t>683000 - Bookkeeping costs</t>
  </si>
  <si>
    <t>683700 - Expenses for temp. transfer of rights(licences, concessions)</t>
  </si>
  <si>
    <t>685500 - Incidental monetary transaction costs</t>
  </si>
  <si>
    <t>Total Other operating expenses</t>
  </si>
  <si>
    <t>Total Operating expenses (except cost of materials)</t>
  </si>
  <si>
    <t>Total EBIT</t>
  </si>
  <si>
    <t>Financial result</t>
  </si>
  <si>
    <t>11. Other interest and similar income</t>
  </si>
  <si>
    <t>710000 - Other interest and similar income</t>
  </si>
  <si>
    <t>711900 - Other interest income from affiliated companies</t>
  </si>
  <si>
    <t>Total Other interest and similar income</t>
  </si>
  <si>
    <t>Total Financial result</t>
  </si>
  <si>
    <t>14. Taxes on income</t>
  </si>
  <si>
    <t>760000 - Corporate income tax</t>
  </si>
  <si>
    <t>760800 - Solidarity surcharge</t>
  </si>
  <si>
    <t>761000 - Trade tax</t>
  </si>
  <si>
    <t>763000 - Withholding tax on investment income, 25%</t>
  </si>
  <si>
    <t>763300 - Allow. solidarity surcharge on w/h tax invest. income, 25%</t>
  </si>
  <si>
    <t>764100 - Backpayments and refunds of trade tax for prior years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</si>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</sst>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zoomScale="145" zoomScaleNormal="145" workbookViewId="0">
      <selection activeCell="D21" sqref="D21"/>
    </sheetView>
  </sheetViews>
  <sheetFormatPr baseColWidth="10" defaultRowHeight="11.25" x14ac:dyDescent="0.2"/>
  <cols>
    <col min="1" max="1" width="70.5" bestFit="1" customWidth="1"/>
    <col min="2" max="6" width="13.6640625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ht="18" x14ac:dyDescent="0.25">
      <c r="A2" s="2" t="s">
        <v>1</v>
      </c>
      <c r="B2" s="2"/>
      <c r="C2" s="2"/>
      <c r="D2" s="2"/>
      <c r="E2" s="2"/>
      <c r="F2" s="2"/>
    </row>
    <row r="3" spans="1:6" ht="18" x14ac:dyDescent="0.25">
      <c r="A3" s="2" t="s">
        <v>2</v>
      </c>
      <c r="B3" s="2"/>
      <c r="C3" s="2"/>
      <c r="D3" s="2"/>
      <c r="E3" s="2"/>
      <c r="F3" s="2"/>
    </row>
    <row r="4" spans="1:6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">
      <c r="A5" s="3" t="s">
        <v>3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</row>
    <row r="6" spans="1:6" x14ac:dyDescent="0.2">
      <c r="A6" s="5" t="s">
        <v>10</v>
      </c>
      <c r="B6" s="6"/>
      <c r="C6" s="6"/>
      <c r="D6" s="6"/>
      <c r="E6" s="6"/>
      <c r="F6" s="6"/>
    </row>
    <row r="7" spans="1:6" x14ac:dyDescent="0.2">
      <c r="A7" s="7" t="s">
        <v>11</v>
      </c>
      <c r="B7" s="6"/>
      <c r="C7" s="6"/>
      <c r="D7" s="6"/>
      <c r="E7" s="6"/>
      <c r="F7" s="6"/>
    </row>
    <row r="8" spans="1:6" x14ac:dyDescent="0.2">
      <c r="A8" s="8" t="s">
        <v>12</v>
      </c>
      <c r="B8" s="6"/>
      <c r="C8" s="6"/>
      <c r="D8" s="6"/>
      <c r="E8" s="6"/>
      <c r="F8" s="6"/>
    </row>
    <row r="9" spans="1:6" x14ac:dyDescent="0.2">
      <c r="A9" s="9" t="s">
        <v>13</v>
      </c>
      <c r="B9" s="6"/>
      <c r="C9" s="6"/>
      <c r="D9" s="6"/>
      <c r="E9" s="6"/>
      <c r="F9" s="6"/>
    </row>
    <row r="10" spans="1:6" x14ac:dyDescent="0.2">
      <c r="A10" s="10" t="s">
        <v>14</v>
      </c>
      <c r="B10" s="6">
        <v>55851.83</v>
      </c>
      <c r="C10" s="6">
        <v>63409</v>
      </c>
      <c r="D10" s="6">
        <v>80436.760000000009</v>
      </c>
      <c r="E10" s="6">
        <v>50745.13</v>
      </c>
      <c r="F10" s="6">
        <v>250442.72000000003</v>
      </c>
    </row>
    <row r="11" spans="1:6" hidden="1" x14ac:dyDescent="0.2">
      <c r="A11" s="11" t="s">
        <v>15</v>
      </c>
      <c r="B11" s="12">
        <v>5390.33</v>
      </c>
      <c r="C11" s="12">
        <v>2190</v>
      </c>
      <c r="D11" s="12">
        <v>0</v>
      </c>
      <c r="E11" s="12">
        <v>0</v>
      </c>
      <c r="F11" s="12">
        <f>SUM(B11:E11)</f>
        <v>7580.33</v>
      </c>
    </row>
    <row r="12" spans="1:6" hidden="1" x14ac:dyDescent="0.2">
      <c r="A12" s="11" t="s">
        <v>16</v>
      </c>
      <c r="B12" s="12">
        <v>80795</v>
      </c>
      <c r="C12" s="12">
        <v>98170.67</v>
      </c>
      <c r="D12" s="12">
        <v>130200.58</v>
      </c>
      <c r="E12" s="12">
        <v>85458.25</v>
      </c>
      <c r="F12" s="12">
        <f>SUM(B12:E12)</f>
        <v>394624.5</v>
      </c>
    </row>
    <row r="13" spans="1:6" hidden="1" x14ac:dyDescent="0.2">
      <c r="A13" s="11" t="s">
        <v>17</v>
      </c>
      <c r="B13" s="12">
        <v>-30333.5</v>
      </c>
      <c r="C13" s="12">
        <v>-36951.67</v>
      </c>
      <c r="D13" s="12">
        <v>-49763.82</v>
      </c>
      <c r="E13" s="12">
        <v>-34713.120000000003</v>
      </c>
      <c r="F13" s="12">
        <f>SUM(B13:E13)</f>
        <v>-151762.10999999999</v>
      </c>
    </row>
    <row r="14" spans="1:6" hidden="1" x14ac:dyDescent="0.2">
      <c r="A14" s="13" t="s">
        <v>18</v>
      </c>
      <c r="B14" s="14">
        <f>SUM(B11:B13)</f>
        <v>55851.83</v>
      </c>
      <c r="C14" s="14">
        <f>SUM(C11:C13)</f>
        <v>63409</v>
      </c>
      <c r="D14" s="14">
        <f>SUM(D11:D13)</f>
        <v>80436.760000000009</v>
      </c>
      <c r="E14" s="14">
        <f>SUM(E11:E13)</f>
        <v>50745.13</v>
      </c>
      <c r="F14" s="14">
        <f>SUM(F11:F13)</f>
        <v>250442.72000000003</v>
      </c>
    </row>
    <row r="15" spans="1:6" x14ac:dyDescent="0.2">
      <c r="A15" s="10" t="s">
        <v>19</v>
      </c>
      <c r="B15" s="6">
        <v>0</v>
      </c>
      <c r="C15" s="6">
        <v>0</v>
      </c>
      <c r="D15" s="6">
        <v>3040</v>
      </c>
      <c r="E15" s="6">
        <v>0</v>
      </c>
      <c r="F15" s="6">
        <v>3040</v>
      </c>
    </row>
    <row r="16" spans="1:6" hidden="1" x14ac:dyDescent="0.2">
      <c r="A16" s="11" t="s">
        <v>20</v>
      </c>
      <c r="B16" s="12">
        <v>0</v>
      </c>
      <c r="C16" s="12">
        <v>0</v>
      </c>
      <c r="D16" s="12">
        <v>300</v>
      </c>
      <c r="E16" s="12">
        <v>0</v>
      </c>
      <c r="F16" s="12">
        <f>SUM(B16:E16)</f>
        <v>300</v>
      </c>
    </row>
    <row r="17" spans="1:6" hidden="1" x14ac:dyDescent="0.2">
      <c r="A17" s="11" t="s">
        <v>21</v>
      </c>
      <c r="B17" s="12">
        <v>0</v>
      </c>
      <c r="C17" s="12">
        <v>0</v>
      </c>
      <c r="D17" s="12">
        <v>2740</v>
      </c>
      <c r="E17" s="12">
        <v>0</v>
      </c>
      <c r="F17" s="12">
        <f>SUM(B17:E17)</f>
        <v>2740</v>
      </c>
    </row>
    <row r="18" spans="1:6" hidden="1" x14ac:dyDescent="0.2">
      <c r="A18" s="15" t="s">
        <v>22</v>
      </c>
      <c r="B18" s="16">
        <f>SUM(B16:B17)</f>
        <v>0</v>
      </c>
      <c r="C18" s="16">
        <f>SUM(C16:C17)</f>
        <v>0</v>
      </c>
      <c r="D18" s="16">
        <f>SUM(D16:D17)</f>
        <v>3040</v>
      </c>
      <c r="E18" s="16">
        <f>SUM(E16:E17)</f>
        <v>0</v>
      </c>
      <c r="F18" s="16">
        <f>SUM(F16:F17)</f>
        <v>3040</v>
      </c>
    </row>
    <row r="19" spans="1:6" x14ac:dyDescent="0.2">
      <c r="A19" s="17" t="s">
        <v>23</v>
      </c>
      <c r="B19" s="16">
        <f>B14+0+0+B18</f>
        <v>55851.83</v>
      </c>
      <c r="C19" s="16">
        <f>C14+0+0+C18</f>
        <v>63409</v>
      </c>
      <c r="D19" s="16">
        <f>D14+0+0+D18</f>
        <v>83476.760000000009</v>
      </c>
      <c r="E19" s="16">
        <f>E14+0+0+E18</f>
        <v>50745.13</v>
      </c>
      <c r="F19" s="16">
        <f>F14+0+0+F18</f>
        <v>253482.72000000003</v>
      </c>
    </row>
    <row r="20" spans="1:6" x14ac:dyDescent="0.2">
      <c r="A20" s="9" t="s">
        <v>24</v>
      </c>
      <c r="B20" s="6"/>
      <c r="C20" s="6"/>
      <c r="D20" s="6"/>
      <c r="E20" s="6"/>
      <c r="F20" s="6"/>
    </row>
    <row r="21" spans="1:6" x14ac:dyDescent="0.2">
      <c r="A21" s="10" t="s">
        <v>25</v>
      </c>
      <c r="B21" s="6">
        <v>0</v>
      </c>
      <c r="C21" s="6">
        <v>0</v>
      </c>
      <c r="D21" s="6">
        <v>-14120</v>
      </c>
      <c r="E21" s="6">
        <v>0</v>
      </c>
      <c r="F21" s="6">
        <v>-14120</v>
      </c>
    </row>
    <row r="22" spans="1:6" hidden="1" x14ac:dyDescent="0.2">
      <c r="A22" s="11" t="s">
        <v>26</v>
      </c>
      <c r="B22" s="12">
        <v>0</v>
      </c>
      <c r="C22" s="12">
        <v>0</v>
      </c>
      <c r="D22" s="12">
        <v>-14120</v>
      </c>
      <c r="E22" s="12">
        <v>0</v>
      </c>
      <c r="F22" s="12">
        <f>SUM(B22:E22)</f>
        <v>-14120</v>
      </c>
    </row>
    <row r="23" spans="1:6" hidden="1" x14ac:dyDescent="0.2">
      <c r="A23" s="15" t="s">
        <v>27</v>
      </c>
      <c r="B23" s="16">
        <f>SUM(B22)</f>
        <v>0</v>
      </c>
      <c r="C23" s="16">
        <f>SUM(C22)</f>
        <v>0</v>
      </c>
      <c r="D23" s="16">
        <f>SUM(D22)</f>
        <v>-14120</v>
      </c>
      <c r="E23" s="16">
        <f>SUM(E22)</f>
        <v>0</v>
      </c>
      <c r="F23" s="16">
        <f>SUM(F22)</f>
        <v>-14120</v>
      </c>
    </row>
    <row r="24" spans="1:6" x14ac:dyDescent="0.2">
      <c r="A24" s="17" t="s">
        <v>28</v>
      </c>
      <c r="B24" s="16">
        <f>0+B23</f>
        <v>0</v>
      </c>
      <c r="C24" s="16">
        <f>0+C23</f>
        <v>0</v>
      </c>
      <c r="D24" s="16">
        <f>0+D23</f>
        <v>-14120</v>
      </c>
      <c r="E24" s="16">
        <f>0+E23</f>
        <v>0</v>
      </c>
      <c r="F24" s="16">
        <f>0+F23</f>
        <v>-14120</v>
      </c>
    </row>
    <row r="25" spans="1:6" x14ac:dyDescent="0.2">
      <c r="A25" s="18" t="s">
        <v>29</v>
      </c>
      <c r="B25" s="16">
        <f>B19+B24</f>
        <v>55851.83</v>
      </c>
      <c r="C25" s="16">
        <f>C19+C24</f>
        <v>63409</v>
      </c>
      <c r="D25" s="16">
        <f>D19+D24</f>
        <v>69356.760000000009</v>
      </c>
      <c r="E25" s="16">
        <f>E19+E24</f>
        <v>50745.13</v>
      </c>
      <c r="F25" s="16">
        <f>F19+F24</f>
        <v>239362.72000000003</v>
      </c>
    </row>
    <row r="26" spans="1:6" x14ac:dyDescent="0.2">
      <c r="A26" s="8" t="s">
        <v>30</v>
      </c>
      <c r="B26" s="6"/>
      <c r="C26" s="6"/>
      <c r="D26" s="6"/>
      <c r="E26" s="6"/>
      <c r="F26" s="6"/>
    </row>
    <row r="27" spans="1:6" x14ac:dyDescent="0.2">
      <c r="A27" s="9" t="s">
        <v>31</v>
      </c>
      <c r="B27" s="6"/>
      <c r="C27" s="6"/>
      <c r="D27" s="6"/>
      <c r="E27" s="6"/>
      <c r="F27" s="6"/>
    </row>
    <row r="28" spans="1:6" x14ac:dyDescent="0.2">
      <c r="A28" s="10" t="s">
        <v>32</v>
      </c>
      <c r="B28" s="6">
        <v>-17846.64</v>
      </c>
      <c r="C28" s="6">
        <v>-27002.74</v>
      </c>
      <c r="D28" s="6">
        <v>-28343.75</v>
      </c>
      <c r="E28" s="6">
        <v>-14614</v>
      </c>
      <c r="F28" s="6">
        <v>-87807.13</v>
      </c>
    </row>
    <row r="29" spans="1:6" hidden="1" x14ac:dyDescent="0.2">
      <c r="A29" s="11" t="s">
        <v>33</v>
      </c>
      <c r="B29" s="12">
        <v>-17188.64</v>
      </c>
      <c r="C29" s="12">
        <v>-27916.74</v>
      </c>
      <c r="D29" s="12">
        <v>-28716.68</v>
      </c>
      <c r="E29" s="12">
        <v>-14750</v>
      </c>
      <c r="F29" s="12">
        <f>SUM(B29:E29)</f>
        <v>-88572.06</v>
      </c>
    </row>
    <row r="30" spans="1:6" hidden="1" x14ac:dyDescent="0.2">
      <c r="A30" s="11" t="s">
        <v>34</v>
      </c>
      <c r="B30" s="12">
        <v>-658</v>
      </c>
      <c r="C30" s="12">
        <v>914</v>
      </c>
      <c r="D30" s="12">
        <v>-136</v>
      </c>
      <c r="E30" s="12">
        <v>136</v>
      </c>
      <c r="F30" s="12">
        <f>SUM(B30:E30)</f>
        <v>256</v>
      </c>
    </row>
    <row r="31" spans="1:6" hidden="1" x14ac:dyDescent="0.2">
      <c r="A31" s="11" t="s">
        <v>35</v>
      </c>
      <c r="B31" s="12">
        <v>0</v>
      </c>
      <c r="C31" s="12">
        <v>0</v>
      </c>
      <c r="D31" s="12">
        <v>508.93</v>
      </c>
      <c r="E31" s="12">
        <v>0</v>
      </c>
      <c r="F31" s="12">
        <f>SUM(B31:E31)</f>
        <v>508.93</v>
      </c>
    </row>
    <row r="32" spans="1:6" hidden="1" x14ac:dyDescent="0.2">
      <c r="A32" s="15" t="s">
        <v>36</v>
      </c>
      <c r="B32" s="16">
        <f>SUM(B29:B31)</f>
        <v>-17846.64</v>
      </c>
      <c r="C32" s="16">
        <f>SUM(C29:C31)</f>
        <v>-27002.74</v>
      </c>
      <c r="D32" s="16">
        <f>SUM(D29:D31)</f>
        <v>-28343.75</v>
      </c>
      <c r="E32" s="16">
        <f>SUM(E29:E31)</f>
        <v>-14614</v>
      </c>
      <c r="F32" s="16">
        <f>SUM(F29:F31)</f>
        <v>-87807.13</v>
      </c>
    </row>
    <row r="33" spans="1:6" x14ac:dyDescent="0.2">
      <c r="A33" s="10" t="s">
        <v>37</v>
      </c>
      <c r="B33" s="6">
        <v>-3836.9999999999995</v>
      </c>
      <c r="C33" s="6">
        <v>-6193.82</v>
      </c>
      <c r="D33" s="6">
        <v>-8222.6400000000012</v>
      </c>
      <c r="E33" s="6">
        <v>-3521.16</v>
      </c>
      <c r="F33" s="6">
        <v>-21774.62</v>
      </c>
    </row>
    <row r="34" spans="1:6" hidden="1" x14ac:dyDescent="0.2">
      <c r="A34" s="11" t="s">
        <v>38</v>
      </c>
      <c r="B34" s="12">
        <v>-3583.6</v>
      </c>
      <c r="C34" s="12">
        <v>-5933.61</v>
      </c>
      <c r="D34" s="12">
        <v>-6040.88</v>
      </c>
      <c r="E34" s="12">
        <v>-3160.68</v>
      </c>
      <c r="F34" s="12">
        <f>SUM(B34:E34)</f>
        <v>-18718.77</v>
      </c>
    </row>
    <row r="35" spans="1:6" hidden="1" x14ac:dyDescent="0.2">
      <c r="A35" s="11" t="s">
        <v>39</v>
      </c>
      <c r="B35" s="12">
        <v>-56.72</v>
      </c>
      <c r="C35" s="12">
        <v>-51.05</v>
      </c>
      <c r="D35" s="12">
        <v>-72.599999999999994</v>
      </c>
      <c r="E35" s="12">
        <v>-78.040000000000006</v>
      </c>
      <c r="F35" s="12">
        <f>SUM(B35:E35)</f>
        <v>-258.41000000000003</v>
      </c>
    </row>
    <row r="36" spans="1:6" hidden="1" x14ac:dyDescent="0.2">
      <c r="A36" s="11" t="s">
        <v>40</v>
      </c>
      <c r="B36" s="12">
        <v>0</v>
      </c>
      <c r="C36" s="12">
        <v>0</v>
      </c>
      <c r="D36" s="12">
        <v>-1900</v>
      </c>
      <c r="E36" s="12">
        <v>-170</v>
      </c>
      <c r="F36" s="12">
        <f>SUM(B36:E36)</f>
        <v>-2070</v>
      </c>
    </row>
    <row r="37" spans="1:6" hidden="1" x14ac:dyDescent="0.2">
      <c r="A37" s="11" t="s">
        <v>41</v>
      </c>
      <c r="B37" s="12">
        <v>-196.68</v>
      </c>
      <c r="C37" s="12">
        <v>-209.16</v>
      </c>
      <c r="D37" s="12">
        <v>-209.16</v>
      </c>
      <c r="E37" s="12">
        <v>-112.44</v>
      </c>
      <c r="F37" s="12">
        <f>SUM(B37:E37)</f>
        <v>-727.44</v>
      </c>
    </row>
    <row r="38" spans="1:6" hidden="1" x14ac:dyDescent="0.2">
      <c r="A38" s="15" t="s">
        <v>42</v>
      </c>
      <c r="B38" s="16">
        <f>SUM(B34:B37)</f>
        <v>-3836.9999999999995</v>
      </c>
      <c r="C38" s="16">
        <f>SUM(C34:C37)</f>
        <v>-6193.82</v>
      </c>
      <c r="D38" s="16">
        <f>SUM(D34:D37)</f>
        <v>-8222.6400000000012</v>
      </c>
      <c r="E38" s="16">
        <f>SUM(E34:E37)</f>
        <v>-3521.16</v>
      </c>
      <c r="F38" s="16">
        <f>SUM(F34:F37)</f>
        <v>-21774.62</v>
      </c>
    </row>
    <row r="39" spans="1:6" x14ac:dyDescent="0.2">
      <c r="A39" s="17" t="s">
        <v>43</v>
      </c>
      <c r="B39" s="16">
        <f>B32+B38</f>
        <v>-21683.64</v>
      </c>
      <c r="C39" s="16">
        <f>C32+C38</f>
        <v>-33196.559999999998</v>
      </c>
      <c r="D39" s="16">
        <f>D32+D38</f>
        <v>-36566.39</v>
      </c>
      <c r="E39" s="16">
        <f>E32+E38</f>
        <v>-18135.16</v>
      </c>
      <c r="F39" s="16">
        <f>F32+F38</f>
        <v>-109581.75</v>
      </c>
    </row>
    <row r="40" spans="1:6" x14ac:dyDescent="0.2">
      <c r="A40" s="9" t="s">
        <v>44</v>
      </c>
      <c r="B40" s="6">
        <v>-29271.32</v>
      </c>
      <c r="C40" s="6">
        <v>-12751.62</v>
      </c>
      <c r="D40" s="6">
        <v>-17681.8</v>
      </c>
      <c r="E40" s="6">
        <v>-10284.85</v>
      </c>
      <c r="F40" s="6">
        <v>-69989.590000000011</v>
      </c>
    </row>
    <row r="41" spans="1:6" hidden="1" x14ac:dyDescent="0.2">
      <c r="A41" s="19" t="s">
        <v>45</v>
      </c>
      <c r="B41" s="12">
        <v>-503.63</v>
      </c>
      <c r="C41" s="12">
        <v>-282.95999999999998</v>
      </c>
      <c r="D41" s="12">
        <v>-663.06</v>
      </c>
      <c r="E41" s="12">
        <v>-374.28</v>
      </c>
      <c r="F41" s="12">
        <f t="shared" ref="F41:F50" si="0">SUM(B41:E41)</f>
        <v>-1823.9299999999998</v>
      </c>
    </row>
    <row r="42" spans="1:6" hidden="1" x14ac:dyDescent="0.2">
      <c r="A42" s="19" t="s">
        <v>46</v>
      </c>
      <c r="B42" s="12">
        <v>-18740</v>
      </c>
      <c r="C42" s="12">
        <v>0</v>
      </c>
      <c r="D42" s="12">
        <v>0</v>
      </c>
      <c r="E42" s="12">
        <v>0</v>
      </c>
      <c r="F42" s="12">
        <f t="shared" si="0"/>
        <v>-18740</v>
      </c>
    </row>
    <row r="43" spans="1:6" hidden="1" x14ac:dyDescent="0.2">
      <c r="A43" s="19" t="s">
        <v>47</v>
      </c>
      <c r="B43" s="12">
        <v>-69.959999999999994</v>
      </c>
      <c r="C43" s="12">
        <v>-69.959999999999994</v>
      </c>
      <c r="D43" s="12">
        <v>-74.89</v>
      </c>
      <c r="E43" s="12">
        <v>-36.43</v>
      </c>
      <c r="F43" s="12">
        <f t="shared" si="0"/>
        <v>-251.24</v>
      </c>
    </row>
    <row r="44" spans="1:6" hidden="1" x14ac:dyDescent="0.2">
      <c r="A44" s="19" t="s">
        <v>48</v>
      </c>
      <c r="B44" s="12">
        <v>0</v>
      </c>
      <c r="C44" s="12">
        <v>0</v>
      </c>
      <c r="D44" s="12">
        <v>0</v>
      </c>
      <c r="E44" s="12">
        <v>-98.21</v>
      </c>
      <c r="F44" s="12">
        <f t="shared" si="0"/>
        <v>-98.21</v>
      </c>
    </row>
    <row r="45" spans="1:6" hidden="1" x14ac:dyDescent="0.2">
      <c r="A45" s="19" t="s">
        <v>49</v>
      </c>
      <c r="B45" s="12">
        <v>-110</v>
      </c>
      <c r="C45" s="12">
        <v>0</v>
      </c>
      <c r="D45" s="12">
        <v>0</v>
      </c>
      <c r="E45" s="12">
        <v>0</v>
      </c>
      <c r="F45" s="12">
        <f t="shared" si="0"/>
        <v>-110</v>
      </c>
    </row>
    <row r="46" spans="1:6" hidden="1" x14ac:dyDescent="0.2">
      <c r="A46" s="19" t="s">
        <v>50</v>
      </c>
      <c r="B46" s="12">
        <v>0</v>
      </c>
      <c r="C46" s="12">
        <v>0</v>
      </c>
      <c r="D46" s="12">
        <v>-156.1</v>
      </c>
      <c r="E46" s="12">
        <v>0</v>
      </c>
      <c r="F46" s="12">
        <f t="shared" si="0"/>
        <v>-156.1</v>
      </c>
    </row>
    <row r="47" spans="1:6" hidden="1" x14ac:dyDescent="0.2">
      <c r="A47" s="19" t="s">
        <v>51</v>
      </c>
      <c r="B47" s="12">
        <v>-708.7</v>
      </c>
      <c r="C47" s="12">
        <v>-780.55</v>
      </c>
      <c r="D47" s="12">
        <v>-943.72</v>
      </c>
      <c r="E47" s="12">
        <v>0</v>
      </c>
      <c r="F47" s="12">
        <f t="shared" si="0"/>
        <v>-2432.9700000000003</v>
      </c>
    </row>
    <row r="48" spans="1:6" hidden="1" x14ac:dyDescent="0.2">
      <c r="A48" s="19" t="s">
        <v>52</v>
      </c>
      <c r="B48" s="12">
        <v>-3600</v>
      </c>
      <c r="C48" s="12">
        <v>-3600</v>
      </c>
      <c r="D48" s="12">
        <v>-7200</v>
      </c>
      <c r="E48" s="12">
        <v>-4200</v>
      </c>
      <c r="F48" s="12">
        <f t="shared" si="0"/>
        <v>-18600</v>
      </c>
    </row>
    <row r="49" spans="1:6" hidden="1" x14ac:dyDescent="0.2">
      <c r="A49" s="19" t="s">
        <v>53</v>
      </c>
      <c r="B49" s="12">
        <v>-5407.49</v>
      </c>
      <c r="C49" s="12">
        <v>-7843.55</v>
      </c>
      <c r="D49" s="12">
        <v>-8477.09</v>
      </c>
      <c r="E49" s="12">
        <v>-5463.94</v>
      </c>
      <c r="F49" s="12">
        <f t="shared" si="0"/>
        <v>-27192.07</v>
      </c>
    </row>
    <row r="50" spans="1:6" hidden="1" x14ac:dyDescent="0.2">
      <c r="A50" s="19" t="s">
        <v>54</v>
      </c>
      <c r="B50" s="12">
        <v>-131.54</v>
      </c>
      <c r="C50" s="12">
        <v>-174.6</v>
      </c>
      <c r="D50" s="12">
        <v>-166.94</v>
      </c>
      <c r="E50" s="12">
        <v>-111.99</v>
      </c>
      <c r="F50" s="12">
        <f t="shared" si="0"/>
        <v>-585.06999999999994</v>
      </c>
    </row>
    <row r="51" spans="1:6" hidden="1" x14ac:dyDescent="0.2">
      <c r="A51" s="17" t="s">
        <v>55</v>
      </c>
      <c r="B51" s="16">
        <f>SUM(B41:B50)</f>
        <v>-29271.32</v>
      </c>
      <c r="C51" s="16">
        <f>SUM(C41:C50)</f>
        <v>-12751.62</v>
      </c>
      <c r="D51" s="16">
        <f>SUM(D41:D50)</f>
        <v>-17681.8</v>
      </c>
      <c r="E51" s="16">
        <f>SUM(E41:E50)</f>
        <v>-10284.85</v>
      </c>
      <c r="F51" s="16">
        <f>SUM(F41:F50)</f>
        <v>-69989.59</v>
      </c>
    </row>
    <row r="52" spans="1:6" x14ac:dyDescent="0.2">
      <c r="A52" s="18" t="s">
        <v>56</v>
      </c>
      <c r="B52" s="16">
        <f>B39+0+B51</f>
        <v>-50954.96</v>
      </c>
      <c r="C52" s="16">
        <f>C39+0+C51</f>
        <v>-45948.18</v>
      </c>
      <c r="D52" s="16">
        <f>D39+0+D51</f>
        <v>-54248.19</v>
      </c>
      <c r="E52" s="16">
        <f>E39+0+E51</f>
        <v>-28420.010000000002</v>
      </c>
      <c r="F52" s="16">
        <f>F39+0+F51</f>
        <v>-179571.34</v>
      </c>
    </row>
    <row r="53" spans="1:6" x14ac:dyDescent="0.2">
      <c r="A53" s="20" t="s">
        <v>57</v>
      </c>
      <c r="B53" s="16">
        <f>B25+B52</f>
        <v>4896.8700000000026</v>
      </c>
      <c r="C53" s="16">
        <f>C25+C52</f>
        <v>17460.82</v>
      </c>
      <c r="D53" s="16">
        <f>D25+D52</f>
        <v>15108.570000000007</v>
      </c>
      <c r="E53" s="16">
        <f>E25+E52</f>
        <v>22325.119999999995</v>
      </c>
      <c r="F53" s="16">
        <f>F25+F52</f>
        <v>59791.380000000034</v>
      </c>
    </row>
    <row r="54" spans="1:6" x14ac:dyDescent="0.2">
      <c r="A54" s="7" t="s">
        <v>58</v>
      </c>
      <c r="B54" s="6"/>
      <c r="C54" s="6"/>
      <c r="D54" s="6"/>
      <c r="E54" s="6"/>
      <c r="F54" s="6"/>
    </row>
    <row r="55" spans="1:6" x14ac:dyDescent="0.2">
      <c r="A55" s="8" t="s">
        <v>59</v>
      </c>
      <c r="B55" s="6">
        <v>3800.04</v>
      </c>
      <c r="C55" s="6">
        <v>3800.04</v>
      </c>
      <c r="D55" s="6">
        <v>2216.69</v>
      </c>
      <c r="E55" s="6">
        <v>580.09</v>
      </c>
      <c r="F55" s="6">
        <v>10396.86</v>
      </c>
    </row>
    <row r="56" spans="1:6" hidden="1" x14ac:dyDescent="0.2">
      <c r="A56" s="21" t="s">
        <v>60</v>
      </c>
      <c r="B56" s="12">
        <v>0</v>
      </c>
      <c r="C56" s="12">
        <v>0</v>
      </c>
      <c r="D56" s="12">
        <v>0</v>
      </c>
      <c r="E56" s="12">
        <v>580.09</v>
      </c>
      <c r="F56" s="12">
        <f>SUM(B56:E56)</f>
        <v>580.09</v>
      </c>
    </row>
    <row r="57" spans="1:6" hidden="1" x14ac:dyDescent="0.2">
      <c r="A57" s="21" t="s">
        <v>61</v>
      </c>
      <c r="B57" s="12">
        <v>3800.04</v>
      </c>
      <c r="C57" s="12">
        <v>3800.04</v>
      </c>
      <c r="D57" s="12">
        <v>2216.69</v>
      </c>
      <c r="E57" s="12">
        <v>0</v>
      </c>
      <c r="F57" s="12">
        <f>SUM(B57:E57)</f>
        <v>9816.77</v>
      </c>
    </row>
    <row r="58" spans="1:6" hidden="1" x14ac:dyDescent="0.2">
      <c r="A58" s="18" t="s">
        <v>62</v>
      </c>
      <c r="B58" s="16">
        <f>SUM(B56:B57)</f>
        <v>3800.04</v>
      </c>
      <c r="C58" s="16">
        <f>SUM(C56:C57)</f>
        <v>3800.04</v>
      </c>
      <c r="D58" s="16">
        <f>SUM(D56:D57)</f>
        <v>2216.69</v>
      </c>
      <c r="E58" s="16">
        <f>SUM(E56:E57)</f>
        <v>580.09</v>
      </c>
      <c r="F58" s="16">
        <f>SUM(F56:F57)</f>
        <v>10396.86</v>
      </c>
    </row>
    <row r="59" spans="1:6" x14ac:dyDescent="0.2">
      <c r="A59" s="20" t="s">
        <v>63</v>
      </c>
      <c r="B59" s="16">
        <f>0+0+B58+0+0</f>
        <v>3800.04</v>
      </c>
      <c r="C59" s="16">
        <f>0+0+C58+0+0</f>
        <v>3800.04</v>
      </c>
      <c r="D59" s="16">
        <f>0+0+D58+0+0</f>
        <v>2216.69</v>
      </c>
      <c r="E59" s="16">
        <f>0+0+E58+0+0</f>
        <v>580.09</v>
      </c>
      <c r="F59" s="16">
        <f>0+0+F58+0+0</f>
        <v>10396.86</v>
      </c>
    </row>
    <row r="60" spans="1:6" x14ac:dyDescent="0.2">
      <c r="A60" s="7" t="s">
        <v>64</v>
      </c>
      <c r="B60" s="6">
        <v>-2472.92</v>
      </c>
      <c r="C60" s="6">
        <v>-6183.3899999999994</v>
      </c>
      <c r="D60" s="6">
        <v>-5040.49</v>
      </c>
      <c r="E60" s="6">
        <v>-3242.6499999999996</v>
      </c>
      <c r="F60" s="6">
        <v>-16939.449999999997</v>
      </c>
    </row>
    <row r="61" spans="1:6" hidden="1" x14ac:dyDescent="0.2">
      <c r="A61" s="22" t="s">
        <v>65</v>
      </c>
      <c r="B61" s="12">
        <v>-1304</v>
      </c>
      <c r="C61" s="12">
        <v>-3189</v>
      </c>
      <c r="D61" s="12">
        <v>-2598</v>
      </c>
      <c r="E61" s="12">
        <v>-1594</v>
      </c>
      <c r="F61" s="12">
        <f t="shared" ref="F61:F66" si="1">SUM(B61:E61)</f>
        <v>-8685</v>
      </c>
    </row>
    <row r="62" spans="1:6" hidden="1" x14ac:dyDescent="0.2">
      <c r="A62" s="22" t="s">
        <v>66</v>
      </c>
      <c r="B62" s="12">
        <v>-71.72</v>
      </c>
      <c r="C62" s="12">
        <v>-175.39</v>
      </c>
      <c r="D62" s="12">
        <v>-142.88999999999999</v>
      </c>
      <c r="E62" s="12">
        <v>-87.66</v>
      </c>
      <c r="F62" s="12">
        <f t="shared" si="1"/>
        <v>-477.65999999999997</v>
      </c>
    </row>
    <row r="63" spans="1:6" hidden="1" x14ac:dyDescent="0.2">
      <c r="A63" s="22" t="s">
        <v>67</v>
      </c>
      <c r="B63" s="12">
        <v>-1097.2</v>
      </c>
      <c r="C63" s="12">
        <v>-2819</v>
      </c>
      <c r="D63" s="12">
        <v>-2299</v>
      </c>
      <c r="E63" s="12">
        <v>-1408</v>
      </c>
      <c r="F63" s="12">
        <f t="shared" si="1"/>
        <v>-7623.2</v>
      </c>
    </row>
    <row r="64" spans="1:6" hidden="1" x14ac:dyDescent="0.2">
      <c r="A64" s="22" t="s">
        <v>68</v>
      </c>
      <c r="B64" s="12">
        <v>0</v>
      </c>
      <c r="C64" s="12">
        <v>0</v>
      </c>
      <c r="D64" s="12">
        <v>0</v>
      </c>
      <c r="E64" s="12">
        <v>-145.02000000000001</v>
      </c>
      <c r="F64" s="12">
        <f t="shared" si="1"/>
        <v>-145.02000000000001</v>
      </c>
    </row>
    <row r="65" spans="1:6" hidden="1" x14ac:dyDescent="0.2">
      <c r="A65" s="22" t="s">
        <v>69</v>
      </c>
      <c r="B65" s="12">
        <v>0</v>
      </c>
      <c r="C65" s="12">
        <v>0</v>
      </c>
      <c r="D65" s="12">
        <v>0</v>
      </c>
      <c r="E65" s="12">
        <v>-7.97</v>
      </c>
      <c r="F65" s="12">
        <f t="shared" si="1"/>
        <v>-7.97</v>
      </c>
    </row>
    <row r="66" spans="1:6" hidden="1" x14ac:dyDescent="0.2">
      <c r="A66" s="22" t="s">
        <v>70</v>
      </c>
      <c r="B66" s="12">
        <v>0</v>
      </c>
      <c r="C66" s="12">
        <v>0</v>
      </c>
      <c r="D66" s="12">
        <v>-0.6</v>
      </c>
      <c r="E66" s="12">
        <v>0</v>
      </c>
      <c r="F66" s="12">
        <f t="shared" si="1"/>
        <v>-0.6</v>
      </c>
    </row>
    <row r="67" spans="1:6" hidden="1" x14ac:dyDescent="0.2">
      <c r="A67" s="20" t="s">
        <v>71</v>
      </c>
      <c r="B67" s="16">
        <f>SUM(B61:B66)</f>
        <v>-2472.92</v>
      </c>
      <c r="C67" s="16">
        <f>SUM(C61:C66)</f>
        <v>-6183.3899999999994</v>
      </c>
      <c r="D67" s="16">
        <f>SUM(D61:D66)</f>
        <v>-5040.49</v>
      </c>
      <c r="E67" s="16">
        <f>SUM(E61:E66)</f>
        <v>-3242.6499999999996</v>
      </c>
      <c r="F67" s="16">
        <f>SUM(F61:F66)</f>
        <v>-16939.45</v>
      </c>
    </row>
    <row r="68" spans="1:6" x14ac:dyDescent="0.2">
      <c r="A68" s="23" t="s">
        <v>72</v>
      </c>
      <c r="B68" s="16">
        <f>B53+B59+B67+0</f>
        <v>6223.9900000000034</v>
      </c>
      <c r="C68" s="16">
        <f>C53+C59+C67+0</f>
        <v>15077.470000000001</v>
      </c>
      <c r="D68" s="16">
        <f>D53+D59+D67+0</f>
        <v>12284.770000000006</v>
      </c>
      <c r="E68" s="16">
        <f>E53+E59+E67+0</f>
        <v>19662.559999999998</v>
      </c>
      <c r="F68" s="16">
        <f>F53+F59+F67+0</f>
        <v>53248.790000000037</v>
      </c>
    </row>
  </sheetData>
  <mergeCells count="3">
    <mergeCell ref="A1:F1"/>
    <mergeCell ref="A2:F2"/>
    <mergeCell ref="A3:F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2023-08-08T18:05:01Z</dcterms:created>
  <dcterms:modified xsi:type="dcterms:W3CDTF">2023-08-08T18:05:30Z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