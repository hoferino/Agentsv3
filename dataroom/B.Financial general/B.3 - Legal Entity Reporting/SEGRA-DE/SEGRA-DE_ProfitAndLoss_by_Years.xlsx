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SEGRA-DE\"/>
    </mc:Choice>
  </mc:AlternateContent>
  <xr:revisionPtr revIDLastSave="0" documentId="13_ncr:40009_{ED88CB1B-DCF8-4857-B1EF-ED6224DD362D}" xr6:coauthVersionLast="47" xr6:coauthVersionMax="47" xr10:uidLastSave="{00000000-0000-0000-0000-000000000000}"/>
  <bookViews>
    <workbookView xWindow="-289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1" l="1"/>
  <c r="D70" i="1"/>
  <c r="C70" i="1"/>
  <c r="B70" i="1"/>
  <c r="F69" i="1"/>
  <c r="F68" i="1"/>
  <c r="F67" i="1"/>
  <c r="F66" i="1"/>
  <c r="F65" i="1"/>
  <c r="E62" i="1"/>
  <c r="D62" i="1"/>
  <c r="C62" i="1"/>
  <c r="B62" i="1"/>
  <c r="F61" i="1"/>
  <c r="F60" i="1"/>
  <c r="E58" i="1"/>
  <c r="D58" i="1"/>
  <c r="C58" i="1"/>
  <c r="B58" i="1"/>
  <c r="F57" i="1"/>
  <c r="F58" i="1" s="1"/>
  <c r="E55" i="1"/>
  <c r="D55" i="1"/>
  <c r="D63" i="1" s="1"/>
  <c r="C55" i="1"/>
  <c r="C63" i="1" s="1"/>
  <c r="B55" i="1"/>
  <c r="F54" i="1"/>
  <c r="F55" i="1" s="1"/>
  <c r="E49" i="1"/>
  <c r="D49" i="1"/>
  <c r="C49" i="1"/>
  <c r="B49" i="1"/>
  <c r="F48" i="1"/>
  <c r="F47" i="1"/>
  <c r="F46" i="1"/>
  <c r="F45" i="1"/>
  <c r="F44" i="1"/>
  <c r="F43" i="1"/>
  <c r="F42" i="1"/>
  <c r="F41" i="1"/>
  <c r="F40" i="1"/>
  <c r="D38" i="1"/>
  <c r="D50" i="1" s="1"/>
  <c r="E37" i="1"/>
  <c r="E38" i="1" s="1"/>
  <c r="E50" i="1" s="1"/>
  <c r="D37" i="1"/>
  <c r="C37" i="1"/>
  <c r="C38" i="1" s="1"/>
  <c r="C50" i="1" s="1"/>
  <c r="B37" i="1"/>
  <c r="B38" i="1" s="1"/>
  <c r="F36" i="1"/>
  <c r="F35" i="1"/>
  <c r="E29" i="1"/>
  <c r="D29" i="1"/>
  <c r="C29" i="1"/>
  <c r="B29" i="1"/>
  <c r="F28" i="1"/>
  <c r="F27" i="1"/>
  <c r="F26" i="1"/>
  <c r="F25" i="1"/>
  <c r="E23" i="1"/>
  <c r="E30" i="1" s="1"/>
  <c r="D23" i="1"/>
  <c r="D30" i="1" s="1"/>
  <c r="C23" i="1"/>
  <c r="C30" i="1" s="1"/>
  <c r="B23" i="1"/>
  <c r="B30" i="1" s="1"/>
  <c r="F22" i="1"/>
  <c r="F21" i="1"/>
  <c r="F20" i="1"/>
  <c r="E16" i="1"/>
  <c r="D16" i="1"/>
  <c r="C16" i="1"/>
  <c r="B16" i="1"/>
  <c r="F15" i="1"/>
  <c r="F14" i="1"/>
  <c r="E12" i="1"/>
  <c r="D12" i="1"/>
  <c r="D17" i="1" s="1"/>
  <c r="C12" i="1"/>
  <c r="B12" i="1"/>
  <c r="F11" i="1"/>
  <c r="F12" i="1" s="1"/>
  <c r="B17" i="1" l="1"/>
  <c r="B31" i="1" s="1"/>
  <c r="D31" i="1"/>
  <c r="D51" i="1" s="1"/>
  <c r="F23" i="1"/>
  <c r="E63" i="1"/>
  <c r="E17" i="1"/>
  <c r="E31" i="1" s="1"/>
  <c r="E51" i="1" s="1"/>
  <c r="E71" i="1" s="1"/>
  <c r="B50" i="1"/>
  <c r="B51" i="1" s="1"/>
  <c r="F49" i="1"/>
  <c r="C17" i="1"/>
  <c r="C31" i="1" s="1"/>
  <c r="C51" i="1" s="1"/>
  <c r="C71" i="1" s="1"/>
  <c r="F70" i="1"/>
  <c r="B63" i="1"/>
  <c r="F16" i="1"/>
  <c r="F17" i="1" s="1"/>
  <c r="F29" i="1"/>
  <c r="F37" i="1"/>
  <c r="F38" i="1" s="1"/>
  <c r="F62" i="1"/>
  <c r="F63" i="1" s="1"/>
  <c r="D71" i="1"/>
  <c r="F50" i="1" l="1"/>
  <c r="F30" i="1"/>
  <c r="B71" i="1"/>
  <c r="F31" i="1"/>
  <c r="F51" i="1" s="1"/>
  <c r="F71" i="1" s="1"/>
</calcChain>
</file>

<file path=xl/sharedStrings.xml><?xml version="1.0" encoding="utf-8"?>
<sst xmlns="http://schemas.openxmlformats.org/spreadsheetml/2006/main" count="81" uniqueCount="76">
  <si>
    <t>Firma : SEGRA GmbH</t>
  </si>
  <si>
    <t>PG P+L by Entity and Month/Quarter/Year</t>
  </si>
  <si>
    <t>From Jan 2020 to Dez 2023</t>
  </si>
  <si>
    <t> </t>
  </si>
  <si>
    <t>FY 2020</t>
  </si>
  <si>
    <t>FY 2021</t>
  </si>
  <si>
    <t>FY 2022</t>
  </si>
  <si>
    <t>FY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</si>
  <si>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</si>
  <si>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</si>
  <si>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</si>
  <si>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</si>
  <si>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</si>
  <si>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</si>
  <si>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</si>
  <si>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440000 - Revenue Services- standard VAT</t>
  </si>
  <si>
    <t>Total Revenue</t>
  </si>
  <si>
    <t>4. Other operating income</t>
  </si>
  <si>
    <t>490000 - Income from disposal of fixed assets</t>
  </si>
  <si>
    <t>493000 - Income from reversal of provisions</t>
  </si>
  <si>
    <t>Total Other operating income</t>
  </si>
  <si>
    <t>Total Operating income</t>
  </si>
  <si>
    <t>5. Cost of materials</t>
  </si>
  <si>
    <t>a) Cost of raw materials, consum, supplies and purchased merch.</t>
  </si>
  <si>
    <t>573000 - Cash discounts received</t>
  </si>
  <si>
    <t>580010 - Invoice PO price variance standard rate</t>
  </si>
  <si>
    <t>581300 - Invoice PO price variance goods third country</t>
  </si>
  <si>
    <t>Total Cost of raw materials, consum, supplies and purchased merch.</t>
  </si>
  <si>
    <t>b) Cost of purchased services</t>
  </si>
  <si>
    <t>590000 - Purchased services standard input tax</t>
  </si>
  <si>
    <t>590600 - Purchased services, Standard input tax</t>
  </si>
  <si>
    <t>592300 - Other serv. supplied by contr. anoth EU cntry, Std input tax</t>
  </si>
  <si>
    <t>592500 - Serv.s supplied by foreign contractor, Std input tax</t>
  </si>
  <si>
    <t>Total Cost of purchased services</t>
  </si>
  <si>
    <t>Total Cost of materials</t>
  </si>
  <si>
    <t>Total Gross profit</t>
  </si>
  <si>
    <t>Operating expenses (except cost of materials)</t>
  </si>
  <si>
    <t>7. Depreciation and amortisation</t>
  </si>
  <si>
    <t>a) Amortisation of intangible assets and depr. of tangbl assets</t>
  </si>
  <si>
    <t>622000 - Depr. of tangible fixed assets (excl. Depr. of vehicles)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</si>
  <si>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</si>
  <si>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</si>
  <si>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</si>
  <si>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</si>
  <si>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642000 - Contributions</t>
  </si>
  <si>
    <t>649500 - Hardware and software maintenance expenses</t>
  </si>
  <si>
    <t>678000 - Third-party services (distribution)</t>
  </si>
  <si>
    <t>681500 - Office supplies</t>
  </si>
  <si>
    <t>681600 - data processing demand</t>
  </si>
  <si>
    <t>682500 - Legal and consulting costs</t>
  </si>
  <si>
    <t>682700 - Period-end closing and audit costs</t>
  </si>
  <si>
    <t>683000 - Bookkeeping costs</t>
  </si>
  <si>
    <t>685500 - Incidental monetary transaction costs</t>
  </si>
  <si>
    <t>Total Other operating expenses</t>
  </si>
  <si>
    <t>Total Operating expenses (except cost of materials)</t>
  </si>
  <si>
    <t>Total EBIT</t>
  </si>
  <si>
    <t>Financial result</t>
  </si>
  <si>
    <t>10. Income from other securities and long-term loans</t>
  </si>
  <si>
    <t>701100 - Income from long-term loans</t>
  </si>
  <si>
    <t>Total Income from other securities and long-term loans</t>
  </si>
  <si>
    <t>11. Other interest and similar income</t>
  </si>
  <si>
    <t>710000 - Other interest and similar income</t>
  </si>
  <si>
    <t>Total Other interest and similar income</t>
  </si>
  <si>
    <t>13. Interest and similar expenses</t>
  </si>
  <si>
    <t>731100 - Interest expense §§ 234 to 237 AO deductible</t>
  </si>
  <si>
    <t>732900 - Interest expenses on long-term liabilities to affiliated co.</t>
  </si>
  <si>
    <t>Total Interest and similar expenses</t>
  </si>
  <si>
    <t>Total Financial result</t>
  </si>
  <si>
    <t>14. Taxes on income</t>
  </si>
  <si>
    <t>760000 - Corporate income tax</t>
  </si>
  <si>
    <t>760800 - Solidarity surcharge</t>
  </si>
  <si>
    <t>761000 - Trade tax</t>
  </si>
  <si>
    <t>763000 - Withholding tax on investment income, 25%</t>
  </si>
  <si>
    <t>763300 - Allow. solidarity surcharge on w/h tax invest. income, 25%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</si>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</sst>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zoomScale="130" zoomScaleNormal="130" workbookViewId="0">
      <pane ySplit="5" topLeftCell="A6" activePane="bottomLeft" state="frozen"/>
      <selection pane="bottomLeft" activeCell="A4" sqref="A4:XFD4"/>
    </sheetView>
  </sheetViews>
  <sheetFormatPr baseColWidth="10" defaultRowHeight="11.25" x14ac:dyDescent="0.2"/>
  <cols>
    <col min="1" max="1" width="72.5" bestFit="1" customWidth="1"/>
    <col min="2" max="6" width="16.5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ht="18" x14ac:dyDescent="0.25">
      <c r="A2" s="2" t="s">
        <v>1</v>
      </c>
      <c r="B2" s="2"/>
      <c r="C2" s="2"/>
      <c r="D2" s="2"/>
      <c r="E2" s="2"/>
      <c r="F2" s="2"/>
    </row>
    <row r="3" spans="1:6" ht="18" x14ac:dyDescent="0.25">
      <c r="A3" s="2" t="s">
        <v>2</v>
      </c>
      <c r="B3" s="2"/>
      <c r="C3" s="2"/>
      <c r="D3" s="2"/>
      <c r="E3" s="2"/>
      <c r="F3" s="2"/>
    </row>
    <row r="4" spans="1:6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">
      <c r="A5" s="3" t="s">
        <v>3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</row>
    <row r="6" spans="1:6" x14ac:dyDescent="0.2">
      <c r="A6" s="5" t="s">
        <v>10</v>
      </c>
      <c r="B6" s="6"/>
      <c r="C6" s="6"/>
      <c r="D6" s="6"/>
      <c r="E6" s="6"/>
      <c r="F6" s="6"/>
    </row>
    <row r="7" spans="1:6" x14ac:dyDescent="0.2">
      <c r="A7" s="7" t="s">
        <v>11</v>
      </c>
      <c r="B7" s="6"/>
      <c r="C7" s="6"/>
      <c r="D7" s="6"/>
      <c r="E7" s="6"/>
      <c r="F7" s="6"/>
    </row>
    <row r="8" spans="1:6" x14ac:dyDescent="0.2">
      <c r="A8" s="8" t="s">
        <v>12</v>
      </c>
      <c r="B8" s="6"/>
      <c r="C8" s="6"/>
      <c r="D8" s="6"/>
      <c r="E8" s="6"/>
      <c r="F8" s="6"/>
    </row>
    <row r="9" spans="1:6" x14ac:dyDescent="0.2">
      <c r="A9" s="9" t="s">
        <v>13</v>
      </c>
      <c r="B9" s="6"/>
      <c r="C9" s="6"/>
      <c r="D9" s="6"/>
      <c r="E9" s="6"/>
      <c r="F9" s="6"/>
    </row>
    <row r="10" spans="1:6" x14ac:dyDescent="0.2">
      <c r="A10" s="10" t="s">
        <v>14</v>
      </c>
      <c r="B10" s="6">
        <v>137492.10999999999</v>
      </c>
      <c r="C10" s="6">
        <v>104127.49</v>
      </c>
      <c r="D10" s="6">
        <v>124796.12</v>
      </c>
      <c r="E10" s="6">
        <v>98891.56</v>
      </c>
      <c r="F10" s="6">
        <v>465307.27999999997</v>
      </c>
    </row>
    <row r="11" spans="1:6" hidden="1" x14ac:dyDescent="0.2">
      <c r="A11" s="11" t="s">
        <v>15</v>
      </c>
      <c r="B11" s="12">
        <v>137492.10999999999</v>
      </c>
      <c r="C11" s="12">
        <v>104127.49</v>
      </c>
      <c r="D11" s="12">
        <v>124796.12</v>
      </c>
      <c r="E11" s="12">
        <v>98891.56</v>
      </c>
      <c r="F11" s="12">
        <f>SUM(B11:E11)</f>
        <v>465307.27999999997</v>
      </c>
    </row>
    <row r="12" spans="1:6" hidden="1" x14ac:dyDescent="0.2">
      <c r="A12" s="13" t="s">
        <v>16</v>
      </c>
      <c r="B12" s="14">
        <f>SUM(B11)</f>
        <v>137492.10999999999</v>
      </c>
      <c r="C12" s="14">
        <f>SUM(C11)</f>
        <v>104127.49</v>
      </c>
      <c r="D12" s="14">
        <f>SUM(D11)</f>
        <v>124796.12</v>
      </c>
      <c r="E12" s="14">
        <f>SUM(E11)</f>
        <v>98891.56</v>
      </c>
      <c r="F12" s="14">
        <f>SUM(F11)</f>
        <v>465307.27999999997</v>
      </c>
    </row>
    <row r="13" spans="1:6" x14ac:dyDescent="0.2">
      <c r="A13" s="10" t="s">
        <v>17</v>
      </c>
      <c r="B13" s="6">
        <v>0</v>
      </c>
      <c r="C13" s="6">
        <v>28</v>
      </c>
      <c r="D13" s="6">
        <v>383.7</v>
      </c>
      <c r="E13" s="6">
        <v>0</v>
      </c>
      <c r="F13" s="6">
        <v>411.7</v>
      </c>
    </row>
    <row r="14" spans="1:6" hidden="1" x14ac:dyDescent="0.2">
      <c r="A14" s="11" t="s">
        <v>18</v>
      </c>
      <c r="B14" s="12">
        <v>0</v>
      </c>
      <c r="C14" s="12">
        <v>0</v>
      </c>
      <c r="D14" s="12">
        <v>383.7</v>
      </c>
      <c r="E14" s="12">
        <v>0</v>
      </c>
      <c r="F14" s="12">
        <f>SUM(B14:E14)</f>
        <v>383.7</v>
      </c>
    </row>
    <row r="15" spans="1:6" hidden="1" x14ac:dyDescent="0.2">
      <c r="A15" s="11" t="s">
        <v>19</v>
      </c>
      <c r="B15" s="12">
        <v>0</v>
      </c>
      <c r="C15" s="12">
        <v>28</v>
      </c>
      <c r="D15" s="12">
        <v>0</v>
      </c>
      <c r="E15" s="12">
        <v>0</v>
      </c>
      <c r="F15" s="12">
        <f>SUM(B15:E15)</f>
        <v>28</v>
      </c>
    </row>
    <row r="16" spans="1:6" hidden="1" x14ac:dyDescent="0.2">
      <c r="A16" s="15" t="s">
        <v>20</v>
      </c>
      <c r="B16" s="16">
        <f>SUM(B14:B15)</f>
        <v>0</v>
      </c>
      <c r="C16" s="16">
        <f>SUM(C14:C15)</f>
        <v>28</v>
      </c>
      <c r="D16" s="16">
        <f>SUM(D14:D15)</f>
        <v>383.7</v>
      </c>
      <c r="E16" s="16">
        <f>SUM(E14:E15)</f>
        <v>0</v>
      </c>
      <c r="F16" s="16">
        <f>SUM(F14:F15)</f>
        <v>411.7</v>
      </c>
    </row>
    <row r="17" spans="1:6" x14ac:dyDescent="0.2">
      <c r="A17" s="17" t="s">
        <v>21</v>
      </c>
      <c r="B17" s="16">
        <f>B12+0+0+B16</f>
        <v>137492.10999999999</v>
      </c>
      <c r="C17" s="16">
        <f>C12+0+0+C16</f>
        <v>104155.49</v>
      </c>
      <c r="D17" s="16">
        <f>D12+0+0+D16</f>
        <v>125179.81999999999</v>
      </c>
      <c r="E17" s="16">
        <f>E12+0+0+E16</f>
        <v>98891.56</v>
      </c>
      <c r="F17" s="16">
        <f>F12+0+0+F16</f>
        <v>465718.98</v>
      </c>
    </row>
    <row r="18" spans="1:6" x14ac:dyDescent="0.2">
      <c r="A18" s="9" t="s">
        <v>22</v>
      </c>
      <c r="B18" s="6"/>
      <c r="C18" s="6"/>
      <c r="D18" s="6"/>
      <c r="E18" s="6"/>
      <c r="F18" s="6"/>
    </row>
    <row r="19" spans="1:6" x14ac:dyDescent="0.2">
      <c r="A19" s="10" t="s">
        <v>23</v>
      </c>
      <c r="B19" s="6">
        <v>0</v>
      </c>
      <c r="C19" s="6">
        <v>-0.06</v>
      </c>
      <c r="D19" s="6">
        <v>4.2</v>
      </c>
      <c r="E19" s="6">
        <v>191.78000000000003</v>
      </c>
      <c r="F19" s="6">
        <v>195.92000000000002</v>
      </c>
    </row>
    <row r="20" spans="1:6" hidden="1" x14ac:dyDescent="0.2">
      <c r="A20" s="11" t="s">
        <v>24</v>
      </c>
      <c r="B20" s="12">
        <v>0</v>
      </c>
      <c r="C20" s="12">
        <v>0</v>
      </c>
      <c r="D20" s="12">
        <v>4.2</v>
      </c>
      <c r="E20" s="12">
        <v>191.8</v>
      </c>
      <c r="F20" s="12">
        <f>SUM(B20:E20)</f>
        <v>196</v>
      </c>
    </row>
    <row r="21" spans="1:6" hidden="1" x14ac:dyDescent="0.2">
      <c r="A21" s="11" t="s">
        <v>25</v>
      </c>
      <c r="B21" s="12">
        <v>0</v>
      </c>
      <c r="C21" s="12">
        <v>-0.06</v>
      </c>
      <c r="D21" s="12">
        <v>0</v>
      </c>
      <c r="E21" s="12">
        <v>-0.01</v>
      </c>
      <c r="F21" s="12">
        <f>SUM(B21:E21)</f>
        <v>-6.9999999999999993E-2</v>
      </c>
    </row>
    <row r="22" spans="1:6" hidden="1" x14ac:dyDescent="0.2">
      <c r="A22" s="11" t="s">
        <v>26</v>
      </c>
      <c r="B22" s="12">
        <v>0</v>
      </c>
      <c r="C22" s="12">
        <v>0</v>
      </c>
      <c r="D22" s="12">
        <v>0</v>
      </c>
      <c r="E22" s="12">
        <v>-0.01</v>
      </c>
      <c r="F22" s="12">
        <f>SUM(B22:E22)</f>
        <v>-0.01</v>
      </c>
    </row>
    <row r="23" spans="1:6" hidden="1" x14ac:dyDescent="0.2">
      <c r="A23" s="13" t="s">
        <v>27</v>
      </c>
      <c r="B23" s="14">
        <f>SUM(B20:B22)</f>
        <v>0</v>
      </c>
      <c r="C23" s="14">
        <f>SUM(C20:C22)</f>
        <v>-0.06</v>
      </c>
      <c r="D23" s="14">
        <f>SUM(D20:D22)</f>
        <v>4.2</v>
      </c>
      <c r="E23" s="14">
        <f>SUM(E20:E22)</f>
        <v>191.78000000000003</v>
      </c>
      <c r="F23" s="14">
        <f>SUM(F20:F22)</f>
        <v>195.92000000000002</v>
      </c>
    </row>
    <row r="24" spans="1:6" x14ac:dyDescent="0.2">
      <c r="A24" s="10" t="s">
        <v>28</v>
      </c>
      <c r="B24" s="6">
        <v>-51121</v>
      </c>
      <c r="C24" s="6">
        <v>-50228.9</v>
      </c>
      <c r="D24" s="6">
        <v>-60739.249999999993</v>
      </c>
      <c r="E24" s="6">
        <v>-33291.269999999997</v>
      </c>
      <c r="F24" s="6">
        <v>-195380.41999999998</v>
      </c>
    </row>
    <row r="25" spans="1:6" hidden="1" x14ac:dyDescent="0.2">
      <c r="A25" s="11" t="s">
        <v>29</v>
      </c>
      <c r="B25" s="12">
        <v>0</v>
      </c>
      <c r="C25" s="12">
        <v>-35416.51</v>
      </c>
      <c r="D25" s="12">
        <v>-41824.06</v>
      </c>
      <c r="E25" s="12">
        <v>-27183.21</v>
      </c>
      <c r="F25" s="12">
        <f>SUM(B25:E25)</f>
        <v>-104423.78</v>
      </c>
    </row>
    <row r="26" spans="1:6" hidden="1" x14ac:dyDescent="0.2">
      <c r="A26" s="11" t="s">
        <v>30</v>
      </c>
      <c r="B26" s="12">
        <v>-4899.8100000000004</v>
      </c>
      <c r="C26" s="12">
        <v>-3953.01</v>
      </c>
      <c r="D26" s="12">
        <v>0</v>
      </c>
      <c r="E26" s="12">
        <v>0</v>
      </c>
      <c r="F26" s="12">
        <f>SUM(B26:E26)</f>
        <v>-8852.82</v>
      </c>
    </row>
    <row r="27" spans="1:6" hidden="1" x14ac:dyDescent="0.2">
      <c r="A27" s="11" t="s">
        <v>31</v>
      </c>
      <c r="B27" s="12">
        <v>-10739.19</v>
      </c>
      <c r="C27" s="12">
        <v>-10859.38</v>
      </c>
      <c r="D27" s="12">
        <v>-13520.84</v>
      </c>
      <c r="E27" s="12">
        <v>-6108.06</v>
      </c>
      <c r="F27" s="12">
        <f>SUM(B27:E27)</f>
        <v>-41227.47</v>
      </c>
    </row>
    <row r="28" spans="1:6" hidden="1" x14ac:dyDescent="0.2">
      <c r="A28" s="11" t="s">
        <v>32</v>
      </c>
      <c r="B28" s="12">
        <v>-35482</v>
      </c>
      <c r="C28" s="12">
        <v>0</v>
      </c>
      <c r="D28" s="12">
        <v>-5394.35</v>
      </c>
      <c r="E28" s="12">
        <v>0</v>
      </c>
      <c r="F28" s="12">
        <f>SUM(B28:E28)</f>
        <v>-40876.35</v>
      </c>
    </row>
    <row r="29" spans="1:6" hidden="1" x14ac:dyDescent="0.2">
      <c r="A29" s="15" t="s">
        <v>33</v>
      </c>
      <c r="B29" s="16">
        <f>SUM(B25:B28)</f>
        <v>-51121</v>
      </c>
      <c r="C29" s="16">
        <f>SUM(C25:C28)</f>
        <v>-50228.9</v>
      </c>
      <c r="D29" s="16">
        <f>SUM(D25:D28)</f>
        <v>-60739.249999999993</v>
      </c>
      <c r="E29" s="16">
        <f>SUM(E25:E28)</f>
        <v>-33291.269999999997</v>
      </c>
      <c r="F29" s="16">
        <f>SUM(F25:F28)</f>
        <v>-195380.42</v>
      </c>
    </row>
    <row r="30" spans="1:6" x14ac:dyDescent="0.2">
      <c r="A30" s="17" t="s">
        <v>34</v>
      </c>
      <c r="B30" s="16">
        <f>B23+B29</f>
        <v>-51121</v>
      </c>
      <c r="C30" s="16">
        <f>C23+C29</f>
        <v>-50228.959999999999</v>
      </c>
      <c r="D30" s="16">
        <f>D23+D29</f>
        <v>-60735.049999999996</v>
      </c>
      <c r="E30" s="16">
        <f>E23+E29</f>
        <v>-33099.49</v>
      </c>
      <c r="F30" s="16">
        <f>F23+F29</f>
        <v>-195184.5</v>
      </c>
    </row>
    <row r="31" spans="1:6" x14ac:dyDescent="0.2">
      <c r="A31" s="18" t="s">
        <v>35</v>
      </c>
      <c r="B31" s="16">
        <f>B17+B30</f>
        <v>86371.109999999986</v>
      </c>
      <c r="C31" s="16">
        <f>C17+C30</f>
        <v>53926.530000000006</v>
      </c>
      <c r="D31" s="16">
        <f>D17+D30</f>
        <v>64444.77</v>
      </c>
      <c r="E31" s="16">
        <f>E17+E30</f>
        <v>65792.070000000007</v>
      </c>
      <c r="F31" s="16">
        <f>F17+F30</f>
        <v>270534.48</v>
      </c>
    </row>
    <row r="32" spans="1:6" x14ac:dyDescent="0.2">
      <c r="A32" s="8" t="s">
        <v>36</v>
      </c>
      <c r="B32" s="6"/>
      <c r="C32" s="6"/>
      <c r="D32" s="6"/>
      <c r="E32" s="6"/>
      <c r="F32" s="6"/>
    </row>
    <row r="33" spans="1:6" x14ac:dyDescent="0.2">
      <c r="A33" s="9" t="s">
        <v>37</v>
      </c>
      <c r="B33" s="6"/>
      <c r="C33" s="6"/>
      <c r="D33" s="6"/>
      <c r="E33" s="6"/>
      <c r="F33" s="6"/>
    </row>
    <row r="34" spans="1:6" x14ac:dyDescent="0.2">
      <c r="A34" s="10" t="s">
        <v>38</v>
      </c>
      <c r="B34" s="6">
        <v>-53343.039999999994</v>
      </c>
      <c r="C34" s="6">
        <v>-29801.059999999998</v>
      </c>
      <c r="D34" s="6">
        <v>-37793.839999999997</v>
      </c>
      <c r="E34" s="6">
        <v>-45090.44</v>
      </c>
      <c r="F34" s="6">
        <v>-166028.38</v>
      </c>
    </row>
    <row r="35" spans="1:6" hidden="1" x14ac:dyDescent="0.2">
      <c r="A35" s="11" t="s">
        <v>39</v>
      </c>
      <c r="B35" s="12">
        <v>-26035.919999999998</v>
      </c>
      <c r="C35" s="12">
        <v>-22608.12</v>
      </c>
      <c r="D35" s="12">
        <v>-26507.66</v>
      </c>
      <c r="E35" s="12">
        <v>-26956.15</v>
      </c>
      <c r="F35" s="12">
        <f>SUM(B35:E35)</f>
        <v>-102107.85</v>
      </c>
    </row>
    <row r="36" spans="1:6" hidden="1" x14ac:dyDescent="0.2">
      <c r="A36" s="11" t="s">
        <v>40</v>
      </c>
      <c r="B36" s="12">
        <v>-27307.119999999999</v>
      </c>
      <c r="C36" s="12">
        <v>-7192.94</v>
      </c>
      <c r="D36" s="12">
        <v>-11286.18</v>
      </c>
      <c r="E36" s="12">
        <v>-18134.29</v>
      </c>
      <c r="F36" s="12">
        <f>SUM(B36:E36)</f>
        <v>-63920.53</v>
      </c>
    </row>
    <row r="37" spans="1:6" hidden="1" x14ac:dyDescent="0.2">
      <c r="A37" s="15" t="s">
        <v>41</v>
      </c>
      <c r="B37" s="16">
        <f>SUM(B35:B36)</f>
        <v>-53343.039999999994</v>
      </c>
      <c r="C37" s="16">
        <f>SUM(C35:C36)</f>
        <v>-29801.059999999998</v>
      </c>
      <c r="D37" s="16">
        <f>SUM(D35:D36)</f>
        <v>-37793.839999999997</v>
      </c>
      <c r="E37" s="16">
        <f>SUM(E35:E36)</f>
        <v>-45090.44</v>
      </c>
      <c r="F37" s="16">
        <f>SUM(F35:F36)</f>
        <v>-166028.38</v>
      </c>
    </row>
    <row r="38" spans="1:6" x14ac:dyDescent="0.2">
      <c r="A38" s="17" t="s">
        <v>42</v>
      </c>
      <c r="B38" s="16">
        <f>B37+0</f>
        <v>-53343.039999999994</v>
      </c>
      <c r="C38" s="16">
        <f>C37+0</f>
        <v>-29801.059999999998</v>
      </c>
      <c r="D38" s="16">
        <f>D37+0</f>
        <v>-37793.839999999997</v>
      </c>
      <c r="E38" s="16">
        <f>E37+0</f>
        <v>-45090.44</v>
      </c>
      <c r="F38" s="16">
        <f>F37+0</f>
        <v>-166028.38</v>
      </c>
    </row>
    <row r="39" spans="1:6" x14ac:dyDescent="0.2">
      <c r="A39" s="9" t="s">
        <v>43</v>
      </c>
      <c r="B39" s="6">
        <v>-17814.079999999998</v>
      </c>
      <c r="C39" s="6">
        <v>-16008.160000000002</v>
      </c>
      <c r="D39" s="6">
        <v>-15437.84</v>
      </c>
      <c r="E39" s="6">
        <v>-8062.96</v>
      </c>
      <c r="F39" s="6">
        <v>-57323.040000000001</v>
      </c>
    </row>
    <row r="40" spans="1:6" hidden="1" x14ac:dyDescent="0.2">
      <c r="A40" s="19" t="s">
        <v>44</v>
      </c>
      <c r="B40" s="12">
        <v>-1437.47</v>
      </c>
      <c r="C40" s="12">
        <v>-1063.28</v>
      </c>
      <c r="D40" s="12">
        <v>-43.49</v>
      </c>
      <c r="E40" s="12">
        <v>-225.62</v>
      </c>
      <c r="F40" s="12">
        <f t="shared" ref="F40:F48" si="0">SUM(B40:E40)</f>
        <v>-2769.8599999999997</v>
      </c>
    </row>
    <row r="41" spans="1:6" hidden="1" x14ac:dyDescent="0.2">
      <c r="A41" s="19" t="s">
        <v>45</v>
      </c>
      <c r="B41" s="12">
        <v>-1860</v>
      </c>
      <c r="C41" s="12">
        <v>-2619.9</v>
      </c>
      <c r="D41" s="12">
        <v>-1995</v>
      </c>
      <c r="E41" s="12">
        <v>-248.75</v>
      </c>
      <c r="F41" s="12">
        <f t="shared" si="0"/>
        <v>-6723.65</v>
      </c>
    </row>
    <row r="42" spans="1:6" hidden="1" x14ac:dyDescent="0.2">
      <c r="A42" s="19" t="s">
        <v>46</v>
      </c>
      <c r="B42" s="12">
        <v>0</v>
      </c>
      <c r="C42" s="12">
        <v>0</v>
      </c>
      <c r="D42" s="12">
        <v>-905</v>
      </c>
      <c r="E42" s="12">
        <v>-1550</v>
      </c>
      <c r="F42" s="12">
        <f t="shared" si="0"/>
        <v>-2455</v>
      </c>
    </row>
    <row r="43" spans="1:6" hidden="1" x14ac:dyDescent="0.2">
      <c r="A43" s="19" t="s">
        <v>47</v>
      </c>
      <c r="B43" s="12">
        <v>-1890.62</v>
      </c>
      <c r="C43" s="12">
        <v>-196.8</v>
      </c>
      <c r="D43" s="12">
        <v>-295.2</v>
      </c>
      <c r="E43" s="12">
        <v>0</v>
      </c>
      <c r="F43" s="12">
        <f t="shared" si="0"/>
        <v>-2382.62</v>
      </c>
    </row>
    <row r="44" spans="1:6" hidden="1" x14ac:dyDescent="0.2">
      <c r="A44" s="19" t="s">
        <v>48</v>
      </c>
      <c r="B44" s="12">
        <v>-1866</v>
      </c>
      <c r="C44" s="12">
        <v>-1275.67</v>
      </c>
      <c r="D44" s="12">
        <v>-1411.17</v>
      </c>
      <c r="E44" s="12">
        <v>90</v>
      </c>
      <c r="F44" s="12">
        <f t="shared" si="0"/>
        <v>-4462.84</v>
      </c>
    </row>
    <row r="45" spans="1:6" hidden="1" x14ac:dyDescent="0.2">
      <c r="A45" s="19" t="s">
        <v>49</v>
      </c>
      <c r="B45" s="12">
        <v>0</v>
      </c>
      <c r="C45" s="12">
        <v>-135</v>
      </c>
      <c r="D45" s="12">
        <v>0</v>
      </c>
      <c r="E45" s="12">
        <v>0</v>
      </c>
      <c r="F45" s="12">
        <f t="shared" si="0"/>
        <v>-135</v>
      </c>
    </row>
    <row r="46" spans="1:6" hidden="1" x14ac:dyDescent="0.2">
      <c r="A46" s="19" t="s">
        <v>50</v>
      </c>
      <c r="B46" s="12">
        <v>-960.9</v>
      </c>
      <c r="C46" s="12">
        <v>-917.47</v>
      </c>
      <c r="D46" s="12">
        <v>-979.8</v>
      </c>
      <c r="E46" s="12">
        <v>0</v>
      </c>
      <c r="F46" s="12">
        <f t="shared" si="0"/>
        <v>-2858.17</v>
      </c>
    </row>
    <row r="47" spans="1:6" hidden="1" x14ac:dyDescent="0.2">
      <c r="A47" s="19" t="s">
        <v>51</v>
      </c>
      <c r="B47" s="12">
        <v>-9600</v>
      </c>
      <c r="C47" s="12">
        <v>-9600</v>
      </c>
      <c r="D47" s="12">
        <v>-9600</v>
      </c>
      <c r="E47" s="12">
        <v>-6000</v>
      </c>
      <c r="F47" s="12">
        <f t="shared" si="0"/>
        <v>-34800</v>
      </c>
    </row>
    <row r="48" spans="1:6" hidden="1" x14ac:dyDescent="0.2">
      <c r="A48" s="19" t="s">
        <v>52</v>
      </c>
      <c r="B48" s="12">
        <v>-199.09</v>
      </c>
      <c r="C48" s="12">
        <v>-200.04</v>
      </c>
      <c r="D48" s="12">
        <v>-208.18</v>
      </c>
      <c r="E48" s="12">
        <v>-128.59</v>
      </c>
      <c r="F48" s="12">
        <f t="shared" si="0"/>
        <v>-735.9</v>
      </c>
    </row>
    <row r="49" spans="1:6" hidden="1" x14ac:dyDescent="0.2">
      <c r="A49" s="17" t="s">
        <v>53</v>
      </c>
      <c r="B49" s="16">
        <f>SUM(B40:B48)</f>
        <v>-17814.079999999998</v>
      </c>
      <c r="C49" s="16">
        <f>SUM(C40:C48)</f>
        <v>-16008.160000000002</v>
      </c>
      <c r="D49" s="16">
        <f>SUM(D40:D48)</f>
        <v>-15437.84</v>
      </c>
      <c r="E49" s="16">
        <f>SUM(E40:E48)</f>
        <v>-8062.96</v>
      </c>
      <c r="F49" s="16">
        <f>SUM(F40:F48)</f>
        <v>-57323.040000000001</v>
      </c>
    </row>
    <row r="50" spans="1:6" x14ac:dyDescent="0.2">
      <c r="A50" s="18" t="s">
        <v>54</v>
      </c>
      <c r="B50" s="16">
        <f>0+B38+B49</f>
        <v>-71157.119999999995</v>
      </c>
      <c r="C50" s="16">
        <f>0+C38+C49</f>
        <v>-45809.22</v>
      </c>
      <c r="D50" s="16">
        <f>0+D38+D49</f>
        <v>-53231.679999999993</v>
      </c>
      <c r="E50" s="16">
        <f>0+E38+E49</f>
        <v>-53153.4</v>
      </c>
      <c r="F50" s="16">
        <f>0+F38+F49</f>
        <v>-223351.42</v>
      </c>
    </row>
    <row r="51" spans="1:6" x14ac:dyDescent="0.2">
      <c r="A51" s="20" t="s">
        <v>55</v>
      </c>
      <c r="B51" s="16">
        <f>B31+B50</f>
        <v>15213.989999999991</v>
      </c>
      <c r="C51" s="16">
        <f>C31+C50</f>
        <v>8117.3100000000049</v>
      </c>
      <c r="D51" s="16">
        <f>D31+D50</f>
        <v>11213.090000000004</v>
      </c>
      <c r="E51" s="16">
        <f>E31+E50</f>
        <v>12638.670000000006</v>
      </c>
      <c r="F51" s="16">
        <f>F31+F50</f>
        <v>47183.059999999969</v>
      </c>
    </row>
    <row r="52" spans="1:6" x14ac:dyDescent="0.2">
      <c r="A52" s="7" t="s">
        <v>56</v>
      </c>
      <c r="B52" s="6"/>
      <c r="C52" s="6"/>
      <c r="D52" s="6"/>
      <c r="E52" s="6"/>
      <c r="F52" s="6"/>
    </row>
    <row r="53" spans="1:6" x14ac:dyDescent="0.2">
      <c r="A53" s="8" t="s">
        <v>57</v>
      </c>
      <c r="B53" s="6">
        <v>1765.04</v>
      </c>
      <c r="C53" s="6">
        <v>1541.98</v>
      </c>
      <c r="D53" s="6">
        <v>1412.77</v>
      </c>
      <c r="E53" s="6">
        <v>290.17</v>
      </c>
      <c r="F53" s="6">
        <v>5009.96</v>
      </c>
    </row>
    <row r="54" spans="1:6" hidden="1" x14ac:dyDescent="0.2">
      <c r="A54" s="21" t="s">
        <v>58</v>
      </c>
      <c r="B54" s="12">
        <v>1765.04</v>
      </c>
      <c r="C54" s="12">
        <v>1541.98</v>
      </c>
      <c r="D54" s="12">
        <v>1412.77</v>
      </c>
      <c r="E54" s="12">
        <v>290.17</v>
      </c>
      <c r="F54" s="12">
        <f>SUM(B54:E54)</f>
        <v>5009.96</v>
      </c>
    </row>
    <row r="55" spans="1:6" hidden="1" x14ac:dyDescent="0.2">
      <c r="A55" s="18" t="s">
        <v>59</v>
      </c>
      <c r="B55" s="16">
        <f>SUM(B54)</f>
        <v>1765.04</v>
      </c>
      <c r="C55" s="16">
        <f>SUM(C54)</f>
        <v>1541.98</v>
      </c>
      <c r="D55" s="16">
        <f>SUM(D54)</f>
        <v>1412.77</v>
      </c>
      <c r="E55" s="16">
        <f>SUM(E54)</f>
        <v>290.17</v>
      </c>
      <c r="F55" s="16">
        <f>SUM(F54)</f>
        <v>5009.96</v>
      </c>
    </row>
    <row r="56" spans="1:6" x14ac:dyDescent="0.2">
      <c r="A56" s="8" t="s">
        <v>60</v>
      </c>
      <c r="B56" s="6">
        <v>119.06</v>
      </c>
      <c r="C56" s="6">
        <v>73.91</v>
      </c>
      <c r="D56" s="6">
        <v>34.24</v>
      </c>
      <c r="E56" s="6">
        <v>0</v>
      </c>
      <c r="F56" s="6">
        <v>227.21</v>
      </c>
    </row>
    <row r="57" spans="1:6" hidden="1" x14ac:dyDescent="0.2">
      <c r="A57" s="21" t="s">
        <v>61</v>
      </c>
      <c r="B57" s="12">
        <v>119.06</v>
      </c>
      <c r="C57" s="12">
        <v>73.91</v>
      </c>
      <c r="D57" s="12">
        <v>34.24</v>
      </c>
      <c r="E57" s="12">
        <v>0</v>
      </c>
      <c r="F57" s="12">
        <f>SUM(B57:E57)</f>
        <v>227.21</v>
      </c>
    </row>
    <row r="58" spans="1:6" hidden="1" x14ac:dyDescent="0.2">
      <c r="A58" s="18" t="s">
        <v>62</v>
      </c>
      <c r="B58" s="16">
        <f>SUM(B57)</f>
        <v>119.06</v>
      </c>
      <c r="C58" s="16">
        <f>SUM(C57)</f>
        <v>73.91</v>
      </c>
      <c r="D58" s="16">
        <f>SUM(D57)</f>
        <v>34.24</v>
      </c>
      <c r="E58" s="16">
        <f>SUM(E57)</f>
        <v>0</v>
      </c>
      <c r="F58" s="16">
        <f>SUM(F57)</f>
        <v>227.21</v>
      </c>
    </row>
    <row r="59" spans="1:6" x14ac:dyDescent="0.2">
      <c r="A59" s="8" t="s">
        <v>63</v>
      </c>
      <c r="B59" s="6">
        <v>-3816.04</v>
      </c>
      <c r="C59" s="6">
        <v>-3800.04</v>
      </c>
      <c r="D59" s="6">
        <v>-2216.69</v>
      </c>
      <c r="E59" s="6">
        <v>0</v>
      </c>
      <c r="F59" s="6">
        <v>-9832.77</v>
      </c>
    </row>
    <row r="60" spans="1:6" hidden="1" x14ac:dyDescent="0.2">
      <c r="A60" s="21" t="s">
        <v>64</v>
      </c>
      <c r="B60" s="12">
        <v>-16</v>
      </c>
      <c r="C60" s="12">
        <v>0</v>
      </c>
      <c r="D60" s="12">
        <v>0</v>
      </c>
      <c r="E60" s="12">
        <v>0</v>
      </c>
      <c r="F60" s="12">
        <f>SUM(B60:E60)</f>
        <v>-16</v>
      </c>
    </row>
    <row r="61" spans="1:6" hidden="1" x14ac:dyDescent="0.2">
      <c r="A61" s="21" t="s">
        <v>65</v>
      </c>
      <c r="B61" s="12">
        <v>-3800.04</v>
      </c>
      <c r="C61" s="12">
        <v>-3800.04</v>
      </c>
      <c r="D61" s="12">
        <v>-2216.69</v>
      </c>
      <c r="E61" s="12">
        <v>0</v>
      </c>
      <c r="F61" s="12">
        <f>SUM(B61:E61)</f>
        <v>-9816.77</v>
      </c>
    </row>
    <row r="62" spans="1:6" hidden="1" x14ac:dyDescent="0.2">
      <c r="A62" s="18" t="s">
        <v>66</v>
      </c>
      <c r="B62" s="16">
        <f>SUM(B60:B61)</f>
        <v>-3816.04</v>
      </c>
      <c r="C62" s="16">
        <f>SUM(C60:C61)</f>
        <v>-3800.04</v>
      </c>
      <c r="D62" s="16">
        <f>SUM(D60:D61)</f>
        <v>-2216.69</v>
      </c>
      <c r="E62" s="16">
        <f>SUM(E60:E61)</f>
        <v>0</v>
      </c>
      <c r="F62" s="16">
        <f>SUM(F60:F61)</f>
        <v>-9832.77</v>
      </c>
    </row>
    <row r="63" spans="1:6" x14ac:dyDescent="0.2">
      <c r="A63" s="20" t="s">
        <v>67</v>
      </c>
      <c r="B63" s="16">
        <f>0+B55+B58+0+B62</f>
        <v>-1931.94</v>
      </c>
      <c r="C63" s="16">
        <f>0+C55+C58+0+C62</f>
        <v>-2184.1499999999996</v>
      </c>
      <c r="D63" s="16">
        <f>0+D55+D58+0+D62</f>
        <v>-769.68000000000006</v>
      </c>
      <c r="E63" s="16">
        <f>0+E55+E58+0+E62</f>
        <v>290.17</v>
      </c>
      <c r="F63" s="16">
        <f>0+F55+F58+0+F62</f>
        <v>-4595.6000000000004</v>
      </c>
    </row>
    <row r="64" spans="1:6" x14ac:dyDescent="0.2">
      <c r="A64" s="7" t="s">
        <v>68</v>
      </c>
      <c r="B64" s="6">
        <v>-3787.33</v>
      </c>
      <c r="C64" s="6">
        <v>-1720.43</v>
      </c>
      <c r="D64" s="6">
        <v>-3034.6899999999996</v>
      </c>
      <c r="E64" s="6">
        <v>-847.86</v>
      </c>
      <c r="F64" s="6">
        <v>-9390.3100000000013</v>
      </c>
    </row>
    <row r="65" spans="1:6" hidden="1" x14ac:dyDescent="0.2">
      <c r="A65" s="22" t="s">
        <v>69</v>
      </c>
      <c r="B65" s="12">
        <v>-1962</v>
      </c>
      <c r="C65" s="12">
        <v>-871</v>
      </c>
      <c r="D65" s="12">
        <v>-1557</v>
      </c>
      <c r="E65" s="12">
        <v>-434</v>
      </c>
      <c r="F65" s="12">
        <f>SUM(B65:E65)</f>
        <v>-4824</v>
      </c>
    </row>
    <row r="66" spans="1:6" hidden="1" x14ac:dyDescent="0.2">
      <c r="A66" s="22" t="s">
        <v>70</v>
      </c>
      <c r="B66" s="12">
        <v>-107.93</v>
      </c>
      <c r="C66" s="12">
        <v>-47.94</v>
      </c>
      <c r="D66" s="12">
        <v>-85.66</v>
      </c>
      <c r="E66" s="12">
        <v>-23.86</v>
      </c>
      <c r="F66" s="12">
        <f>SUM(B66:E66)</f>
        <v>-265.39</v>
      </c>
    </row>
    <row r="67" spans="1:6" hidden="1" x14ac:dyDescent="0.2">
      <c r="A67" s="22" t="s">
        <v>71</v>
      </c>
      <c r="B67" s="12">
        <v>-1686</v>
      </c>
      <c r="C67" s="12">
        <v>-782</v>
      </c>
      <c r="D67" s="12">
        <v>-1383</v>
      </c>
      <c r="E67" s="12">
        <v>-390</v>
      </c>
      <c r="F67" s="12">
        <f>SUM(B67:E67)</f>
        <v>-4241</v>
      </c>
    </row>
    <row r="68" spans="1:6" hidden="1" x14ac:dyDescent="0.2">
      <c r="A68" s="22" t="s">
        <v>72</v>
      </c>
      <c r="B68" s="12">
        <v>-29.77</v>
      </c>
      <c r="C68" s="12">
        <v>-18.48</v>
      </c>
      <c r="D68" s="12">
        <v>-8.56</v>
      </c>
      <c r="E68" s="12">
        <v>0</v>
      </c>
      <c r="F68" s="12">
        <f>SUM(B68:E68)</f>
        <v>-56.81</v>
      </c>
    </row>
    <row r="69" spans="1:6" hidden="1" x14ac:dyDescent="0.2">
      <c r="A69" s="22" t="s">
        <v>73</v>
      </c>
      <c r="B69" s="12">
        <v>-1.63</v>
      </c>
      <c r="C69" s="12">
        <v>-1.01</v>
      </c>
      <c r="D69" s="12">
        <v>-0.47</v>
      </c>
      <c r="E69" s="12">
        <v>0</v>
      </c>
      <c r="F69" s="12">
        <f>SUM(B69:E69)</f>
        <v>-3.1099999999999994</v>
      </c>
    </row>
    <row r="70" spans="1:6" hidden="1" x14ac:dyDescent="0.2">
      <c r="A70" s="20" t="s">
        <v>74</v>
      </c>
      <c r="B70" s="16">
        <f>SUM(B65:B69)</f>
        <v>-3787.33</v>
      </c>
      <c r="C70" s="16">
        <f>SUM(C65:C69)</f>
        <v>-1720.43</v>
      </c>
      <c r="D70" s="16">
        <f>SUM(D65:D69)</f>
        <v>-3034.6899999999996</v>
      </c>
      <c r="E70" s="16">
        <f>SUM(E65:E69)</f>
        <v>-847.86</v>
      </c>
      <c r="F70" s="16">
        <f>SUM(F65:F69)</f>
        <v>-9390.31</v>
      </c>
    </row>
    <row r="71" spans="1:6" x14ac:dyDescent="0.2">
      <c r="A71" s="23" t="s">
        <v>75</v>
      </c>
      <c r="B71" s="16">
        <f>B51+B63+B70+0</f>
        <v>9494.7199999999903</v>
      </c>
      <c r="C71" s="16">
        <f>C51+C63+C70+0</f>
        <v>4212.730000000005</v>
      </c>
      <c r="D71" s="16">
        <f>D51+D63+D70+0</f>
        <v>7408.7200000000039</v>
      </c>
      <c r="E71" s="16">
        <f>E51+E63+E70+0</f>
        <v>12080.980000000005</v>
      </c>
      <c r="F71" s="16">
        <f>F51+F63+F70+0</f>
        <v>33197.149999999972</v>
      </c>
    </row>
  </sheetData>
  <mergeCells count="3">
    <mergeCell ref="A1:F1"/>
    <mergeCell ref="A2:F2"/>
    <mergeCell ref="A3:F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2023-08-08T18:43:40Z</dcterms:created>
  <dcterms:modified xsi:type="dcterms:W3CDTF">2023-08-08T18:44:30Z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