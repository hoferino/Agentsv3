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SEGRA-DE\"/>
    </mc:Choice>
  </mc:AlternateContent>
  <xr:revisionPtr revIDLastSave="0" documentId="13_ncr:40009_{BF11E387-7F2D-435A-AEBE-22251338E9A8}" xr6:coauthVersionLast="47" xr6:coauthVersionMax="47" xr10:uidLastSave="{00000000-0000-0000-0000-000000000000}"/>
  <bookViews>
    <workbookView xWindow="-28920" yWindow="-120" windowWidth="29040" windowHeight="15840"/>
  </bookViews>
  <sheets>
    <sheet name="PGBalanceSheetbyEntityan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" i="1" l="1"/>
  <c r="H112" i="1"/>
  <c r="G112" i="1"/>
  <c r="F112" i="1"/>
  <c r="E112" i="1"/>
  <c r="D112" i="1"/>
  <c r="C112" i="1"/>
  <c r="B112" i="1"/>
  <c r="I98" i="1"/>
  <c r="H98" i="1"/>
  <c r="G98" i="1"/>
  <c r="F98" i="1"/>
  <c r="E98" i="1"/>
  <c r="D98" i="1"/>
  <c r="C98" i="1"/>
  <c r="B98" i="1"/>
  <c r="I95" i="1"/>
  <c r="I113" i="1" s="1"/>
  <c r="H95" i="1"/>
  <c r="H113" i="1" s="1"/>
  <c r="G95" i="1"/>
  <c r="G113" i="1" s="1"/>
  <c r="F95" i="1"/>
  <c r="F113" i="1" s="1"/>
  <c r="E95" i="1"/>
  <c r="E113" i="1" s="1"/>
  <c r="D95" i="1"/>
  <c r="C95" i="1"/>
  <c r="C113" i="1" s="1"/>
  <c r="B95" i="1"/>
  <c r="B113" i="1" s="1"/>
  <c r="I89" i="1"/>
  <c r="H89" i="1"/>
  <c r="G89" i="1"/>
  <c r="F89" i="1"/>
  <c r="E89" i="1"/>
  <c r="D89" i="1"/>
  <c r="C89" i="1"/>
  <c r="B89" i="1"/>
  <c r="I84" i="1"/>
  <c r="I90" i="1" s="1"/>
  <c r="H84" i="1"/>
  <c r="H90" i="1" s="1"/>
  <c r="G84" i="1"/>
  <c r="G90" i="1" s="1"/>
  <c r="F84" i="1"/>
  <c r="F90" i="1" s="1"/>
  <c r="E84" i="1"/>
  <c r="D84" i="1"/>
  <c r="D90" i="1" s="1"/>
  <c r="C84" i="1"/>
  <c r="C90" i="1" s="1"/>
  <c r="B84" i="1"/>
  <c r="B90" i="1" s="1"/>
  <c r="I75" i="1"/>
  <c r="H75" i="1"/>
  <c r="G75" i="1"/>
  <c r="F75" i="1"/>
  <c r="E75" i="1"/>
  <c r="D75" i="1"/>
  <c r="C75" i="1"/>
  <c r="B75" i="1"/>
  <c r="I74" i="1"/>
  <c r="I77" i="1" s="1"/>
  <c r="I116" i="1" s="1"/>
  <c r="H74" i="1"/>
  <c r="H77" i="1" s="1"/>
  <c r="H116" i="1" s="1"/>
  <c r="G74" i="1"/>
  <c r="G77" i="1" s="1"/>
  <c r="G116" i="1" s="1"/>
  <c r="F74" i="1"/>
  <c r="F77" i="1" s="1"/>
  <c r="F116" i="1" s="1"/>
  <c r="E74" i="1"/>
  <c r="E77" i="1" s="1"/>
  <c r="D74" i="1"/>
  <c r="D77" i="1" s="1"/>
  <c r="C74" i="1"/>
  <c r="C77" i="1" s="1"/>
  <c r="B74" i="1"/>
  <c r="I67" i="1"/>
  <c r="H67" i="1"/>
  <c r="G67" i="1"/>
  <c r="F67" i="1"/>
  <c r="E67" i="1"/>
  <c r="D67" i="1"/>
  <c r="C67" i="1"/>
  <c r="B67" i="1"/>
  <c r="I61" i="1"/>
  <c r="I62" i="1" s="1"/>
  <c r="H61" i="1"/>
  <c r="H62" i="1" s="1"/>
  <c r="G61" i="1"/>
  <c r="G62" i="1" s="1"/>
  <c r="F61" i="1"/>
  <c r="F62" i="1" s="1"/>
  <c r="E61" i="1"/>
  <c r="E62" i="1" s="1"/>
  <c r="D61" i="1"/>
  <c r="D62" i="1" s="1"/>
  <c r="C61" i="1"/>
  <c r="C62" i="1" s="1"/>
  <c r="B61" i="1"/>
  <c r="B62" i="1" s="1"/>
  <c r="I54" i="1"/>
  <c r="H54" i="1"/>
  <c r="G54" i="1"/>
  <c r="F54" i="1"/>
  <c r="E54" i="1"/>
  <c r="D54" i="1"/>
  <c r="C54" i="1"/>
  <c r="B54" i="1"/>
  <c r="I48" i="1"/>
  <c r="I55" i="1" s="1"/>
  <c r="I63" i="1" s="1"/>
  <c r="H48" i="1"/>
  <c r="H55" i="1" s="1"/>
  <c r="H63" i="1" s="1"/>
  <c r="G48" i="1"/>
  <c r="G55" i="1" s="1"/>
  <c r="G63" i="1" s="1"/>
  <c r="F48" i="1"/>
  <c r="F55" i="1" s="1"/>
  <c r="F63" i="1" s="1"/>
  <c r="E48" i="1"/>
  <c r="E55" i="1" s="1"/>
  <c r="E63" i="1" s="1"/>
  <c r="D48" i="1"/>
  <c r="C48" i="1"/>
  <c r="C55" i="1" s="1"/>
  <c r="C63" i="1" s="1"/>
  <c r="B48" i="1"/>
  <c r="B55" i="1" s="1"/>
  <c r="B63" i="1" s="1"/>
  <c r="I40" i="1"/>
  <c r="H40" i="1"/>
  <c r="G40" i="1"/>
  <c r="F40" i="1"/>
  <c r="E40" i="1"/>
  <c r="D40" i="1"/>
  <c r="C40" i="1"/>
  <c r="B40" i="1"/>
  <c r="I37" i="1"/>
  <c r="I41" i="1" s="1"/>
  <c r="H37" i="1"/>
  <c r="H41" i="1" s="1"/>
  <c r="G37" i="1"/>
  <c r="G41" i="1" s="1"/>
  <c r="F37" i="1"/>
  <c r="F41" i="1" s="1"/>
  <c r="E37" i="1"/>
  <c r="E41" i="1" s="1"/>
  <c r="D37" i="1"/>
  <c r="D41" i="1" s="1"/>
  <c r="C37" i="1"/>
  <c r="C41" i="1" s="1"/>
  <c r="B37" i="1"/>
  <c r="B41" i="1" s="1"/>
  <c r="I32" i="1"/>
  <c r="H32" i="1"/>
  <c r="G32" i="1"/>
  <c r="F32" i="1"/>
  <c r="E32" i="1"/>
  <c r="D32" i="1"/>
  <c r="C32" i="1"/>
  <c r="B32" i="1"/>
  <c r="I19" i="1"/>
  <c r="I33" i="1" s="1"/>
  <c r="H19" i="1"/>
  <c r="H33" i="1" s="1"/>
  <c r="G19" i="1"/>
  <c r="G33" i="1" s="1"/>
  <c r="F19" i="1"/>
  <c r="F33" i="1" s="1"/>
  <c r="E19" i="1"/>
  <c r="E33" i="1" s="1"/>
  <c r="D19" i="1"/>
  <c r="C19" i="1"/>
  <c r="C33" i="1" s="1"/>
  <c r="B19" i="1"/>
  <c r="B33" i="1" s="1"/>
  <c r="I12" i="1"/>
  <c r="I13" i="1" s="1"/>
  <c r="I42" i="1" s="1"/>
  <c r="I68" i="1" s="1"/>
  <c r="H12" i="1"/>
  <c r="H13" i="1" s="1"/>
  <c r="H42" i="1" s="1"/>
  <c r="H68" i="1" s="1"/>
  <c r="G12" i="1"/>
  <c r="G13" i="1" s="1"/>
  <c r="G42" i="1" s="1"/>
  <c r="G68" i="1" s="1"/>
  <c r="F12" i="1"/>
  <c r="F13" i="1" s="1"/>
  <c r="F42" i="1" s="1"/>
  <c r="F68" i="1" s="1"/>
  <c r="E12" i="1"/>
  <c r="E13" i="1" s="1"/>
  <c r="E42" i="1" s="1"/>
  <c r="E68" i="1" s="1"/>
  <c r="D12" i="1"/>
  <c r="D13" i="1" s="1"/>
  <c r="C12" i="1"/>
  <c r="C13" i="1" s="1"/>
  <c r="C42" i="1" s="1"/>
  <c r="C68" i="1" s="1"/>
  <c r="B12" i="1"/>
  <c r="B13" i="1" s="1"/>
  <c r="B42" i="1" s="1"/>
  <c r="B68" i="1" s="1"/>
  <c r="D113" i="1" l="1"/>
  <c r="D33" i="1"/>
  <c r="E90" i="1"/>
  <c r="E116" i="1" s="1"/>
  <c r="D55" i="1"/>
  <c r="D63" i="1" s="1"/>
  <c r="D116" i="1"/>
  <c r="B77" i="1"/>
  <c r="B116" i="1" s="1"/>
  <c r="C116" i="1"/>
  <c r="D42" i="1"/>
  <c r="D68" i="1" s="1"/>
</calcChain>
</file>

<file path=xl/sharedStrings.xml><?xml version="1.0" encoding="utf-8"?>
<sst xmlns="http://schemas.openxmlformats.org/spreadsheetml/2006/main" count="125" uniqueCount="117">
  <si>
    <t>Firma : SEGRA GmbH</t>
  </si>
  <si>
    <t>PG Balance Sheet by Entity and Month/Quarter/Year</t>
  </si>
  <si>
    <t>End of Dez 2023</t>
  </si>
  <si>
    <t> 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</si>
  <si>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</si>
  <si>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</si>
  <si>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</si>
  <si>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</si>
  <si>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</si>
  <si>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</si>
  <si>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</si>
  <si>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</si>
  <si>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As of Dez 2023</t>
  </si>
  <si>
    <t>ASSETS</t>
  </si>
  <si>
    <t>A. Fixed assets</t>
  </si>
  <si>
    <t>I. Intangible assets</t>
  </si>
  <si>
    <t>2. Purchased concessions rights, assets and licences</t>
  </si>
  <si>
    <t>013500 - Computer software</t>
  </si>
  <si>
    <t>013510 - Accumulated depreciation of data processing software</t>
  </si>
  <si>
    <t>Total Purchased concessions rights, assets and licences</t>
  </si>
  <si>
    <t>Total Intangible assets</t>
  </si>
  <si>
    <t>II. Tangible assets</t>
  </si>
  <si>
    <t>2. Technical equipment and machinery</t>
  </si>
  <si>
    <t>042000 - Technical equipment</t>
  </si>
  <si>
    <t>044000 - Machinery</t>
  </si>
  <si>
    <t>044010 - Accumulated depreciation- personal computers and machinery</t>
  </si>
  <si>
    <t>Total Technical equipment and machinery</t>
  </si>
  <si>
    <t>3. Other equipment, operating and office equipment</t>
  </si>
  <si>
    <t>063000 - Operating equipment</t>
  </si>
  <si>
    <t>063010 - Accumulated depreciation-operating equipment</t>
  </si>
  <si>
    <t>065000 - Office fittings</t>
  </si>
  <si>
    <t>067010 - Low value assets - software</t>
  </si>
  <si>
    <t>067020 - Accumulated depr. low value assets - software</t>
  </si>
  <si>
    <t>067030 - low value economic goods</t>
  </si>
  <si>
    <t>067040 - Accumulated depreciation- low value economic goods</t>
  </si>
  <si>
    <t>067050 - low value assets - hardware</t>
  </si>
  <si>
    <t>067060 - Accumulated depreciation - low value assets - hardware</t>
  </si>
  <si>
    <t>067070 - Low-value assets</t>
  </si>
  <si>
    <t>067080 - Accumulated depreciation-Low-value assets</t>
  </si>
  <si>
    <t>Total Other equipment, operating and office equipment</t>
  </si>
  <si>
    <t>Total Tangible assets</t>
  </si>
  <si>
    <t>III. Financial assets</t>
  </si>
  <si>
    <t>1. Shares in affiliated companies</t>
  </si>
  <si>
    <t>080400 - Shares in affiliated companies, corporations</t>
  </si>
  <si>
    <t>Total Shares in affiliated companies</t>
  </si>
  <si>
    <t>6. Other loans</t>
  </si>
  <si>
    <t>096100 - Loans to GmbH shareholders</t>
  </si>
  <si>
    <t>Total Other loans</t>
  </si>
  <si>
    <t>Total Financial assets</t>
  </si>
  <si>
    <t>Total Fixed assets</t>
  </si>
  <si>
    <t>B. Current assets</t>
  </si>
  <si>
    <t>II. Trade receivables and other receivables</t>
  </si>
  <si>
    <t>1. Trade receivables</t>
  </si>
  <si>
    <t>120000 - Trade receivables -3</t>
  </si>
  <si>
    <t>Total Trade receivables</t>
  </si>
  <si>
    <t>6. Other receivables and other assets</t>
  </si>
  <si>
    <t>130000 - Other assets</t>
  </si>
  <si>
    <t>142000 - VAT receivables</t>
  </si>
  <si>
    <t>143500 - Receivables from trade tax overpayments</t>
  </si>
  <si>
    <t>145000 - Reclaimed corporate income tax</t>
  </si>
  <si>
    <t>Total Other receivables and other assets</t>
  </si>
  <si>
    <t>Total Trade receivables and other receivables</t>
  </si>
  <si>
    <t>IV. Cash-in-hand, central / bank balances and cheques</t>
  </si>
  <si>
    <t>Bank</t>
  </si>
  <si>
    <t>180041 - Volksbank Girokonto -60538409- SEGRA</t>
  </si>
  <si>
    <t>180042 - Clearing Volksbank Girokonto -60538409</t>
  </si>
  <si>
    <t>180067 - BMW Bank Tagesgeld -5006221310- SEGRA</t>
  </si>
  <si>
    <t>Gesamt Bank</t>
  </si>
  <si>
    <t>Total Cash-in-hand, central / bank balances and cheques</t>
  </si>
  <si>
    <t>Total Current assets</t>
  </si>
  <si>
    <t>C. Prepaid expenses</t>
  </si>
  <si>
    <t>190000 - Prepaid expenses</t>
  </si>
  <si>
    <t>Total Prepaid expenses</t>
  </si>
  <si>
    <t>TOTAL ASSETS</t>
  </si>
  <si>
    <t>EQUITY &amp; LIABILITIES</t>
  </si>
  <si>
    <t>A. Equity</t>
  </si>
  <si>
    <t>I. Issued capital</t>
  </si>
  <si>
    <t>290000 - Subscribed capital</t>
  </si>
  <si>
    <t>Total Issued capital</t>
  </si>
  <si>
    <t>IV. Profit Brought Forward</t>
  </si>
  <si>
    <t>VI. Net profit/loss for the year</t>
  </si>
  <si>
    <t>Total Equity</t>
  </si>
  <si>
    <t>B. Provisions</t>
  </si>
  <si>
    <t>2. Provision for taxes</t>
  </si>
  <si>
    <t>303000 - Provision for trade tax</t>
  </si>
  <si>
    <t>303500 - Provision for trade tax, section 4(5b) EStG</t>
  </si>
  <si>
    <t>304000 - Provision for corporate income tax</t>
  </si>
  <si>
    <t>Total Provision for taxes</t>
  </si>
  <si>
    <t>3. Other provisions</t>
  </si>
  <si>
    <t>307010 - Accrual goods purchases</t>
  </si>
  <si>
    <t>309500 - Provisions for period-end closing and audit costs</t>
  </si>
  <si>
    <t>309600 - Provisions for record retention obligations</t>
  </si>
  <si>
    <t>Total Other provisions</t>
  </si>
  <si>
    <t>Total Provisions</t>
  </si>
  <si>
    <t>C. Liabilities</t>
  </si>
  <si>
    <t>4. Trade payables</t>
  </si>
  <si>
    <t>330100 - Trade payables starting with 2016</t>
  </si>
  <si>
    <t>Total Trade payables</t>
  </si>
  <si>
    <t>6. Liabilities to affiliated companies</t>
  </si>
  <si>
    <t>340500 - Liabilities to affiliated companies - due betw 1 and 5 years</t>
  </si>
  <si>
    <t>Total Liabilities to affiliated companies</t>
  </si>
  <si>
    <t>8. Other liabilities</t>
  </si>
  <si>
    <t>140600 - VAT on Purchases</t>
  </si>
  <si>
    <t>140700 - Deductible input tax under section 13b UStG - standard</t>
  </si>
  <si>
    <t>140800 - Deductible input tax under section 13b UStG, Non-EU</t>
  </si>
  <si>
    <t>146000 - Cash in Transit</t>
  </si>
  <si>
    <t>146111 - Credit Card Volksbank Mastercard R. Mann - Segra</t>
  </si>
  <si>
    <t>350100 - Other liabilities - due within 1 year</t>
  </si>
  <si>
    <t>380600 - VAT - standard rate</t>
  </si>
  <si>
    <t>382000 - VAT prepayments</t>
  </si>
  <si>
    <t>383700 - VAT under section 13b UStG - standard rate Non-EU</t>
  </si>
  <si>
    <t>383800 - VAT under section 13b UStG - from EU</t>
  </si>
  <si>
    <t>384100 - VAT, previous year</t>
  </si>
  <si>
    <t>386000 - Vat liabilities</t>
  </si>
  <si>
    <t>Total Other liabilities</t>
  </si>
  <si>
    <t>Total Liabilities</t>
  </si>
  <si>
    <t>TOTAL EQUITY &amp;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</si>
</sst>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€&quot;#,##0.00"/>
  </numFmts>
  <fonts count="26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10"/>
      <color indexed="16"/>
      <name val="Arial"/>
    </font>
    <font>
      <b/>
      <sz val="8"/>
      <color indexed="8"/>
      <name val="Arial"/>
    </font>
    <font>
      <sz val="8"/>
      <color indexed="8"/>
      <name val="Arial"/>
    </font>
    <font>
      <b/>
      <sz val="9"/>
      <color indexed="56"/>
      <name val="Arial"/>
    </font>
    <font>
      <b/>
      <sz val="9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800000"/>
      </bottom>
      <diagonal/>
    </border>
    <border>
      <left/>
      <right/>
      <top style="dotted">
        <color rgb="FF969696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double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10" xfId="0" applyFont="1" applyBorder="1" applyAlignment="1">
      <alignment horizontal="left" vertical="center"/>
    </xf>
    <xf numFmtId="168" fontId="21" fillId="0" borderId="10" xfId="0" applyNumberFormat="1" applyFont="1" applyBorder="1" applyAlignment="1">
      <alignment horizontal="right" vertical="center"/>
    </xf>
    <xf numFmtId="0" fontId="24" fillId="0" borderId="0" xfId="0" applyFont="1" applyBorder="1" applyAlignment="1">
      <alignment horizontal="left" indent="1"/>
    </xf>
    <xf numFmtId="168" fontId="24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2"/>
    </xf>
    <xf numFmtId="168" fontId="22" fillId="0" borderId="0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3"/>
    </xf>
    <xf numFmtId="0" fontId="23" fillId="0" borderId="0" xfId="0" applyFont="1" applyBorder="1" applyAlignment="1">
      <alignment horizontal="left" indent="4"/>
    </xf>
    <xf numFmtId="168" fontId="23" fillId="0" borderId="0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3"/>
    </xf>
    <xf numFmtId="4" fontId="22" fillId="0" borderId="11" xfId="0" applyNumberFormat="1" applyFont="1" applyBorder="1" applyAlignment="1">
      <alignment horizontal="right" vertical="center"/>
    </xf>
    <xf numFmtId="0" fontId="22" fillId="0" borderId="11" xfId="0" applyFont="1" applyBorder="1" applyAlignment="1">
      <alignment horizontal="left" indent="2"/>
    </xf>
    <xf numFmtId="168" fontId="22" fillId="0" borderId="11" xfId="0" applyNumberFormat="1" applyFont="1" applyBorder="1" applyAlignment="1">
      <alignment horizontal="right" vertical="center"/>
    </xf>
    <xf numFmtId="4" fontId="23" fillId="0" borderId="0" xfId="0" applyNumberFormat="1" applyFont="1" applyBorder="1" applyAlignment="1">
      <alignment horizontal="right" vertical="center"/>
    </xf>
    <xf numFmtId="0" fontId="22" fillId="0" borderId="12" xfId="0" applyFont="1" applyBorder="1" applyAlignment="1">
      <alignment horizontal="left" indent="1"/>
    </xf>
    <xf numFmtId="168" fontId="22" fillId="0" borderId="12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indent="1"/>
    </xf>
    <xf numFmtId="0" fontId="23" fillId="0" borderId="0" xfId="0" applyFont="1" applyBorder="1" applyAlignment="1">
      <alignment horizontal="left" indent="2"/>
    </xf>
    <xf numFmtId="0" fontId="22" fillId="0" borderId="11" xfId="0" applyFont="1" applyBorder="1" applyAlignment="1">
      <alignment horizontal="left" indent="1"/>
    </xf>
    <xf numFmtId="0" fontId="25" fillId="0" borderId="13" xfId="0" applyFont="1" applyBorder="1" applyAlignment="1">
      <alignment horizontal="left" vertical="center"/>
    </xf>
    <xf numFmtId="168" fontId="25" fillId="0" borderId="13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indent="3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abSelected="1" zoomScale="115" zoomScaleNormal="115" workbookViewId="0">
      <pane ySplit="5" topLeftCell="A6" activePane="bottomLeft" state="frozen"/>
      <selection pane="bottomLeft" activeCell="A6" sqref="A6"/>
    </sheetView>
  </sheetViews>
  <sheetFormatPr baseColWidth="10" defaultRowHeight="11.25" x14ac:dyDescent="0.2"/>
  <cols>
    <col min="1" max="1" width="66.83203125" bestFit="1" customWidth="1"/>
    <col min="2" max="9" width="18.1640625" customWidth="1"/>
  </cols>
  <sheetData>
    <row r="1" spans="1: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8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</row>
    <row r="5" spans="1:9" x14ac:dyDescent="0.2">
      <c r="A5" s="3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</row>
    <row r="6" spans="1:9" ht="12.75" x14ac:dyDescent="0.2">
      <c r="A6" s="5" t="s">
        <v>13</v>
      </c>
      <c r="B6" s="6"/>
      <c r="C6" s="6"/>
      <c r="D6" s="6"/>
      <c r="E6" s="6"/>
      <c r="F6" s="6"/>
      <c r="G6" s="6"/>
      <c r="H6" s="6"/>
      <c r="I6" s="6"/>
    </row>
    <row r="7" spans="1:9" ht="12" x14ac:dyDescent="0.2">
      <c r="A7" s="7" t="s">
        <v>14</v>
      </c>
      <c r="B7" s="8"/>
      <c r="C7" s="8"/>
      <c r="D7" s="8"/>
      <c r="E7" s="8"/>
      <c r="F7" s="8"/>
      <c r="G7" s="8"/>
      <c r="H7" s="8"/>
      <c r="I7" s="8"/>
    </row>
    <row r="8" spans="1:9" x14ac:dyDescent="0.2">
      <c r="A8" s="9" t="s">
        <v>15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</row>
    <row r="9" spans="1:9" hidden="1" x14ac:dyDescent="0.2">
      <c r="A9" s="11" t="s">
        <v>16</v>
      </c>
      <c r="B9" s="10"/>
      <c r="C9" s="10"/>
      <c r="D9" s="10"/>
      <c r="E9" s="10"/>
      <c r="F9" s="10"/>
      <c r="G9" s="10"/>
      <c r="H9" s="10"/>
      <c r="I9" s="10"/>
    </row>
    <row r="10" spans="1:9" hidden="1" x14ac:dyDescent="0.2">
      <c r="A10" s="12" t="s">
        <v>17</v>
      </c>
      <c r="B10" s="13">
        <v>0</v>
      </c>
      <c r="C10" s="13">
        <v>0</v>
      </c>
      <c r="D10" s="13">
        <v>0</v>
      </c>
      <c r="E10" s="13">
        <v>0</v>
      </c>
      <c r="F10" s="13">
        <v>5205</v>
      </c>
      <c r="G10" s="13">
        <v>5205</v>
      </c>
      <c r="H10" s="13">
        <v>5205</v>
      </c>
      <c r="I10" s="13">
        <v>5205</v>
      </c>
    </row>
    <row r="11" spans="1:9" hidden="1" x14ac:dyDescent="0.2">
      <c r="A11" s="12" t="s">
        <v>18</v>
      </c>
      <c r="B11" s="13">
        <v>0</v>
      </c>
      <c r="C11" s="13">
        <v>0</v>
      </c>
      <c r="D11" s="13">
        <v>0</v>
      </c>
      <c r="E11" s="13">
        <v>0</v>
      </c>
      <c r="F11" s="13">
        <v>-5205</v>
      </c>
      <c r="G11" s="13">
        <v>-5205</v>
      </c>
      <c r="H11" s="13">
        <v>-5205</v>
      </c>
      <c r="I11" s="13">
        <v>-5205</v>
      </c>
    </row>
    <row r="12" spans="1:9" hidden="1" x14ac:dyDescent="0.2">
      <c r="A12" s="14" t="s">
        <v>19</v>
      </c>
      <c r="B12" s="15">
        <f t="shared" ref="B12:I12" si="0">SUM(B10:B11)</f>
        <v>0</v>
      </c>
      <c r="C12" s="15">
        <f t="shared" si="0"/>
        <v>0</v>
      </c>
      <c r="D12" s="15">
        <f t="shared" si="0"/>
        <v>0</v>
      </c>
      <c r="E12" s="15">
        <f t="shared" si="0"/>
        <v>0</v>
      </c>
      <c r="F12" s="15">
        <f t="shared" si="0"/>
        <v>0</v>
      </c>
      <c r="G12" s="15">
        <f t="shared" si="0"/>
        <v>0</v>
      </c>
      <c r="H12" s="15">
        <f t="shared" si="0"/>
        <v>0</v>
      </c>
      <c r="I12" s="15">
        <f t="shared" si="0"/>
        <v>0</v>
      </c>
    </row>
    <row r="13" spans="1:9" hidden="1" x14ac:dyDescent="0.2">
      <c r="A13" s="16" t="s">
        <v>20</v>
      </c>
      <c r="B13" s="17">
        <f t="shared" ref="B13:I13" si="1">0+B12+0+0</f>
        <v>0</v>
      </c>
      <c r="C13" s="17">
        <f t="shared" si="1"/>
        <v>0</v>
      </c>
      <c r="D13" s="17">
        <f t="shared" si="1"/>
        <v>0</v>
      </c>
      <c r="E13" s="17">
        <f t="shared" si="1"/>
        <v>0</v>
      </c>
      <c r="F13" s="17">
        <f t="shared" si="1"/>
        <v>0</v>
      </c>
      <c r="G13" s="17">
        <f t="shared" si="1"/>
        <v>0</v>
      </c>
      <c r="H13" s="17">
        <f t="shared" si="1"/>
        <v>0</v>
      </c>
      <c r="I13" s="17">
        <f t="shared" si="1"/>
        <v>0</v>
      </c>
    </row>
    <row r="14" spans="1:9" x14ac:dyDescent="0.2">
      <c r="A14" s="9" t="s">
        <v>21</v>
      </c>
      <c r="B14" s="10">
        <v>43276</v>
      </c>
      <c r="C14" s="10">
        <v>65809</v>
      </c>
      <c r="D14" s="10">
        <v>38619</v>
      </c>
      <c r="E14" s="10">
        <v>40162</v>
      </c>
      <c r="F14" s="10">
        <v>29925.079999999987</v>
      </c>
      <c r="G14" s="10">
        <v>36210.369999999995</v>
      </c>
      <c r="H14" s="10">
        <v>46752.709999999992</v>
      </c>
      <c r="I14" s="10">
        <v>91150.65</v>
      </c>
    </row>
    <row r="15" spans="1:9" hidden="1" x14ac:dyDescent="0.2">
      <c r="A15" s="11" t="s">
        <v>22</v>
      </c>
      <c r="B15" s="10"/>
      <c r="C15" s="10"/>
      <c r="D15" s="10"/>
      <c r="E15" s="10"/>
      <c r="F15" s="10"/>
      <c r="G15" s="10"/>
      <c r="H15" s="10"/>
      <c r="I15" s="10"/>
    </row>
    <row r="16" spans="1:9" hidden="1" x14ac:dyDescent="0.2">
      <c r="A16" s="12" t="s">
        <v>23</v>
      </c>
      <c r="B16" s="18">
        <v>42749</v>
      </c>
      <c r="C16" s="18">
        <v>65486</v>
      </c>
      <c r="D16" s="18">
        <v>37848</v>
      </c>
      <c r="E16" s="18">
        <v>39790</v>
      </c>
      <c r="F16" s="18">
        <v>0</v>
      </c>
      <c r="G16" s="18">
        <v>0</v>
      </c>
      <c r="H16" s="18">
        <v>0</v>
      </c>
      <c r="I16" s="18">
        <v>0</v>
      </c>
    </row>
    <row r="17" spans="1:9" hidden="1" x14ac:dyDescent="0.2">
      <c r="A17" s="12" t="s">
        <v>24</v>
      </c>
      <c r="B17" s="18">
        <v>0</v>
      </c>
      <c r="C17" s="18">
        <v>0</v>
      </c>
      <c r="D17" s="18">
        <v>0</v>
      </c>
      <c r="E17" s="18">
        <v>0</v>
      </c>
      <c r="F17" s="18">
        <v>207872.96</v>
      </c>
      <c r="G17" s="18">
        <v>227989.37</v>
      </c>
      <c r="H17" s="18">
        <v>243607.49</v>
      </c>
      <c r="I17" s="18">
        <v>304291.49</v>
      </c>
    </row>
    <row r="18" spans="1:9" hidden="1" x14ac:dyDescent="0.2">
      <c r="A18" s="12" t="s">
        <v>25</v>
      </c>
      <c r="B18" s="18">
        <v>0</v>
      </c>
      <c r="C18" s="18">
        <v>0</v>
      </c>
      <c r="D18" s="18">
        <v>0</v>
      </c>
      <c r="E18" s="18">
        <v>0</v>
      </c>
      <c r="F18" s="18">
        <v>-178040.88</v>
      </c>
      <c r="G18" s="18">
        <v>-191779</v>
      </c>
      <c r="H18" s="18">
        <v>-196854.78</v>
      </c>
      <c r="I18" s="18">
        <v>-213140.84</v>
      </c>
    </row>
    <row r="19" spans="1:9" hidden="1" x14ac:dyDescent="0.2">
      <c r="A19" s="14" t="s">
        <v>26</v>
      </c>
      <c r="B19" s="15">
        <f t="shared" ref="B19:I19" si="2">SUM(B16:B18)</f>
        <v>42749</v>
      </c>
      <c r="C19" s="15">
        <f t="shared" si="2"/>
        <v>65486</v>
      </c>
      <c r="D19" s="15">
        <f t="shared" si="2"/>
        <v>37848</v>
      </c>
      <c r="E19" s="15">
        <f t="shared" si="2"/>
        <v>39790</v>
      </c>
      <c r="F19" s="15">
        <f t="shared" si="2"/>
        <v>29832.079999999987</v>
      </c>
      <c r="G19" s="15">
        <f t="shared" si="2"/>
        <v>36210.369999999995</v>
      </c>
      <c r="H19" s="15">
        <f t="shared" si="2"/>
        <v>46752.709999999992</v>
      </c>
      <c r="I19" s="15">
        <f t="shared" si="2"/>
        <v>91150.65</v>
      </c>
    </row>
    <row r="20" spans="1:9" hidden="1" x14ac:dyDescent="0.2">
      <c r="A20" s="11" t="s">
        <v>27</v>
      </c>
      <c r="B20" s="10"/>
      <c r="C20" s="10"/>
      <c r="D20" s="10"/>
      <c r="E20" s="10"/>
      <c r="F20" s="10"/>
      <c r="G20" s="10"/>
      <c r="H20" s="10"/>
      <c r="I20" s="10"/>
    </row>
    <row r="21" spans="1:9" hidden="1" x14ac:dyDescent="0.2">
      <c r="A21" s="12" t="s">
        <v>28</v>
      </c>
      <c r="B21" s="18">
        <v>0</v>
      </c>
      <c r="C21" s="18">
        <v>0</v>
      </c>
      <c r="D21" s="18">
        <v>0</v>
      </c>
      <c r="E21" s="18">
        <v>0</v>
      </c>
      <c r="F21" s="18">
        <v>1452.04</v>
      </c>
      <c r="G21" s="18">
        <v>1452.04</v>
      </c>
      <c r="H21" s="18">
        <v>1452.04</v>
      </c>
      <c r="I21" s="18">
        <v>1452.04</v>
      </c>
    </row>
    <row r="22" spans="1:9" hidden="1" x14ac:dyDescent="0.2">
      <c r="A22" s="12" t="s">
        <v>29</v>
      </c>
      <c r="B22" s="18">
        <v>0</v>
      </c>
      <c r="C22" s="18">
        <v>0</v>
      </c>
      <c r="D22" s="18">
        <v>0</v>
      </c>
      <c r="E22" s="18">
        <v>0</v>
      </c>
      <c r="F22" s="18">
        <v>-1359.04</v>
      </c>
      <c r="G22" s="18">
        <v>-1452.04</v>
      </c>
      <c r="H22" s="18">
        <v>-1452.04</v>
      </c>
      <c r="I22" s="18">
        <v>-1452.04</v>
      </c>
    </row>
    <row r="23" spans="1:9" hidden="1" x14ac:dyDescent="0.2">
      <c r="A23" s="12" t="s">
        <v>30</v>
      </c>
      <c r="B23" s="18">
        <v>527</v>
      </c>
      <c r="C23" s="18">
        <v>323</v>
      </c>
      <c r="D23" s="18">
        <v>771</v>
      </c>
      <c r="E23" s="18">
        <v>372</v>
      </c>
      <c r="F23" s="18">
        <v>0</v>
      </c>
      <c r="G23" s="18">
        <v>0</v>
      </c>
      <c r="H23" s="18">
        <v>0</v>
      </c>
      <c r="I23" s="18">
        <v>0</v>
      </c>
    </row>
    <row r="24" spans="1:9" hidden="1" x14ac:dyDescent="0.2">
      <c r="A24" s="12" t="s">
        <v>31</v>
      </c>
      <c r="B24" s="18">
        <v>0</v>
      </c>
      <c r="C24" s="18">
        <v>0</v>
      </c>
      <c r="D24" s="18">
        <v>0</v>
      </c>
      <c r="E24" s="18">
        <v>0</v>
      </c>
      <c r="F24" s="18">
        <v>10271.59</v>
      </c>
      <c r="G24" s="18">
        <v>13134.14</v>
      </c>
      <c r="H24" s="18">
        <v>13153.55</v>
      </c>
      <c r="I24" s="18">
        <v>13153.55</v>
      </c>
    </row>
    <row r="25" spans="1:9" hidden="1" x14ac:dyDescent="0.2">
      <c r="A25" s="12" t="s">
        <v>32</v>
      </c>
      <c r="B25" s="18">
        <v>0</v>
      </c>
      <c r="C25" s="18">
        <v>0</v>
      </c>
      <c r="D25" s="18">
        <v>0</v>
      </c>
      <c r="E25" s="18">
        <v>0</v>
      </c>
      <c r="F25" s="18">
        <v>-10271.59</v>
      </c>
      <c r="G25" s="18">
        <v>-13134.14</v>
      </c>
      <c r="H25" s="18">
        <v>-13153.55</v>
      </c>
      <c r="I25" s="18">
        <v>-13153.55</v>
      </c>
    </row>
    <row r="26" spans="1:9" hidden="1" x14ac:dyDescent="0.2">
      <c r="A26" s="12" t="s">
        <v>33</v>
      </c>
      <c r="B26" s="18">
        <v>0</v>
      </c>
      <c r="C26" s="18">
        <v>0</v>
      </c>
      <c r="D26" s="18">
        <v>0</v>
      </c>
      <c r="E26" s="18">
        <v>0</v>
      </c>
      <c r="F26" s="18">
        <v>646.22</v>
      </c>
      <c r="G26" s="18">
        <v>646.22</v>
      </c>
      <c r="H26" s="18">
        <v>646.22</v>
      </c>
      <c r="I26" s="18">
        <v>646.22</v>
      </c>
    </row>
    <row r="27" spans="1:9" hidden="1" x14ac:dyDescent="0.2">
      <c r="A27" s="12" t="s">
        <v>34</v>
      </c>
      <c r="B27" s="18">
        <v>0</v>
      </c>
      <c r="C27" s="18">
        <v>0</v>
      </c>
      <c r="D27" s="18">
        <v>0</v>
      </c>
      <c r="E27" s="18">
        <v>0</v>
      </c>
      <c r="F27" s="18">
        <v>-646.22</v>
      </c>
      <c r="G27" s="18">
        <v>-646.22</v>
      </c>
      <c r="H27" s="18">
        <v>-646.22</v>
      </c>
      <c r="I27" s="18">
        <v>-646.22</v>
      </c>
    </row>
    <row r="28" spans="1:9" hidden="1" x14ac:dyDescent="0.2">
      <c r="A28" s="12" t="s">
        <v>35</v>
      </c>
      <c r="B28" s="18">
        <v>0</v>
      </c>
      <c r="C28" s="18">
        <v>0</v>
      </c>
      <c r="D28" s="18">
        <v>0</v>
      </c>
      <c r="E28" s="18">
        <v>0</v>
      </c>
      <c r="F28" s="18">
        <v>66367.960000000006</v>
      </c>
      <c r="G28" s="18">
        <v>70698.350000000006</v>
      </c>
      <c r="H28" s="18">
        <v>73240.920000000013</v>
      </c>
      <c r="I28" s="18">
        <v>81155.450000000012</v>
      </c>
    </row>
    <row r="29" spans="1:9" hidden="1" x14ac:dyDescent="0.2">
      <c r="A29" s="12" t="s">
        <v>36</v>
      </c>
      <c r="B29" s="18">
        <v>0</v>
      </c>
      <c r="C29" s="18">
        <v>0</v>
      </c>
      <c r="D29" s="18">
        <v>0</v>
      </c>
      <c r="E29" s="18">
        <v>0</v>
      </c>
      <c r="F29" s="18">
        <v>-66367.960000000006</v>
      </c>
      <c r="G29" s="18">
        <v>-70698.350000000006</v>
      </c>
      <c r="H29" s="18">
        <v>-73240.920000000013</v>
      </c>
      <c r="I29" s="18">
        <v>-81155.450000000012</v>
      </c>
    </row>
    <row r="30" spans="1:9" hidden="1" x14ac:dyDescent="0.2">
      <c r="A30" s="12" t="s">
        <v>37</v>
      </c>
      <c r="B30" s="18">
        <v>0</v>
      </c>
      <c r="C30" s="18">
        <v>0</v>
      </c>
      <c r="D30" s="18">
        <v>0</v>
      </c>
      <c r="E30" s="18">
        <v>0</v>
      </c>
      <c r="F30" s="18">
        <v>88951.7</v>
      </c>
      <c r="G30" s="18">
        <v>88951.7</v>
      </c>
      <c r="H30" s="18">
        <v>95537.8</v>
      </c>
      <c r="I30" s="18">
        <v>103947.49</v>
      </c>
    </row>
    <row r="31" spans="1:9" hidden="1" x14ac:dyDescent="0.2">
      <c r="A31" s="12" t="s">
        <v>38</v>
      </c>
      <c r="B31" s="18">
        <v>0</v>
      </c>
      <c r="C31" s="18">
        <v>0</v>
      </c>
      <c r="D31" s="18">
        <v>0</v>
      </c>
      <c r="E31" s="18">
        <v>0</v>
      </c>
      <c r="F31" s="18">
        <v>-88951.7</v>
      </c>
      <c r="G31" s="18">
        <v>-88951.7</v>
      </c>
      <c r="H31" s="18">
        <v>-95537.8</v>
      </c>
      <c r="I31" s="18">
        <v>-103947.49</v>
      </c>
    </row>
    <row r="32" spans="1:9" hidden="1" x14ac:dyDescent="0.2">
      <c r="A32" s="14" t="s">
        <v>39</v>
      </c>
      <c r="B32" s="15">
        <f t="shared" ref="B32:I32" si="3">SUM(B21:B31)</f>
        <v>527</v>
      </c>
      <c r="C32" s="15">
        <f t="shared" si="3"/>
        <v>323</v>
      </c>
      <c r="D32" s="15">
        <f t="shared" si="3"/>
        <v>771</v>
      </c>
      <c r="E32" s="15">
        <f t="shared" si="3"/>
        <v>372</v>
      </c>
      <c r="F32" s="15">
        <f t="shared" si="3"/>
        <v>93</v>
      </c>
      <c r="G32" s="15">
        <f t="shared" si="3"/>
        <v>0</v>
      </c>
      <c r="H32" s="15">
        <f t="shared" si="3"/>
        <v>0</v>
      </c>
      <c r="I32" s="15">
        <f t="shared" si="3"/>
        <v>0</v>
      </c>
    </row>
    <row r="33" spans="1:9" hidden="1" x14ac:dyDescent="0.2">
      <c r="A33" s="16" t="s">
        <v>40</v>
      </c>
      <c r="B33" s="17">
        <f t="shared" ref="B33:I33" si="4">0+B19+B32+0</f>
        <v>43276</v>
      </c>
      <c r="C33" s="17">
        <f t="shared" si="4"/>
        <v>65809</v>
      </c>
      <c r="D33" s="17">
        <f t="shared" si="4"/>
        <v>38619</v>
      </c>
      <c r="E33" s="17">
        <f t="shared" si="4"/>
        <v>40162</v>
      </c>
      <c r="F33" s="17">
        <f t="shared" si="4"/>
        <v>29925.079999999987</v>
      </c>
      <c r="G33" s="17">
        <f t="shared" si="4"/>
        <v>36210.369999999995</v>
      </c>
      <c r="H33" s="17">
        <f t="shared" si="4"/>
        <v>46752.709999999992</v>
      </c>
      <c r="I33" s="17">
        <f t="shared" si="4"/>
        <v>91150.65</v>
      </c>
    </row>
    <row r="34" spans="1:9" x14ac:dyDescent="0.2">
      <c r="A34" s="9" t="s">
        <v>41</v>
      </c>
      <c r="B34" s="10">
        <v>365980.68</v>
      </c>
      <c r="C34" s="10">
        <v>262997.65000000002</v>
      </c>
      <c r="D34" s="10">
        <v>258793.09</v>
      </c>
      <c r="E34" s="10">
        <v>254507.95</v>
      </c>
      <c r="F34" s="10">
        <v>249772.99</v>
      </c>
      <c r="G34" s="10">
        <v>245314.96999999997</v>
      </c>
      <c r="H34" s="10">
        <v>235227.74</v>
      </c>
      <c r="I34" s="10">
        <v>166580</v>
      </c>
    </row>
    <row r="35" spans="1:9" hidden="1" x14ac:dyDescent="0.2">
      <c r="A35" s="11" t="s">
        <v>42</v>
      </c>
      <c r="B35" s="10"/>
      <c r="C35" s="10"/>
      <c r="D35" s="10"/>
      <c r="E35" s="10"/>
      <c r="F35" s="10"/>
      <c r="G35" s="10"/>
      <c r="H35" s="10"/>
      <c r="I35" s="10"/>
    </row>
    <row r="36" spans="1:9" hidden="1" x14ac:dyDescent="0.2">
      <c r="A36" s="12" t="s">
        <v>43</v>
      </c>
      <c r="B36" s="13">
        <v>166580</v>
      </c>
      <c r="C36" s="13">
        <v>166580</v>
      </c>
      <c r="D36" s="13">
        <v>166580</v>
      </c>
      <c r="E36" s="13">
        <v>166580</v>
      </c>
      <c r="F36" s="13">
        <v>166580</v>
      </c>
      <c r="G36" s="13">
        <v>166580</v>
      </c>
      <c r="H36" s="13">
        <v>166580</v>
      </c>
      <c r="I36" s="13">
        <v>166580</v>
      </c>
    </row>
    <row r="37" spans="1:9" hidden="1" x14ac:dyDescent="0.2">
      <c r="A37" s="14" t="s">
        <v>44</v>
      </c>
      <c r="B37" s="15">
        <f t="shared" ref="B37:I37" si="5">SUM(B36)</f>
        <v>166580</v>
      </c>
      <c r="C37" s="15">
        <f t="shared" si="5"/>
        <v>166580</v>
      </c>
      <c r="D37" s="15">
        <f t="shared" si="5"/>
        <v>166580</v>
      </c>
      <c r="E37" s="15">
        <f t="shared" si="5"/>
        <v>166580</v>
      </c>
      <c r="F37" s="15">
        <f t="shared" si="5"/>
        <v>166580</v>
      </c>
      <c r="G37" s="15">
        <f t="shared" si="5"/>
        <v>166580</v>
      </c>
      <c r="H37" s="15">
        <f t="shared" si="5"/>
        <v>166580</v>
      </c>
      <c r="I37" s="15">
        <f t="shared" si="5"/>
        <v>166580</v>
      </c>
    </row>
    <row r="38" spans="1:9" hidden="1" x14ac:dyDescent="0.2">
      <c r="A38" s="11" t="s">
        <v>45</v>
      </c>
      <c r="B38" s="10"/>
      <c r="C38" s="10"/>
      <c r="D38" s="10"/>
      <c r="E38" s="10"/>
      <c r="F38" s="10"/>
      <c r="G38" s="10"/>
      <c r="H38" s="10"/>
      <c r="I38" s="10"/>
    </row>
    <row r="39" spans="1:9" hidden="1" x14ac:dyDescent="0.2">
      <c r="A39" s="12" t="s">
        <v>46</v>
      </c>
      <c r="B39" s="13">
        <v>199400.68</v>
      </c>
      <c r="C39" s="13">
        <v>96417.65</v>
      </c>
      <c r="D39" s="13">
        <v>92213.09</v>
      </c>
      <c r="E39" s="13">
        <v>87927.95</v>
      </c>
      <c r="F39" s="13">
        <v>83192.989999999991</v>
      </c>
      <c r="G39" s="13">
        <v>78734.969999999987</v>
      </c>
      <c r="H39" s="13">
        <v>68647.739999999991</v>
      </c>
      <c r="I39" s="13">
        <v>-1.4551915228366852E-11</v>
      </c>
    </row>
    <row r="40" spans="1:9" hidden="1" x14ac:dyDescent="0.2">
      <c r="A40" s="14" t="s">
        <v>47</v>
      </c>
      <c r="B40" s="15">
        <f t="shared" ref="B40:I40" si="6">SUM(B39)</f>
        <v>199400.68</v>
      </c>
      <c r="C40" s="15">
        <f t="shared" si="6"/>
        <v>96417.65</v>
      </c>
      <c r="D40" s="15">
        <f t="shared" si="6"/>
        <v>92213.09</v>
      </c>
      <c r="E40" s="15">
        <f t="shared" si="6"/>
        <v>87927.95</v>
      </c>
      <c r="F40" s="15">
        <f t="shared" si="6"/>
        <v>83192.989999999991</v>
      </c>
      <c r="G40" s="15">
        <f t="shared" si="6"/>
        <v>78734.969999999987</v>
      </c>
      <c r="H40" s="15">
        <f t="shared" si="6"/>
        <v>68647.739999999991</v>
      </c>
      <c r="I40" s="15">
        <f t="shared" si="6"/>
        <v>-1.4551915228366852E-11</v>
      </c>
    </row>
    <row r="41" spans="1:9" hidden="1" x14ac:dyDescent="0.2">
      <c r="A41" s="16" t="s">
        <v>48</v>
      </c>
      <c r="B41" s="17">
        <f t="shared" ref="B41:I41" si="7">B37+0+0+0+0+B40+0+0</f>
        <v>365980.68</v>
      </c>
      <c r="C41" s="17">
        <f t="shared" si="7"/>
        <v>262997.65000000002</v>
      </c>
      <c r="D41" s="17">
        <f t="shared" si="7"/>
        <v>258793.09</v>
      </c>
      <c r="E41" s="17">
        <f t="shared" si="7"/>
        <v>254507.95</v>
      </c>
      <c r="F41" s="17">
        <f t="shared" si="7"/>
        <v>249772.99</v>
      </c>
      <c r="G41" s="17">
        <f t="shared" si="7"/>
        <v>245314.96999999997</v>
      </c>
      <c r="H41" s="17">
        <f t="shared" si="7"/>
        <v>235227.74</v>
      </c>
      <c r="I41" s="17">
        <f t="shared" si="7"/>
        <v>166580</v>
      </c>
    </row>
    <row r="42" spans="1:9" x14ac:dyDescent="0.2">
      <c r="A42" s="19" t="s">
        <v>49</v>
      </c>
      <c r="B42" s="20">
        <f t="shared" ref="B42:I42" si="8">B13+B33+B41</f>
        <v>409256.68</v>
      </c>
      <c r="C42" s="20">
        <f t="shared" si="8"/>
        <v>328806.65000000002</v>
      </c>
      <c r="D42" s="20">
        <f t="shared" si="8"/>
        <v>297412.08999999997</v>
      </c>
      <c r="E42" s="20">
        <f t="shared" si="8"/>
        <v>294669.95</v>
      </c>
      <c r="F42" s="20">
        <f t="shared" si="8"/>
        <v>279698.06999999995</v>
      </c>
      <c r="G42" s="20">
        <f t="shared" si="8"/>
        <v>281525.33999999997</v>
      </c>
      <c r="H42" s="20">
        <f t="shared" si="8"/>
        <v>281980.44999999995</v>
      </c>
      <c r="I42" s="20">
        <f t="shared" si="8"/>
        <v>257730.65</v>
      </c>
    </row>
    <row r="43" spans="1:9" x14ac:dyDescent="0.2">
      <c r="A43" s="21"/>
      <c r="B43" s="10"/>
      <c r="C43" s="10"/>
      <c r="D43" s="10"/>
      <c r="E43" s="10"/>
      <c r="F43" s="10"/>
      <c r="G43" s="10"/>
      <c r="H43" s="10"/>
      <c r="I43" s="10"/>
    </row>
    <row r="44" spans="1:9" ht="12" x14ac:dyDescent="0.2">
      <c r="A44" s="7" t="s">
        <v>50</v>
      </c>
      <c r="B44" s="8"/>
      <c r="C44" s="8"/>
      <c r="D44" s="8"/>
      <c r="E44" s="8"/>
      <c r="F44" s="8"/>
      <c r="G44" s="8"/>
      <c r="H44" s="8"/>
      <c r="I44" s="8"/>
    </row>
    <row r="45" spans="1:9" x14ac:dyDescent="0.2">
      <c r="A45" s="9" t="s">
        <v>51</v>
      </c>
      <c r="B45" s="10">
        <v>0</v>
      </c>
      <c r="C45" s="10">
        <v>3110.1600000000003</v>
      </c>
      <c r="D45" s="10">
        <v>2121.54</v>
      </c>
      <c r="E45" s="10">
        <v>19065.830000000002</v>
      </c>
      <c r="F45" s="10">
        <v>3394.9700000000003</v>
      </c>
      <c r="G45" s="10">
        <v>5427.2</v>
      </c>
      <c r="H45" s="10">
        <v>1000</v>
      </c>
      <c r="I45" s="10">
        <v>0</v>
      </c>
    </row>
    <row r="46" spans="1:9" hidden="1" x14ac:dyDescent="0.2">
      <c r="A46" s="11" t="s">
        <v>52</v>
      </c>
      <c r="B46" s="10"/>
      <c r="C46" s="10"/>
      <c r="D46" s="10"/>
      <c r="E46" s="10"/>
      <c r="F46" s="10"/>
      <c r="G46" s="10"/>
      <c r="H46" s="10"/>
      <c r="I46" s="10"/>
    </row>
    <row r="47" spans="1:9" hidden="1" x14ac:dyDescent="0.2">
      <c r="A47" s="12" t="s">
        <v>53</v>
      </c>
      <c r="B47" s="13">
        <v>0</v>
      </c>
      <c r="C47" s="13">
        <v>524.79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 spans="1:9" hidden="1" x14ac:dyDescent="0.2">
      <c r="A48" s="14" t="s">
        <v>54</v>
      </c>
      <c r="B48" s="15">
        <f t="shared" ref="B48:I48" si="9">SUM(B47)</f>
        <v>0</v>
      </c>
      <c r="C48" s="15">
        <f t="shared" si="9"/>
        <v>524.79</v>
      </c>
      <c r="D48" s="15">
        <f t="shared" si="9"/>
        <v>0</v>
      </c>
      <c r="E48" s="15">
        <f t="shared" si="9"/>
        <v>0</v>
      </c>
      <c r="F48" s="15">
        <f t="shared" si="9"/>
        <v>0</v>
      </c>
      <c r="G48" s="15">
        <f t="shared" si="9"/>
        <v>0</v>
      </c>
      <c r="H48" s="15">
        <f t="shared" si="9"/>
        <v>0</v>
      </c>
      <c r="I48" s="15">
        <f t="shared" si="9"/>
        <v>0</v>
      </c>
    </row>
    <row r="49" spans="1:9" hidden="1" x14ac:dyDescent="0.2">
      <c r="A49" s="11" t="s">
        <v>55</v>
      </c>
      <c r="B49" s="10"/>
      <c r="C49" s="10"/>
      <c r="D49" s="10"/>
      <c r="E49" s="10"/>
      <c r="F49" s="10"/>
      <c r="G49" s="10"/>
      <c r="H49" s="10"/>
      <c r="I49" s="10"/>
    </row>
    <row r="50" spans="1:9" hidden="1" x14ac:dyDescent="0.2">
      <c r="A50" s="12" t="s">
        <v>56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500</v>
      </c>
      <c r="H50" s="13">
        <v>1000</v>
      </c>
      <c r="I50" s="13">
        <v>0</v>
      </c>
    </row>
    <row r="51" spans="1:9" hidden="1" x14ac:dyDescent="0.2">
      <c r="A51" s="12" t="s">
        <v>57</v>
      </c>
      <c r="B51" s="13">
        <v>0</v>
      </c>
      <c r="C51" s="13">
        <v>2568.5500000000002</v>
      </c>
      <c r="D51" s="13">
        <v>2121.54</v>
      </c>
      <c r="E51" s="13">
        <v>0</v>
      </c>
      <c r="F51" s="13">
        <v>0</v>
      </c>
      <c r="G51" s="13">
        <v>2803.24</v>
      </c>
      <c r="H51" s="13">
        <v>0</v>
      </c>
      <c r="I51" s="13">
        <v>0</v>
      </c>
    </row>
    <row r="52" spans="1:9" hidden="1" x14ac:dyDescent="0.2">
      <c r="A52" s="12" t="s">
        <v>58</v>
      </c>
      <c r="B52" s="13">
        <v>0</v>
      </c>
      <c r="C52" s="13">
        <v>0</v>
      </c>
      <c r="D52" s="13">
        <v>0</v>
      </c>
      <c r="E52" s="13">
        <v>8518</v>
      </c>
      <c r="F52" s="13">
        <v>0</v>
      </c>
      <c r="G52" s="13">
        <v>973</v>
      </c>
      <c r="H52" s="13">
        <v>0</v>
      </c>
      <c r="I52" s="13">
        <v>0</v>
      </c>
    </row>
    <row r="53" spans="1:9" hidden="1" x14ac:dyDescent="0.2">
      <c r="A53" s="12" t="s">
        <v>59</v>
      </c>
      <c r="B53" s="13">
        <v>0</v>
      </c>
      <c r="C53" s="13">
        <v>16.82</v>
      </c>
      <c r="D53" s="13">
        <v>0</v>
      </c>
      <c r="E53" s="13">
        <v>10547.83</v>
      </c>
      <c r="F53" s="13">
        <v>3394.9700000000003</v>
      </c>
      <c r="G53" s="13">
        <v>1150.96</v>
      </c>
      <c r="H53" s="13">
        <v>0</v>
      </c>
      <c r="I53" s="13">
        <v>0</v>
      </c>
    </row>
    <row r="54" spans="1:9" hidden="1" x14ac:dyDescent="0.2">
      <c r="A54" s="14" t="s">
        <v>60</v>
      </c>
      <c r="B54" s="15">
        <f t="shared" ref="B54:I54" si="10">SUM(B50:B53)</f>
        <v>0</v>
      </c>
      <c r="C54" s="15">
        <f t="shared" si="10"/>
        <v>2585.3700000000003</v>
      </c>
      <c r="D54" s="15">
        <f t="shared" si="10"/>
        <v>2121.54</v>
      </c>
      <c r="E54" s="15">
        <f t="shared" si="10"/>
        <v>19065.830000000002</v>
      </c>
      <c r="F54" s="15">
        <f t="shared" si="10"/>
        <v>3394.9700000000003</v>
      </c>
      <c r="G54" s="15">
        <f t="shared" si="10"/>
        <v>5427.2</v>
      </c>
      <c r="H54" s="15">
        <f t="shared" si="10"/>
        <v>1000</v>
      </c>
      <c r="I54" s="15">
        <f t="shared" si="10"/>
        <v>0</v>
      </c>
    </row>
    <row r="55" spans="1:9" hidden="1" x14ac:dyDescent="0.2">
      <c r="A55" s="16" t="s">
        <v>61</v>
      </c>
      <c r="B55" s="17">
        <f t="shared" ref="B55:I55" si="11">B48+0+0+0+0+B54</f>
        <v>0</v>
      </c>
      <c r="C55" s="17">
        <f t="shared" si="11"/>
        <v>3110.1600000000003</v>
      </c>
      <c r="D55" s="17">
        <f t="shared" si="11"/>
        <v>2121.54</v>
      </c>
      <c r="E55" s="17">
        <f t="shared" si="11"/>
        <v>19065.830000000002</v>
      </c>
      <c r="F55" s="17">
        <f t="shared" si="11"/>
        <v>3394.9700000000003</v>
      </c>
      <c r="G55" s="17">
        <f t="shared" si="11"/>
        <v>5427.2</v>
      </c>
      <c r="H55" s="17">
        <f t="shared" si="11"/>
        <v>1000</v>
      </c>
      <c r="I55" s="17">
        <f t="shared" si="11"/>
        <v>0</v>
      </c>
    </row>
    <row r="56" spans="1:9" x14ac:dyDescent="0.2">
      <c r="A56" s="9" t="s">
        <v>62</v>
      </c>
      <c r="B56" s="10">
        <v>44433.25</v>
      </c>
      <c r="C56" s="10">
        <v>147940.65</v>
      </c>
      <c r="D56" s="10">
        <v>257091.59</v>
      </c>
      <c r="E56" s="10">
        <v>419625.38</v>
      </c>
      <c r="F56" s="10">
        <v>462042.1</v>
      </c>
      <c r="G56" s="10">
        <v>457555</v>
      </c>
      <c r="H56" s="10">
        <v>269262.67</v>
      </c>
      <c r="I56" s="10">
        <v>295722.73</v>
      </c>
    </row>
    <row r="57" spans="1:9" hidden="1" x14ac:dyDescent="0.2">
      <c r="A57" s="11" t="s">
        <v>63</v>
      </c>
      <c r="B57" s="10"/>
      <c r="C57" s="10"/>
      <c r="D57" s="10"/>
      <c r="E57" s="10"/>
      <c r="F57" s="10"/>
      <c r="G57" s="10"/>
      <c r="H57" s="10"/>
      <c r="I57" s="10"/>
    </row>
    <row r="58" spans="1:9" hidden="1" x14ac:dyDescent="0.2">
      <c r="A58" s="12" t="s">
        <v>64</v>
      </c>
      <c r="B58" s="13">
        <v>44424.71</v>
      </c>
      <c r="C58" s="13">
        <v>37828.81</v>
      </c>
      <c r="D58" s="13">
        <v>96860.47</v>
      </c>
      <c r="E58" s="13">
        <v>29301.820000000007</v>
      </c>
      <c r="F58" s="13">
        <v>22120.400000000009</v>
      </c>
      <c r="G58" s="13">
        <v>17500.580000000009</v>
      </c>
      <c r="H58" s="13">
        <v>69237.460000000006</v>
      </c>
      <c r="I58" s="13">
        <v>38870.37000000001</v>
      </c>
    </row>
    <row r="59" spans="1:9" hidden="1" x14ac:dyDescent="0.2">
      <c r="A59" s="12" t="s">
        <v>65</v>
      </c>
      <c r="B59" s="13">
        <v>0</v>
      </c>
      <c r="C59" s="13">
        <v>0</v>
      </c>
      <c r="D59" s="13">
        <v>0</v>
      </c>
      <c r="E59" s="13">
        <v>0</v>
      </c>
      <c r="F59" s="13">
        <v>-489.52</v>
      </c>
      <c r="G59" s="13">
        <v>0</v>
      </c>
      <c r="H59" s="13">
        <v>0</v>
      </c>
      <c r="I59" s="13">
        <v>-13172.85</v>
      </c>
    </row>
    <row r="60" spans="1:9" hidden="1" x14ac:dyDescent="0.2">
      <c r="A60" s="12" t="s">
        <v>66</v>
      </c>
      <c r="B60" s="13">
        <v>8.5399999999999991</v>
      </c>
      <c r="C60" s="13">
        <v>110111.84</v>
      </c>
      <c r="D60" s="13">
        <v>160231.12</v>
      </c>
      <c r="E60" s="13">
        <v>390323.56</v>
      </c>
      <c r="F60" s="13">
        <v>440411.22</v>
      </c>
      <c r="G60" s="13">
        <v>440054.42</v>
      </c>
      <c r="H60" s="13">
        <v>200025.21</v>
      </c>
      <c r="I60" s="13">
        <v>270025.20999999996</v>
      </c>
    </row>
    <row r="61" spans="1:9" hidden="1" x14ac:dyDescent="0.2">
      <c r="A61" s="14" t="s">
        <v>67</v>
      </c>
      <c r="B61" s="17">
        <f t="shared" ref="B61:I61" si="12">SUM(B58:B60)</f>
        <v>44433.25</v>
      </c>
      <c r="C61" s="17">
        <f t="shared" si="12"/>
        <v>147940.65</v>
      </c>
      <c r="D61" s="17">
        <f t="shared" si="12"/>
        <v>257091.59</v>
      </c>
      <c r="E61" s="17">
        <f t="shared" si="12"/>
        <v>419625.38</v>
      </c>
      <c r="F61" s="17">
        <f t="shared" si="12"/>
        <v>462042.1</v>
      </c>
      <c r="G61" s="17">
        <f t="shared" si="12"/>
        <v>457555</v>
      </c>
      <c r="H61" s="17">
        <f t="shared" si="12"/>
        <v>269262.67</v>
      </c>
      <c r="I61" s="17">
        <f t="shared" si="12"/>
        <v>295722.73</v>
      </c>
    </row>
    <row r="62" spans="1:9" hidden="1" x14ac:dyDescent="0.2">
      <c r="A62" s="16" t="s">
        <v>68</v>
      </c>
      <c r="B62" s="17">
        <f t="shared" ref="B62:I62" si="13">0+0+B61</f>
        <v>44433.25</v>
      </c>
      <c r="C62" s="17">
        <f t="shared" si="13"/>
        <v>147940.65</v>
      </c>
      <c r="D62" s="17">
        <f t="shared" si="13"/>
        <v>257091.59</v>
      </c>
      <c r="E62" s="17">
        <f t="shared" si="13"/>
        <v>419625.38</v>
      </c>
      <c r="F62" s="17">
        <f t="shared" si="13"/>
        <v>462042.1</v>
      </c>
      <c r="G62" s="17">
        <f t="shared" si="13"/>
        <v>457555</v>
      </c>
      <c r="H62" s="17">
        <f t="shared" si="13"/>
        <v>269262.67</v>
      </c>
      <c r="I62" s="17">
        <f t="shared" si="13"/>
        <v>295722.73</v>
      </c>
    </row>
    <row r="63" spans="1:9" x14ac:dyDescent="0.2">
      <c r="A63" s="19" t="s">
        <v>69</v>
      </c>
      <c r="B63" s="20">
        <f t="shared" ref="B63:I63" si="14">0+B55+0+B62</f>
        <v>44433.25</v>
      </c>
      <c r="C63" s="20">
        <f t="shared" si="14"/>
        <v>151050.81</v>
      </c>
      <c r="D63" s="20">
        <f t="shared" si="14"/>
        <v>259213.13</v>
      </c>
      <c r="E63" s="20">
        <f t="shared" si="14"/>
        <v>438691.21</v>
      </c>
      <c r="F63" s="20">
        <f t="shared" si="14"/>
        <v>465437.06999999995</v>
      </c>
      <c r="G63" s="20">
        <f t="shared" si="14"/>
        <v>462982.2</v>
      </c>
      <c r="H63" s="20">
        <f t="shared" si="14"/>
        <v>270262.67</v>
      </c>
      <c r="I63" s="20">
        <f t="shared" si="14"/>
        <v>295722.73</v>
      </c>
    </row>
    <row r="64" spans="1:9" x14ac:dyDescent="0.2">
      <c r="A64" s="21"/>
      <c r="B64" s="10"/>
      <c r="C64" s="10"/>
      <c r="D64" s="10"/>
      <c r="E64" s="10"/>
      <c r="F64" s="10"/>
      <c r="G64" s="10"/>
      <c r="H64" s="10"/>
      <c r="I64" s="10"/>
    </row>
    <row r="65" spans="1:9" ht="12.75" thickBot="1" x14ac:dyDescent="0.25">
      <c r="A65" s="7" t="s">
        <v>70</v>
      </c>
      <c r="B65" s="8">
        <v>0</v>
      </c>
      <c r="C65" s="8">
        <v>0</v>
      </c>
      <c r="D65" s="8">
        <v>0</v>
      </c>
      <c r="E65" s="8">
        <v>0</v>
      </c>
      <c r="F65" s="8">
        <v>0</v>
      </c>
      <c r="G65" s="8">
        <v>869.32</v>
      </c>
      <c r="H65" s="8">
        <v>5063.7299999999996</v>
      </c>
      <c r="I65" s="8">
        <v>15649.25</v>
      </c>
    </row>
    <row r="66" spans="1:9" ht="12" hidden="1" thickBot="1" x14ac:dyDescent="0.25">
      <c r="A66" s="22" t="s">
        <v>71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869.32</v>
      </c>
      <c r="H66" s="13">
        <v>5063.7299999999996</v>
      </c>
      <c r="I66" s="13">
        <v>15649.25</v>
      </c>
    </row>
    <row r="67" spans="1:9" ht="12" hidden="1" thickBot="1" x14ac:dyDescent="0.25">
      <c r="A67" s="23" t="s">
        <v>72</v>
      </c>
      <c r="B67" s="17">
        <f t="shared" ref="B67:I67" si="15">SUM(B66)</f>
        <v>0</v>
      </c>
      <c r="C67" s="17">
        <f t="shared" si="15"/>
        <v>0</v>
      </c>
      <c r="D67" s="17">
        <f t="shared" si="15"/>
        <v>0</v>
      </c>
      <c r="E67" s="17">
        <f t="shared" si="15"/>
        <v>0</v>
      </c>
      <c r="F67" s="17">
        <f t="shared" si="15"/>
        <v>0</v>
      </c>
      <c r="G67" s="17">
        <f t="shared" si="15"/>
        <v>869.32</v>
      </c>
      <c r="H67" s="17">
        <f t="shared" si="15"/>
        <v>5063.7299999999996</v>
      </c>
      <c r="I67" s="17">
        <f t="shared" si="15"/>
        <v>15649.25</v>
      </c>
    </row>
    <row r="68" spans="1:9" ht="12.75" thickTop="1" x14ac:dyDescent="0.2">
      <c r="A68" s="24" t="s">
        <v>73</v>
      </c>
      <c r="B68" s="25">
        <f t="shared" ref="B68:I68" si="16">B42+B43+B63+B64+B67+0</f>
        <v>453689.93</v>
      </c>
      <c r="C68" s="25">
        <f t="shared" si="16"/>
        <v>479857.46</v>
      </c>
      <c r="D68" s="25">
        <f t="shared" si="16"/>
        <v>556625.22</v>
      </c>
      <c r="E68" s="25">
        <f t="shared" si="16"/>
        <v>733361.16</v>
      </c>
      <c r="F68" s="25">
        <f t="shared" si="16"/>
        <v>745135.1399999999</v>
      </c>
      <c r="G68" s="25">
        <f t="shared" si="16"/>
        <v>745376.86</v>
      </c>
      <c r="H68" s="25">
        <f t="shared" si="16"/>
        <v>557306.84999999986</v>
      </c>
      <c r="I68" s="25">
        <f t="shared" si="16"/>
        <v>569102.63</v>
      </c>
    </row>
    <row r="69" spans="1:9" x14ac:dyDescent="0.2">
      <c r="A69" s="26"/>
      <c r="B69" s="10"/>
      <c r="C69" s="10"/>
      <c r="D69" s="10"/>
      <c r="E69" s="10"/>
      <c r="F69" s="10"/>
      <c r="G69" s="10"/>
      <c r="H69" s="10"/>
      <c r="I69" s="10"/>
    </row>
    <row r="70" spans="1:9" ht="12.75" x14ac:dyDescent="0.2">
      <c r="A70" s="5" t="s">
        <v>74</v>
      </c>
      <c r="B70" s="6"/>
      <c r="C70" s="6"/>
      <c r="D70" s="6"/>
      <c r="E70" s="6"/>
      <c r="F70" s="6"/>
      <c r="G70" s="6"/>
      <c r="H70" s="6"/>
      <c r="I70" s="6"/>
    </row>
    <row r="71" spans="1:9" ht="12" x14ac:dyDescent="0.2">
      <c r="A71" s="7" t="s">
        <v>75</v>
      </c>
      <c r="B71" s="8"/>
      <c r="C71" s="8"/>
      <c r="D71" s="8"/>
      <c r="E71" s="8"/>
      <c r="F71" s="8"/>
      <c r="G71" s="8"/>
      <c r="H71" s="8"/>
      <c r="I71" s="8"/>
    </row>
    <row r="72" spans="1:9" x14ac:dyDescent="0.2">
      <c r="A72" s="9" t="s">
        <v>76</v>
      </c>
      <c r="B72" s="10">
        <v>25000</v>
      </c>
      <c r="C72" s="10">
        <v>25000</v>
      </c>
      <c r="D72" s="10">
        <v>25000</v>
      </c>
      <c r="E72" s="10">
        <v>25000</v>
      </c>
      <c r="F72" s="10">
        <v>25000</v>
      </c>
      <c r="G72" s="10">
        <v>25000</v>
      </c>
      <c r="H72" s="10">
        <v>25000</v>
      </c>
      <c r="I72" s="10">
        <v>25000</v>
      </c>
    </row>
    <row r="73" spans="1:9" hidden="1" x14ac:dyDescent="0.2">
      <c r="A73" s="27" t="s">
        <v>77</v>
      </c>
      <c r="B73" s="13">
        <v>25000</v>
      </c>
      <c r="C73" s="13">
        <v>25000</v>
      </c>
      <c r="D73" s="13">
        <v>25000</v>
      </c>
      <c r="E73" s="13">
        <v>25000</v>
      </c>
      <c r="F73" s="13">
        <v>25000</v>
      </c>
      <c r="G73" s="13">
        <v>25000</v>
      </c>
      <c r="H73" s="13">
        <v>25000</v>
      </c>
      <c r="I73" s="13">
        <v>25000</v>
      </c>
    </row>
    <row r="74" spans="1:9" hidden="1" x14ac:dyDescent="0.2">
      <c r="A74" s="16" t="s">
        <v>78</v>
      </c>
      <c r="B74" s="17">
        <f t="shared" ref="B74:I74" si="17">SUM(B73)</f>
        <v>25000</v>
      </c>
      <c r="C74" s="17">
        <f t="shared" si="17"/>
        <v>25000</v>
      </c>
      <c r="D74" s="17">
        <f t="shared" si="17"/>
        <v>25000</v>
      </c>
      <c r="E74" s="17">
        <f t="shared" si="17"/>
        <v>25000</v>
      </c>
      <c r="F74" s="17">
        <f t="shared" si="17"/>
        <v>25000</v>
      </c>
      <c r="G74" s="17">
        <f t="shared" si="17"/>
        <v>25000</v>
      </c>
      <c r="H74" s="17">
        <f t="shared" si="17"/>
        <v>25000</v>
      </c>
      <c r="I74" s="17">
        <f t="shared" si="17"/>
        <v>25000</v>
      </c>
    </row>
    <row r="75" spans="1:9" x14ac:dyDescent="0.2">
      <c r="A75" s="16" t="s">
        <v>79</v>
      </c>
      <c r="B75" s="17">
        <f>407714.959999999-B76</f>
        <v>407714.95999999897</v>
      </c>
      <c r="C75" s="17">
        <f>453464.079999999-C76</f>
        <v>453464.07999999903</v>
      </c>
      <c r="D75" s="17">
        <f>502980.299999999-D76</f>
        <v>502980.299999999</v>
      </c>
      <c r="E75" s="17">
        <f>504862.609999999-E76</f>
        <v>504862.609999999</v>
      </c>
      <c r="F75" s="17">
        <f>514357.329999999-F76</f>
        <v>514357.32999999903</v>
      </c>
      <c r="G75" s="17">
        <f>518570.06-G76</f>
        <v>518570.06</v>
      </c>
      <c r="H75" s="17">
        <f>525978.779999999-H76</f>
        <v>525978.77999999898</v>
      </c>
      <c r="I75" s="17">
        <f>538059.759999999-I76</f>
        <v>525978.77999999898</v>
      </c>
    </row>
    <row r="76" spans="1:9" x14ac:dyDescent="0.2">
      <c r="A76" s="9" t="s">
        <v>80</v>
      </c>
      <c r="B76" s="13">
        <v>0</v>
      </c>
      <c r="C76" s="13">
        <v>0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12080.980000000005</v>
      </c>
    </row>
    <row r="77" spans="1:9" x14ac:dyDescent="0.2">
      <c r="A77" s="19" t="s">
        <v>81</v>
      </c>
      <c r="B77" s="20">
        <f t="shared" ref="B77:I77" si="18">B74+0+0+B75+0+B76</f>
        <v>432714.95999999897</v>
      </c>
      <c r="C77" s="20">
        <f t="shared" si="18"/>
        <v>478464.07999999903</v>
      </c>
      <c r="D77" s="20">
        <f t="shared" si="18"/>
        <v>527980.299999999</v>
      </c>
      <c r="E77" s="20">
        <f t="shared" si="18"/>
        <v>529862.60999999894</v>
      </c>
      <c r="F77" s="20">
        <f t="shared" si="18"/>
        <v>539357.32999999903</v>
      </c>
      <c r="G77" s="20">
        <f t="shared" si="18"/>
        <v>543570.06000000006</v>
      </c>
      <c r="H77" s="20">
        <f t="shared" si="18"/>
        <v>550978.77999999898</v>
      </c>
      <c r="I77" s="20">
        <f t="shared" si="18"/>
        <v>563059.75999999896</v>
      </c>
    </row>
    <row r="78" spans="1:9" x14ac:dyDescent="0.2">
      <c r="A78" s="21"/>
      <c r="B78" s="10"/>
      <c r="C78" s="10"/>
      <c r="D78" s="10"/>
      <c r="E78" s="10"/>
      <c r="F78" s="10"/>
      <c r="G78" s="10"/>
      <c r="H78" s="10"/>
      <c r="I78" s="10"/>
    </row>
    <row r="79" spans="1:9" ht="12" x14ac:dyDescent="0.2">
      <c r="A79" s="7" t="s">
        <v>82</v>
      </c>
      <c r="B79" s="8"/>
      <c r="C79" s="8"/>
      <c r="D79" s="8"/>
      <c r="E79" s="8"/>
      <c r="F79" s="8"/>
      <c r="G79" s="8"/>
      <c r="H79" s="8"/>
      <c r="I79" s="8"/>
    </row>
    <row r="80" spans="1:9" x14ac:dyDescent="0.2">
      <c r="A80" s="9" t="s">
        <v>83</v>
      </c>
      <c r="B80" s="10">
        <v>8119.2</v>
      </c>
      <c r="C80" s="10">
        <v>15</v>
      </c>
      <c r="D80" s="10">
        <v>1505.33</v>
      </c>
      <c r="E80" s="10">
        <v>0</v>
      </c>
      <c r="F80" s="10">
        <v>1354</v>
      </c>
      <c r="G80" s="10">
        <v>0</v>
      </c>
      <c r="H80" s="10">
        <v>1324.77</v>
      </c>
      <c r="I80" s="10">
        <v>1324.77</v>
      </c>
    </row>
    <row r="81" spans="1:9" hidden="1" x14ac:dyDescent="0.2">
      <c r="A81" s="27" t="s">
        <v>84</v>
      </c>
      <c r="B81" s="13">
        <v>3589</v>
      </c>
      <c r="C81" s="13">
        <v>15</v>
      </c>
      <c r="D81" s="13">
        <v>675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 spans="1:9" hidden="1" x14ac:dyDescent="0.2">
      <c r="A82" s="27" t="s">
        <v>85</v>
      </c>
      <c r="B82" s="13">
        <v>0</v>
      </c>
      <c r="C82" s="13">
        <v>0</v>
      </c>
      <c r="D82" s="13">
        <v>0</v>
      </c>
      <c r="E82" s="13">
        <v>0</v>
      </c>
      <c r="F82" s="13">
        <v>1354</v>
      </c>
      <c r="G82" s="13">
        <v>0</v>
      </c>
      <c r="H82" s="13">
        <v>601</v>
      </c>
      <c r="I82" s="13">
        <v>601</v>
      </c>
    </row>
    <row r="83" spans="1:9" hidden="1" x14ac:dyDescent="0.2">
      <c r="A83" s="27" t="s">
        <v>86</v>
      </c>
      <c r="B83" s="13">
        <v>4530.2</v>
      </c>
      <c r="C83" s="13">
        <v>0</v>
      </c>
      <c r="D83" s="13">
        <v>830.33</v>
      </c>
      <c r="E83" s="13">
        <v>0</v>
      </c>
      <c r="F83" s="13">
        <v>0</v>
      </c>
      <c r="G83" s="13">
        <v>0</v>
      </c>
      <c r="H83" s="13">
        <v>723.77</v>
      </c>
      <c r="I83" s="13">
        <v>723.77</v>
      </c>
    </row>
    <row r="84" spans="1:9" hidden="1" x14ac:dyDescent="0.2">
      <c r="A84" s="16" t="s">
        <v>87</v>
      </c>
      <c r="B84" s="17">
        <f t="shared" ref="B84:I84" si="19">SUM(B81:B83)</f>
        <v>8119.2</v>
      </c>
      <c r="C84" s="17">
        <f t="shared" si="19"/>
        <v>15</v>
      </c>
      <c r="D84" s="17">
        <f t="shared" si="19"/>
        <v>1505.33</v>
      </c>
      <c r="E84" s="17">
        <f t="shared" si="19"/>
        <v>0</v>
      </c>
      <c r="F84" s="17">
        <f t="shared" si="19"/>
        <v>1354</v>
      </c>
      <c r="G84" s="17">
        <f t="shared" si="19"/>
        <v>0</v>
      </c>
      <c r="H84" s="17">
        <f t="shared" si="19"/>
        <v>1324.77</v>
      </c>
      <c r="I84" s="17">
        <f t="shared" si="19"/>
        <v>1324.77</v>
      </c>
    </row>
    <row r="85" spans="1:9" x14ac:dyDescent="0.2">
      <c r="A85" s="9" t="s">
        <v>88</v>
      </c>
      <c r="B85" s="10">
        <v>850</v>
      </c>
      <c r="C85" s="10">
        <v>880</v>
      </c>
      <c r="D85" s="10">
        <v>930</v>
      </c>
      <c r="E85" s="10">
        <v>990</v>
      </c>
      <c r="F85" s="10">
        <v>1010</v>
      </c>
      <c r="G85" s="10">
        <v>980</v>
      </c>
      <c r="H85" s="10">
        <v>1000</v>
      </c>
      <c r="I85" s="10">
        <v>2668</v>
      </c>
    </row>
    <row r="86" spans="1:9" hidden="1" x14ac:dyDescent="0.2">
      <c r="A86" s="27" t="s">
        <v>89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1668</v>
      </c>
    </row>
    <row r="87" spans="1:9" hidden="1" x14ac:dyDescent="0.2">
      <c r="A87" s="27" t="s">
        <v>90</v>
      </c>
      <c r="B87" s="13">
        <v>750</v>
      </c>
      <c r="C87" s="13">
        <v>780</v>
      </c>
      <c r="D87" s="13">
        <v>830</v>
      </c>
      <c r="E87" s="13">
        <v>890</v>
      </c>
      <c r="F87" s="13">
        <v>910</v>
      </c>
      <c r="G87" s="13">
        <v>880</v>
      </c>
      <c r="H87" s="13">
        <v>900</v>
      </c>
      <c r="I87" s="13">
        <v>900</v>
      </c>
    </row>
    <row r="88" spans="1:9" hidden="1" x14ac:dyDescent="0.2">
      <c r="A88" s="27" t="s">
        <v>91</v>
      </c>
      <c r="B88" s="13">
        <v>100</v>
      </c>
      <c r="C88" s="13">
        <v>100</v>
      </c>
      <c r="D88" s="13">
        <v>100</v>
      </c>
      <c r="E88" s="13">
        <v>100</v>
      </c>
      <c r="F88" s="13">
        <v>100</v>
      </c>
      <c r="G88" s="13">
        <v>100</v>
      </c>
      <c r="H88" s="13">
        <v>100</v>
      </c>
      <c r="I88" s="13">
        <v>100</v>
      </c>
    </row>
    <row r="89" spans="1:9" hidden="1" x14ac:dyDescent="0.2">
      <c r="A89" s="16" t="s">
        <v>92</v>
      </c>
      <c r="B89" s="17">
        <f t="shared" ref="B89:I89" si="20">SUM(B86:B88)</f>
        <v>850</v>
      </c>
      <c r="C89" s="17">
        <f t="shared" si="20"/>
        <v>880</v>
      </c>
      <c r="D89" s="17">
        <f t="shared" si="20"/>
        <v>930</v>
      </c>
      <c r="E89" s="17">
        <f t="shared" si="20"/>
        <v>990</v>
      </c>
      <c r="F89" s="17">
        <f t="shared" si="20"/>
        <v>1010</v>
      </c>
      <c r="G89" s="17">
        <f t="shared" si="20"/>
        <v>980</v>
      </c>
      <c r="H89" s="17">
        <f t="shared" si="20"/>
        <v>1000</v>
      </c>
      <c r="I89" s="17">
        <f t="shared" si="20"/>
        <v>2668</v>
      </c>
    </row>
    <row r="90" spans="1:9" x14ac:dyDescent="0.2">
      <c r="A90" s="19" t="s">
        <v>93</v>
      </c>
      <c r="B90" s="20">
        <f t="shared" ref="B90:I90" si="21">0+B84+B89</f>
        <v>8969.2000000000007</v>
      </c>
      <c r="C90" s="20">
        <f t="shared" si="21"/>
        <v>895</v>
      </c>
      <c r="D90" s="20">
        <f t="shared" si="21"/>
        <v>2435.33</v>
      </c>
      <c r="E90" s="20">
        <f t="shared" si="21"/>
        <v>990</v>
      </c>
      <c r="F90" s="20">
        <f t="shared" si="21"/>
        <v>2364</v>
      </c>
      <c r="G90" s="20">
        <f t="shared" si="21"/>
        <v>980</v>
      </c>
      <c r="H90" s="20">
        <f t="shared" si="21"/>
        <v>2324.77</v>
      </c>
      <c r="I90" s="20">
        <f t="shared" si="21"/>
        <v>3992.77</v>
      </c>
    </row>
    <row r="91" spans="1:9" x14ac:dyDescent="0.2">
      <c r="A91" s="21"/>
      <c r="B91" s="10"/>
      <c r="C91" s="10"/>
      <c r="D91" s="10"/>
      <c r="E91" s="10"/>
      <c r="F91" s="10"/>
      <c r="G91" s="10"/>
      <c r="H91" s="10"/>
      <c r="I91" s="10"/>
    </row>
    <row r="92" spans="1:9" ht="12" x14ac:dyDescent="0.2">
      <c r="A92" s="7" t="s">
        <v>94</v>
      </c>
      <c r="B92" s="8"/>
      <c r="C92" s="8"/>
      <c r="D92" s="8"/>
      <c r="E92" s="8"/>
      <c r="F92" s="8"/>
      <c r="G92" s="8"/>
      <c r="H92" s="8"/>
      <c r="I92" s="8"/>
    </row>
    <row r="93" spans="1:9" x14ac:dyDescent="0.2">
      <c r="A93" s="9" t="s">
        <v>95</v>
      </c>
      <c r="B93" s="10">
        <v>4734.74</v>
      </c>
      <c r="C93" s="10">
        <v>498.38000000000011</v>
      </c>
      <c r="D93" s="10">
        <v>25061.16</v>
      </c>
      <c r="E93" s="10">
        <v>800.79999999999927</v>
      </c>
      <c r="F93" s="10">
        <v>781.83999999999924</v>
      </c>
      <c r="G93" s="10">
        <v>826.79999999999927</v>
      </c>
      <c r="H93" s="10">
        <v>910.79999999999927</v>
      </c>
      <c r="I93" s="10">
        <v>-6.8212102632969618E-13</v>
      </c>
    </row>
    <row r="94" spans="1:9" hidden="1" x14ac:dyDescent="0.2">
      <c r="A94" s="27" t="s">
        <v>96</v>
      </c>
      <c r="B94" s="13">
        <v>4734.74</v>
      </c>
      <c r="C94" s="13">
        <v>498.38000000000011</v>
      </c>
      <c r="D94" s="13">
        <v>25061.16</v>
      </c>
      <c r="E94" s="13">
        <v>800.79999999999927</v>
      </c>
      <c r="F94" s="13">
        <v>781.83999999999924</v>
      </c>
      <c r="G94" s="13">
        <v>826.79999999999927</v>
      </c>
      <c r="H94" s="13">
        <v>910.79999999999927</v>
      </c>
      <c r="I94" s="13">
        <v>-6.8212102632969618E-13</v>
      </c>
    </row>
    <row r="95" spans="1:9" hidden="1" x14ac:dyDescent="0.2">
      <c r="A95" s="16" t="s">
        <v>97</v>
      </c>
      <c r="B95" s="17">
        <f t="shared" ref="B95:I95" si="22">SUM(B94)</f>
        <v>4734.74</v>
      </c>
      <c r="C95" s="17">
        <f t="shared" si="22"/>
        <v>498.38000000000011</v>
      </c>
      <c r="D95" s="17">
        <f t="shared" si="22"/>
        <v>25061.16</v>
      </c>
      <c r="E95" s="17">
        <f t="shared" si="22"/>
        <v>800.79999999999927</v>
      </c>
      <c r="F95" s="17">
        <f t="shared" si="22"/>
        <v>781.83999999999924</v>
      </c>
      <c r="G95" s="17">
        <f t="shared" si="22"/>
        <v>826.79999999999927</v>
      </c>
      <c r="H95" s="17">
        <f t="shared" si="22"/>
        <v>910.79999999999927</v>
      </c>
      <c r="I95" s="17">
        <f t="shared" si="22"/>
        <v>-6.8212102632969618E-13</v>
      </c>
    </row>
    <row r="96" spans="1:9" x14ac:dyDescent="0.2">
      <c r="A96" s="9" t="s">
        <v>98</v>
      </c>
      <c r="B96" s="10">
        <v>0</v>
      </c>
      <c r="C96" s="10">
        <v>0</v>
      </c>
      <c r="D96" s="10">
        <v>0</v>
      </c>
      <c r="E96" s="10">
        <v>200000</v>
      </c>
      <c r="F96" s="10">
        <v>200000</v>
      </c>
      <c r="G96" s="10">
        <v>200000</v>
      </c>
      <c r="H96" s="10">
        <v>0</v>
      </c>
      <c r="I96" s="10">
        <v>0</v>
      </c>
    </row>
    <row r="97" spans="1:9" hidden="1" x14ac:dyDescent="0.2">
      <c r="A97" s="27" t="s">
        <v>99</v>
      </c>
      <c r="B97" s="13">
        <v>0</v>
      </c>
      <c r="C97" s="13">
        <v>0</v>
      </c>
      <c r="D97" s="13">
        <v>0</v>
      </c>
      <c r="E97" s="13">
        <v>200000</v>
      </c>
      <c r="F97" s="13">
        <v>200000</v>
      </c>
      <c r="G97" s="13">
        <v>200000</v>
      </c>
      <c r="H97" s="13">
        <v>0</v>
      </c>
      <c r="I97" s="13">
        <v>0</v>
      </c>
    </row>
    <row r="98" spans="1:9" hidden="1" x14ac:dyDescent="0.2">
      <c r="A98" s="16" t="s">
        <v>100</v>
      </c>
      <c r="B98" s="17">
        <f t="shared" ref="B98:I98" si="23">SUM(B97)</f>
        <v>0</v>
      </c>
      <c r="C98" s="17">
        <f t="shared" si="23"/>
        <v>0</v>
      </c>
      <c r="D98" s="17">
        <f t="shared" si="23"/>
        <v>0</v>
      </c>
      <c r="E98" s="17">
        <f t="shared" si="23"/>
        <v>200000</v>
      </c>
      <c r="F98" s="17">
        <f t="shared" si="23"/>
        <v>200000</v>
      </c>
      <c r="G98" s="17">
        <f t="shared" si="23"/>
        <v>200000</v>
      </c>
      <c r="H98" s="17">
        <f t="shared" si="23"/>
        <v>0</v>
      </c>
      <c r="I98" s="17">
        <f t="shared" si="23"/>
        <v>0</v>
      </c>
    </row>
    <row r="99" spans="1:9" x14ac:dyDescent="0.2">
      <c r="A99" s="9" t="s">
        <v>101</v>
      </c>
      <c r="B99" s="10">
        <v>7271.0300000000007</v>
      </c>
      <c r="C99" s="10">
        <v>0</v>
      </c>
      <c r="D99" s="10">
        <v>1148.43</v>
      </c>
      <c r="E99" s="10">
        <v>1707.75</v>
      </c>
      <c r="F99" s="10">
        <v>2631.97</v>
      </c>
      <c r="G99" s="10">
        <v>0</v>
      </c>
      <c r="H99" s="10">
        <v>3092.5</v>
      </c>
      <c r="I99" s="10">
        <v>2050.1000000000004</v>
      </c>
    </row>
    <row r="100" spans="1:9" hidden="1" x14ac:dyDescent="0.2">
      <c r="A100" s="27" t="s">
        <v>102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-18644.38</v>
      </c>
    </row>
    <row r="101" spans="1:9" hidden="1" x14ac:dyDescent="0.2">
      <c r="A101" s="27" t="s">
        <v>103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-1160.53</v>
      </c>
    </row>
    <row r="102" spans="1:9" hidden="1" x14ac:dyDescent="0.2">
      <c r="A102" s="27" t="s">
        <v>104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-6661.13</v>
      </c>
    </row>
    <row r="103" spans="1:9" hidden="1" x14ac:dyDescent="0.2">
      <c r="A103" s="27" t="s">
        <v>105</v>
      </c>
      <c r="B103" s="13">
        <v>0</v>
      </c>
      <c r="C103" s="13">
        <v>0</v>
      </c>
      <c r="D103" s="13">
        <v>0</v>
      </c>
      <c r="E103" s="13">
        <v>0</v>
      </c>
      <c r="F103" s="13">
        <v>1050</v>
      </c>
      <c r="G103" s="13">
        <v>0</v>
      </c>
      <c r="H103" s="13">
        <v>0</v>
      </c>
      <c r="I103" s="13">
        <v>0</v>
      </c>
    </row>
    <row r="104" spans="1:9" hidden="1" x14ac:dyDescent="0.2">
      <c r="A104" s="27" t="s">
        <v>106</v>
      </c>
      <c r="B104" s="13">
        <v>0</v>
      </c>
      <c r="C104" s="13">
        <v>0</v>
      </c>
      <c r="D104" s="13">
        <v>0</v>
      </c>
      <c r="E104" s="13">
        <v>0</v>
      </c>
      <c r="F104" s="13">
        <v>0</v>
      </c>
      <c r="G104" s="13">
        <v>0</v>
      </c>
      <c r="H104" s="13">
        <v>689</v>
      </c>
      <c r="I104" s="13">
        <v>0</v>
      </c>
    </row>
    <row r="105" spans="1:9" hidden="1" x14ac:dyDescent="0.2">
      <c r="A105" s="27" t="s">
        <v>107</v>
      </c>
      <c r="B105" s="13">
        <v>0</v>
      </c>
      <c r="C105" s="13">
        <v>0</v>
      </c>
      <c r="D105" s="13">
        <v>1148.43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</row>
    <row r="106" spans="1:9" hidden="1" x14ac:dyDescent="0.2">
      <c r="A106" s="27" t="s">
        <v>108</v>
      </c>
      <c r="B106" s="13">
        <v>0</v>
      </c>
      <c r="C106" s="13">
        <v>0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18789.400000000001</v>
      </c>
    </row>
    <row r="107" spans="1:9" hidden="1" x14ac:dyDescent="0.2">
      <c r="A107" s="27" t="s">
        <v>109</v>
      </c>
      <c r="B107" s="13">
        <v>0</v>
      </c>
      <c r="C107" s="13">
        <v>0</v>
      </c>
      <c r="D107" s="13">
        <v>0</v>
      </c>
      <c r="E107" s="13">
        <v>0</v>
      </c>
      <c r="F107" s="13">
        <v>0.12</v>
      </c>
      <c r="G107" s="13">
        <v>0</v>
      </c>
      <c r="H107" s="13">
        <v>0.21</v>
      </c>
      <c r="I107" s="13">
        <v>1905.08</v>
      </c>
    </row>
    <row r="108" spans="1:9" hidden="1" x14ac:dyDescent="0.2">
      <c r="A108" s="27" t="s">
        <v>110</v>
      </c>
      <c r="B108" s="13">
        <v>0</v>
      </c>
      <c r="C108" s="13">
        <v>0</v>
      </c>
      <c r="D108" s="13">
        <v>0</v>
      </c>
      <c r="E108" s="13">
        <v>0</v>
      </c>
      <c r="F108" s="13">
        <v>0</v>
      </c>
      <c r="G108" s="13">
        <v>0</v>
      </c>
      <c r="H108" s="13">
        <v>0</v>
      </c>
      <c r="I108" s="13">
        <v>6661.13</v>
      </c>
    </row>
    <row r="109" spans="1:9" hidden="1" x14ac:dyDescent="0.2">
      <c r="A109" s="27" t="s">
        <v>111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1160.53</v>
      </c>
    </row>
    <row r="110" spans="1:9" hidden="1" x14ac:dyDescent="0.2">
      <c r="A110" s="27" t="s">
        <v>112</v>
      </c>
      <c r="B110" s="13">
        <v>0.14000000000000001</v>
      </c>
      <c r="C110" s="13">
        <v>0</v>
      </c>
      <c r="D110" s="13">
        <v>0</v>
      </c>
      <c r="E110" s="13">
        <v>1707.75</v>
      </c>
      <c r="F110" s="13">
        <v>0</v>
      </c>
      <c r="G110" s="13">
        <v>0</v>
      </c>
      <c r="H110" s="13">
        <v>0</v>
      </c>
      <c r="I110" s="13">
        <v>0</v>
      </c>
    </row>
    <row r="111" spans="1:9" hidden="1" x14ac:dyDescent="0.2">
      <c r="A111" s="27" t="s">
        <v>113</v>
      </c>
      <c r="B111" s="13">
        <v>7270.89</v>
      </c>
      <c r="C111" s="13">
        <v>0</v>
      </c>
      <c r="D111" s="13">
        <v>0</v>
      </c>
      <c r="E111" s="13">
        <v>0</v>
      </c>
      <c r="F111" s="13">
        <v>1581.85</v>
      </c>
      <c r="G111" s="13">
        <v>0</v>
      </c>
      <c r="H111" s="13">
        <v>2403.29</v>
      </c>
      <c r="I111" s="13">
        <v>0</v>
      </c>
    </row>
    <row r="112" spans="1:9" hidden="1" x14ac:dyDescent="0.2">
      <c r="A112" s="16" t="s">
        <v>114</v>
      </c>
      <c r="B112" s="17">
        <f t="shared" ref="B112:I112" si="24">SUM(B100:B111)</f>
        <v>7271.0300000000007</v>
      </c>
      <c r="C112" s="17">
        <f t="shared" si="24"/>
        <v>0</v>
      </c>
      <c r="D112" s="17">
        <f t="shared" si="24"/>
        <v>1148.43</v>
      </c>
      <c r="E112" s="17">
        <f t="shared" si="24"/>
        <v>1707.75</v>
      </c>
      <c r="F112" s="17">
        <f t="shared" si="24"/>
        <v>2631.97</v>
      </c>
      <c r="G112" s="17">
        <f t="shared" si="24"/>
        <v>0</v>
      </c>
      <c r="H112" s="17">
        <f t="shared" si="24"/>
        <v>3092.5</v>
      </c>
      <c r="I112" s="17">
        <f t="shared" si="24"/>
        <v>2050.1000000000004</v>
      </c>
    </row>
    <row r="113" spans="1:9" x14ac:dyDescent="0.2">
      <c r="A113" s="19" t="s">
        <v>115</v>
      </c>
      <c r="B113" s="20">
        <f t="shared" ref="B113:I113" si="25">0+0+0+B95+0+B98+0+B112</f>
        <v>12005.77</v>
      </c>
      <c r="C113" s="20">
        <f t="shared" si="25"/>
        <v>498.38000000000011</v>
      </c>
      <c r="D113" s="20">
        <f t="shared" si="25"/>
        <v>26209.59</v>
      </c>
      <c r="E113" s="20">
        <f t="shared" si="25"/>
        <v>202508.55</v>
      </c>
      <c r="F113" s="20">
        <f t="shared" si="25"/>
        <v>203413.81</v>
      </c>
      <c r="G113" s="20">
        <f t="shared" si="25"/>
        <v>200826.8</v>
      </c>
      <c r="H113" s="20">
        <f t="shared" si="25"/>
        <v>4003.2999999999993</v>
      </c>
      <c r="I113" s="20">
        <f t="shared" si="25"/>
        <v>2050.0999999999995</v>
      </c>
    </row>
    <row r="114" spans="1:9" x14ac:dyDescent="0.2">
      <c r="A114" s="21"/>
      <c r="B114" s="10"/>
      <c r="C114" s="10"/>
      <c r="D114" s="10"/>
      <c r="E114" s="10"/>
      <c r="F114" s="10"/>
      <c r="G114" s="10"/>
      <c r="H114" s="10"/>
      <c r="I114" s="10"/>
    </row>
    <row r="115" spans="1:9" ht="12" thickBot="1" x14ac:dyDescent="0.25">
      <c r="A115" s="21"/>
      <c r="B115" s="10"/>
      <c r="C115" s="10"/>
      <c r="D115" s="10"/>
      <c r="E115" s="10"/>
      <c r="F115" s="10"/>
      <c r="G115" s="10"/>
      <c r="H115" s="10"/>
      <c r="I115" s="10"/>
    </row>
    <row r="116" spans="1:9" ht="12.75" thickTop="1" x14ac:dyDescent="0.2">
      <c r="A116" s="24" t="s">
        <v>116</v>
      </c>
      <c r="B116" s="25">
        <f t="shared" ref="B116:I116" si="26">B77+B78+B90+B91+B113+B114+0+B115+0</f>
        <v>453689.929999999</v>
      </c>
      <c r="C116" s="25">
        <f t="shared" si="26"/>
        <v>479857.45999999903</v>
      </c>
      <c r="D116" s="25">
        <f t="shared" si="26"/>
        <v>556625.21999999892</v>
      </c>
      <c r="E116" s="25">
        <f t="shared" si="26"/>
        <v>733361.15999999898</v>
      </c>
      <c r="F116" s="25">
        <f t="shared" si="26"/>
        <v>745135.13999999897</v>
      </c>
      <c r="G116" s="25">
        <f t="shared" si="26"/>
        <v>745376.8600000001</v>
      </c>
      <c r="H116" s="25">
        <f t="shared" si="26"/>
        <v>557306.84999999905</v>
      </c>
      <c r="I116" s="25">
        <f t="shared" si="26"/>
        <v>569102.62999999896</v>
      </c>
    </row>
  </sheetData>
  <mergeCells count="3">
    <mergeCell ref="A1:I1"/>
    <mergeCell ref="A2:I2"/>
    <mergeCell ref="A3:I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PGBalanceSheetbyEntityand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2023-08-08T19:13:16Z</dcterms:created>
  <dcterms:modified xsi:type="dcterms:W3CDTF">2023-08-08T19:13:51Z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