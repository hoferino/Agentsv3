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SEGRA-DE\"/>
    </mc:Choice>
  </mc:AlternateContent>
  <xr:revisionPtr revIDLastSave="0" documentId="13_ncr:40009_{9AE42DCC-83B0-45F6-A545-67EE9F0BFAEF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132" i="1" l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CH95" i="1"/>
  <c r="CG95" i="1"/>
  <c r="CF95" i="1"/>
  <c r="CF101" i="1" s="1"/>
  <c r="CE95" i="1"/>
  <c r="CE101" i="1" s="1"/>
  <c r="CD95" i="1"/>
  <c r="CD101" i="1" s="1"/>
  <c r="CC95" i="1"/>
  <c r="CB95" i="1"/>
  <c r="CA95" i="1"/>
  <c r="BZ95" i="1"/>
  <c r="BY95" i="1"/>
  <c r="BX95" i="1"/>
  <c r="BX101" i="1" s="1"/>
  <c r="BW95" i="1"/>
  <c r="BW101" i="1" s="1"/>
  <c r="BV95" i="1"/>
  <c r="BV101" i="1" s="1"/>
  <c r="BU95" i="1"/>
  <c r="BT95" i="1"/>
  <c r="BS95" i="1"/>
  <c r="BR95" i="1"/>
  <c r="BQ95" i="1"/>
  <c r="BP95" i="1"/>
  <c r="BP101" i="1" s="1"/>
  <c r="BO95" i="1"/>
  <c r="BO101" i="1" s="1"/>
  <c r="BN95" i="1"/>
  <c r="BN101" i="1" s="1"/>
  <c r="BM95" i="1"/>
  <c r="BL95" i="1"/>
  <c r="BK95" i="1"/>
  <c r="BJ95" i="1"/>
  <c r="BI95" i="1"/>
  <c r="BH95" i="1"/>
  <c r="BH101" i="1" s="1"/>
  <c r="BG95" i="1"/>
  <c r="BG101" i="1" s="1"/>
  <c r="BF95" i="1"/>
  <c r="BF101" i="1" s="1"/>
  <c r="BE95" i="1"/>
  <c r="BD95" i="1"/>
  <c r="BC95" i="1"/>
  <c r="BB95" i="1"/>
  <c r="BA95" i="1"/>
  <c r="AZ95" i="1"/>
  <c r="AZ101" i="1" s="1"/>
  <c r="AY95" i="1"/>
  <c r="AY101" i="1" s="1"/>
  <c r="AX95" i="1"/>
  <c r="AX101" i="1" s="1"/>
  <c r="AW95" i="1"/>
  <c r="AV95" i="1"/>
  <c r="AU95" i="1"/>
  <c r="AT95" i="1"/>
  <c r="AS95" i="1"/>
  <c r="AR95" i="1"/>
  <c r="AR101" i="1" s="1"/>
  <c r="AQ95" i="1"/>
  <c r="AQ101" i="1" s="1"/>
  <c r="AP95" i="1"/>
  <c r="AP101" i="1" s="1"/>
  <c r="AO95" i="1"/>
  <c r="AN95" i="1"/>
  <c r="AN101" i="1" s="1"/>
  <c r="AM95" i="1"/>
  <c r="AL95" i="1"/>
  <c r="AK95" i="1"/>
  <c r="AJ95" i="1"/>
  <c r="AJ101" i="1" s="1"/>
  <c r="AI95" i="1"/>
  <c r="AI101" i="1" s="1"/>
  <c r="AH95" i="1"/>
  <c r="AH101" i="1" s="1"/>
  <c r="AG95" i="1"/>
  <c r="AF95" i="1"/>
  <c r="AF101" i="1" s="1"/>
  <c r="AE95" i="1"/>
  <c r="AD95" i="1"/>
  <c r="AC95" i="1"/>
  <c r="AB95" i="1"/>
  <c r="AB101" i="1" s="1"/>
  <c r="AA95" i="1"/>
  <c r="AA101" i="1" s="1"/>
  <c r="Z95" i="1"/>
  <c r="Z101" i="1" s="1"/>
  <c r="Y95" i="1"/>
  <c r="X95" i="1"/>
  <c r="X101" i="1" s="1"/>
  <c r="W95" i="1"/>
  <c r="V95" i="1"/>
  <c r="U95" i="1"/>
  <c r="T95" i="1"/>
  <c r="T101" i="1" s="1"/>
  <c r="S95" i="1"/>
  <c r="S101" i="1" s="1"/>
  <c r="R95" i="1"/>
  <c r="R101" i="1" s="1"/>
  <c r="Q95" i="1"/>
  <c r="P95" i="1"/>
  <c r="O95" i="1"/>
  <c r="N95" i="1"/>
  <c r="M95" i="1"/>
  <c r="L95" i="1"/>
  <c r="L101" i="1" s="1"/>
  <c r="K95" i="1"/>
  <c r="K101" i="1" s="1"/>
  <c r="J95" i="1"/>
  <c r="J101" i="1" s="1"/>
  <c r="I95" i="1"/>
  <c r="H95" i="1"/>
  <c r="G95" i="1"/>
  <c r="F95" i="1"/>
  <c r="E95" i="1"/>
  <c r="D95" i="1"/>
  <c r="D101" i="1" s="1"/>
  <c r="C95" i="1"/>
  <c r="C101" i="1" s="1"/>
  <c r="B95" i="1"/>
  <c r="B101" i="1" s="1"/>
  <c r="CH86" i="1"/>
  <c r="CG86" i="1"/>
  <c r="CF86" i="1"/>
  <c r="CE86" i="1"/>
  <c r="CD86" i="1"/>
  <c r="CC86" i="1"/>
  <c r="CB86" i="1"/>
  <c r="CA86" i="1"/>
  <c r="BZ86" i="1"/>
  <c r="BY86" i="1"/>
  <c r="BX86" i="1"/>
  <c r="BX88" i="1" s="1"/>
  <c r="BW86" i="1"/>
  <c r="BV86" i="1"/>
  <c r="BU86" i="1"/>
  <c r="BT86" i="1"/>
  <c r="BS86" i="1"/>
  <c r="BR86" i="1"/>
  <c r="BQ86" i="1"/>
  <c r="BP86" i="1"/>
  <c r="BP88" i="1" s="1"/>
  <c r="BO86" i="1"/>
  <c r="BN86" i="1"/>
  <c r="BM86" i="1"/>
  <c r="BL86" i="1"/>
  <c r="BK86" i="1"/>
  <c r="BJ86" i="1"/>
  <c r="BI86" i="1"/>
  <c r="BH86" i="1"/>
  <c r="BH88" i="1" s="1"/>
  <c r="BG86" i="1"/>
  <c r="BF86" i="1"/>
  <c r="BE86" i="1"/>
  <c r="BD86" i="1"/>
  <c r="BC86" i="1"/>
  <c r="BB86" i="1"/>
  <c r="BA86" i="1"/>
  <c r="AZ86" i="1"/>
  <c r="AZ88" i="1" s="1"/>
  <c r="AY86" i="1"/>
  <c r="AX86" i="1"/>
  <c r="AW86" i="1"/>
  <c r="AV86" i="1"/>
  <c r="AU86" i="1"/>
  <c r="AT86" i="1"/>
  <c r="AS86" i="1"/>
  <c r="AR86" i="1"/>
  <c r="AR88" i="1" s="1"/>
  <c r="AQ86" i="1"/>
  <c r="AP86" i="1"/>
  <c r="AO86" i="1"/>
  <c r="AN86" i="1"/>
  <c r="AM86" i="1"/>
  <c r="AL86" i="1"/>
  <c r="AK86" i="1"/>
  <c r="AJ86" i="1"/>
  <c r="AJ88" i="1" s="1"/>
  <c r="AI86" i="1"/>
  <c r="AH86" i="1"/>
  <c r="AG86" i="1"/>
  <c r="AF86" i="1"/>
  <c r="AE86" i="1"/>
  <c r="AD86" i="1"/>
  <c r="AC86" i="1"/>
  <c r="AB86" i="1"/>
  <c r="AB88" i="1" s="1"/>
  <c r="AA86" i="1"/>
  <c r="Z86" i="1"/>
  <c r="Y86" i="1"/>
  <c r="X86" i="1"/>
  <c r="W86" i="1"/>
  <c r="V86" i="1"/>
  <c r="U86" i="1"/>
  <c r="T86" i="1"/>
  <c r="T88" i="1" s="1"/>
  <c r="S86" i="1"/>
  <c r="R86" i="1"/>
  <c r="Q86" i="1"/>
  <c r="P86" i="1"/>
  <c r="O86" i="1"/>
  <c r="N86" i="1"/>
  <c r="M86" i="1"/>
  <c r="L86" i="1"/>
  <c r="L88" i="1" s="1"/>
  <c r="K86" i="1"/>
  <c r="J86" i="1"/>
  <c r="I86" i="1"/>
  <c r="H86" i="1"/>
  <c r="G86" i="1"/>
  <c r="F86" i="1"/>
  <c r="E86" i="1"/>
  <c r="D86" i="1"/>
  <c r="D88" i="1" s="1"/>
  <c r="C86" i="1"/>
  <c r="B86" i="1"/>
  <c r="CH85" i="1"/>
  <c r="CG85" i="1"/>
  <c r="CF85" i="1"/>
  <c r="CE85" i="1"/>
  <c r="CD85" i="1"/>
  <c r="CC85" i="1"/>
  <c r="CC88" i="1" s="1"/>
  <c r="CB85" i="1"/>
  <c r="CA85" i="1"/>
  <c r="CA88" i="1" s="1"/>
  <c r="BZ85" i="1"/>
  <c r="BY85" i="1"/>
  <c r="BX85" i="1"/>
  <c r="BW85" i="1"/>
  <c r="BV85" i="1"/>
  <c r="BU85" i="1"/>
  <c r="BU88" i="1" s="1"/>
  <c r="BT85" i="1"/>
  <c r="BS85" i="1"/>
  <c r="BS88" i="1" s="1"/>
  <c r="BR85" i="1"/>
  <c r="BQ85" i="1"/>
  <c r="BP85" i="1"/>
  <c r="BO85" i="1"/>
  <c r="BN85" i="1"/>
  <c r="BM85" i="1"/>
  <c r="BM88" i="1" s="1"/>
  <c r="BL85" i="1"/>
  <c r="BK85" i="1"/>
  <c r="BK88" i="1" s="1"/>
  <c r="BJ85" i="1"/>
  <c r="BI85" i="1"/>
  <c r="BH85" i="1"/>
  <c r="BG85" i="1"/>
  <c r="BF85" i="1"/>
  <c r="BE85" i="1"/>
  <c r="BE88" i="1" s="1"/>
  <c r="BD85" i="1"/>
  <c r="BC85" i="1"/>
  <c r="BC88" i="1" s="1"/>
  <c r="BB85" i="1"/>
  <c r="BA85" i="1"/>
  <c r="AZ85" i="1"/>
  <c r="AY85" i="1"/>
  <c r="AX85" i="1"/>
  <c r="AW85" i="1"/>
  <c r="AW88" i="1" s="1"/>
  <c r="AV85" i="1"/>
  <c r="AU85" i="1"/>
  <c r="AU88" i="1" s="1"/>
  <c r="AT85" i="1"/>
  <c r="AS85" i="1"/>
  <c r="AR85" i="1"/>
  <c r="AQ85" i="1"/>
  <c r="AP85" i="1"/>
  <c r="AO85" i="1"/>
  <c r="AO88" i="1" s="1"/>
  <c r="AN85" i="1"/>
  <c r="AM85" i="1"/>
  <c r="AM88" i="1" s="1"/>
  <c r="AL85" i="1"/>
  <c r="AK85" i="1"/>
  <c r="AJ85" i="1"/>
  <c r="AI85" i="1"/>
  <c r="AH85" i="1"/>
  <c r="AG85" i="1"/>
  <c r="AG88" i="1" s="1"/>
  <c r="AF85" i="1"/>
  <c r="AE85" i="1"/>
  <c r="AE88" i="1" s="1"/>
  <c r="AD85" i="1"/>
  <c r="AC85" i="1"/>
  <c r="AB85" i="1"/>
  <c r="AA85" i="1"/>
  <c r="Z85" i="1"/>
  <c r="Y85" i="1"/>
  <c r="Y88" i="1" s="1"/>
  <c r="X85" i="1"/>
  <c r="W85" i="1"/>
  <c r="W88" i="1" s="1"/>
  <c r="V85" i="1"/>
  <c r="U85" i="1"/>
  <c r="T85" i="1"/>
  <c r="S85" i="1"/>
  <c r="R85" i="1"/>
  <c r="Q85" i="1"/>
  <c r="Q88" i="1" s="1"/>
  <c r="P85" i="1"/>
  <c r="O85" i="1"/>
  <c r="O88" i="1" s="1"/>
  <c r="N85" i="1"/>
  <c r="M85" i="1"/>
  <c r="L85" i="1"/>
  <c r="K85" i="1"/>
  <c r="J85" i="1"/>
  <c r="I85" i="1"/>
  <c r="I88" i="1" s="1"/>
  <c r="H85" i="1"/>
  <c r="G85" i="1"/>
  <c r="G88" i="1" s="1"/>
  <c r="F85" i="1"/>
  <c r="E85" i="1"/>
  <c r="D85" i="1"/>
  <c r="C85" i="1"/>
  <c r="B85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CH72" i="1"/>
  <c r="CH73" i="1" s="1"/>
  <c r="CG72" i="1"/>
  <c r="CG73" i="1" s="1"/>
  <c r="CF72" i="1"/>
  <c r="CF73" i="1" s="1"/>
  <c r="CE72" i="1"/>
  <c r="CE73" i="1" s="1"/>
  <c r="CD72" i="1"/>
  <c r="CD73" i="1" s="1"/>
  <c r="CC72" i="1"/>
  <c r="CC73" i="1" s="1"/>
  <c r="CB72" i="1"/>
  <c r="CB73" i="1" s="1"/>
  <c r="CA72" i="1"/>
  <c r="CA73" i="1" s="1"/>
  <c r="BZ72" i="1"/>
  <c r="BZ73" i="1" s="1"/>
  <c r="BY72" i="1"/>
  <c r="BY73" i="1" s="1"/>
  <c r="BX72" i="1"/>
  <c r="BX73" i="1" s="1"/>
  <c r="BW72" i="1"/>
  <c r="BW73" i="1" s="1"/>
  <c r="BV72" i="1"/>
  <c r="BV73" i="1" s="1"/>
  <c r="BU72" i="1"/>
  <c r="BU73" i="1" s="1"/>
  <c r="BT72" i="1"/>
  <c r="BT73" i="1" s="1"/>
  <c r="BS72" i="1"/>
  <c r="BS73" i="1" s="1"/>
  <c r="BR72" i="1"/>
  <c r="BR73" i="1" s="1"/>
  <c r="BQ72" i="1"/>
  <c r="BQ73" i="1" s="1"/>
  <c r="BP72" i="1"/>
  <c r="BP73" i="1" s="1"/>
  <c r="BO72" i="1"/>
  <c r="BO73" i="1" s="1"/>
  <c r="BN72" i="1"/>
  <c r="BN73" i="1" s="1"/>
  <c r="BM72" i="1"/>
  <c r="BM73" i="1" s="1"/>
  <c r="BL72" i="1"/>
  <c r="BL73" i="1" s="1"/>
  <c r="BK72" i="1"/>
  <c r="BK73" i="1" s="1"/>
  <c r="BJ72" i="1"/>
  <c r="BJ73" i="1" s="1"/>
  <c r="BI72" i="1"/>
  <c r="BI73" i="1" s="1"/>
  <c r="BH72" i="1"/>
  <c r="BH73" i="1" s="1"/>
  <c r="BG72" i="1"/>
  <c r="BG73" i="1" s="1"/>
  <c r="BF72" i="1"/>
  <c r="BF73" i="1" s="1"/>
  <c r="BE72" i="1"/>
  <c r="BE73" i="1" s="1"/>
  <c r="BD72" i="1"/>
  <c r="BD73" i="1" s="1"/>
  <c r="BC72" i="1"/>
  <c r="BC73" i="1" s="1"/>
  <c r="BB72" i="1"/>
  <c r="BB73" i="1" s="1"/>
  <c r="BA72" i="1"/>
  <c r="BA73" i="1" s="1"/>
  <c r="AZ72" i="1"/>
  <c r="AZ73" i="1" s="1"/>
  <c r="AY72" i="1"/>
  <c r="AY73" i="1" s="1"/>
  <c r="AX72" i="1"/>
  <c r="AX73" i="1" s="1"/>
  <c r="AW72" i="1"/>
  <c r="AW73" i="1" s="1"/>
  <c r="AV72" i="1"/>
  <c r="AV73" i="1" s="1"/>
  <c r="AU72" i="1"/>
  <c r="AU73" i="1" s="1"/>
  <c r="AT72" i="1"/>
  <c r="AT73" i="1" s="1"/>
  <c r="AS72" i="1"/>
  <c r="AS73" i="1" s="1"/>
  <c r="AR72" i="1"/>
  <c r="AR73" i="1" s="1"/>
  <c r="AQ72" i="1"/>
  <c r="AQ73" i="1" s="1"/>
  <c r="AP72" i="1"/>
  <c r="AP73" i="1" s="1"/>
  <c r="AO72" i="1"/>
  <c r="AO73" i="1" s="1"/>
  <c r="AN72" i="1"/>
  <c r="AN73" i="1" s="1"/>
  <c r="AM72" i="1"/>
  <c r="AM73" i="1" s="1"/>
  <c r="AL72" i="1"/>
  <c r="AL73" i="1" s="1"/>
  <c r="AK72" i="1"/>
  <c r="AK73" i="1" s="1"/>
  <c r="AJ72" i="1"/>
  <c r="AJ73" i="1" s="1"/>
  <c r="AI72" i="1"/>
  <c r="AI73" i="1" s="1"/>
  <c r="AH72" i="1"/>
  <c r="AH73" i="1" s="1"/>
  <c r="AG72" i="1"/>
  <c r="AG73" i="1" s="1"/>
  <c r="AF72" i="1"/>
  <c r="AF73" i="1" s="1"/>
  <c r="AE72" i="1"/>
  <c r="AE73" i="1" s="1"/>
  <c r="AD72" i="1"/>
  <c r="AD73" i="1" s="1"/>
  <c r="AC72" i="1"/>
  <c r="AC73" i="1" s="1"/>
  <c r="AB72" i="1"/>
  <c r="AB73" i="1" s="1"/>
  <c r="AA72" i="1"/>
  <c r="AA73" i="1" s="1"/>
  <c r="Z72" i="1"/>
  <c r="Z73" i="1" s="1"/>
  <c r="Y72" i="1"/>
  <c r="Y73" i="1" s="1"/>
  <c r="X72" i="1"/>
  <c r="X73" i="1" s="1"/>
  <c r="W72" i="1"/>
  <c r="W73" i="1" s="1"/>
  <c r="V72" i="1"/>
  <c r="V73" i="1" s="1"/>
  <c r="U72" i="1"/>
  <c r="U73" i="1" s="1"/>
  <c r="T72" i="1"/>
  <c r="T73" i="1" s="1"/>
  <c r="S72" i="1"/>
  <c r="S73" i="1" s="1"/>
  <c r="R72" i="1"/>
  <c r="R73" i="1" s="1"/>
  <c r="Q72" i="1"/>
  <c r="Q73" i="1" s="1"/>
  <c r="P72" i="1"/>
  <c r="P73" i="1" s="1"/>
  <c r="O72" i="1"/>
  <c r="O73" i="1" s="1"/>
  <c r="N72" i="1"/>
  <c r="N73" i="1" s="1"/>
  <c r="M72" i="1"/>
  <c r="M73" i="1" s="1"/>
  <c r="L72" i="1"/>
  <c r="L73" i="1" s="1"/>
  <c r="K72" i="1"/>
  <c r="K73" i="1" s="1"/>
  <c r="J72" i="1"/>
  <c r="J73" i="1" s="1"/>
  <c r="I72" i="1"/>
  <c r="I73" i="1" s="1"/>
  <c r="H72" i="1"/>
  <c r="H73" i="1" s="1"/>
  <c r="G72" i="1"/>
  <c r="G73" i="1" s="1"/>
  <c r="F72" i="1"/>
  <c r="F73" i="1" s="1"/>
  <c r="E72" i="1"/>
  <c r="E73" i="1" s="1"/>
  <c r="D72" i="1"/>
  <c r="D73" i="1" s="1"/>
  <c r="C72" i="1"/>
  <c r="C73" i="1" s="1"/>
  <c r="B72" i="1"/>
  <c r="B73" i="1" s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J65" i="1" s="1"/>
  <c r="I55" i="1"/>
  <c r="H55" i="1"/>
  <c r="G55" i="1"/>
  <c r="F55" i="1"/>
  <c r="E55" i="1"/>
  <c r="D55" i="1"/>
  <c r="C55" i="1"/>
  <c r="B55" i="1"/>
  <c r="B65" i="1" s="1"/>
  <c r="CH49" i="1"/>
  <c r="CH50" i="1" s="1"/>
  <c r="CG49" i="1"/>
  <c r="CG50" i="1" s="1"/>
  <c r="CF49" i="1"/>
  <c r="CF50" i="1" s="1"/>
  <c r="CE49" i="1"/>
  <c r="CE50" i="1" s="1"/>
  <c r="CD49" i="1"/>
  <c r="CD50" i="1" s="1"/>
  <c r="CC49" i="1"/>
  <c r="CC50" i="1" s="1"/>
  <c r="CB49" i="1"/>
  <c r="CB50" i="1" s="1"/>
  <c r="CA49" i="1"/>
  <c r="CA50" i="1" s="1"/>
  <c r="BZ49" i="1"/>
  <c r="BZ50" i="1" s="1"/>
  <c r="BY49" i="1"/>
  <c r="BY50" i="1" s="1"/>
  <c r="BX49" i="1"/>
  <c r="BX50" i="1" s="1"/>
  <c r="BW49" i="1"/>
  <c r="BW50" i="1" s="1"/>
  <c r="BV49" i="1"/>
  <c r="BV50" i="1" s="1"/>
  <c r="BU49" i="1"/>
  <c r="BU50" i="1" s="1"/>
  <c r="BT49" i="1"/>
  <c r="BT50" i="1" s="1"/>
  <c r="BS49" i="1"/>
  <c r="BS50" i="1" s="1"/>
  <c r="BR49" i="1"/>
  <c r="BR50" i="1" s="1"/>
  <c r="BQ49" i="1"/>
  <c r="BQ50" i="1" s="1"/>
  <c r="BP49" i="1"/>
  <c r="BP50" i="1" s="1"/>
  <c r="BO49" i="1"/>
  <c r="BO50" i="1" s="1"/>
  <c r="BN49" i="1"/>
  <c r="BN50" i="1" s="1"/>
  <c r="BM49" i="1"/>
  <c r="BM50" i="1" s="1"/>
  <c r="BL49" i="1"/>
  <c r="BL50" i="1" s="1"/>
  <c r="BK49" i="1"/>
  <c r="BK50" i="1" s="1"/>
  <c r="BJ49" i="1"/>
  <c r="BJ50" i="1" s="1"/>
  <c r="BI49" i="1"/>
  <c r="BI50" i="1" s="1"/>
  <c r="BH49" i="1"/>
  <c r="BH50" i="1" s="1"/>
  <c r="BG49" i="1"/>
  <c r="BG50" i="1" s="1"/>
  <c r="BF49" i="1"/>
  <c r="BF50" i="1" s="1"/>
  <c r="BE49" i="1"/>
  <c r="BE50" i="1" s="1"/>
  <c r="BD49" i="1"/>
  <c r="BD50" i="1" s="1"/>
  <c r="BC49" i="1"/>
  <c r="BC50" i="1" s="1"/>
  <c r="BB49" i="1"/>
  <c r="BB50" i="1" s="1"/>
  <c r="BA49" i="1"/>
  <c r="BA50" i="1" s="1"/>
  <c r="AZ49" i="1"/>
  <c r="AZ50" i="1" s="1"/>
  <c r="AY49" i="1"/>
  <c r="AY50" i="1" s="1"/>
  <c r="AX49" i="1"/>
  <c r="AX50" i="1" s="1"/>
  <c r="AW49" i="1"/>
  <c r="AW50" i="1" s="1"/>
  <c r="AV49" i="1"/>
  <c r="AV50" i="1" s="1"/>
  <c r="AU49" i="1"/>
  <c r="AU50" i="1" s="1"/>
  <c r="AT49" i="1"/>
  <c r="AT50" i="1" s="1"/>
  <c r="AS49" i="1"/>
  <c r="AS50" i="1" s="1"/>
  <c r="AR49" i="1"/>
  <c r="AR50" i="1" s="1"/>
  <c r="AQ49" i="1"/>
  <c r="AQ50" i="1" s="1"/>
  <c r="AP49" i="1"/>
  <c r="AP50" i="1" s="1"/>
  <c r="AO49" i="1"/>
  <c r="AO50" i="1" s="1"/>
  <c r="AN49" i="1"/>
  <c r="AN50" i="1" s="1"/>
  <c r="AM49" i="1"/>
  <c r="AM50" i="1" s="1"/>
  <c r="AL49" i="1"/>
  <c r="AL50" i="1" s="1"/>
  <c r="AK49" i="1"/>
  <c r="AK50" i="1" s="1"/>
  <c r="AJ49" i="1"/>
  <c r="AJ50" i="1" s="1"/>
  <c r="AI49" i="1"/>
  <c r="AI50" i="1" s="1"/>
  <c r="AH49" i="1"/>
  <c r="AH50" i="1" s="1"/>
  <c r="AG49" i="1"/>
  <c r="AG50" i="1" s="1"/>
  <c r="AF49" i="1"/>
  <c r="AF50" i="1" s="1"/>
  <c r="AE49" i="1"/>
  <c r="AE50" i="1" s="1"/>
  <c r="AD49" i="1"/>
  <c r="AD50" i="1" s="1"/>
  <c r="AC49" i="1"/>
  <c r="AC50" i="1" s="1"/>
  <c r="AB49" i="1"/>
  <c r="AB50" i="1" s="1"/>
  <c r="AA49" i="1"/>
  <c r="AA50" i="1" s="1"/>
  <c r="Z49" i="1"/>
  <c r="Z50" i="1" s="1"/>
  <c r="Y49" i="1"/>
  <c r="Y50" i="1" s="1"/>
  <c r="X49" i="1"/>
  <c r="X50" i="1" s="1"/>
  <c r="W49" i="1"/>
  <c r="W50" i="1" s="1"/>
  <c r="V49" i="1"/>
  <c r="V50" i="1" s="1"/>
  <c r="U49" i="1"/>
  <c r="U50" i="1" s="1"/>
  <c r="T49" i="1"/>
  <c r="T50" i="1" s="1"/>
  <c r="S49" i="1"/>
  <c r="S50" i="1" s="1"/>
  <c r="R49" i="1"/>
  <c r="R50" i="1" s="1"/>
  <c r="Q49" i="1"/>
  <c r="Q50" i="1" s="1"/>
  <c r="P49" i="1"/>
  <c r="P50" i="1" s="1"/>
  <c r="O49" i="1"/>
  <c r="O50" i="1" s="1"/>
  <c r="N49" i="1"/>
  <c r="N50" i="1" s="1"/>
  <c r="M49" i="1"/>
  <c r="M50" i="1" s="1"/>
  <c r="L49" i="1"/>
  <c r="L50" i="1" s="1"/>
  <c r="K49" i="1"/>
  <c r="K50" i="1" s="1"/>
  <c r="J49" i="1"/>
  <c r="J50" i="1" s="1"/>
  <c r="I49" i="1"/>
  <c r="I50" i="1" s="1"/>
  <c r="H49" i="1"/>
  <c r="H50" i="1" s="1"/>
  <c r="G49" i="1"/>
  <c r="G50" i="1" s="1"/>
  <c r="F49" i="1"/>
  <c r="F50" i="1" s="1"/>
  <c r="E49" i="1"/>
  <c r="E50" i="1" s="1"/>
  <c r="D49" i="1"/>
  <c r="D50" i="1" s="1"/>
  <c r="C49" i="1"/>
  <c r="C50" i="1" s="1"/>
  <c r="B49" i="1"/>
  <c r="B50" i="1" s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CH38" i="1"/>
  <c r="CH42" i="1" s="1"/>
  <c r="CG38" i="1"/>
  <c r="CF38" i="1"/>
  <c r="CE38" i="1"/>
  <c r="CD38" i="1"/>
  <c r="CC38" i="1"/>
  <c r="CC42" i="1" s="1"/>
  <c r="CB38" i="1"/>
  <c r="CA38" i="1"/>
  <c r="CA42" i="1" s="1"/>
  <c r="BZ38" i="1"/>
  <c r="BZ42" i="1" s="1"/>
  <c r="BY38" i="1"/>
  <c r="BX38" i="1"/>
  <c r="BW38" i="1"/>
  <c r="BV38" i="1"/>
  <c r="BU38" i="1"/>
  <c r="BU42" i="1" s="1"/>
  <c r="BT38" i="1"/>
  <c r="BS38" i="1"/>
  <c r="BS42" i="1" s="1"/>
  <c r="BR38" i="1"/>
  <c r="BR42" i="1" s="1"/>
  <c r="BQ38" i="1"/>
  <c r="BP38" i="1"/>
  <c r="BO38" i="1"/>
  <c r="BN38" i="1"/>
  <c r="BM38" i="1"/>
  <c r="BM42" i="1" s="1"/>
  <c r="BL38" i="1"/>
  <c r="BK38" i="1"/>
  <c r="BK42" i="1" s="1"/>
  <c r="BJ38" i="1"/>
  <c r="BJ42" i="1" s="1"/>
  <c r="BI38" i="1"/>
  <c r="BH38" i="1"/>
  <c r="BG38" i="1"/>
  <c r="BF38" i="1"/>
  <c r="BE38" i="1"/>
  <c r="BE42" i="1" s="1"/>
  <c r="BD38" i="1"/>
  <c r="BC38" i="1"/>
  <c r="BC42" i="1" s="1"/>
  <c r="BB38" i="1"/>
  <c r="BB42" i="1" s="1"/>
  <c r="BA38" i="1"/>
  <c r="AZ38" i="1"/>
  <c r="AY38" i="1"/>
  <c r="AX38" i="1"/>
  <c r="AW38" i="1"/>
  <c r="AW42" i="1" s="1"/>
  <c r="AV38" i="1"/>
  <c r="AU38" i="1"/>
  <c r="AU42" i="1" s="1"/>
  <c r="AT38" i="1"/>
  <c r="AT42" i="1" s="1"/>
  <c r="AS38" i="1"/>
  <c r="AR38" i="1"/>
  <c r="AQ38" i="1"/>
  <c r="AP38" i="1"/>
  <c r="AO38" i="1"/>
  <c r="AO42" i="1" s="1"/>
  <c r="AN38" i="1"/>
  <c r="AM38" i="1"/>
  <c r="AM42" i="1" s="1"/>
  <c r="AL38" i="1"/>
  <c r="AL42" i="1" s="1"/>
  <c r="AK38" i="1"/>
  <c r="AJ38" i="1"/>
  <c r="AI38" i="1"/>
  <c r="AH38" i="1"/>
  <c r="AG38" i="1"/>
  <c r="AG42" i="1" s="1"/>
  <c r="AF38" i="1"/>
  <c r="AE38" i="1"/>
  <c r="AE42" i="1" s="1"/>
  <c r="AD38" i="1"/>
  <c r="AD42" i="1" s="1"/>
  <c r="AC38" i="1"/>
  <c r="AB38" i="1"/>
  <c r="AA38" i="1"/>
  <c r="Z38" i="1"/>
  <c r="Y38" i="1"/>
  <c r="Y42" i="1" s="1"/>
  <c r="X38" i="1"/>
  <c r="W38" i="1"/>
  <c r="W42" i="1" s="1"/>
  <c r="V38" i="1"/>
  <c r="V42" i="1" s="1"/>
  <c r="U38" i="1"/>
  <c r="T38" i="1"/>
  <c r="S38" i="1"/>
  <c r="R38" i="1"/>
  <c r="Q38" i="1"/>
  <c r="Q42" i="1" s="1"/>
  <c r="P38" i="1"/>
  <c r="O38" i="1"/>
  <c r="O42" i="1" s="1"/>
  <c r="N38" i="1"/>
  <c r="N42" i="1" s="1"/>
  <c r="M38" i="1"/>
  <c r="L38" i="1"/>
  <c r="K38" i="1"/>
  <c r="J38" i="1"/>
  <c r="I38" i="1"/>
  <c r="I42" i="1" s="1"/>
  <c r="H38" i="1"/>
  <c r="G38" i="1"/>
  <c r="G42" i="1" s="1"/>
  <c r="F38" i="1"/>
  <c r="F42" i="1" s="1"/>
  <c r="E38" i="1"/>
  <c r="D38" i="1"/>
  <c r="C38" i="1"/>
  <c r="B38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CH20" i="1"/>
  <c r="CG20" i="1"/>
  <c r="CF20" i="1"/>
  <c r="CF34" i="1" s="1"/>
  <c r="CE20" i="1"/>
  <c r="CD20" i="1"/>
  <c r="CC20" i="1"/>
  <c r="CB20" i="1"/>
  <c r="CA20" i="1"/>
  <c r="BZ20" i="1"/>
  <c r="BY20" i="1"/>
  <c r="BX20" i="1"/>
  <c r="BX34" i="1" s="1"/>
  <c r="BW20" i="1"/>
  <c r="BV20" i="1"/>
  <c r="BU20" i="1"/>
  <c r="BT20" i="1"/>
  <c r="BT34" i="1" s="1"/>
  <c r="BS20" i="1"/>
  <c r="BR20" i="1"/>
  <c r="BQ20" i="1"/>
  <c r="BP20" i="1"/>
  <c r="BP34" i="1" s="1"/>
  <c r="BO20" i="1"/>
  <c r="BN20" i="1"/>
  <c r="BM20" i="1"/>
  <c r="BL20" i="1"/>
  <c r="BK20" i="1"/>
  <c r="BJ20" i="1"/>
  <c r="BI20" i="1"/>
  <c r="BH20" i="1"/>
  <c r="BH34" i="1" s="1"/>
  <c r="BG20" i="1"/>
  <c r="BF20" i="1"/>
  <c r="BE20" i="1"/>
  <c r="BD20" i="1"/>
  <c r="BC20" i="1"/>
  <c r="BB20" i="1"/>
  <c r="BA20" i="1"/>
  <c r="AZ20" i="1"/>
  <c r="AZ34" i="1" s="1"/>
  <c r="AY20" i="1"/>
  <c r="AX20" i="1"/>
  <c r="AW20" i="1"/>
  <c r="AV20" i="1"/>
  <c r="AU20" i="1"/>
  <c r="AT20" i="1"/>
  <c r="AS20" i="1"/>
  <c r="AR20" i="1"/>
  <c r="AR34" i="1" s="1"/>
  <c r="AQ20" i="1"/>
  <c r="AP20" i="1"/>
  <c r="AO20" i="1"/>
  <c r="AN20" i="1"/>
  <c r="AM20" i="1"/>
  <c r="AL20" i="1"/>
  <c r="AK20" i="1"/>
  <c r="AJ20" i="1"/>
  <c r="AJ34" i="1" s="1"/>
  <c r="AI20" i="1"/>
  <c r="AH20" i="1"/>
  <c r="AG20" i="1"/>
  <c r="AF20" i="1"/>
  <c r="AE20" i="1"/>
  <c r="AD20" i="1"/>
  <c r="AC20" i="1"/>
  <c r="AB20" i="1"/>
  <c r="AB34" i="1" s="1"/>
  <c r="AA20" i="1"/>
  <c r="Z20" i="1"/>
  <c r="Y20" i="1"/>
  <c r="X20" i="1"/>
  <c r="W20" i="1"/>
  <c r="V20" i="1"/>
  <c r="U20" i="1"/>
  <c r="T20" i="1"/>
  <c r="T34" i="1" s="1"/>
  <c r="S20" i="1"/>
  <c r="R20" i="1"/>
  <c r="Q20" i="1"/>
  <c r="P20" i="1"/>
  <c r="O20" i="1"/>
  <c r="N20" i="1"/>
  <c r="M20" i="1"/>
  <c r="L20" i="1"/>
  <c r="L34" i="1" s="1"/>
  <c r="K20" i="1"/>
  <c r="J20" i="1"/>
  <c r="I20" i="1"/>
  <c r="H20" i="1"/>
  <c r="H34" i="1" s="1"/>
  <c r="G20" i="1"/>
  <c r="F20" i="1"/>
  <c r="E20" i="1"/>
  <c r="D20" i="1"/>
  <c r="D34" i="1" s="1"/>
  <c r="C20" i="1"/>
  <c r="B20" i="1"/>
  <c r="CH12" i="1"/>
  <c r="CH13" i="1" s="1"/>
  <c r="CG12" i="1"/>
  <c r="CG13" i="1" s="1"/>
  <c r="CF12" i="1"/>
  <c r="CF13" i="1" s="1"/>
  <c r="CE12" i="1"/>
  <c r="CE13" i="1" s="1"/>
  <c r="CD12" i="1"/>
  <c r="CD13" i="1" s="1"/>
  <c r="CC12" i="1"/>
  <c r="CC13" i="1" s="1"/>
  <c r="CB12" i="1"/>
  <c r="CB13" i="1" s="1"/>
  <c r="CA12" i="1"/>
  <c r="CA13" i="1" s="1"/>
  <c r="BZ12" i="1"/>
  <c r="BZ13" i="1" s="1"/>
  <c r="BY12" i="1"/>
  <c r="BY13" i="1" s="1"/>
  <c r="BX12" i="1"/>
  <c r="BX13" i="1" s="1"/>
  <c r="BW12" i="1"/>
  <c r="BW13" i="1" s="1"/>
  <c r="BV12" i="1"/>
  <c r="BV13" i="1" s="1"/>
  <c r="BU12" i="1"/>
  <c r="BU13" i="1" s="1"/>
  <c r="BT12" i="1"/>
  <c r="BT13" i="1" s="1"/>
  <c r="BS12" i="1"/>
  <c r="BS13" i="1" s="1"/>
  <c r="BR12" i="1"/>
  <c r="BR13" i="1" s="1"/>
  <c r="BQ12" i="1"/>
  <c r="BQ13" i="1" s="1"/>
  <c r="BP12" i="1"/>
  <c r="BP13" i="1" s="1"/>
  <c r="BO12" i="1"/>
  <c r="BO13" i="1" s="1"/>
  <c r="BN12" i="1"/>
  <c r="BN13" i="1" s="1"/>
  <c r="BM12" i="1"/>
  <c r="BM13" i="1" s="1"/>
  <c r="BL12" i="1"/>
  <c r="BL13" i="1" s="1"/>
  <c r="BK12" i="1"/>
  <c r="BK13" i="1" s="1"/>
  <c r="BJ12" i="1"/>
  <c r="BJ13" i="1" s="1"/>
  <c r="BI12" i="1"/>
  <c r="BI13" i="1" s="1"/>
  <c r="BH12" i="1"/>
  <c r="BH13" i="1" s="1"/>
  <c r="BG12" i="1"/>
  <c r="BG13" i="1" s="1"/>
  <c r="BF12" i="1"/>
  <c r="BF13" i="1" s="1"/>
  <c r="BE12" i="1"/>
  <c r="BE13" i="1" s="1"/>
  <c r="BD12" i="1"/>
  <c r="BD13" i="1" s="1"/>
  <c r="BC12" i="1"/>
  <c r="BC13" i="1" s="1"/>
  <c r="BB12" i="1"/>
  <c r="BB13" i="1" s="1"/>
  <c r="BA12" i="1"/>
  <c r="BA13" i="1" s="1"/>
  <c r="AZ12" i="1"/>
  <c r="AZ13" i="1" s="1"/>
  <c r="AY12" i="1"/>
  <c r="AY13" i="1" s="1"/>
  <c r="AX12" i="1"/>
  <c r="AX13" i="1" s="1"/>
  <c r="AW12" i="1"/>
  <c r="AW13" i="1" s="1"/>
  <c r="AV12" i="1"/>
  <c r="AV13" i="1" s="1"/>
  <c r="AU12" i="1"/>
  <c r="AU13" i="1" s="1"/>
  <c r="AT12" i="1"/>
  <c r="AT13" i="1" s="1"/>
  <c r="AS12" i="1"/>
  <c r="AS13" i="1" s="1"/>
  <c r="AR12" i="1"/>
  <c r="AR13" i="1" s="1"/>
  <c r="AQ12" i="1"/>
  <c r="AQ13" i="1" s="1"/>
  <c r="AP12" i="1"/>
  <c r="AP13" i="1" s="1"/>
  <c r="AO12" i="1"/>
  <c r="AO13" i="1" s="1"/>
  <c r="AN12" i="1"/>
  <c r="AN13" i="1" s="1"/>
  <c r="AM12" i="1"/>
  <c r="AM13" i="1" s="1"/>
  <c r="AL12" i="1"/>
  <c r="AL13" i="1" s="1"/>
  <c r="AK12" i="1"/>
  <c r="AK13" i="1" s="1"/>
  <c r="AJ12" i="1"/>
  <c r="AJ13" i="1" s="1"/>
  <c r="AI12" i="1"/>
  <c r="AI13" i="1" s="1"/>
  <c r="AH12" i="1"/>
  <c r="AH13" i="1" s="1"/>
  <c r="AG12" i="1"/>
  <c r="AG13" i="1" s="1"/>
  <c r="AF12" i="1"/>
  <c r="AF13" i="1" s="1"/>
  <c r="AE12" i="1"/>
  <c r="AE13" i="1" s="1"/>
  <c r="AD12" i="1"/>
  <c r="AD13" i="1" s="1"/>
  <c r="AC12" i="1"/>
  <c r="AC13" i="1" s="1"/>
  <c r="AB12" i="1"/>
  <c r="AB13" i="1" s="1"/>
  <c r="AA12" i="1"/>
  <c r="AA13" i="1" s="1"/>
  <c r="Z12" i="1"/>
  <c r="Z13" i="1" s="1"/>
  <c r="Y12" i="1"/>
  <c r="Y13" i="1" s="1"/>
  <c r="X12" i="1"/>
  <c r="X13" i="1" s="1"/>
  <c r="W12" i="1"/>
  <c r="W13" i="1" s="1"/>
  <c r="V12" i="1"/>
  <c r="V13" i="1" s="1"/>
  <c r="U12" i="1"/>
  <c r="U13" i="1" s="1"/>
  <c r="T12" i="1"/>
  <c r="T13" i="1" s="1"/>
  <c r="S12" i="1"/>
  <c r="S13" i="1" s="1"/>
  <c r="R12" i="1"/>
  <c r="R13" i="1" s="1"/>
  <c r="Q12" i="1"/>
  <c r="Q13" i="1" s="1"/>
  <c r="P12" i="1"/>
  <c r="P13" i="1" s="1"/>
  <c r="O12" i="1"/>
  <c r="O13" i="1" s="1"/>
  <c r="N12" i="1"/>
  <c r="N13" i="1" s="1"/>
  <c r="M12" i="1"/>
  <c r="M13" i="1" s="1"/>
  <c r="L12" i="1"/>
  <c r="L13" i="1" s="1"/>
  <c r="K12" i="1"/>
  <c r="K13" i="1" s="1"/>
  <c r="J12" i="1"/>
  <c r="J13" i="1" s="1"/>
  <c r="I12" i="1"/>
  <c r="I13" i="1" s="1"/>
  <c r="H12" i="1"/>
  <c r="H13" i="1" s="1"/>
  <c r="G12" i="1"/>
  <c r="G13" i="1" s="1"/>
  <c r="F12" i="1"/>
  <c r="F13" i="1" s="1"/>
  <c r="E12" i="1"/>
  <c r="E13" i="1" s="1"/>
  <c r="D12" i="1"/>
  <c r="D13" i="1" s="1"/>
  <c r="C12" i="1"/>
  <c r="C13" i="1" s="1"/>
  <c r="B12" i="1"/>
  <c r="B13" i="1" s="1"/>
  <c r="C34" i="1" l="1"/>
  <c r="K34" i="1"/>
  <c r="K43" i="1" s="1"/>
  <c r="S34" i="1"/>
  <c r="AA34" i="1"/>
  <c r="AI34" i="1"/>
  <c r="AQ34" i="1"/>
  <c r="AY34" i="1"/>
  <c r="BG34" i="1"/>
  <c r="BO34" i="1"/>
  <c r="BO43" i="1" s="1"/>
  <c r="BW34" i="1"/>
  <c r="CE34" i="1"/>
  <c r="H42" i="1"/>
  <c r="P42" i="1"/>
  <c r="X42" i="1"/>
  <c r="AF42" i="1"/>
  <c r="AN42" i="1"/>
  <c r="AV42" i="1"/>
  <c r="BD42" i="1"/>
  <c r="BL42" i="1"/>
  <c r="BT42" i="1"/>
  <c r="CB42" i="1"/>
  <c r="I65" i="1"/>
  <c r="Q65" i="1"/>
  <c r="Y65" i="1"/>
  <c r="AG65" i="1"/>
  <c r="AG74" i="1" s="1"/>
  <c r="AO65" i="1"/>
  <c r="AO74" i="1" s="1"/>
  <c r="AW65" i="1"/>
  <c r="BE65" i="1"/>
  <c r="BM65" i="1"/>
  <c r="BU65" i="1"/>
  <c r="H88" i="1"/>
  <c r="P88" i="1"/>
  <c r="X88" i="1"/>
  <c r="AF88" i="1"/>
  <c r="AN88" i="1"/>
  <c r="AV88" i="1"/>
  <c r="BD88" i="1"/>
  <c r="BL88" i="1"/>
  <c r="BL136" i="1" s="1"/>
  <c r="BT88" i="1"/>
  <c r="CB88" i="1"/>
  <c r="CB136" i="1" s="1"/>
  <c r="CF88" i="1"/>
  <c r="P34" i="1"/>
  <c r="P43" i="1" s="1"/>
  <c r="BL34" i="1"/>
  <c r="CB34" i="1"/>
  <c r="X34" i="1"/>
  <c r="AF34" i="1"/>
  <c r="AF43" i="1" s="1"/>
  <c r="AN34" i="1"/>
  <c r="AV34" i="1"/>
  <c r="BD34" i="1"/>
  <c r="B88" i="1"/>
  <c r="J88" i="1"/>
  <c r="R88" i="1"/>
  <c r="Z88" i="1"/>
  <c r="AH88" i="1"/>
  <c r="AP88" i="1"/>
  <c r="AX88" i="1"/>
  <c r="BF88" i="1"/>
  <c r="BF136" i="1" s="1"/>
  <c r="BN88" i="1"/>
  <c r="BV88" i="1"/>
  <c r="CD88" i="1"/>
  <c r="U101" i="1"/>
  <c r="BI101" i="1"/>
  <c r="H101" i="1"/>
  <c r="P101" i="1"/>
  <c r="Y133" i="1"/>
  <c r="AG133" i="1"/>
  <c r="AO133" i="1"/>
  <c r="I34" i="1"/>
  <c r="I43" i="1" s="1"/>
  <c r="Q34" i="1"/>
  <c r="Q43" i="1" s="1"/>
  <c r="Y34" i="1"/>
  <c r="Y43" i="1" s="1"/>
  <c r="Y79" i="1" s="1"/>
  <c r="AG34" i="1"/>
  <c r="AO34" i="1"/>
  <c r="AW34" i="1"/>
  <c r="AW43" i="1" s="1"/>
  <c r="AW79" i="1" s="1"/>
  <c r="BE34" i="1"/>
  <c r="BM34" i="1"/>
  <c r="BU34" i="1"/>
  <c r="BU43" i="1" s="1"/>
  <c r="CC34" i="1"/>
  <c r="CC43" i="1" s="1"/>
  <c r="F101" i="1"/>
  <c r="N101" i="1"/>
  <c r="V101" i="1"/>
  <c r="AD101" i="1"/>
  <c r="AL101" i="1"/>
  <c r="AT101" i="1"/>
  <c r="BB101" i="1"/>
  <c r="BJ101" i="1"/>
  <c r="BR101" i="1"/>
  <c r="BZ101" i="1"/>
  <c r="CH101" i="1"/>
  <c r="D133" i="1"/>
  <c r="D136" i="1" s="1"/>
  <c r="L133" i="1"/>
  <c r="T133" i="1"/>
  <c r="AB133" i="1"/>
  <c r="AB136" i="1" s="1"/>
  <c r="AJ133" i="1"/>
  <c r="AJ136" i="1" s="1"/>
  <c r="AR133" i="1"/>
  <c r="AR136" i="1" s="1"/>
  <c r="AZ133" i="1"/>
  <c r="AZ136" i="1" s="1"/>
  <c r="BH133" i="1"/>
  <c r="BH136" i="1" s="1"/>
  <c r="BP133" i="1"/>
  <c r="BP136" i="1" s="1"/>
  <c r="BX133" i="1"/>
  <c r="BX136" i="1" s="1"/>
  <c r="CF133" i="1"/>
  <c r="B34" i="1"/>
  <c r="J34" i="1"/>
  <c r="R34" i="1"/>
  <c r="Z34" i="1"/>
  <c r="AH34" i="1"/>
  <c r="AP34" i="1"/>
  <c r="AX34" i="1"/>
  <c r="BF34" i="1"/>
  <c r="BN34" i="1"/>
  <c r="BV34" i="1"/>
  <c r="CD34" i="1"/>
  <c r="E42" i="1"/>
  <c r="M42" i="1"/>
  <c r="U42" i="1"/>
  <c r="AC42" i="1"/>
  <c r="AK42" i="1"/>
  <c r="AS42" i="1"/>
  <c r="BA42" i="1"/>
  <c r="BI42" i="1"/>
  <c r="BQ42" i="1"/>
  <c r="BY42" i="1"/>
  <c r="CG42" i="1"/>
  <c r="E133" i="1"/>
  <c r="M133" i="1"/>
  <c r="U133" i="1"/>
  <c r="AC133" i="1"/>
  <c r="AK133" i="1"/>
  <c r="AS133" i="1"/>
  <c r="BA133" i="1"/>
  <c r="BI133" i="1"/>
  <c r="BQ133" i="1"/>
  <c r="BY133" i="1"/>
  <c r="CG133" i="1"/>
  <c r="B74" i="1"/>
  <c r="J74" i="1"/>
  <c r="F65" i="1"/>
  <c r="F74" i="1" s="1"/>
  <c r="N65" i="1"/>
  <c r="N74" i="1" s="1"/>
  <c r="F88" i="1"/>
  <c r="F136" i="1" s="1"/>
  <c r="N88" i="1"/>
  <c r="V88" i="1"/>
  <c r="AD88" i="1"/>
  <c r="AL88" i="1"/>
  <c r="AL136" i="1" s="1"/>
  <c r="AT88" i="1"/>
  <c r="BB88" i="1"/>
  <c r="BJ88" i="1"/>
  <c r="BR88" i="1"/>
  <c r="BZ88" i="1"/>
  <c r="CH88" i="1"/>
  <c r="CC65" i="1"/>
  <c r="CC74" i="1" s="1"/>
  <c r="AB65" i="1"/>
  <c r="AB74" i="1" s="1"/>
  <c r="L136" i="1"/>
  <c r="T136" i="1"/>
  <c r="CF136" i="1"/>
  <c r="I133" i="1"/>
  <c r="Q133" i="1"/>
  <c r="AW133" i="1"/>
  <c r="BE133" i="1"/>
  <c r="BM133" i="1"/>
  <c r="BU133" i="1"/>
  <c r="CC133" i="1"/>
  <c r="BC65" i="1"/>
  <c r="BC74" i="1" s="1"/>
  <c r="F34" i="1"/>
  <c r="F43" i="1" s="1"/>
  <c r="N34" i="1"/>
  <c r="N43" i="1" s="1"/>
  <c r="V34" i="1"/>
  <c r="V43" i="1" s="1"/>
  <c r="AD34" i="1"/>
  <c r="AD43" i="1" s="1"/>
  <c r="AL34" i="1"/>
  <c r="AL43" i="1" s="1"/>
  <c r="AT34" i="1"/>
  <c r="AT43" i="1" s="1"/>
  <c r="BB34" i="1"/>
  <c r="BJ34" i="1"/>
  <c r="BJ43" i="1" s="1"/>
  <c r="BR34" i="1"/>
  <c r="BZ34" i="1"/>
  <c r="CH34" i="1"/>
  <c r="B42" i="1"/>
  <c r="J42" i="1"/>
  <c r="R42" i="1"/>
  <c r="R43" i="1" s="1"/>
  <c r="Z42" i="1"/>
  <c r="AH42" i="1"/>
  <c r="AP42" i="1"/>
  <c r="AX42" i="1"/>
  <c r="BF42" i="1"/>
  <c r="BN42" i="1"/>
  <c r="BV42" i="1"/>
  <c r="CD42" i="1"/>
  <c r="AT74" i="1"/>
  <c r="C88" i="1"/>
  <c r="K88" i="1"/>
  <c r="S88" i="1"/>
  <c r="AA88" i="1"/>
  <c r="AI88" i="1"/>
  <c r="AQ88" i="1"/>
  <c r="AY88" i="1"/>
  <c r="BG88" i="1"/>
  <c r="BO88" i="1"/>
  <c r="BW88" i="1"/>
  <c r="CE88" i="1"/>
  <c r="G101" i="1"/>
  <c r="G136" i="1" s="1"/>
  <c r="O101" i="1"/>
  <c r="W101" i="1"/>
  <c r="AE101" i="1"/>
  <c r="AM101" i="1"/>
  <c r="AU101" i="1"/>
  <c r="BC101" i="1"/>
  <c r="BC136" i="1" s="1"/>
  <c r="BK101" i="1"/>
  <c r="BS101" i="1"/>
  <c r="BS136" i="1" s="1"/>
  <c r="CA101" i="1"/>
  <c r="F133" i="1"/>
  <c r="N133" i="1"/>
  <c r="V133" i="1"/>
  <c r="AD133" i="1"/>
  <c r="AL133" i="1"/>
  <c r="AT133" i="1"/>
  <c r="BB133" i="1"/>
  <c r="BJ133" i="1"/>
  <c r="BR133" i="1"/>
  <c r="BZ133" i="1"/>
  <c r="CH133" i="1"/>
  <c r="G34" i="1"/>
  <c r="G43" i="1" s="1"/>
  <c r="O34" i="1"/>
  <c r="O43" i="1" s="1"/>
  <c r="O79" i="1" s="1"/>
  <c r="W34" i="1"/>
  <c r="W43" i="1" s="1"/>
  <c r="AE34" i="1"/>
  <c r="AE43" i="1" s="1"/>
  <c r="AM34" i="1"/>
  <c r="AM43" i="1" s="1"/>
  <c r="AU34" i="1"/>
  <c r="AU43" i="1" s="1"/>
  <c r="BC34" i="1"/>
  <c r="BC43" i="1" s="1"/>
  <c r="BK34" i="1"/>
  <c r="BK43" i="1" s="1"/>
  <c r="BS34" i="1"/>
  <c r="BS43" i="1" s="1"/>
  <c r="CA34" i="1"/>
  <c r="CA43" i="1" s="1"/>
  <c r="C42" i="1"/>
  <c r="C43" i="1" s="1"/>
  <c r="K42" i="1"/>
  <c r="S42" i="1"/>
  <c r="S43" i="1" s="1"/>
  <c r="AA42" i="1"/>
  <c r="AA43" i="1" s="1"/>
  <c r="AI42" i="1"/>
  <c r="AI43" i="1" s="1"/>
  <c r="AQ42" i="1"/>
  <c r="AQ43" i="1" s="1"/>
  <c r="AY42" i="1"/>
  <c r="AY43" i="1" s="1"/>
  <c r="BG42" i="1"/>
  <c r="BG43" i="1" s="1"/>
  <c r="BO42" i="1"/>
  <c r="BW42" i="1"/>
  <c r="CE42" i="1"/>
  <c r="CE43" i="1" s="1"/>
  <c r="D65" i="1"/>
  <c r="D74" i="1" s="1"/>
  <c r="L65" i="1"/>
  <c r="L74" i="1" s="1"/>
  <c r="T65" i="1"/>
  <c r="T74" i="1" s="1"/>
  <c r="AJ65" i="1"/>
  <c r="AJ74" i="1" s="1"/>
  <c r="AR65" i="1"/>
  <c r="AR74" i="1" s="1"/>
  <c r="AZ65" i="1"/>
  <c r="BH65" i="1"/>
  <c r="BP65" i="1"/>
  <c r="BX65" i="1"/>
  <c r="CF65" i="1"/>
  <c r="CF74" i="1" s="1"/>
  <c r="AV101" i="1"/>
  <c r="BD101" i="1"/>
  <c r="BL101" i="1"/>
  <c r="BT101" i="1"/>
  <c r="BT136" i="1" s="1"/>
  <c r="CB101" i="1"/>
  <c r="G133" i="1"/>
  <c r="O133" i="1"/>
  <c r="W133" i="1"/>
  <c r="AE133" i="1"/>
  <c r="AM133" i="1"/>
  <c r="AM136" i="1" s="1"/>
  <c r="AU133" i="1"/>
  <c r="BC133" i="1"/>
  <c r="BK133" i="1"/>
  <c r="BS133" i="1"/>
  <c r="CA133" i="1"/>
  <c r="D42" i="1"/>
  <c r="D43" i="1" s="1"/>
  <c r="D79" i="1" s="1"/>
  <c r="L42" i="1"/>
  <c r="L43" i="1" s="1"/>
  <c r="T42" i="1"/>
  <c r="T43" i="1" s="1"/>
  <c r="AB42" i="1"/>
  <c r="AB43" i="1" s="1"/>
  <c r="AB79" i="1" s="1"/>
  <c r="AJ42" i="1"/>
  <c r="AJ43" i="1" s="1"/>
  <c r="AR42" i="1"/>
  <c r="AR43" i="1" s="1"/>
  <c r="AZ42" i="1"/>
  <c r="AZ43" i="1" s="1"/>
  <c r="BH42" i="1"/>
  <c r="BH43" i="1" s="1"/>
  <c r="BP42" i="1"/>
  <c r="BP43" i="1" s="1"/>
  <c r="BX42" i="1"/>
  <c r="BX43" i="1" s="1"/>
  <c r="CF42" i="1"/>
  <c r="CF43" i="1" s="1"/>
  <c r="H74" i="1"/>
  <c r="E65" i="1"/>
  <c r="M65" i="1"/>
  <c r="M74" i="1" s="1"/>
  <c r="U65" i="1"/>
  <c r="U74" i="1" s="1"/>
  <c r="AC65" i="1"/>
  <c r="AK65" i="1"/>
  <c r="AK74" i="1" s="1"/>
  <c r="AS65" i="1"/>
  <c r="BA65" i="1"/>
  <c r="BA74" i="1" s="1"/>
  <c r="BI65" i="1"/>
  <c r="BI74" i="1" s="1"/>
  <c r="BQ65" i="1"/>
  <c r="BQ74" i="1" s="1"/>
  <c r="BY65" i="1"/>
  <c r="BY74" i="1" s="1"/>
  <c r="CG65" i="1"/>
  <c r="CG74" i="1" s="1"/>
  <c r="H65" i="1"/>
  <c r="P65" i="1"/>
  <c r="P74" i="1" s="1"/>
  <c r="AF65" i="1"/>
  <c r="AF74" i="1" s="1"/>
  <c r="E88" i="1"/>
  <c r="M88" i="1"/>
  <c r="U88" i="1"/>
  <c r="U136" i="1" s="1"/>
  <c r="AC88" i="1"/>
  <c r="AK88" i="1"/>
  <c r="AS88" i="1"/>
  <c r="BA88" i="1"/>
  <c r="BI88" i="1"/>
  <c r="BQ88" i="1"/>
  <c r="BY88" i="1"/>
  <c r="CG88" i="1"/>
  <c r="I101" i="1"/>
  <c r="I136" i="1" s="1"/>
  <c r="Q101" i="1"/>
  <c r="Y101" i="1"/>
  <c r="AG101" i="1"/>
  <c r="AG136" i="1" s="1"/>
  <c r="AO101" i="1"/>
  <c r="AO136" i="1" s="1"/>
  <c r="AW101" i="1"/>
  <c r="BE101" i="1"/>
  <c r="BE136" i="1" s="1"/>
  <c r="BM101" i="1"/>
  <c r="BM136" i="1" s="1"/>
  <c r="BU101" i="1"/>
  <c r="BU136" i="1" s="1"/>
  <c r="CC101" i="1"/>
  <c r="CC136" i="1" s="1"/>
  <c r="H133" i="1"/>
  <c r="P133" i="1"/>
  <c r="P136" i="1" s="1"/>
  <c r="X133" i="1"/>
  <c r="AF133" i="1"/>
  <c r="AN133" i="1"/>
  <c r="AN136" i="1" s="1"/>
  <c r="AV133" i="1"/>
  <c r="BD133" i="1"/>
  <c r="BL133" i="1"/>
  <c r="BT133" i="1"/>
  <c r="CB133" i="1"/>
  <c r="I74" i="1"/>
  <c r="Q74" i="1"/>
  <c r="Y74" i="1"/>
  <c r="AW74" i="1"/>
  <c r="BE74" i="1"/>
  <c r="BM74" i="1"/>
  <c r="BU74" i="1"/>
  <c r="V65" i="1"/>
  <c r="V74" i="1" s="1"/>
  <c r="AD65" i="1"/>
  <c r="AD74" i="1" s="1"/>
  <c r="AL65" i="1"/>
  <c r="AL74" i="1" s="1"/>
  <c r="AT65" i="1"/>
  <c r="BB65" i="1"/>
  <c r="BB74" i="1" s="1"/>
  <c r="BJ65" i="1"/>
  <c r="BJ74" i="1" s="1"/>
  <c r="BR65" i="1"/>
  <c r="BR74" i="1" s="1"/>
  <c r="BZ65" i="1"/>
  <c r="BZ74" i="1" s="1"/>
  <c r="CH65" i="1"/>
  <c r="CH74" i="1" s="1"/>
  <c r="E101" i="1"/>
  <c r="E136" i="1" s="1"/>
  <c r="M101" i="1"/>
  <c r="AC101" i="1"/>
  <c r="AK101" i="1"/>
  <c r="AS101" i="1"/>
  <c r="BA101" i="1"/>
  <c r="BQ101" i="1"/>
  <c r="BY101" i="1"/>
  <c r="CG101" i="1"/>
  <c r="BB43" i="1"/>
  <c r="BR43" i="1"/>
  <c r="BZ43" i="1"/>
  <c r="CH43" i="1"/>
  <c r="G65" i="1"/>
  <c r="G74" i="1" s="1"/>
  <c r="O65" i="1"/>
  <c r="O74" i="1" s="1"/>
  <c r="W65" i="1"/>
  <c r="W74" i="1" s="1"/>
  <c r="AE65" i="1"/>
  <c r="AE74" i="1" s="1"/>
  <c r="AM65" i="1"/>
  <c r="AM74" i="1" s="1"/>
  <c r="AU65" i="1"/>
  <c r="AU74" i="1" s="1"/>
  <c r="BK65" i="1"/>
  <c r="BK74" i="1" s="1"/>
  <c r="BS65" i="1"/>
  <c r="BS74" i="1" s="1"/>
  <c r="CA65" i="1"/>
  <c r="CA74" i="1" s="1"/>
  <c r="B133" i="1"/>
  <c r="J133" i="1"/>
  <c r="R133" i="1"/>
  <c r="Z133" i="1"/>
  <c r="AH133" i="1"/>
  <c r="AH136" i="1" s="1"/>
  <c r="AP133" i="1"/>
  <c r="AX133" i="1"/>
  <c r="BF133" i="1"/>
  <c r="BN133" i="1"/>
  <c r="BV133" i="1"/>
  <c r="CD133" i="1"/>
  <c r="AV43" i="1"/>
  <c r="BD43" i="1"/>
  <c r="BL43" i="1"/>
  <c r="BT43" i="1"/>
  <c r="CB43" i="1"/>
  <c r="E34" i="1"/>
  <c r="E43" i="1" s="1"/>
  <c r="E79" i="1" s="1"/>
  <c r="M34" i="1"/>
  <c r="M43" i="1" s="1"/>
  <c r="U34" i="1"/>
  <c r="AC34" i="1"/>
  <c r="AC43" i="1" s="1"/>
  <c r="AK34" i="1"/>
  <c r="AS34" i="1"/>
  <c r="AS43" i="1" s="1"/>
  <c r="BA34" i="1"/>
  <c r="BI34" i="1"/>
  <c r="BQ34" i="1"/>
  <c r="BY34" i="1"/>
  <c r="BY43" i="1" s="1"/>
  <c r="CG34" i="1"/>
  <c r="AO43" i="1"/>
  <c r="BE43" i="1"/>
  <c r="BM43" i="1"/>
  <c r="X65" i="1"/>
  <c r="X74" i="1" s="1"/>
  <c r="AG43" i="1"/>
  <c r="AP43" i="1"/>
  <c r="BW43" i="1"/>
  <c r="E74" i="1"/>
  <c r="AC74" i="1"/>
  <c r="AS74" i="1"/>
  <c r="C65" i="1"/>
  <c r="C74" i="1" s="1"/>
  <c r="K65" i="1"/>
  <c r="K74" i="1" s="1"/>
  <c r="BQ43" i="1"/>
  <c r="H43" i="1"/>
  <c r="H79" i="1" s="1"/>
  <c r="AH43" i="1"/>
  <c r="H136" i="1"/>
  <c r="X136" i="1"/>
  <c r="AF136" i="1"/>
  <c r="BD136" i="1"/>
  <c r="AZ74" i="1"/>
  <c r="BH74" i="1"/>
  <c r="BP74" i="1"/>
  <c r="BX74" i="1"/>
  <c r="AW136" i="1"/>
  <c r="AN65" i="1"/>
  <c r="AN74" i="1" s="1"/>
  <c r="AV65" i="1"/>
  <c r="AV74" i="1" s="1"/>
  <c r="BD65" i="1"/>
  <c r="BD74" i="1" s="1"/>
  <c r="BL65" i="1"/>
  <c r="BL74" i="1" s="1"/>
  <c r="BT65" i="1"/>
  <c r="BT74" i="1" s="1"/>
  <c r="CB65" i="1"/>
  <c r="CB74" i="1" s="1"/>
  <c r="AP136" i="1"/>
  <c r="AX136" i="1"/>
  <c r="BV136" i="1"/>
  <c r="AE136" i="1"/>
  <c r="R65" i="1"/>
  <c r="R74" i="1" s="1"/>
  <c r="Z65" i="1"/>
  <c r="Z74" i="1" s="1"/>
  <c r="AH65" i="1"/>
  <c r="AH74" i="1" s="1"/>
  <c r="AP65" i="1"/>
  <c r="AP74" i="1" s="1"/>
  <c r="AX65" i="1"/>
  <c r="AX74" i="1" s="1"/>
  <c r="BF65" i="1"/>
  <c r="BF74" i="1" s="1"/>
  <c r="BN65" i="1"/>
  <c r="BN74" i="1" s="1"/>
  <c r="BV65" i="1"/>
  <c r="BV74" i="1" s="1"/>
  <c r="CD65" i="1"/>
  <c r="CD74" i="1" s="1"/>
  <c r="C133" i="1"/>
  <c r="C136" i="1" s="1"/>
  <c r="K133" i="1"/>
  <c r="K136" i="1" s="1"/>
  <c r="S133" i="1"/>
  <c r="AA133" i="1"/>
  <c r="AI133" i="1"/>
  <c r="AQ133" i="1"/>
  <c r="AQ136" i="1" s="1"/>
  <c r="AY133" i="1"/>
  <c r="AY136" i="1" s="1"/>
  <c r="BG133" i="1"/>
  <c r="BG136" i="1" s="1"/>
  <c r="BO133" i="1"/>
  <c r="BO136" i="1" s="1"/>
  <c r="BW133" i="1"/>
  <c r="BW136" i="1" s="1"/>
  <c r="CE133" i="1"/>
  <c r="S65" i="1"/>
  <c r="S74" i="1" s="1"/>
  <c r="AA65" i="1"/>
  <c r="AA74" i="1" s="1"/>
  <c r="AI65" i="1"/>
  <c r="AI74" i="1" s="1"/>
  <c r="AQ65" i="1"/>
  <c r="AQ74" i="1" s="1"/>
  <c r="AY65" i="1"/>
  <c r="AY74" i="1" s="1"/>
  <c r="BG65" i="1"/>
  <c r="BG74" i="1" s="1"/>
  <c r="BO65" i="1"/>
  <c r="BO74" i="1" s="1"/>
  <c r="BW65" i="1"/>
  <c r="BW74" i="1" s="1"/>
  <c r="CE65" i="1"/>
  <c r="CE74" i="1" s="1"/>
  <c r="AC136" i="1"/>
  <c r="AK136" i="1"/>
  <c r="AS136" i="1"/>
  <c r="BA136" i="1"/>
  <c r="BI136" i="1"/>
  <c r="BR136" i="1"/>
  <c r="BZ136" i="1"/>
  <c r="AC79" i="1" l="1"/>
  <c r="CG43" i="1"/>
  <c r="U43" i="1"/>
  <c r="AV136" i="1"/>
  <c r="F79" i="1"/>
  <c r="CD43" i="1"/>
  <c r="AN43" i="1"/>
  <c r="AN79" i="1" s="1"/>
  <c r="K79" i="1"/>
  <c r="BP79" i="1"/>
  <c r="Y136" i="1"/>
  <c r="Z43" i="1"/>
  <c r="Z79" i="1" s="1"/>
  <c r="AD136" i="1"/>
  <c r="Q79" i="1"/>
  <c r="Z136" i="1"/>
  <c r="X43" i="1"/>
  <c r="X79" i="1" s="1"/>
  <c r="B136" i="1"/>
  <c r="Q136" i="1"/>
  <c r="W136" i="1"/>
  <c r="CH136" i="1"/>
  <c r="V136" i="1"/>
  <c r="BF43" i="1"/>
  <c r="BB136" i="1"/>
  <c r="BU79" i="1"/>
  <c r="I79" i="1"/>
  <c r="CD136" i="1"/>
  <c r="R136" i="1"/>
  <c r="AO79" i="1"/>
  <c r="BN136" i="1"/>
  <c r="BA43" i="1"/>
  <c r="BJ136" i="1"/>
  <c r="CA136" i="1"/>
  <c r="AI136" i="1"/>
  <c r="BV43" i="1"/>
  <c r="BV79" i="1" s="1"/>
  <c r="J43" i="1"/>
  <c r="J79" i="1" s="1"/>
  <c r="N136" i="1"/>
  <c r="AX43" i="1"/>
  <c r="J136" i="1"/>
  <c r="CG136" i="1"/>
  <c r="CG79" i="1"/>
  <c r="BQ79" i="1"/>
  <c r="M79" i="1"/>
  <c r="BQ136" i="1"/>
  <c r="BY136" i="1"/>
  <c r="M136" i="1"/>
  <c r="O136" i="1"/>
  <c r="AT136" i="1"/>
  <c r="BK136" i="1"/>
  <c r="BN43" i="1"/>
  <c r="BN79" i="1" s="1"/>
  <c r="B43" i="1"/>
  <c r="B79" i="1" s="1"/>
  <c r="AG79" i="1"/>
  <c r="BS79" i="1"/>
  <c r="AA136" i="1"/>
  <c r="BI43" i="1"/>
  <c r="BI79" i="1" s="1"/>
  <c r="BC79" i="1"/>
  <c r="C79" i="1"/>
  <c r="BY79" i="1"/>
  <c r="S79" i="1"/>
  <c r="P79" i="1"/>
  <c r="AU136" i="1"/>
  <c r="AZ79" i="1"/>
  <c r="N79" i="1"/>
  <c r="BE79" i="1"/>
  <c r="AK43" i="1"/>
  <c r="AK79" i="1" s="1"/>
  <c r="W79" i="1"/>
  <c r="G79" i="1"/>
  <c r="CA79" i="1"/>
  <c r="AQ79" i="1"/>
  <c r="BK79" i="1"/>
  <c r="AD79" i="1"/>
  <c r="AI79" i="1"/>
  <c r="AU79" i="1"/>
  <c r="AM79" i="1"/>
  <c r="BX79" i="1"/>
  <c r="CE136" i="1"/>
  <c r="S136" i="1"/>
  <c r="U79" i="1"/>
  <c r="L79" i="1"/>
  <c r="BH79" i="1"/>
  <c r="CH79" i="1"/>
  <c r="V79" i="1"/>
  <c r="AL79" i="1"/>
  <c r="AE79" i="1"/>
  <c r="BZ79" i="1"/>
  <c r="R79" i="1"/>
  <c r="AR79" i="1"/>
  <c r="AF79" i="1"/>
  <c r="CC79" i="1"/>
  <c r="BR79" i="1"/>
  <c r="AJ79" i="1"/>
  <c r="BA79" i="1"/>
  <c r="BJ79" i="1"/>
  <c r="BM79" i="1"/>
  <c r="AS79" i="1"/>
  <c r="BB79" i="1"/>
  <c r="AA79" i="1"/>
  <c r="CF79" i="1"/>
  <c r="T79" i="1"/>
  <c r="AT79" i="1"/>
  <c r="BO79" i="1"/>
  <c r="AX79" i="1"/>
  <c r="BL79" i="1"/>
  <c r="BG79" i="1"/>
  <c r="AP79" i="1"/>
  <c r="BD79" i="1"/>
  <c r="AV79" i="1"/>
  <c r="AH79" i="1"/>
  <c r="CD79" i="1"/>
  <c r="AY79" i="1"/>
  <c r="CE79" i="1"/>
  <c r="CB79" i="1"/>
  <c r="BW79" i="1"/>
  <c r="BF79" i="1"/>
  <c r="BT79" i="1"/>
</calcChain>
</file>

<file path=xl/sharedStrings.xml><?xml version="1.0" encoding="utf-8"?>
<sst xmlns="http://schemas.openxmlformats.org/spreadsheetml/2006/main" count="299" uniqueCount="214">
  <si>
    <t>Firma : SEGRA GmbH</t>
  </si>
  <si>
    <t>PG Balance Sheet by Entity and Month/Quarter/Year</t>
  </si>
  <si>
    <t>End of Dez 2023</t>
  </si>
  <si>
    <t> </t>
  </si>
  <si>
    <t>Dec 2016</t>
  </si>
  <si>
    <t xml:space="preserve">Adjust 2016 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</si>
  <si>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</si>
  <si>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</si>
  <si>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</si>
  <si>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</si>
  <si>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</si>
  <si>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</si>
  <si>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</si>
  <si>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</si>
  <si>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</si>
  <si>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</si>
  <si>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</si>
  <si>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</si>
  <si>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 xml:space="preserve">Adjust 2017 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</si>
  <si>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</si>
  <si>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</si>
  <si>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</si>
  <si>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</si>
  <si>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</si>
  <si>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</si>
  <si>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</si>
  <si>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</si>
  <si>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</si>
  <si>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</si>
  <si>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</si>
  <si>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</si>
  <si>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 xml:space="preserve">Adjust 2018 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</si>
  <si>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</si>
  <si>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</si>
  <si>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</si>
  <si>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</si>
  <si>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</si>
  <si>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</si>
  <si>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</si>
  <si>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</si>
  <si>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</si>
  <si>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</si>
  <si>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</si>
  <si>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</si>
  <si>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</si>
  <si>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</si>
  <si>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</si>
  <si>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</si>
  <si>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</si>
  <si>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</si>
  <si>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</si>
  <si>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</si>
  <si>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</si>
  <si>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</si>
  <si>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</si>
  <si>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</si>
  <si>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 xml:space="preserve">Adjust 2020 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</si>
  <si>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</si>
  <si>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</si>
  <si>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</si>
  <si>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</si>
  <si>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</si>
  <si>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</si>
  <si>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</si>
  <si>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</si>
  <si>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</si>
  <si>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</si>
  <si>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</si>
  <si>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</si>
  <si>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</si>
  <si>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</si>
  <si>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</si>
  <si>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</si>
  <si>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</si>
  <si>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</si>
  <si>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</si>
  <si>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</si>
  <si>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</si>
  <si>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</si>
  <si>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</si>
  <si>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</si>
  <si>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</si>
  <si>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</si>
  <si>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Mrz 2023</t>
  </si>
  <si>
    <t>Apr 2023</t>
  </si>
  <si>
    <t>Mai 2023</t>
  </si>
  <si>
    <t>Jun 2023</t>
  </si>
  <si>
    <t>Jul 2023</t>
  </si>
  <si>
    <t>Aug 2023</t>
  </si>
  <si>
    <t>As of Dez 2023</t>
  </si>
  <si>
    <t>ASSETS</t>
  </si>
  <si>
    <t>A. Fixed assets</t>
  </si>
  <si>
    <t>I. Intangible assets</t>
  </si>
  <si>
    <t>2. Purchased concessions rights, assets and licences</t>
  </si>
  <si>
    <t>013500 - Computer software</t>
  </si>
  <si>
    <t>013510 - Accumulated depreciation of data processing software</t>
  </si>
  <si>
    <t>Total Purchased concessions rights, assets and licences</t>
  </si>
  <si>
    <t>Total Intangible assets</t>
  </si>
  <si>
    <t>II. Tangible assets</t>
  </si>
  <si>
    <t>2. Technical equipment and machinery</t>
  </si>
  <si>
    <t>042000 - Technical equipment</t>
  </si>
  <si>
    <t>042010 - Accumulated depreciation-Technical equipment</t>
  </si>
  <si>
    <t>044000 - Machinery</t>
  </si>
  <si>
    <t>044010 - Accumulated depreciation- personal computers and machinery</t>
  </si>
  <si>
    <t>Total Technical equipment and machinery</t>
  </si>
  <si>
    <t>3. Other equipment, operating and office equipment</t>
  </si>
  <si>
    <t>063000 - Operating equipment</t>
  </si>
  <si>
    <t>063010 - Accumulated depreciation-operating equipment</t>
  </si>
  <si>
    <t>065000 - Office fittings</t>
  </si>
  <si>
    <t>067010 - Low value assets - software</t>
  </si>
  <si>
    <t>067020 - Accumulated depr. low value assets - software</t>
  </si>
  <si>
    <t>067030 - low value economic goods</t>
  </si>
  <si>
    <t>067040 - Accumulated depreciation- low value economic goods</t>
  </si>
  <si>
    <t>067050 - low value assets - hardware</t>
  </si>
  <si>
    <t>067060 - Accumulated depreciation - low value assets - hardware</t>
  </si>
  <si>
    <t>067070 - Low-value assets</t>
  </si>
  <si>
    <t>067080 - Accumulated depreciation-Low-value assets</t>
  </si>
  <si>
    <t>Total Other equipment, operating and office equipment</t>
  </si>
  <si>
    <t>Total Tangible assets</t>
  </si>
  <si>
    <t>III. Financial assets</t>
  </si>
  <si>
    <t>1. Shares in affiliated companies</t>
  </si>
  <si>
    <t>080400 - Shares in affiliated companies, corporations</t>
  </si>
  <si>
    <t>Total Shares in affiliated companies</t>
  </si>
  <si>
    <t>6. Other loans</t>
  </si>
  <si>
    <t>096100 - Loans to GmbH shareholders</t>
  </si>
  <si>
    <t>Total Other loans</t>
  </si>
  <si>
    <t>Total Financial assets</t>
  </si>
  <si>
    <t>Total Fixed assets</t>
  </si>
  <si>
    <t>B. Current assets</t>
  </si>
  <si>
    <t>I. Inventories</t>
  </si>
  <si>
    <t>6. Prepayments</t>
  </si>
  <si>
    <t>118000 - Prepayments for inventories</t>
  </si>
  <si>
    <t>Total Prepayments</t>
  </si>
  <si>
    <t>Total Inventories</t>
  </si>
  <si>
    <t>II. Trade receivables and other receivables</t>
  </si>
  <si>
    <t>1. Trade receivables</t>
  </si>
  <si>
    <t>120000 - Trade receivables -3</t>
  </si>
  <si>
    <t>120100 - Trade receivables</t>
  </si>
  <si>
    <t>Total Trade receivables</t>
  </si>
  <si>
    <t>2. Receivables from affiliated companies</t>
  </si>
  <si>
    <t>127103 - Receivables from Horus software GmbH</t>
  </si>
  <si>
    <t>Total Receivables from affiliated companies</t>
  </si>
  <si>
    <t>6. Other receivables and other assets</t>
  </si>
  <si>
    <t>130000 - Other assets</t>
  </si>
  <si>
    <t>142000 - VAT receivables</t>
  </si>
  <si>
    <t>143500 - Receivables from trade tax overpayments</t>
  </si>
  <si>
    <t>145000 - Reclaimed corporate income tax</t>
  </si>
  <si>
    <t>Total Other receivables and other assets</t>
  </si>
  <si>
    <t>Total Trade receivables and other receivables</t>
  </si>
  <si>
    <t>IV. Cash-in-hand, central / bank balances and cheques</t>
  </si>
  <si>
    <t>Bank</t>
  </si>
  <si>
    <t>180041 - Volksbank Girokonto -60538409- SEGRA</t>
  </si>
  <si>
    <t>180042 - Clearing Volksbank Girokonto -60538409</t>
  </si>
  <si>
    <t>180067 - BMW Bank Tagesgeld -5006221310- SEGRA</t>
  </si>
  <si>
    <t>900000 - Opening Balance</t>
  </si>
  <si>
    <t>Gesamt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</si>
  <si>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</si>
  <si>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</si>
  <si>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</si>
  <si>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</si>
  <si>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</si>
  <si>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</si>
  <si>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</si>
  <si>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A. Equity</t>
  </si>
  <si>
    <t>I. Issued capital</t>
  </si>
  <si>
    <t>290000 - Subscribed capital</t>
  </si>
  <si>
    <t>Total Issued capital</t>
  </si>
  <si>
    <t>IV. Profit Brought Forward</t>
  </si>
  <si>
    <t>VI. Net profit/loss for the year</t>
  </si>
  <si>
    <t>Total Equity</t>
  </si>
  <si>
    <t>B. Provisions</t>
  </si>
  <si>
    <t>2. Provision for taxes</t>
  </si>
  <si>
    <t>303000 - Provision for trade tax</t>
  </si>
  <si>
    <t>303500 - Provision for trade tax, section 4(5b) EStG</t>
  </si>
  <si>
    <t>304000 - Provision for corporate income tax</t>
  </si>
  <si>
    <t>Total Provision for taxes</t>
  </si>
  <si>
    <t>3. Other provisions</t>
  </si>
  <si>
    <t>307010 - Accrual goods purchases</t>
  </si>
  <si>
    <t>309500 - Provisions for period-end closing and audit costs</t>
  </si>
  <si>
    <t>309600 - Provisions for record retention obligations</t>
  </si>
  <si>
    <t>Total Other provisions</t>
  </si>
  <si>
    <t>Total Provisions</t>
  </si>
  <si>
    <t>C. Liabilities</t>
  </si>
  <si>
    <t>4. Trade payables</t>
  </si>
  <si>
    <t>330000 - Trade payables</t>
  </si>
  <si>
    <t>330100 - Trade payables starting with 2016</t>
  </si>
  <si>
    <t>Total Trade payables</t>
  </si>
  <si>
    <t>6. Liabilities to affiliated companies</t>
  </si>
  <si>
    <t>340101 - Liabilities ag. PROMATIS software GmbH</t>
  </si>
  <si>
    <t>340500 - Liabilities to affiliated companies - due betw 1 and 5 years</t>
  </si>
  <si>
    <t>Total Liabilities to affiliated companies</t>
  </si>
  <si>
    <t>8. Other liabilities</t>
  </si>
  <si>
    <t>140300 - Deductible input tax on intra-EU acquisitions - reduced</t>
  </si>
  <si>
    <t>140500 - VAT 16% Purchase</t>
  </si>
  <si>
    <t>140600 - VAT on Purchases</t>
  </si>
  <si>
    <t>140700 - Deductible input tax under section 13b UStG - standard</t>
  </si>
  <si>
    <t>140800 - Deductible input tax under section 13b UStG, Non-EU</t>
  </si>
  <si>
    <t>140900 - Deductible input tax under section 13b UStG, 16%</t>
  </si>
  <si>
    <t>146000 - Cash in Transit</t>
  </si>
  <si>
    <t>146111 - Credit Card Volksbank Mastercard R. Mann - Segra</t>
  </si>
  <si>
    <t>350100 - Other liabilities - due within 1 year</t>
  </si>
  <si>
    <t>370000 - Liabilities from taxes and levies</t>
  </si>
  <si>
    <t>380500 - VAT 16% Sale</t>
  </si>
  <si>
    <t>380600 - VAT - standard rate</t>
  </si>
  <si>
    <t>380700 - VAT on intra-EU supplies of goods and serv. subj. (dom tax.)</t>
  </si>
  <si>
    <t>380800 - VAT on intra-EU supplies of g&amp;s subj. to dom tax - std rate</t>
  </si>
  <si>
    <t>382000 - VAT prepayments</t>
  </si>
  <si>
    <t>383700 - VAT under section 13b UStG - standard rate Non-EU</t>
  </si>
  <si>
    <t>383800 - VAT under section 13b UStG - from EU</t>
  </si>
  <si>
    <t>384100 - VAT, previous year</t>
  </si>
  <si>
    <t>386000 - Vat liabilities</t>
  </si>
  <si>
    <t>Total Other liabilities</t>
  </si>
  <si>
    <t>Total Liabilities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</si>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</sst>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10"/>
      <color indexed="16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9"/>
      <color indexed="56"/>
      <name val="Arial"/>
    </font>
    <font>
      <b/>
      <sz val="9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10" xfId="0" applyFont="1" applyBorder="1" applyAlignment="1">
      <alignment horizontal="left" vertical="center"/>
    </xf>
    <xf numFmtId="168" fontId="21" fillId="0" borderId="10" xfId="0" applyNumberFormat="1" applyFont="1" applyBorder="1" applyAlignment="1">
      <alignment horizontal="right" vertical="center"/>
    </xf>
    <xf numFmtId="0" fontId="24" fillId="0" borderId="0" xfId="0" applyFont="1" applyBorder="1" applyAlignment="1">
      <alignment horizontal="left" indent="1"/>
    </xf>
    <xf numFmtId="168" fontId="24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2"/>
    </xf>
    <xf numFmtId="168" fontId="22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3"/>
    </xf>
    <xf numFmtId="0" fontId="23" fillId="0" borderId="0" xfId="0" applyFont="1" applyBorder="1" applyAlignment="1">
      <alignment horizontal="left" indent="4"/>
    </xf>
    <xf numFmtId="168" fontId="23" fillId="0" borderId="0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3"/>
    </xf>
    <xf numFmtId="4" fontId="22" fillId="0" borderId="11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2"/>
    </xf>
    <xf numFmtId="168" fontId="22" fillId="0" borderId="11" xfId="0" applyNumberFormat="1" applyFont="1" applyBorder="1" applyAlignment="1">
      <alignment horizontal="right" vertical="center"/>
    </xf>
    <xf numFmtId="4" fontId="23" fillId="0" borderId="0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left" indent="1"/>
    </xf>
    <xf numFmtId="168" fontId="22" fillId="0" borderId="12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1"/>
    </xf>
    <xf numFmtId="0" fontId="23" fillId="0" borderId="0" xfId="0" applyFont="1" applyBorder="1" applyAlignment="1">
      <alignment horizontal="left" indent="2"/>
    </xf>
    <xf numFmtId="0" fontId="22" fillId="0" borderId="11" xfId="0" applyFont="1" applyBorder="1" applyAlignment="1">
      <alignment horizontal="left" indent="1"/>
    </xf>
    <xf numFmtId="0" fontId="25" fillId="0" borderId="13" xfId="0" applyFont="1" applyBorder="1" applyAlignment="1">
      <alignment horizontal="left" vertical="center"/>
    </xf>
    <xf numFmtId="168" fontId="25" fillId="0" borderId="13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indent="3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36"/>
  <sheetViews>
    <sheetView tabSelected="1" workbookViewId="0">
      <pane ySplit="5" topLeftCell="A6" activePane="bottomLeft" state="frozen"/>
      <selection pane="bottomLeft" activeCell="AC136" sqref="AC136"/>
    </sheetView>
  </sheetViews>
  <sheetFormatPr baseColWidth="10" defaultRowHeight="11.25" x14ac:dyDescent="0.2"/>
  <cols>
    <col min="1" max="1" width="66.83203125" bestFit="1" customWidth="1"/>
    <col min="2" max="86" width="14.33203125" bestFit="1" customWidth="1"/>
  </cols>
  <sheetData>
    <row r="1" spans="1:86" s="27" customFormat="1" ht="15.75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</row>
    <row r="2" spans="1:86" s="27" customFormat="1" ht="18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</row>
    <row r="3" spans="1:86" s="27" customFormat="1" ht="18" x14ac:dyDescent="0.25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</row>
    <row r="4" spans="1:86" x14ac:dyDescent="0.2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  <c r="AX4" s="2" t="s">
        <v>52</v>
      </c>
      <c r="AY4" s="2" t="s">
        <v>53</v>
      </c>
      <c r="AZ4" s="2" t="s">
        <v>54</v>
      </c>
      <c r="BA4" s="2" t="s">
        <v>55</v>
      </c>
      <c r="BB4" s="2" t="s">
        <v>56</v>
      </c>
      <c r="BC4" s="2" t="s">
        <v>57</v>
      </c>
      <c r="BD4" s="2" t="s">
        <v>58</v>
      </c>
      <c r="BE4" s="2" t="s">
        <v>59</v>
      </c>
      <c r="BF4" s="2" t="s">
        <v>60</v>
      </c>
      <c r="BG4" s="2" t="s">
        <v>61</v>
      </c>
      <c r="BH4" s="2" t="s">
        <v>62</v>
      </c>
      <c r="BI4" s="2" t="s">
        <v>63</v>
      </c>
      <c r="BJ4" s="2" t="s">
        <v>64</v>
      </c>
      <c r="BK4" s="2" t="s">
        <v>65</v>
      </c>
      <c r="BL4" s="2" t="s">
        <v>66</v>
      </c>
      <c r="BM4" s="2" t="s">
        <v>67</v>
      </c>
      <c r="BN4" s="2" t="s">
        <v>68</v>
      </c>
      <c r="BO4" s="2" t="s">
        <v>69</v>
      </c>
      <c r="BP4" s="2" t="s">
        <v>70</v>
      </c>
      <c r="BQ4" s="2" t="s">
        <v>71</v>
      </c>
      <c r="BR4" s="2" t="s">
        <v>72</v>
      </c>
      <c r="BS4" s="2" t="s">
        <v>73</v>
      </c>
      <c r="BT4" s="2" t="s">
        <v>74</v>
      </c>
      <c r="BU4" s="2" t="s">
        <v>75</v>
      </c>
      <c r="BV4" s="2" t="s">
        <v>76</v>
      </c>
      <c r="BW4" s="2" t="s">
        <v>77</v>
      </c>
      <c r="BX4" s="2" t="s">
        <v>78</v>
      </c>
      <c r="BY4" s="2" t="s">
        <v>79</v>
      </c>
      <c r="BZ4" s="2" t="s">
        <v>80</v>
      </c>
      <c r="CA4" s="2" t="s">
        <v>81</v>
      </c>
      <c r="CB4" s="2" t="s">
        <v>82</v>
      </c>
      <c r="CC4" s="2" t="s">
        <v>83</v>
      </c>
      <c r="CD4" s="2" t="s">
        <v>84</v>
      </c>
      <c r="CE4" s="2" t="s">
        <v>85</v>
      </c>
      <c r="CF4" s="2" t="s">
        <v>86</v>
      </c>
      <c r="CG4" s="2" t="s">
        <v>87</v>
      </c>
      <c r="CH4" s="2" t="s">
        <v>88</v>
      </c>
    </row>
    <row r="5" spans="1:86" x14ac:dyDescent="0.2">
      <c r="A5" s="1" t="s">
        <v>3</v>
      </c>
      <c r="B5" s="2" t="s">
        <v>89</v>
      </c>
      <c r="C5" s="2" t="s">
        <v>89</v>
      </c>
      <c r="D5" s="2" t="s">
        <v>89</v>
      </c>
      <c r="E5" s="2" t="s">
        <v>89</v>
      </c>
      <c r="F5" s="2" t="s">
        <v>89</v>
      </c>
      <c r="G5" s="2" t="s">
        <v>89</v>
      </c>
      <c r="H5" s="2" t="s">
        <v>89</v>
      </c>
      <c r="I5" s="2" t="s">
        <v>89</v>
      </c>
      <c r="J5" s="2" t="s">
        <v>89</v>
      </c>
      <c r="K5" s="2" t="s">
        <v>89</v>
      </c>
      <c r="L5" s="2" t="s">
        <v>89</v>
      </c>
      <c r="M5" s="2" t="s">
        <v>89</v>
      </c>
      <c r="N5" s="2" t="s">
        <v>89</v>
      </c>
      <c r="O5" s="2" t="s">
        <v>89</v>
      </c>
      <c r="P5" s="2" t="s">
        <v>89</v>
      </c>
      <c r="Q5" s="2" t="s">
        <v>89</v>
      </c>
      <c r="R5" s="2" t="s">
        <v>89</v>
      </c>
      <c r="S5" s="2" t="s">
        <v>89</v>
      </c>
      <c r="T5" s="2" t="s">
        <v>89</v>
      </c>
      <c r="U5" s="2" t="s">
        <v>89</v>
      </c>
      <c r="V5" s="2" t="s">
        <v>89</v>
      </c>
      <c r="W5" s="2" t="s">
        <v>89</v>
      </c>
      <c r="X5" s="2" t="s">
        <v>89</v>
      </c>
      <c r="Y5" s="2" t="s">
        <v>89</v>
      </c>
      <c r="Z5" s="2" t="s">
        <v>89</v>
      </c>
      <c r="AA5" s="2" t="s">
        <v>89</v>
      </c>
      <c r="AB5" s="2" t="s">
        <v>89</v>
      </c>
      <c r="AC5" s="2" t="s">
        <v>89</v>
      </c>
      <c r="AD5" s="2" t="s">
        <v>89</v>
      </c>
      <c r="AE5" s="2" t="s">
        <v>89</v>
      </c>
      <c r="AF5" s="2" t="s">
        <v>89</v>
      </c>
      <c r="AG5" s="2" t="s">
        <v>89</v>
      </c>
      <c r="AH5" s="2" t="s">
        <v>89</v>
      </c>
      <c r="AI5" s="2" t="s">
        <v>89</v>
      </c>
      <c r="AJ5" s="2" t="s">
        <v>89</v>
      </c>
      <c r="AK5" s="2" t="s">
        <v>89</v>
      </c>
      <c r="AL5" s="2" t="s">
        <v>89</v>
      </c>
      <c r="AM5" s="2" t="s">
        <v>89</v>
      </c>
      <c r="AN5" s="2" t="s">
        <v>89</v>
      </c>
      <c r="AO5" s="2" t="s">
        <v>89</v>
      </c>
      <c r="AP5" s="2" t="s">
        <v>89</v>
      </c>
      <c r="AQ5" s="2" t="s">
        <v>89</v>
      </c>
      <c r="AR5" s="2" t="s">
        <v>89</v>
      </c>
      <c r="AS5" s="2" t="s">
        <v>89</v>
      </c>
      <c r="AT5" s="2" t="s">
        <v>89</v>
      </c>
      <c r="AU5" s="2" t="s">
        <v>89</v>
      </c>
      <c r="AV5" s="2" t="s">
        <v>89</v>
      </c>
      <c r="AW5" s="2" t="s">
        <v>89</v>
      </c>
      <c r="AX5" s="2" t="s">
        <v>89</v>
      </c>
      <c r="AY5" s="2" t="s">
        <v>89</v>
      </c>
      <c r="AZ5" s="2" t="s">
        <v>89</v>
      </c>
      <c r="BA5" s="2" t="s">
        <v>89</v>
      </c>
      <c r="BB5" s="2" t="s">
        <v>89</v>
      </c>
      <c r="BC5" s="2" t="s">
        <v>89</v>
      </c>
      <c r="BD5" s="2" t="s">
        <v>89</v>
      </c>
      <c r="BE5" s="2" t="s">
        <v>89</v>
      </c>
      <c r="BF5" s="2" t="s">
        <v>89</v>
      </c>
      <c r="BG5" s="2" t="s">
        <v>89</v>
      </c>
      <c r="BH5" s="2" t="s">
        <v>89</v>
      </c>
      <c r="BI5" s="2" t="s">
        <v>89</v>
      </c>
      <c r="BJ5" s="2" t="s">
        <v>89</v>
      </c>
      <c r="BK5" s="2" t="s">
        <v>89</v>
      </c>
      <c r="BL5" s="2" t="s">
        <v>89</v>
      </c>
      <c r="BM5" s="2" t="s">
        <v>89</v>
      </c>
      <c r="BN5" s="2" t="s">
        <v>89</v>
      </c>
      <c r="BO5" s="2" t="s">
        <v>89</v>
      </c>
      <c r="BP5" s="2" t="s">
        <v>89</v>
      </c>
      <c r="BQ5" s="2" t="s">
        <v>89</v>
      </c>
      <c r="BR5" s="2" t="s">
        <v>89</v>
      </c>
      <c r="BS5" s="2" t="s">
        <v>89</v>
      </c>
      <c r="BT5" s="2" t="s">
        <v>89</v>
      </c>
      <c r="BU5" s="2" t="s">
        <v>89</v>
      </c>
      <c r="BV5" s="2" t="s">
        <v>89</v>
      </c>
      <c r="BW5" s="2" t="s">
        <v>89</v>
      </c>
      <c r="BX5" s="2" t="s">
        <v>89</v>
      </c>
      <c r="BY5" s="2" t="s">
        <v>89</v>
      </c>
      <c r="BZ5" s="2" t="s">
        <v>89</v>
      </c>
      <c r="CA5" s="2" t="s">
        <v>89</v>
      </c>
      <c r="CB5" s="2" t="s">
        <v>89</v>
      </c>
      <c r="CC5" s="2" t="s">
        <v>89</v>
      </c>
      <c r="CD5" s="2" t="s">
        <v>89</v>
      </c>
      <c r="CE5" s="2" t="s">
        <v>89</v>
      </c>
      <c r="CF5" s="2" t="s">
        <v>89</v>
      </c>
      <c r="CG5" s="2" t="s">
        <v>89</v>
      </c>
      <c r="CH5" s="2" t="s">
        <v>89</v>
      </c>
    </row>
    <row r="6" spans="1:86" ht="12.75" x14ac:dyDescent="0.2">
      <c r="A6" s="3" t="s">
        <v>90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</row>
    <row r="7" spans="1:86" ht="12" x14ac:dyDescent="0.2">
      <c r="A7" s="5" t="s">
        <v>91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</row>
    <row r="8" spans="1:86" x14ac:dyDescent="0.2">
      <c r="A8" s="7" t="s">
        <v>92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spans="1:86" x14ac:dyDescent="0.2">
      <c r="A9" s="9" t="s">
        <v>93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</row>
    <row r="10" spans="1:86" x14ac:dyDescent="0.2">
      <c r="A10" s="10" t="s">
        <v>94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135.74</v>
      </c>
      <c r="AG10" s="11">
        <v>254.73000000000002</v>
      </c>
      <c r="AH10" s="11">
        <v>222.88000000000002</v>
      </c>
      <c r="AI10" s="11">
        <v>191.04000000000002</v>
      </c>
      <c r="AJ10" s="11">
        <v>159.19000000000003</v>
      </c>
      <c r="AK10" s="11">
        <v>127.39000000000003</v>
      </c>
      <c r="AL10" s="11">
        <v>95.500000000000028</v>
      </c>
      <c r="AM10" s="11">
        <v>63.690000000000026</v>
      </c>
      <c r="AN10" s="11">
        <v>277.19000000000005</v>
      </c>
      <c r="AO10" s="11">
        <v>5.6843418860808015E-14</v>
      </c>
      <c r="AP10" s="11">
        <v>5.6843418860808015E-14</v>
      </c>
      <c r="AQ10" s="11">
        <v>5.6843418860808015E-14</v>
      </c>
      <c r="AR10" s="11">
        <v>5.6843418860808015E-14</v>
      </c>
      <c r="AS10" s="11">
        <v>5.6843418860808015E-14</v>
      </c>
      <c r="AT10" s="11">
        <v>5.6843418860808015E-14</v>
      </c>
      <c r="AU10" s="11">
        <v>5.6843418860808015E-14</v>
      </c>
      <c r="AV10" s="11">
        <v>5.6843418860808015E-14</v>
      </c>
      <c r="AW10" s="11">
        <v>5.6843418860808015E-14</v>
      </c>
      <c r="AX10" s="11">
        <v>5.6843418860808015E-14</v>
      </c>
      <c r="AY10" s="11">
        <v>5.6843418860808015E-14</v>
      </c>
      <c r="AZ10" s="11">
        <v>5.6843418860808015E-14</v>
      </c>
      <c r="BA10" s="11">
        <v>5205</v>
      </c>
      <c r="BB10" s="11">
        <v>5205</v>
      </c>
      <c r="BC10" s="11">
        <v>5205</v>
      </c>
      <c r="BD10" s="11">
        <v>5205</v>
      </c>
      <c r="BE10" s="11">
        <v>5205</v>
      </c>
      <c r="BF10" s="11">
        <v>5205</v>
      </c>
      <c r="BG10" s="11">
        <v>5205</v>
      </c>
      <c r="BH10" s="11">
        <v>5205</v>
      </c>
      <c r="BI10" s="11">
        <v>5205</v>
      </c>
      <c r="BJ10" s="11">
        <v>5205</v>
      </c>
      <c r="BK10" s="11">
        <v>5205</v>
      </c>
      <c r="BL10" s="11">
        <v>5205</v>
      </c>
      <c r="BM10" s="11">
        <v>5205</v>
      </c>
      <c r="BN10" s="11">
        <v>5205</v>
      </c>
      <c r="BO10" s="11">
        <v>5205</v>
      </c>
      <c r="BP10" s="11">
        <v>5205</v>
      </c>
      <c r="BQ10" s="11">
        <v>5205</v>
      </c>
      <c r="BR10" s="11">
        <v>5205</v>
      </c>
      <c r="BS10" s="11">
        <v>5205</v>
      </c>
      <c r="BT10" s="11">
        <v>5205</v>
      </c>
      <c r="BU10" s="11">
        <v>5205</v>
      </c>
      <c r="BV10" s="11">
        <v>5205</v>
      </c>
      <c r="BW10" s="11">
        <v>5205</v>
      </c>
      <c r="BX10" s="11">
        <v>5205</v>
      </c>
      <c r="BY10" s="11">
        <v>5205</v>
      </c>
      <c r="BZ10" s="11">
        <v>5205</v>
      </c>
      <c r="CA10" s="11">
        <v>5205</v>
      </c>
      <c r="CB10" s="11">
        <v>5205</v>
      </c>
      <c r="CC10" s="11">
        <v>5205</v>
      </c>
      <c r="CD10" s="11">
        <v>5205</v>
      </c>
      <c r="CE10" s="11">
        <v>5205</v>
      </c>
      <c r="CF10" s="11">
        <v>5205</v>
      </c>
      <c r="CG10" s="11">
        <v>5205</v>
      </c>
      <c r="CH10" s="11">
        <v>5205</v>
      </c>
    </row>
    <row r="11" spans="1:86" x14ac:dyDescent="0.2">
      <c r="A11" s="10" t="s">
        <v>95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-5205</v>
      </c>
      <c r="BB11" s="11">
        <v>-5205</v>
      </c>
      <c r="BC11" s="11">
        <v>-5205</v>
      </c>
      <c r="BD11" s="11">
        <v>-5205</v>
      </c>
      <c r="BE11" s="11">
        <v>-5205</v>
      </c>
      <c r="BF11" s="11">
        <v>-5205</v>
      </c>
      <c r="BG11" s="11">
        <v>-5205</v>
      </c>
      <c r="BH11" s="11">
        <v>-5205</v>
      </c>
      <c r="BI11" s="11">
        <v>-5205</v>
      </c>
      <c r="BJ11" s="11">
        <v>-5205</v>
      </c>
      <c r="BK11" s="11">
        <v>-5205</v>
      </c>
      <c r="BL11" s="11">
        <v>-5205</v>
      </c>
      <c r="BM11" s="11">
        <v>-5205</v>
      </c>
      <c r="BN11" s="11">
        <v>-5205</v>
      </c>
      <c r="BO11" s="11">
        <v>-5205</v>
      </c>
      <c r="BP11" s="11">
        <v>-5205</v>
      </c>
      <c r="BQ11" s="11">
        <v>-5205</v>
      </c>
      <c r="BR11" s="11">
        <v>-5205</v>
      </c>
      <c r="BS11" s="11">
        <v>-5205</v>
      </c>
      <c r="BT11" s="11">
        <v>-5205</v>
      </c>
      <c r="BU11" s="11">
        <v>-5205</v>
      </c>
      <c r="BV11" s="11">
        <v>-5205</v>
      </c>
      <c r="BW11" s="11">
        <v>-5205</v>
      </c>
      <c r="BX11" s="11">
        <v>-5205</v>
      </c>
      <c r="BY11" s="11">
        <v>-5205</v>
      </c>
      <c r="BZ11" s="11">
        <v>-5205</v>
      </c>
      <c r="CA11" s="11">
        <v>-5205</v>
      </c>
      <c r="CB11" s="11">
        <v>-5205</v>
      </c>
      <c r="CC11" s="11">
        <v>-5205</v>
      </c>
      <c r="CD11" s="11">
        <v>-5205</v>
      </c>
      <c r="CE11" s="11">
        <v>-5205</v>
      </c>
      <c r="CF11" s="11">
        <v>-5205</v>
      </c>
      <c r="CG11" s="11">
        <v>-5205</v>
      </c>
      <c r="CH11" s="11">
        <v>-5205</v>
      </c>
    </row>
    <row r="12" spans="1:86" x14ac:dyDescent="0.2">
      <c r="A12" s="12" t="s">
        <v>96</v>
      </c>
      <c r="B12" s="13">
        <f t="shared" ref="B12:AG12" si="0">SUM(B10:B11)</f>
        <v>0</v>
      </c>
      <c r="C12" s="13">
        <f t="shared" si="0"/>
        <v>0</v>
      </c>
      <c r="D12" s="13">
        <f t="shared" si="0"/>
        <v>0</v>
      </c>
      <c r="E12" s="13">
        <f t="shared" si="0"/>
        <v>0</v>
      </c>
      <c r="F12" s="13">
        <f t="shared" si="0"/>
        <v>0</v>
      </c>
      <c r="G12" s="13">
        <f t="shared" si="0"/>
        <v>0</v>
      </c>
      <c r="H12" s="13">
        <f t="shared" si="0"/>
        <v>0</v>
      </c>
      <c r="I12" s="13">
        <f t="shared" si="0"/>
        <v>0</v>
      </c>
      <c r="J12" s="13">
        <f t="shared" si="0"/>
        <v>0</v>
      </c>
      <c r="K12" s="13">
        <f t="shared" si="0"/>
        <v>0</v>
      </c>
      <c r="L12" s="13">
        <f t="shared" si="0"/>
        <v>0</v>
      </c>
      <c r="M12" s="13">
        <f t="shared" si="0"/>
        <v>0</v>
      </c>
      <c r="N12" s="13">
        <f t="shared" si="0"/>
        <v>0</v>
      </c>
      <c r="O12" s="13">
        <f t="shared" si="0"/>
        <v>0</v>
      </c>
      <c r="P12" s="13">
        <f t="shared" si="0"/>
        <v>0</v>
      </c>
      <c r="Q12" s="13">
        <f t="shared" si="0"/>
        <v>0</v>
      </c>
      <c r="R12" s="13">
        <f t="shared" si="0"/>
        <v>0</v>
      </c>
      <c r="S12" s="13">
        <f t="shared" si="0"/>
        <v>0</v>
      </c>
      <c r="T12" s="13">
        <f t="shared" si="0"/>
        <v>0</v>
      </c>
      <c r="U12" s="13">
        <f t="shared" si="0"/>
        <v>0</v>
      </c>
      <c r="V12" s="13">
        <f t="shared" si="0"/>
        <v>0</v>
      </c>
      <c r="W12" s="13">
        <f t="shared" si="0"/>
        <v>0</v>
      </c>
      <c r="X12" s="13">
        <f t="shared" si="0"/>
        <v>0</v>
      </c>
      <c r="Y12" s="13">
        <f t="shared" si="0"/>
        <v>0</v>
      </c>
      <c r="Z12" s="13">
        <f t="shared" si="0"/>
        <v>0</v>
      </c>
      <c r="AA12" s="13">
        <f t="shared" si="0"/>
        <v>0</v>
      </c>
      <c r="AB12" s="13">
        <f t="shared" si="0"/>
        <v>0</v>
      </c>
      <c r="AC12" s="13">
        <f t="shared" si="0"/>
        <v>0</v>
      </c>
      <c r="AD12" s="13">
        <f t="shared" si="0"/>
        <v>0</v>
      </c>
      <c r="AE12" s="13">
        <f t="shared" si="0"/>
        <v>0</v>
      </c>
      <c r="AF12" s="13">
        <f t="shared" si="0"/>
        <v>135.74</v>
      </c>
      <c r="AG12" s="13">
        <f t="shared" si="0"/>
        <v>254.73000000000002</v>
      </c>
      <c r="AH12" s="13">
        <f t="shared" ref="AH12:BM12" si="1">SUM(AH10:AH11)</f>
        <v>222.88000000000002</v>
      </c>
      <c r="AI12" s="13">
        <f t="shared" si="1"/>
        <v>191.04000000000002</v>
      </c>
      <c r="AJ12" s="13">
        <f t="shared" si="1"/>
        <v>159.19000000000003</v>
      </c>
      <c r="AK12" s="13">
        <f t="shared" si="1"/>
        <v>127.39000000000003</v>
      </c>
      <c r="AL12" s="13">
        <f t="shared" si="1"/>
        <v>95.500000000000028</v>
      </c>
      <c r="AM12" s="13">
        <f t="shared" si="1"/>
        <v>63.690000000000026</v>
      </c>
      <c r="AN12" s="13">
        <f t="shared" si="1"/>
        <v>277.19000000000005</v>
      </c>
      <c r="AO12" s="13">
        <f t="shared" si="1"/>
        <v>5.6843418860808015E-14</v>
      </c>
      <c r="AP12" s="13">
        <f t="shared" si="1"/>
        <v>5.6843418860808015E-14</v>
      </c>
      <c r="AQ12" s="13">
        <f t="shared" si="1"/>
        <v>5.6843418860808015E-14</v>
      </c>
      <c r="AR12" s="13">
        <f t="shared" si="1"/>
        <v>5.6843418860808015E-14</v>
      </c>
      <c r="AS12" s="13">
        <f t="shared" si="1"/>
        <v>5.6843418860808015E-14</v>
      </c>
      <c r="AT12" s="13">
        <f t="shared" si="1"/>
        <v>5.6843418860808015E-14</v>
      </c>
      <c r="AU12" s="13">
        <f t="shared" si="1"/>
        <v>5.6843418860808015E-14</v>
      </c>
      <c r="AV12" s="13">
        <f t="shared" si="1"/>
        <v>5.6843418860808015E-14</v>
      </c>
      <c r="AW12" s="13">
        <f t="shared" si="1"/>
        <v>5.6843418860808015E-14</v>
      </c>
      <c r="AX12" s="13">
        <f t="shared" si="1"/>
        <v>5.6843418860808015E-14</v>
      </c>
      <c r="AY12" s="13">
        <f t="shared" si="1"/>
        <v>5.6843418860808015E-14</v>
      </c>
      <c r="AZ12" s="13">
        <f t="shared" si="1"/>
        <v>5.6843418860808015E-14</v>
      </c>
      <c r="BA12" s="13">
        <f t="shared" si="1"/>
        <v>0</v>
      </c>
      <c r="BB12" s="13">
        <f t="shared" si="1"/>
        <v>0</v>
      </c>
      <c r="BC12" s="13">
        <f t="shared" si="1"/>
        <v>0</v>
      </c>
      <c r="BD12" s="13">
        <f t="shared" si="1"/>
        <v>0</v>
      </c>
      <c r="BE12" s="13">
        <f t="shared" si="1"/>
        <v>0</v>
      </c>
      <c r="BF12" s="13">
        <f t="shared" si="1"/>
        <v>0</v>
      </c>
      <c r="BG12" s="13">
        <f t="shared" si="1"/>
        <v>0</v>
      </c>
      <c r="BH12" s="13">
        <f t="shared" si="1"/>
        <v>0</v>
      </c>
      <c r="BI12" s="13">
        <f t="shared" si="1"/>
        <v>0</v>
      </c>
      <c r="BJ12" s="13">
        <f t="shared" si="1"/>
        <v>0</v>
      </c>
      <c r="BK12" s="13">
        <f t="shared" si="1"/>
        <v>0</v>
      </c>
      <c r="BL12" s="13">
        <f t="shared" si="1"/>
        <v>0</v>
      </c>
      <c r="BM12" s="13">
        <f t="shared" si="1"/>
        <v>0</v>
      </c>
      <c r="BN12" s="13">
        <f t="shared" ref="BN12:CS12" si="2">SUM(BN10:BN11)</f>
        <v>0</v>
      </c>
      <c r="BO12" s="13">
        <f t="shared" si="2"/>
        <v>0</v>
      </c>
      <c r="BP12" s="13">
        <f t="shared" si="2"/>
        <v>0</v>
      </c>
      <c r="BQ12" s="13">
        <f t="shared" si="2"/>
        <v>0</v>
      </c>
      <c r="BR12" s="13">
        <f t="shared" si="2"/>
        <v>0</v>
      </c>
      <c r="BS12" s="13">
        <f t="shared" si="2"/>
        <v>0</v>
      </c>
      <c r="BT12" s="13">
        <f t="shared" si="2"/>
        <v>0</v>
      </c>
      <c r="BU12" s="13">
        <f t="shared" si="2"/>
        <v>0</v>
      </c>
      <c r="BV12" s="13">
        <f t="shared" si="2"/>
        <v>0</v>
      </c>
      <c r="BW12" s="13">
        <f t="shared" si="2"/>
        <v>0</v>
      </c>
      <c r="BX12" s="13">
        <f t="shared" si="2"/>
        <v>0</v>
      </c>
      <c r="BY12" s="13">
        <f t="shared" si="2"/>
        <v>0</v>
      </c>
      <c r="BZ12" s="13">
        <f t="shared" si="2"/>
        <v>0</v>
      </c>
      <c r="CA12" s="13">
        <f t="shared" si="2"/>
        <v>0</v>
      </c>
      <c r="CB12" s="13">
        <f t="shared" si="2"/>
        <v>0</v>
      </c>
      <c r="CC12" s="13">
        <f t="shared" si="2"/>
        <v>0</v>
      </c>
      <c r="CD12" s="13">
        <f t="shared" si="2"/>
        <v>0</v>
      </c>
      <c r="CE12" s="13">
        <f t="shared" si="2"/>
        <v>0</v>
      </c>
      <c r="CF12" s="13">
        <f t="shared" si="2"/>
        <v>0</v>
      </c>
      <c r="CG12" s="13">
        <f t="shared" si="2"/>
        <v>0</v>
      </c>
      <c r="CH12" s="13">
        <f t="shared" si="2"/>
        <v>0</v>
      </c>
    </row>
    <row r="13" spans="1:86" x14ac:dyDescent="0.2">
      <c r="A13" s="14" t="s">
        <v>97</v>
      </c>
      <c r="B13" s="15">
        <f t="shared" ref="B13:AG13" si="3">0+B12+0+0</f>
        <v>0</v>
      </c>
      <c r="C13" s="15">
        <f t="shared" si="3"/>
        <v>0</v>
      </c>
      <c r="D13" s="15">
        <f t="shared" si="3"/>
        <v>0</v>
      </c>
      <c r="E13" s="15">
        <f t="shared" si="3"/>
        <v>0</v>
      </c>
      <c r="F13" s="15">
        <f t="shared" si="3"/>
        <v>0</v>
      </c>
      <c r="G13" s="15">
        <f t="shared" si="3"/>
        <v>0</v>
      </c>
      <c r="H13" s="15">
        <f t="shared" si="3"/>
        <v>0</v>
      </c>
      <c r="I13" s="15">
        <f t="shared" si="3"/>
        <v>0</v>
      </c>
      <c r="J13" s="15">
        <f t="shared" si="3"/>
        <v>0</v>
      </c>
      <c r="K13" s="15">
        <f t="shared" si="3"/>
        <v>0</v>
      </c>
      <c r="L13" s="15">
        <f t="shared" si="3"/>
        <v>0</v>
      </c>
      <c r="M13" s="15">
        <f t="shared" si="3"/>
        <v>0</v>
      </c>
      <c r="N13" s="15">
        <f t="shared" si="3"/>
        <v>0</v>
      </c>
      <c r="O13" s="15">
        <f t="shared" si="3"/>
        <v>0</v>
      </c>
      <c r="P13" s="15">
        <f t="shared" si="3"/>
        <v>0</v>
      </c>
      <c r="Q13" s="15">
        <f t="shared" si="3"/>
        <v>0</v>
      </c>
      <c r="R13" s="15">
        <f t="shared" si="3"/>
        <v>0</v>
      </c>
      <c r="S13" s="15">
        <f t="shared" si="3"/>
        <v>0</v>
      </c>
      <c r="T13" s="15">
        <f t="shared" si="3"/>
        <v>0</v>
      </c>
      <c r="U13" s="15">
        <f t="shared" si="3"/>
        <v>0</v>
      </c>
      <c r="V13" s="15">
        <f t="shared" si="3"/>
        <v>0</v>
      </c>
      <c r="W13" s="15">
        <f t="shared" si="3"/>
        <v>0</v>
      </c>
      <c r="X13" s="15">
        <f t="shared" si="3"/>
        <v>0</v>
      </c>
      <c r="Y13" s="15">
        <f t="shared" si="3"/>
        <v>0</v>
      </c>
      <c r="Z13" s="15">
        <f t="shared" si="3"/>
        <v>0</v>
      </c>
      <c r="AA13" s="15">
        <f t="shared" si="3"/>
        <v>0</v>
      </c>
      <c r="AB13" s="15">
        <f t="shared" si="3"/>
        <v>0</v>
      </c>
      <c r="AC13" s="15">
        <f t="shared" si="3"/>
        <v>0</v>
      </c>
      <c r="AD13" s="15">
        <f t="shared" si="3"/>
        <v>0</v>
      </c>
      <c r="AE13" s="15">
        <f t="shared" si="3"/>
        <v>0</v>
      </c>
      <c r="AF13" s="15">
        <f t="shared" si="3"/>
        <v>135.74</v>
      </c>
      <c r="AG13" s="15">
        <f t="shared" si="3"/>
        <v>254.73000000000002</v>
      </c>
      <c r="AH13" s="15">
        <f t="shared" ref="AH13:BM13" si="4">0+AH12+0+0</f>
        <v>222.88000000000002</v>
      </c>
      <c r="AI13" s="15">
        <f t="shared" si="4"/>
        <v>191.04000000000002</v>
      </c>
      <c r="AJ13" s="15">
        <f t="shared" si="4"/>
        <v>159.19000000000003</v>
      </c>
      <c r="AK13" s="15">
        <f t="shared" si="4"/>
        <v>127.39000000000003</v>
      </c>
      <c r="AL13" s="15">
        <f t="shared" si="4"/>
        <v>95.500000000000028</v>
      </c>
      <c r="AM13" s="15">
        <f t="shared" si="4"/>
        <v>63.690000000000026</v>
      </c>
      <c r="AN13" s="15">
        <f t="shared" si="4"/>
        <v>277.19000000000005</v>
      </c>
      <c r="AO13" s="15">
        <f t="shared" si="4"/>
        <v>5.6843418860808015E-14</v>
      </c>
      <c r="AP13" s="15">
        <f t="shared" si="4"/>
        <v>5.6843418860808015E-14</v>
      </c>
      <c r="AQ13" s="15">
        <f t="shared" si="4"/>
        <v>5.6843418860808015E-14</v>
      </c>
      <c r="AR13" s="15">
        <f t="shared" si="4"/>
        <v>5.6843418860808015E-14</v>
      </c>
      <c r="AS13" s="15">
        <f t="shared" si="4"/>
        <v>5.6843418860808015E-14</v>
      </c>
      <c r="AT13" s="15">
        <f t="shared" si="4"/>
        <v>5.6843418860808015E-14</v>
      </c>
      <c r="AU13" s="15">
        <f t="shared" si="4"/>
        <v>5.6843418860808015E-14</v>
      </c>
      <c r="AV13" s="15">
        <f t="shared" si="4"/>
        <v>5.6843418860808015E-14</v>
      </c>
      <c r="AW13" s="15">
        <f t="shared" si="4"/>
        <v>5.6843418860808015E-14</v>
      </c>
      <c r="AX13" s="15">
        <f t="shared" si="4"/>
        <v>5.6843418860808015E-14</v>
      </c>
      <c r="AY13" s="15">
        <f t="shared" si="4"/>
        <v>5.6843418860808015E-14</v>
      </c>
      <c r="AZ13" s="15">
        <f t="shared" si="4"/>
        <v>5.6843418860808015E-14</v>
      </c>
      <c r="BA13" s="15">
        <f t="shared" si="4"/>
        <v>0</v>
      </c>
      <c r="BB13" s="15">
        <f t="shared" si="4"/>
        <v>0</v>
      </c>
      <c r="BC13" s="15">
        <f t="shared" si="4"/>
        <v>0</v>
      </c>
      <c r="BD13" s="15">
        <f t="shared" si="4"/>
        <v>0</v>
      </c>
      <c r="BE13" s="15">
        <f t="shared" si="4"/>
        <v>0</v>
      </c>
      <c r="BF13" s="15">
        <f t="shared" si="4"/>
        <v>0</v>
      </c>
      <c r="BG13" s="15">
        <f t="shared" si="4"/>
        <v>0</v>
      </c>
      <c r="BH13" s="15">
        <f t="shared" si="4"/>
        <v>0</v>
      </c>
      <c r="BI13" s="15">
        <f t="shared" si="4"/>
        <v>0</v>
      </c>
      <c r="BJ13" s="15">
        <f t="shared" si="4"/>
        <v>0</v>
      </c>
      <c r="BK13" s="15">
        <f t="shared" si="4"/>
        <v>0</v>
      </c>
      <c r="BL13" s="15">
        <f t="shared" si="4"/>
        <v>0</v>
      </c>
      <c r="BM13" s="15">
        <f t="shared" si="4"/>
        <v>0</v>
      </c>
      <c r="BN13" s="15">
        <f t="shared" ref="BN13:CS13" si="5">0+BN12+0+0</f>
        <v>0</v>
      </c>
      <c r="BO13" s="15">
        <f t="shared" si="5"/>
        <v>0</v>
      </c>
      <c r="BP13" s="15">
        <f t="shared" si="5"/>
        <v>0</v>
      </c>
      <c r="BQ13" s="15">
        <f t="shared" si="5"/>
        <v>0</v>
      </c>
      <c r="BR13" s="15">
        <f t="shared" si="5"/>
        <v>0</v>
      </c>
      <c r="BS13" s="15">
        <f t="shared" si="5"/>
        <v>0</v>
      </c>
      <c r="BT13" s="15">
        <f t="shared" si="5"/>
        <v>0</v>
      </c>
      <c r="BU13" s="15">
        <f t="shared" si="5"/>
        <v>0</v>
      </c>
      <c r="BV13" s="15">
        <f t="shared" si="5"/>
        <v>0</v>
      </c>
      <c r="BW13" s="15">
        <f t="shared" si="5"/>
        <v>0</v>
      </c>
      <c r="BX13" s="15">
        <f t="shared" si="5"/>
        <v>0</v>
      </c>
      <c r="BY13" s="15">
        <f t="shared" si="5"/>
        <v>0</v>
      </c>
      <c r="BZ13" s="15">
        <f t="shared" si="5"/>
        <v>0</v>
      </c>
      <c r="CA13" s="15">
        <f t="shared" si="5"/>
        <v>0</v>
      </c>
      <c r="CB13" s="15">
        <f t="shared" si="5"/>
        <v>0</v>
      </c>
      <c r="CC13" s="15">
        <f t="shared" si="5"/>
        <v>0</v>
      </c>
      <c r="CD13" s="15">
        <f t="shared" si="5"/>
        <v>0</v>
      </c>
      <c r="CE13" s="15">
        <f t="shared" si="5"/>
        <v>0</v>
      </c>
      <c r="CF13" s="15">
        <f t="shared" si="5"/>
        <v>0</v>
      </c>
      <c r="CG13" s="15">
        <f t="shared" si="5"/>
        <v>0</v>
      </c>
      <c r="CH13" s="15">
        <f t="shared" si="5"/>
        <v>0</v>
      </c>
    </row>
    <row r="14" spans="1:86" x14ac:dyDescent="0.2">
      <c r="A14" s="7" t="s">
        <v>98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</row>
    <row r="15" spans="1:86" x14ac:dyDescent="0.2">
      <c r="A15" s="9" t="s">
        <v>99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</row>
    <row r="16" spans="1:86" x14ac:dyDescent="0.2">
      <c r="A16" s="10" t="s">
        <v>100</v>
      </c>
      <c r="B16" s="16">
        <v>42749</v>
      </c>
      <c r="C16" s="16">
        <v>42749</v>
      </c>
      <c r="D16" s="16">
        <v>39950.080000000002</v>
      </c>
      <c r="E16" s="16">
        <v>37571.14</v>
      </c>
      <c r="F16" s="16">
        <v>37292.379999999997</v>
      </c>
      <c r="G16" s="16">
        <v>48018.720000000001</v>
      </c>
      <c r="H16" s="16">
        <v>48466.57</v>
      </c>
      <c r="I16" s="16">
        <v>63302.94</v>
      </c>
      <c r="J16" s="16">
        <v>59983.33</v>
      </c>
      <c r="K16" s="16">
        <v>57301.36</v>
      </c>
      <c r="L16" s="16">
        <v>57445.95</v>
      </c>
      <c r="M16" s="16">
        <v>54363.06</v>
      </c>
      <c r="N16" s="16">
        <v>51779.47</v>
      </c>
      <c r="O16" s="16">
        <v>65486</v>
      </c>
      <c r="P16" s="16">
        <v>65486</v>
      </c>
      <c r="Q16" s="16">
        <v>62385.1</v>
      </c>
      <c r="R16" s="16">
        <v>59497.2</v>
      </c>
      <c r="S16" s="16">
        <v>56634.43</v>
      </c>
      <c r="T16" s="16">
        <v>59089.599999999999</v>
      </c>
      <c r="U16" s="16">
        <v>56377.72</v>
      </c>
      <c r="V16" s="16">
        <v>53666.080000000002</v>
      </c>
      <c r="W16" s="16">
        <v>50954.19</v>
      </c>
      <c r="X16" s="16">
        <v>48242.47</v>
      </c>
      <c r="Y16" s="16">
        <v>45530.69</v>
      </c>
      <c r="Z16" s="16">
        <v>42818.87</v>
      </c>
      <c r="AA16" s="16">
        <v>40142.32</v>
      </c>
      <c r="AB16" s="16">
        <v>37848</v>
      </c>
      <c r="AC16" s="16">
        <v>37848</v>
      </c>
      <c r="AD16" s="16">
        <v>35554.199999999997</v>
      </c>
      <c r="AE16" s="16">
        <v>48217.7</v>
      </c>
      <c r="AF16" s="16">
        <v>45496.2</v>
      </c>
      <c r="AG16" s="16">
        <v>42774.789999999994</v>
      </c>
      <c r="AH16" s="16">
        <v>44705.139999999992</v>
      </c>
      <c r="AI16" s="16">
        <v>41850.579999999994</v>
      </c>
      <c r="AJ16" s="16">
        <v>39444.409999999996</v>
      </c>
      <c r="AK16" s="16">
        <v>37055.619999999995</v>
      </c>
      <c r="AL16" s="16">
        <v>34666.709999999992</v>
      </c>
      <c r="AM16" s="16">
        <v>45314.499999999993</v>
      </c>
      <c r="AN16" s="16">
        <v>42552.109999999993</v>
      </c>
      <c r="AO16" s="16">
        <v>39789.999999999993</v>
      </c>
      <c r="AP16" s="16">
        <v>37032.959999999992</v>
      </c>
      <c r="AQ16" s="16">
        <v>34275.839999999989</v>
      </c>
      <c r="AR16" s="16">
        <v>32370.099999999988</v>
      </c>
      <c r="AS16" s="16">
        <v>30023.679999999986</v>
      </c>
      <c r="AT16" s="16">
        <v>27767.489999999987</v>
      </c>
      <c r="AU16" s="16">
        <v>26013.729999999989</v>
      </c>
      <c r="AV16" s="16">
        <v>26013.729999999989</v>
      </c>
      <c r="AW16" s="16">
        <v>26013.729999999989</v>
      </c>
      <c r="AX16" s="16">
        <v>26013.729999999989</v>
      </c>
      <c r="AY16" s="16">
        <v>26013.729999999989</v>
      </c>
      <c r="AZ16" s="16">
        <v>26013.729999999989</v>
      </c>
      <c r="BA16" s="16">
        <v>-1.0913936421275139E-11</v>
      </c>
      <c r="BB16" s="16">
        <v>-1.0913936421275139E-11</v>
      </c>
      <c r="BC16" s="16">
        <v>-1.0913936421275139E-11</v>
      </c>
      <c r="BD16" s="16">
        <v>-1.0913936421275139E-11</v>
      </c>
      <c r="BE16" s="16">
        <v>-1.0913936421275139E-11</v>
      </c>
      <c r="BF16" s="16">
        <v>-1.0913936421275139E-11</v>
      </c>
      <c r="BG16" s="16">
        <v>-1.0913936421275139E-11</v>
      </c>
      <c r="BH16" s="16">
        <v>-1.0913936421275139E-11</v>
      </c>
      <c r="BI16" s="16">
        <v>-1.0913936421275139E-11</v>
      </c>
      <c r="BJ16" s="16">
        <v>-1.0913936421275139E-11</v>
      </c>
      <c r="BK16" s="16">
        <v>-1.0913936421275139E-11</v>
      </c>
      <c r="BL16" s="16">
        <v>-1.0913936421275139E-11</v>
      </c>
      <c r="BM16" s="16">
        <v>-1.0913936421275139E-11</v>
      </c>
      <c r="BN16" s="16">
        <v>-1.0913936421275139E-11</v>
      </c>
      <c r="BO16" s="16">
        <v>-1.0913936421275139E-11</v>
      </c>
      <c r="BP16" s="16">
        <v>-1.0913936421275139E-11</v>
      </c>
      <c r="BQ16" s="16">
        <v>-1.0913936421275139E-11</v>
      </c>
      <c r="BR16" s="16">
        <v>-1.0913936421275139E-11</v>
      </c>
      <c r="BS16" s="16">
        <v>-1.0913936421275139E-11</v>
      </c>
      <c r="BT16" s="16">
        <v>-1.0913936421275139E-11</v>
      </c>
      <c r="BU16" s="16">
        <v>-1.0913936421275139E-11</v>
      </c>
      <c r="BV16" s="16">
        <v>-1.0913936421275139E-11</v>
      </c>
      <c r="BW16" s="16">
        <v>-1.0913936421275139E-11</v>
      </c>
      <c r="BX16" s="16">
        <v>-1.0913936421275139E-11</v>
      </c>
      <c r="BY16" s="16">
        <v>-1.0913936421275139E-11</v>
      </c>
      <c r="BZ16" s="16">
        <v>-1.0913936421275139E-11</v>
      </c>
      <c r="CA16" s="16">
        <v>-1.0913936421275139E-11</v>
      </c>
      <c r="CB16" s="16">
        <v>-1.0913936421275139E-11</v>
      </c>
      <c r="CC16" s="16">
        <v>-1.0913936421275139E-11</v>
      </c>
      <c r="CD16" s="16">
        <v>-1.0913936421275139E-11</v>
      </c>
      <c r="CE16" s="16">
        <v>-1.0913936421275139E-11</v>
      </c>
      <c r="CF16" s="16">
        <v>-1.0913936421275139E-11</v>
      </c>
      <c r="CG16" s="16">
        <v>-1.0913936421275139E-11</v>
      </c>
      <c r="CH16" s="16">
        <v>-1.0913936421275139E-11</v>
      </c>
    </row>
    <row r="17" spans="1:86" x14ac:dyDescent="0.2">
      <c r="A17" s="10" t="s">
        <v>101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-1753.79</v>
      </c>
      <c r="AW17" s="16">
        <v>-3490.13</v>
      </c>
      <c r="AX17" s="16">
        <v>-5127.9799999999996</v>
      </c>
      <c r="AY17" s="16">
        <v>-6765.83</v>
      </c>
      <c r="AZ17" s="16">
        <v>-8403.5300000000007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</row>
    <row r="18" spans="1:86" x14ac:dyDescent="0.2">
      <c r="A18" s="10" t="s">
        <v>102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14985</v>
      </c>
      <c r="AY18" s="16">
        <v>14985</v>
      </c>
      <c r="AZ18" s="16">
        <v>14985</v>
      </c>
      <c r="BA18" s="16">
        <v>207872.96</v>
      </c>
      <c r="BB18" s="16">
        <v>207872.96</v>
      </c>
      <c r="BC18" s="16">
        <v>207872.96</v>
      </c>
      <c r="BD18" s="16">
        <v>221442.86</v>
      </c>
      <c r="BE18" s="16">
        <v>221442.86</v>
      </c>
      <c r="BF18" s="16">
        <v>221442.86</v>
      </c>
      <c r="BG18" s="16">
        <v>221442.86</v>
      </c>
      <c r="BH18" s="16">
        <v>221442.86</v>
      </c>
      <c r="BI18" s="16">
        <v>221442.86</v>
      </c>
      <c r="BJ18" s="16">
        <v>220147.86</v>
      </c>
      <c r="BK18" s="16">
        <v>220147.86</v>
      </c>
      <c r="BL18" s="16">
        <v>220147.86</v>
      </c>
      <c r="BM18" s="16">
        <v>213780.96</v>
      </c>
      <c r="BN18" s="16">
        <v>227989.37</v>
      </c>
      <c r="BO18" s="16">
        <v>227989.37</v>
      </c>
      <c r="BP18" s="16">
        <v>227989.37</v>
      </c>
      <c r="BQ18" s="16">
        <v>226979.37</v>
      </c>
      <c r="BR18" s="16">
        <v>244979.37</v>
      </c>
      <c r="BS18" s="16">
        <v>233494</v>
      </c>
      <c r="BT18" s="16">
        <v>233494</v>
      </c>
      <c r="BU18" s="16">
        <v>252544</v>
      </c>
      <c r="BV18" s="16">
        <v>252544</v>
      </c>
      <c r="BW18" s="16">
        <v>252544</v>
      </c>
      <c r="BX18" s="16">
        <v>252544</v>
      </c>
      <c r="BY18" s="16">
        <v>246577.58</v>
      </c>
      <c r="BZ18" s="16">
        <v>243607.49</v>
      </c>
      <c r="CA18" s="16">
        <v>284577.49</v>
      </c>
      <c r="CB18" s="16">
        <v>286857.49</v>
      </c>
      <c r="CC18" s="16">
        <v>286857.49</v>
      </c>
      <c r="CD18" s="16">
        <v>313597.49</v>
      </c>
      <c r="CE18" s="16">
        <v>302927.39999999997</v>
      </c>
      <c r="CF18" s="16">
        <v>304291.49</v>
      </c>
      <c r="CG18" s="16">
        <v>304291.49</v>
      </c>
      <c r="CH18" s="16">
        <v>304291.49</v>
      </c>
    </row>
    <row r="19" spans="1:86" x14ac:dyDescent="0.2">
      <c r="A19" s="10" t="s">
        <v>103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-416.25</v>
      </c>
      <c r="AY19" s="16">
        <v>-832.5</v>
      </c>
      <c r="AZ19" s="16">
        <v>-1248.75</v>
      </c>
      <c r="BA19" s="16">
        <v>-178040.88</v>
      </c>
      <c r="BB19" s="16">
        <v>-178040.88</v>
      </c>
      <c r="BC19" s="16">
        <v>-179555.24</v>
      </c>
      <c r="BD19" s="16">
        <v>-180362.36</v>
      </c>
      <c r="BE19" s="16">
        <v>-182284.56999999998</v>
      </c>
      <c r="BF19" s="16">
        <v>-184063.40999999997</v>
      </c>
      <c r="BG19" s="16">
        <v>-185842.14999999997</v>
      </c>
      <c r="BH19" s="16">
        <v>-187620.98999999996</v>
      </c>
      <c r="BI19" s="16">
        <v>-189399.72999999995</v>
      </c>
      <c r="BJ19" s="16">
        <v>-189883.56999999995</v>
      </c>
      <c r="BK19" s="16">
        <v>-191662.32999999996</v>
      </c>
      <c r="BL19" s="16">
        <v>-193441.16999999995</v>
      </c>
      <c r="BM19" s="16">
        <v>-188853.02999999994</v>
      </c>
      <c r="BN19" s="16">
        <v>-191778.99999999994</v>
      </c>
      <c r="BO19" s="16">
        <v>-193921.37999999995</v>
      </c>
      <c r="BP19" s="16">
        <v>-195636.83999999994</v>
      </c>
      <c r="BQ19" s="16">
        <v>-196342.31999999995</v>
      </c>
      <c r="BR19" s="16">
        <v>-198557.72999999995</v>
      </c>
      <c r="BS19" s="16">
        <v>-189154.90999999995</v>
      </c>
      <c r="BT19" s="16">
        <v>-191237.55999999994</v>
      </c>
      <c r="BU19" s="16">
        <v>-193849.31999999995</v>
      </c>
      <c r="BV19" s="16">
        <v>-196461.16999999995</v>
      </c>
      <c r="BW19" s="16">
        <v>-199072.91999999995</v>
      </c>
      <c r="BX19" s="16">
        <v>-201312.37999999995</v>
      </c>
      <c r="BY19" s="16">
        <v>-197585.41999999995</v>
      </c>
      <c r="BZ19" s="16">
        <v>-196854.77999999994</v>
      </c>
      <c r="CA19" s="16">
        <v>-200232.22999999995</v>
      </c>
      <c r="CB19" s="16">
        <v>-203672.99999999994</v>
      </c>
      <c r="CC19" s="16">
        <v>-207091.18999999994</v>
      </c>
      <c r="CD19" s="16">
        <v>-211252.17999999993</v>
      </c>
      <c r="CE19" s="16">
        <v>-204743.07999999993</v>
      </c>
      <c r="CF19" s="16">
        <v>-208941.95999999993</v>
      </c>
      <c r="CG19" s="16">
        <v>-213140.83999999994</v>
      </c>
      <c r="CH19" s="16">
        <v>-213140.83999999994</v>
      </c>
    </row>
    <row r="20" spans="1:86" x14ac:dyDescent="0.2">
      <c r="A20" s="12" t="s">
        <v>104</v>
      </c>
      <c r="B20" s="13">
        <f t="shared" ref="B20:AG20" si="6">SUM(B16:B19)</f>
        <v>42749</v>
      </c>
      <c r="C20" s="13">
        <f t="shared" si="6"/>
        <v>42749</v>
      </c>
      <c r="D20" s="13">
        <f t="shared" si="6"/>
        <v>39950.080000000002</v>
      </c>
      <c r="E20" s="13">
        <f t="shared" si="6"/>
        <v>37571.14</v>
      </c>
      <c r="F20" s="13">
        <f t="shared" si="6"/>
        <v>37292.379999999997</v>
      </c>
      <c r="G20" s="13">
        <f t="shared" si="6"/>
        <v>48018.720000000001</v>
      </c>
      <c r="H20" s="13">
        <f t="shared" si="6"/>
        <v>48466.57</v>
      </c>
      <c r="I20" s="13">
        <f t="shared" si="6"/>
        <v>63302.94</v>
      </c>
      <c r="J20" s="13">
        <f t="shared" si="6"/>
        <v>59983.33</v>
      </c>
      <c r="K20" s="13">
        <f t="shared" si="6"/>
        <v>57301.36</v>
      </c>
      <c r="L20" s="13">
        <f t="shared" si="6"/>
        <v>57445.95</v>
      </c>
      <c r="M20" s="13">
        <f t="shared" si="6"/>
        <v>54363.06</v>
      </c>
      <c r="N20" s="13">
        <f t="shared" si="6"/>
        <v>51779.47</v>
      </c>
      <c r="O20" s="13">
        <f t="shared" si="6"/>
        <v>65486</v>
      </c>
      <c r="P20" s="13">
        <f t="shared" si="6"/>
        <v>65486</v>
      </c>
      <c r="Q20" s="13">
        <f t="shared" si="6"/>
        <v>62385.1</v>
      </c>
      <c r="R20" s="13">
        <f t="shared" si="6"/>
        <v>59497.2</v>
      </c>
      <c r="S20" s="13">
        <f t="shared" si="6"/>
        <v>56634.43</v>
      </c>
      <c r="T20" s="13">
        <f t="shared" si="6"/>
        <v>59089.599999999999</v>
      </c>
      <c r="U20" s="13">
        <f t="shared" si="6"/>
        <v>56377.72</v>
      </c>
      <c r="V20" s="13">
        <f t="shared" si="6"/>
        <v>53666.080000000002</v>
      </c>
      <c r="W20" s="13">
        <f t="shared" si="6"/>
        <v>50954.19</v>
      </c>
      <c r="X20" s="13">
        <f t="shared" si="6"/>
        <v>48242.47</v>
      </c>
      <c r="Y20" s="13">
        <f t="shared" si="6"/>
        <v>45530.69</v>
      </c>
      <c r="Z20" s="13">
        <f t="shared" si="6"/>
        <v>42818.87</v>
      </c>
      <c r="AA20" s="13">
        <f t="shared" si="6"/>
        <v>40142.32</v>
      </c>
      <c r="AB20" s="13">
        <f t="shared" si="6"/>
        <v>37848</v>
      </c>
      <c r="AC20" s="13">
        <f t="shared" si="6"/>
        <v>37848</v>
      </c>
      <c r="AD20" s="13">
        <f t="shared" si="6"/>
        <v>35554.199999999997</v>
      </c>
      <c r="AE20" s="13">
        <f t="shared" si="6"/>
        <v>48217.7</v>
      </c>
      <c r="AF20" s="13">
        <f t="shared" si="6"/>
        <v>45496.2</v>
      </c>
      <c r="AG20" s="13">
        <f t="shared" si="6"/>
        <v>42774.789999999994</v>
      </c>
      <c r="AH20" s="13">
        <f t="shared" ref="AH20:BM20" si="7">SUM(AH16:AH19)</f>
        <v>44705.139999999992</v>
      </c>
      <c r="AI20" s="13">
        <f t="shared" si="7"/>
        <v>41850.579999999994</v>
      </c>
      <c r="AJ20" s="13">
        <f t="shared" si="7"/>
        <v>39444.409999999996</v>
      </c>
      <c r="AK20" s="13">
        <f t="shared" si="7"/>
        <v>37055.619999999995</v>
      </c>
      <c r="AL20" s="13">
        <f t="shared" si="7"/>
        <v>34666.709999999992</v>
      </c>
      <c r="AM20" s="13">
        <f t="shared" si="7"/>
        <v>45314.499999999993</v>
      </c>
      <c r="AN20" s="13">
        <f t="shared" si="7"/>
        <v>42552.109999999993</v>
      </c>
      <c r="AO20" s="13">
        <f t="shared" si="7"/>
        <v>39789.999999999993</v>
      </c>
      <c r="AP20" s="13">
        <f t="shared" si="7"/>
        <v>37032.959999999992</v>
      </c>
      <c r="AQ20" s="13">
        <f t="shared" si="7"/>
        <v>34275.839999999989</v>
      </c>
      <c r="AR20" s="13">
        <f t="shared" si="7"/>
        <v>32370.099999999988</v>
      </c>
      <c r="AS20" s="13">
        <f t="shared" si="7"/>
        <v>30023.679999999986</v>
      </c>
      <c r="AT20" s="13">
        <f t="shared" si="7"/>
        <v>27767.489999999987</v>
      </c>
      <c r="AU20" s="13">
        <f t="shared" si="7"/>
        <v>26013.729999999989</v>
      </c>
      <c r="AV20" s="13">
        <f t="shared" si="7"/>
        <v>24259.939999999988</v>
      </c>
      <c r="AW20" s="13">
        <f t="shared" si="7"/>
        <v>22523.599999999988</v>
      </c>
      <c r="AX20" s="13">
        <f t="shared" si="7"/>
        <v>35454.499999999985</v>
      </c>
      <c r="AY20" s="13">
        <f t="shared" si="7"/>
        <v>33400.399999999987</v>
      </c>
      <c r="AZ20" s="13">
        <f t="shared" si="7"/>
        <v>31346.44999999999</v>
      </c>
      <c r="BA20" s="13">
        <f t="shared" si="7"/>
        <v>29832.079999999987</v>
      </c>
      <c r="BB20" s="13">
        <f t="shared" si="7"/>
        <v>29832.079999999987</v>
      </c>
      <c r="BC20" s="13">
        <f t="shared" si="7"/>
        <v>28317.72</v>
      </c>
      <c r="BD20" s="13">
        <f t="shared" si="7"/>
        <v>41080.5</v>
      </c>
      <c r="BE20" s="13">
        <f t="shared" si="7"/>
        <v>39158.290000000008</v>
      </c>
      <c r="BF20" s="13">
        <f t="shared" si="7"/>
        <v>37379.450000000012</v>
      </c>
      <c r="BG20" s="13">
        <f t="shared" si="7"/>
        <v>35600.710000000021</v>
      </c>
      <c r="BH20" s="13">
        <f t="shared" si="7"/>
        <v>33821.870000000024</v>
      </c>
      <c r="BI20" s="13">
        <f t="shared" si="7"/>
        <v>32043.130000000034</v>
      </c>
      <c r="BJ20" s="13">
        <f t="shared" si="7"/>
        <v>30264.290000000037</v>
      </c>
      <c r="BK20" s="13">
        <f t="shared" si="7"/>
        <v>28485.530000000028</v>
      </c>
      <c r="BL20" s="13">
        <f t="shared" si="7"/>
        <v>26706.690000000031</v>
      </c>
      <c r="BM20" s="13">
        <f t="shared" si="7"/>
        <v>24927.930000000051</v>
      </c>
      <c r="BN20" s="13">
        <f t="shared" ref="BN20:CS20" si="8">SUM(BN16:BN19)</f>
        <v>36210.370000000054</v>
      </c>
      <c r="BO20" s="13">
        <f t="shared" si="8"/>
        <v>34067.990000000049</v>
      </c>
      <c r="BP20" s="13">
        <f t="shared" si="8"/>
        <v>32352.530000000057</v>
      </c>
      <c r="BQ20" s="13">
        <f t="shared" si="8"/>
        <v>30637.050000000047</v>
      </c>
      <c r="BR20" s="13">
        <f t="shared" si="8"/>
        <v>46421.640000000043</v>
      </c>
      <c r="BS20" s="13">
        <f t="shared" si="8"/>
        <v>44339.090000000055</v>
      </c>
      <c r="BT20" s="13">
        <f t="shared" si="8"/>
        <v>42256.440000000061</v>
      </c>
      <c r="BU20" s="13">
        <f t="shared" si="8"/>
        <v>58694.680000000051</v>
      </c>
      <c r="BV20" s="13">
        <f t="shared" si="8"/>
        <v>56082.830000000045</v>
      </c>
      <c r="BW20" s="13">
        <f t="shared" si="8"/>
        <v>53471.080000000045</v>
      </c>
      <c r="BX20" s="13">
        <f t="shared" si="8"/>
        <v>51231.620000000054</v>
      </c>
      <c r="BY20" s="13">
        <f t="shared" si="8"/>
        <v>48992.160000000033</v>
      </c>
      <c r="BZ20" s="13">
        <f t="shared" si="8"/>
        <v>46752.71000000005</v>
      </c>
      <c r="CA20" s="13">
        <f t="shared" si="8"/>
        <v>84345.260000000038</v>
      </c>
      <c r="CB20" s="13">
        <f t="shared" si="8"/>
        <v>83184.490000000049</v>
      </c>
      <c r="CC20" s="13">
        <f t="shared" si="8"/>
        <v>79766.300000000047</v>
      </c>
      <c r="CD20" s="13">
        <f t="shared" si="8"/>
        <v>102345.31000000006</v>
      </c>
      <c r="CE20" s="13">
        <f t="shared" si="8"/>
        <v>98184.320000000036</v>
      </c>
      <c r="CF20" s="13">
        <f t="shared" si="8"/>
        <v>95349.530000000057</v>
      </c>
      <c r="CG20" s="13">
        <f t="shared" si="8"/>
        <v>91150.650000000052</v>
      </c>
      <c r="CH20" s="13">
        <f t="shared" si="8"/>
        <v>91150.650000000052</v>
      </c>
    </row>
    <row r="21" spans="1:86" x14ac:dyDescent="0.2">
      <c r="A21" s="9" t="s">
        <v>105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</row>
    <row r="22" spans="1:86" x14ac:dyDescent="0.2">
      <c r="A22" s="10" t="s">
        <v>106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232.5</v>
      </c>
      <c r="AV22" s="16">
        <v>232.5</v>
      </c>
      <c r="AW22" s="16">
        <v>232.5</v>
      </c>
      <c r="AX22" s="16">
        <v>232.5</v>
      </c>
      <c r="AY22" s="16">
        <v>232.5</v>
      </c>
      <c r="AZ22" s="16">
        <v>232.5</v>
      </c>
      <c r="BA22" s="16">
        <v>1452.04</v>
      </c>
      <c r="BB22" s="16">
        <v>1452.04</v>
      </c>
      <c r="BC22" s="16">
        <v>1452.04</v>
      </c>
      <c r="BD22" s="16">
        <v>1452.04</v>
      </c>
      <c r="BE22" s="16">
        <v>1452.04</v>
      </c>
      <c r="BF22" s="16">
        <v>1452.04</v>
      </c>
      <c r="BG22" s="16">
        <v>1452.04</v>
      </c>
      <c r="BH22" s="16">
        <v>1452.04</v>
      </c>
      <c r="BI22" s="16">
        <v>1452.04</v>
      </c>
      <c r="BJ22" s="16">
        <v>1452.04</v>
      </c>
      <c r="BK22" s="16">
        <v>1452.04</v>
      </c>
      <c r="BL22" s="16">
        <v>1452.04</v>
      </c>
      <c r="BM22" s="16">
        <v>1452.04</v>
      </c>
      <c r="BN22" s="16">
        <v>1452.04</v>
      </c>
      <c r="BO22" s="16">
        <v>1452.04</v>
      </c>
      <c r="BP22" s="16">
        <v>1452.04</v>
      </c>
      <c r="BQ22" s="16">
        <v>1452.04</v>
      </c>
      <c r="BR22" s="16">
        <v>1452.04</v>
      </c>
      <c r="BS22" s="16">
        <v>1452.04</v>
      </c>
      <c r="BT22" s="16">
        <v>1452.04</v>
      </c>
      <c r="BU22" s="16">
        <v>1452.04</v>
      </c>
      <c r="BV22" s="16">
        <v>1452.04</v>
      </c>
      <c r="BW22" s="16">
        <v>1452.04</v>
      </c>
      <c r="BX22" s="16">
        <v>1452.04</v>
      </c>
      <c r="BY22" s="16">
        <v>1452.04</v>
      </c>
      <c r="BZ22" s="16">
        <v>1452.04</v>
      </c>
      <c r="CA22" s="16">
        <v>1452.04</v>
      </c>
      <c r="CB22" s="16">
        <v>1452.04</v>
      </c>
      <c r="CC22" s="16">
        <v>1452.04</v>
      </c>
      <c r="CD22" s="16">
        <v>1452.04</v>
      </c>
      <c r="CE22" s="16">
        <v>1452.04</v>
      </c>
      <c r="CF22" s="16">
        <v>1452.04</v>
      </c>
      <c r="CG22" s="16">
        <v>1452.04</v>
      </c>
      <c r="CH22" s="16">
        <v>1452.04</v>
      </c>
    </row>
    <row r="23" spans="1:86" x14ac:dyDescent="0.2">
      <c r="A23" s="10" t="s">
        <v>107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-23.25</v>
      </c>
      <c r="AW23" s="16">
        <v>-46.5</v>
      </c>
      <c r="AX23" s="16">
        <v>-69.75</v>
      </c>
      <c r="AY23" s="16">
        <v>-93</v>
      </c>
      <c r="AZ23" s="16">
        <v>-116.25</v>
      </c>
      <c r="BA23" s="16">
        <v>-1359.04</v>
      </c>
      <c r="BB23" s="16">
        <v>-1359.04</v>
      </c>
      <c r="BC23" s="16">
        <v>-1382.29</v>
      </c>
      <c r="BD23" s="16">
        <v>-1405.54</v>
      </c>
      <c r="BE23" s="16">
        <v>-1428.79</v>
      </c>
      <c r="BF23" s="16">
        <v>-1452.04</v>
      </c>
      <c r="BG23" s="16">
        <v>-1452.04</v>
      </c>
      <c r="BH23" s="16">
        <v>-1452.04</v>
      </c>
      <c r="BI23" s="16">
        <v>-1452.04</v>
      </c>
      <c r="BJ23" s="16">
        <v>-1452.04</v>
      </c>
      <c r="BK23" s="16">
        <v>-1452.04</v>
      </c>
      <c r="BL23" s="16">
        <v>-1452.04</v>
      </c>
      <c r="BM23" s="16">
        <v>-1452.04</v>
      </c>
      <c r="BN23" s="16">
        <v>-1452.04</v>
      </c>
      <c r="BO23" s="16">
        <v>-1452.04</v>
      </c>
      <c r="BP23" s="16">
        <v>-1452.04</v>
      </c>
      <c r="BQ23" s="16">
        <v>-1452.04</v>
      </c>
      <c r="BR23" s="16">
        <v>-1452.04</v>
      </c>
      <c r="BS23" s="16">
        <v>-1452.04</v>
      </c>
      <c r="BT23" s="16">
        <v>-1452.04</v>
      </c>
      <c r="BU23" s="16">
        <v>-1452.04</v>
      </c>
      <c r="BV23" s="16">
        <v>-1452.04</v>
      </c>
      <c r="BW23" s="16">
        <v>-1452.04</v>
      </c>
      <c r="BX23" s="16">
        <v>-1452.04</v>
      </c>
      <c r="BY23" s="16">
        <v>-1452.04</v>
      </c>
      <c r="BZ23" s="16">
        <v>-1452.04</v>
      </c>
      <c r="CA23" s="16">
        <v>-1452.04</v>
      </c>
      <c r="CB23" s="16">
        <v>-1452.04</v>
      </c>
      <c r="CC23" s="16">
        <v>-1452.04</v>
      </c>
      <c r="CD23" s="16">
        <v>-1452.04</v>
      </c>
      <c r="CE23" s="16">
        <v>-1452.04</v>
      </c>
      <c r="CF23" s="16">
        <v>-1452.04</v>
      </c>
      <c r="CG23" s="16">
        <v>-1452.04</v>
      </c>
      <c r="CH23" s="16">
        <v>-1452.04</v>
      </c>
    </row>
    <row r="24" spans="1:86" x14ac:dyDescent="0.2">
      <c r="A24" s="10" t="s">
        <v>108</v>
      </c>
      <c r="B24" s="16">
        <v>527</v>
      </c>
      <c r="C24" s="16">
        <v>527</v>
      </c>
      <c r="D24" s="16">
        <v>510</v>
      </c>
      <c r="E24" s="16">
        <v>493</v>
      </c>
      <c r="F24" s="16">
        <v>476</v>
      </c>
      <c r="G24" s="16">
        <v>459</v>
      </c>
      <c r="H24" s="16">
        <v>442</v>
      </c>
      <c r="I24" s="16">
        <v>425</v>
      </c>
      <c r="J24" s="16">
        <v>408</v>
      </c>
      <c r="K24" s="16">
        <v>391</v>
      </c>
      <c r="L24" s="16">
        <v>374</v>
      </c>
      <c r="M24" s="16">
        <v>357</v>
      </c>
      <c r="N24" s="16">
        <v>340</v>
      </c>
      <c r="O24" s="16">
        <v>323</v>
      </c>
      <c r="P24" s="16">
        <v>323</v>
      </c>
      <c r="Q24" s="16">
        <v>306</v>
      </c>
      <c r="R24" s="16">
        <v>289</v>
      </c>
      <c r="S24" s="16">
        <v>272</v>
      </c>
      <c r="T24" s="16">
        <v>255</v>
      </c>
      <c r="U24" s="16">
        <v>1054.06</v>
      </c>
      <c r="V24" s="16">
        <v>1013.63</v>
      </c>
      <c r="W24" s="16">
        <v>973.19</v>
      </c>
      <c r="X24" s="16">
        <v>932.7600000000001</v>
      </c>
      <c r="Y24" s="16">
        <v>892.32000000000016</v>
      </c>
      <c r="Z24" s="16">
        <v>851.89000000000021</v>
      </c>
      <c r="AA24" s="16">
        <v>811.46000000000026</v>
      </c>
      <c r="AB24" s="16">
        <v>771.00000000000023</v>
      </c>
      <c r="AC24" s="16">
        <v>771.00000000000023</v>
      </c>
      <c r="AD24" s="16">
        <v>730.67000000000019</v>
      </c>
      <c r="AE24" s="16">
        <v>690.34000000000015</v>
      </c>
      <c r="AF24" s="16">
        <v>650.0100000000001</v>
      </c>
      <c r="AG24" s="16">
        <v>609.68000000000006</v>
      </c>
      <c r="AH24" s="16">
        <v>569.34</v>
      </c>
      <c r="AI24" s="16">
        <v>529.01</v>
      </c>
      <c r="AJ24" s="16">
        <v>488.68</v>
      </c>
      <c r="AK24" s="16">
        <v>465.34000000000003</v>
      </c>
      <c r="AL24" s="16">
        <v>442.00000000000006</v>
      </c>
      <c r="AM24" s="16">
        <v>418.67000000000007</v>
      </c>
      <c r="AN24" s="16">
        <v>395.34000000000009</v>
      </c>
      <c r="AO24" s="16">
        <v>372.00000000000011</v>
      </c>
      <c r="AP24" s="16">
        <v>348.75000000000011</v>
      </c>
      <c r="AQ24" s="16">
        <v>325.50000000000011</v>
      </c>
      <c r="AR24" s="16">
        <v>302.25000000000011</v>
      </c>
      <c r="AS24" s="16">
        <v>279.00000000000011</v>
      </c>
      <c r="AT24" s="16">
        <v>255.75000000000011</v>
      </c>
      <c r="AU24" s="16">
        <v>1.1368683772161603E-13</v>
      </c>
      <c r="AV24" s="16">
        <v>1.1368683772161603E-13</v>
      </c>
      <c r="AW24" s="16">
        <v>1.1368683772161603E-13</v>
      </c>
      <c r="AX24" s="16">
        <v>1.1368683772161603E-13</v>
      </c>
      <c r="AY24" s="16">
        <v>1.1368683772161603E-13</v>
      </c>
      <c r="AZ24" s="16">
        <v>1.1368683772161603E-13</v>
      </c>
      <c r="BA24" s="16">
        <v>1.1368683772161603E-13</v>
      </c>
      <c r="BB24" s="16">
        <v>1.1368683772161603E-13</v>
      </c>
      <c r="BC24" s="16">
        <v>1.1368683772161603E-13</v>
      </c>
      <c r="BD24" s="16">
        <v>1.1368683772161603E-13</v>
      </c>
      <c r="BE24" s="16">
        <v>1.1368683772161603E-13</v>
      </c>
      <c r="BF24" s="16">
        <v>1.1368683772161603E-13</v>
      </c>
      <c r="BG24" s="16">
        <v>1.1368683772161603E-13</v>
      </c>
      <c r="BH24" s="16">
        <v>1.1368683772161603E-13</v>
      </c>
      <c r="BI24" s="16">
        <v>1.1368683772161603E-13</v>
      </c>
      <c r="BJ24" s="16">
        <v>1.1368683772161603E-13</v>
      </c>
      <c r="BK24" s="16">
        <v>1.1368683772161603E-13</v>
      </c>
      <c r="BL24" s="16">
        <v>1.1368683772161603E-13</v>
      </c>
      <c r="BM24" s="16">
        <v>1.1368683772161603E-13</v>
      </c>
      <c r="BN24" s="16">
        <v>1.1368683772161603E-13</v>
      </c>
      <c r="BO24" s="16">
        <v>1.1368683772161603E-13</v>
      </c>
      <c r="BP24" s="16">
        <v>1.1368683772161603E-13</v>
      </c>
      <c r="BQ24" s="16">
        <v>1.1368683772161603E-13</v>
      </c>
      <c r="BR24" s="16">
        <v>1.1368683772161603E-13</v>
      </c>
      <c r="BS24" s="16">
        <v>1.1368683772161603E-13</v>
      </c>
      <c r="BT24" s="16">
        <v>1.1368683772161603E-13</v>
      </c>
      <c r="BU24" s="16">
        <v>1.1368683772161603E-13</v>
      </c>
      <c r="BV24" s="16">
        <v>1.1368683772161603E-13</v>
      </c>
      <c r="BW24" s="16">
        <v>1.1368683772161603E-13</v>
      </c>
      <c r="BX24" s="16">
        <v>1.1368683772161603E-13</v>
      </c>
      <c r="BY24" s="16">
        <v>1.1368683772161603E-13</v>
      </c>
      <c r="BZ24" s="16">
        <v>1.1368683772161603E-13</v>
      </c>
      <c r="CA24" s="16">
        <v>1.1368683772161603E-13</v>
      </c>
      <c r="CB24" s="16">
        <v>1.1368683772161603E-13</v>
      </c>
      <c r="CC24" s="16">
        <v>1.1368683772161603E-13</v>
      </c>
      <c r="CD24" s="16">
        <v>1.1368683772161603E-13</v>
      </c>
      <c r="CE24" s="16">
        <v>1.1368683772161603E-13</v>
      </c>
      <c r="CF24" s="16">
        <v>1.1368683772161603E-13</v>
      </c>
      <c r="CG24" s="16">
        <v>1.1368683772161603E-13</v>
      </c>
      <c r="CH24" s="16">
        <v>1.1368683772161603E-13</v>
      </c>
    </row>
    <row r="25" spans="1:86" x14ac:dyDescent="0.2">
      <c r="A25" s="10" t="s">
        <v>109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382.35</v>
      </c>
      <c r="AY25" s="16">
        <v>382.35</v>
      </c>
      <c r="AZ25" s="16">
        <v>382.35</v>
      </c>
      <c r="BA25" s="16">
        <v>10271.59</v>
      </c>
      <c r="BB25" s="16">
        <v>10271.59</v>
      </c>
      <c r="BC25" s="16">
        <v>10271.59</v>
      </c>
      <c r="BD25" s="16">
        <v>10653.94</v>
      </c>
      <c r="BE25" s="16">
        <v>10653.94</v>
      </c>
      <c r="BF25" s="16">
        <v>10653.94</v>
      </c>
      <c r="BG25" s="16">
        <v>10653.94</v>
      </c>
      <c r="BH25" s="16">
        <v>10653.94</v>
      </c>
      <c r="BI25" s="16">
        <v>10653.94</v>
      </c>
      <c r="BJ25" s="16">
        <v>10653.94</v>
      </c>
      <c r="BK25" s="16">
        <v>10653.94</v>
      </c>
      <c r="BL25" s="16">
        <v>13134.14</v>
      </c>
      <c r="BM25" s="16">
        <v>13134.14</v>
      </c>
      <c r="BN25" s="16">
        <v>13134.14</v>
      </c>
      <c r="BO25" s="16">
        <v>12750.439999999999</v>
      </c>
      <c r="BP25" s="16">
        <v>12750.439999999999</v>
      </c>
      <c r="BQ25" s="16">
        <v>13153.55</v>
      </c>
      <c r="BR25" s="16">
        <v>13153.55</v>
      </c>
      <c r="BS25" s="16">
        <v>13153.55</v>
      </c>
      <c r="BT25" s="16">
        <v>13153.55</v>
      </c>
      <c r="BU25" s="16">
        <v>13153.55</v>
      </c>
      <c r="BV25" s="16">
        <v>13153.55</v>
      </c>
      <c r="BW25" s="16">
        <v>13153.55</v>
      </c>
      <c r="BX25" s="16">
        <v>13153.55</v>
      </c>
      <c r="BY25" s="16">
        <v>13153.55</v>
      </c>
      <c r="BZ25" s="16">
        <v>13153.55</v>
      </c>
      <c r="CA25" s="16">
        <v>13153.55</v>
      </c>
      <c r="CB25" s="16">
        <v>13153.55</v>
      </c>
      <c r="CC25" s="16">
        <v>13153.55</v>
      </c>
      <c r="CD25" s="16">
        <v>13153.55</v>
      </c>
      <c r="CE25" s="16">
        <v>13153.55</v>
      </c>
      <c r="CF25" s="16">
        <v>13153.55</v>
      </c>
      <c r="CG25" s="16">
        <v>13153.55</v>
      </c>
      <c r="CH25" s="16">
        <v>13153.55</v>
      </c>
    </row>
    <row r="26" spans="1:86" x14ac:dyDescent="0.2">
      <c r="A26" s="10" t="s">
        <v>110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-382.35</v>
      </c>
      <c r="AY26" s="16">
        <v>-382.35</v>
      </c>
      <c r="AZ26" s="16">
        <v>-382.35</v>
      </c>
      <c r="BA26" s="16">
        <v>-10271.59</v>
      </c>
      <c r="BB26" s="16">
        <v>-10271.59</v>
      </c>
      <c r="BC26" s="16">
        <v>-10271.59</v>
      </c>
      <c r="BD26" s="16">
        <v>-10271.59</v>
      </c>
      <c r="BE26" s="16">
        <v>-10653.94</v>
      </c>
      <c r="BF26" s="16">
        <v>-10653.94</v>
      </c>
      <c r="BG26" s="16">
        <v>-10653.94</v>
      </c>
      <c r="BH26" s="16">
        <v>-10653.94</v>
      </c>
      <c r="BI26" s="16">
        <v>-10653.94</v>
      </c>
      <c r="BJ26" s="16">
        <v>-10653.94</v>
      </c>
      <c r="BK26" s="16">
        <v>-10653.94</v>
      </c>
      <c r="BL26" s="16">
        <v>-13134.14</v>
      </c>
      <c r="BM26" s="16">
        <v>-13134.14</v>
      </c>
      <c r="BN26" s="16">
        <v>-13134.14</v>
      </c>
      <c r="BO26" s="16">
        <v>-12750.439999999999</v>
      </c>
      <c r="BP26" s="16">
        <v>-12750.439999999999</v>
      </c>
      <c r="BQ26" s="16">
        <v>-13153.55</v>
      </c>
      <c r="BR26" s="16">
        <v>-13153.55</v>
      </c>
      <c r="BS26" s="16">
        <v>-13153.55</v>
      </c>
      <c r="BT26" s="16">
        <v>-13153.55</v>
      </c>
      <c r="BU26" s="16">
        <v>-13153.55</v>
      </c>
      <c r="BV26" s="16">
        <v>-13153.55</v>
      </c>
      <c r="BW26" s="16">
        <v>-13153.55</v>
      </c>
      <c r="BX26" s="16">
        <v>-13153.55</v>
      </c>
      <c r="BY26" s="16">
        <v>-13153.55</v>
      </c>
      <c r="BZ26" s="16">
        <v>-13153.55</v>
      </c>
      <c r="CA26" s="16">
        <v>-13153.55</v>
      </c>
      <c r="CB26" s="16">
        <v>-13153.55</v>
      </c>
      <c r="CC26" s="16">
        <v>-13153.55</v>
      </c>
      <c r="CD26" s="16">
        <v>-13153.55</v>
      </c>
      <c r="CE26" s="16">
        <v>-13153.55</v>
      </c>
      <c r="CF26" s="16">
        <v>-13153.55</v>
      </c>
      <c r="CG26" s="16">
        <v>-13153.55</v>
      </c>
      <c r="CH26" s="16">
        <v>-13153.55</v>
      </c>
    </row>
    <row r="27" spans="1:86" x14ac:dyDescent="0.2">
      <c r="A27" s="10" t="s">
        <v>111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646.22</v>
      </c>
      <c r="BB27" s="16">
        <v>646.22</v>
      </c>
      <c r="BC27" s="16">
        <v>646.22</v>
      </c>
      <c r="BD27" s="16">
        <v>646.22</v>
      </c>
      <c r="BE27" s="16">
        <v>646.22</v>
      </c>
      <c r="BF27" s="16">
        <v>646.22</v>
      </c>
      <c r="BG27" s="16">
        <v>646.22</v>
      </c>
      <c r="BH27" s="16">
        <v>646.22</v>
      </c>
      <c r="BI27" s="16">
        <v>646.22</v>
      </c>
      <c r="BJ27" s="16">
        <v>646.22</v>
      </c>
      <c r="BK27" s="16">
        <v>646.22</v>
      </c>
      <c r="BL27" s="16">
        <v>646.22</v>
      </c>
      <c r="BM27" s="16">
        <v>646.22</v>
      </c>
      <c r="BN27" s="16">
        <v>646.22</v>
      </c>
      <c r="BO27" s="16">
        <v>646.22</v>
      </c>
      <c r="BP27" s="16">
        <v>646.22</v>
      </c>
      <c r="BQ27" s="16">
        <v>646.22</v>
      </c>
      <c r="BR27" s="16">
        <v>646.22</v>
      </c>
      <c r="BS27" s="16">
        <v>646.22</v>
      </c>
      <c r="BT27" s="16">
        <v>646.22</v>
      </c>
      <c r="BU27" s="16">
        <v>646.22</v>
      </c>
      <c r="BV27" s="16">
        <v>646.22</v>
      </c>
      <c r="BW27" s="16">
        <v>646.22</v>
      </c>
      <c r="BX27" s="16">
        <v>646.22</v>
      </c>
      <c r="BY27" s="16">
        <v>646.22</v>
      </c>
      <c r="BZ27" s="16">
        <v>646.22</v>
      </c>
      <c r="CA27" s="16">
        <v>646.22</v>
      </c>
      <c r="CB27" s="16">
        <v>646.22</v>
      </c>
      <c r="CC27" s="16">
        <v>646.22</v>
      </c>
      <c r="CD27" s="16">
        <v>646.22</v>
      </c>
      <c r="CE27" s="16">
        <v>646.22</v>
      </c>
      <c r="CF27" s="16">
        <v>646.22</v>
      </c>
      <c r="CG27" s="16">
        <v>646.22</v>
      </c>
      <c r="CH27" s="16">
        <v>646.22</v>
      </c>
    </row>
    <row r="28" spans="1:86" x14ac:dyDescent="0.2">
      <c r="A28" s="10" t="s">
        <v>112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-646.22</v>
      </c>
      <c r="BB28" s="16">
        <v>-646.22</v>
      </c>
      <c r="BC28" s="16">
        <v>-646.22</v>
      </c>
      <c r="BD28" s="16">
        <v>-646.22</v>
      </c>
      <c r="BE28" s="16">
        <v>-646.22</v>
      </c>
      <c r="BF28" s="16">
        <v>-646.22</v>
      </c>
      <c r="BG28" s="16">
        <v>-646.22</v>
      </c>
      <c r="BH28" s="16">
        <v>-646.22</v>
      </c>
      <c r="BI28" s="16">
        <v>-646.22</v>
      </c>
      <c r="BJ28" s="16">
        <v>-646.22</v>
      </c>
      <c r="BK28" s="16">
        <v>-646.22</v>
      </c>
      <c r="BL28" s="16">
        <v>-646.22</v>
      </c>
      <c r="BM28" s="16">
        <v>-646.22</v>
      </c>
      <c r="BN28" s="16">
        <v>-646.22</v>
      </c>
      <c r="BO28" s="16">
        <v>-646.22</v>
      </c>
      <c r="BP28" s="16">
        <v>-646.22</v>
      </c>
      <c r="BQ28" s="16">
        <v>-646.22</v>
      </c>
      <c r="BR28" s="16">
        <v>-646.22</v>
      </c>
      <c r="BS28" s="16">
        <v>-646.22</v>
      </c>
      <c r="BT28" s="16">
        <v>-646.22</v>
      </c>
      <c r="BU28" s="16">
        <v>-646.22</v>
      </c>
      <c r="BV28" s="16">
        <v>-646.22</v>
      </c>
      <c r="BW28" s="16">
        <v>-646.22</v>
      </c>
      <c r="BX28" s="16">
        <v>-646.22</v>
      </c>
      <c r="BY28" s="16">
        <v>-646.22</v>
      </c>
      <c r="BZ28" s="16">
        <v>-646.22</v>
      </c>
      <c r="CA28" s="16">
        <v>-646.22</v>
      </c>
      <c r="CB28" s="16">
        <v>-646.22</v>
      </c>
      <c r="CC28" s="16">
        <v>-646.22</v>
      </c>
      <c r="CD28" s="16">
        <v>-646.22</v>
      </c>
      <c r="CE28" s="16">
        <v>-646.22</v>
      </c>
      <c r="CF28" s="16">
        <v>-646.22</v>
      </c>
      <c r="CG28" s="16">
        <v>-646.22</v>
      </c>
      <c r="CH28" s="16">
        <v>-646.22</v>
      </c>
    </row>
    <row r="29" spans="1:86" x14ac:dyDescent="0.2">
      <c r="A29" s="10" t="s">
        <v>113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530</v>
      </c>
      <c r="AX29" s="16">
        <v>899.03</v>
      </c>
      <c r="AY29" s="16">
        <v>1520.03</v>
      </c>
      <c r="AZ29" s="16">
        <v>1942.03</v>
      </c>
      <c r="BA29" s="16">
        <v>66367.960000000006</v>
      </c>
      <c r="BB29" s="16">
        <v>66367.960000000006</v>
      </c>
      <c r="BC29" s="16">
        <v>66367.960000000006</v>
      </c>
      <c r="BD29" s="16">
        <v>66367.960000000006</v>
      </c>
      <c r="BE29" s="16">
        <v>66367.960000000006</v>
      </c>
      <c r="BF29" s="16">
        <v>66367.960000000006</v>
      </c>
      <c r="BG29" s="16">
        <v>66367.960000000006</v>
      </c>
      <c r="BH29" s="16">
        <v>66367.960000000006</v>
      </c>
      <c r="BI29" s="16">
        <v>66367.960000000006</v>
      </c>
      <c r="BJ29" s="16">
        <v>69731.11</v>
      </c>
      <c r="BK29" s="16">
        <v>69731.11</v>
      </c>
      <c r="BL29" s="16">
        <v>70489.11</v>
      </c>
      <c r="BM29" s="16">
        <v>70489.11</v>
      </c>
      <c r="BN29" s="16">
        <v>70698.350000000006</v>
      </c>
      <c r="BO29" s="16">
        <v>70698.350000000006</v>
      </c>
      <c r="BP29" s="16">
        <v>70544.350000000006</v>
      </c>
      <c r="BQ29" s="16">
        <v>70544.350000000006</v>
      </c>
      <c r="BR29" s="16">
        <v>71084.350000000006</v>
      </c>
      <c r="BS29" s="16">
        <v>72532.210000000006</v>
      </c>
      <c r="BT29" s="16">
        <v>72532.210000000006</v>
      </c>
      <c r="BU29" s="16">
        <v>72532.210000000006</v>
      </c>
      <c r="BV29" s="16">
        <v>72532.210000000006</v>
      </c>
      <c r="BW29" s="16">
        <v>72532.210000000006</v>
      </c>
      <c r="BX29" s="16">
        <v>73096.180000000008</v>
      </c>
      <c r="BY29" s="16">
        <v>72752.420000000013</v>
      </c>
      <c r="BZ29" s="16">
        <v>73240.920000000013</v>
      </c>
      <c r="CA29" s="16">
        <v>75000.920000000013</v>
      </c>
      <c r="CB29" s="16">
        <v>75944.920000000013</v>
      </c>
      <c r="CC29" s="16">
        <v>75944.920000000013</v>
      </c>
      <c r="CD29" s="16">
        <v>78499.920000000013</v>
      </c>
      <c r="CE29" s="16">
        <v>78364.12000000001</v>
      </c>
      <c r="CF29" s="16">
        <v>79116.350000000006</v>
      </c>
      <c r="CG29" s="16">
        <v>81155.450000000012</v>
      </c>
      <c r="CH29" s="16">
        <v>81155.450000000012</v>
      </c>
    </row>
    <row r="30" spans="1:86" x14ac:dyDescent="0.2">
      <c r="A30" s="10" t="s">
        <v>114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-530</v>
      </c>
      <c r="AX30" s="16">
        <v>-899.03</v>
      </c>
      <c r="AY30" s="16">
        <v>-1090.03</v>
      </c>
      <c r="AZ30" s="16">
        <v>-1520.03</v>
      </c>
      <c r="BA30" s="16">
        <v>-66367.960000000006</v>
      </c>
      <c r="BB30" s="16">
        <v>-66367.960000000006</v>
      </c>
      <c r="BC30" s="16">
        <v>-66367.960000000006</v>
      </c>
      <c r="BD30" s="16">
        <v>-66367.960000000006</v>
      </c>
      <c r="BE30" s="16">
        <v>-66367.960000000006</v>
      </c>
      <c r="BF30" s="16">
        <v>-66367.960000000006</v>
      </c>
      <c r="BG30" s="16">
        <v>-66367.960000000006</v>
      </c>
      <c r="BH30" s="16">
        <v>-66367.960000000006</v>
      </c>
      <c r="BI30" s="16">
        <v>-66367.960000000006</v>
      </c>
      <c r="BJ30" s="16">
        <v>-67105.960000000006</v>
      </c>
      <c r="BK30" s="16">
        <v>-69731.11</v>
      </c>
      <c r="BL30" s="16">
        <v>-70489.11</v>
      </c>
      <c r="BM30" s="16">
        <v>-70489.11</v>
      </c>
      <c r="BN30" s="16">
        <v>-70698.350000000006</v>
      </c>
      <c r="BO30" s="16">
        <v>-70698.350000000006</v>
      </c>
      <c r="BP30" s="16">
        <v>-70544.350000000006</v>
      </c>
      <c r="BQ30" s="16">
        <v>-70544.350000000006</v>
      </c>
      <c r="BR30" s="16">
        <v>-71084.350000000006</v>
      </c>
      <c r="BS30" s="16">
        <v>-72532.210000000006</v>
      </c>
      <c r="BT30" s="16">
        <v>-72532.210000000006</v>
      </c>
      <c r="BU30" s="16">
        <v>-72532.210000000006</v>
      </c>
      <c r="BV30" s="16">
        <v>-72532.210000000006</v>
      </c>
      <c r="BW30" s="16">
        <v>-72532.210000000006</v>
      </c>
      <c r="BX30" s="16">
        <v>-73096.180000000008</v>
      </c>
      <c r="BY30" s="16">
        <v>-72752.420000000013</v>
      </c>
      <c r="BZ30" s="16">
        <v>-73240.920000000013</v>
      </c>
      <c r="CA30" s="16">
        <v>-75000.920000000013</v>
      </c>
      <c r="CB30" s="16">
        <v>-75944.920000000013</v>
      </c>
      <c r="CC30" s="16">
        <v>-75944.920000000013</v>
      </c>
      <c r="CD30" s="16">
        <v>-78499.920000000013</v>
      </c>
      <c r="CE30" s="16">
        <v>-78364.12000000001</v>
      </c>
      <c r="CF30" s="16">
        <v>-79116.350000000006</v>
      </c>
      <c r="CG30" s="16">
        <v>-81155.450000000012</v>
      </c>
      <c r="CH30" s="16">
        <v>-81155.450000000012</v>
      </c>
    </row>
    <row r="31" spans="1:86" x14ac:dyDescent="0.2">
      <c r="A31" s="10" t="s">
        <v>115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11613.33</v>
      </c>
      <c r="H31" s="16">
        <v>10161.66</v>
      </c>
      <c r="I31" s="16">
        <v>15316.33</v>
      </c>
      <c r="J31" s="16">
        <v>12763.6</v>
      </c>
      <c r="K31" s="16">
        <v>12480.56</v>
      </c>
      <c r="L31" s="16">
        <v>9360.4</v>
      </c>
      <c r="M31" s="16">
        <v>6240.26</v>
      </c>
      <c r="N31" s="16">
        <v>2937.05</v>
      </c>
      <c r="O31" s="16">
        <v>0</v>
      </c>
      <c r="P31" s="16">
        <v>0</v>
      </c>
      <c r="Q31" s="16">
        <v>0</v>
      </c>
      <c r="R31" s="16">
        <v>0</v>
      </c>
      <c r="S31" s="16">
        <v>296.39</v>
      </c>
      <c r="T31" s="16">
        <v>263.45999999999998</v>
      </c>
      <c r="U31" s="16">
        <v>230.52999999999997</v>
      </c>
      <c r="V31" s="16">
        <v>197.59999999999997</v>
      </c>
      <c r="W31" s="16">
        <v>164.66999999999996</v>
      </c>
      <c r="X31" s="16">
        <v>131.73999999999995</v>
      </c>
      <c r="Y31" s="16">
        <v>98.809999999999945</v>
      </c>
      <c r="Z31" s="16">
        <v>65.869999999999948</v>
      </c>
      <c r="AA31" s="16">
        <v>32.92999999999995</v>
      </c>
      <c r="AB31" s="16">
        <v>-4.9737991503207013E-14</v>
      </c>
      <c r="AC31" s="16">
        <v>-4.9737991503207013E-14</v>
      </c>
      <c r="AD31" s="16">
        <v>2191.5300000000002</v>
      </c>
      <c r="AE31" s="16">
        <v>1992.3200000000002</v>
      </c>
      <c r="AF31" s="16">
        <v>2612.0700000000002</v>
      </c>
      <c r="AG31" s="16">
        <v>3162.76</v>
      </c>
      <c r="AH31" s="16">
        <v>2767.4100000000003</v>
      </c>
      <c r="AI31" s="16">
        <v>3345.0200000000004</v>
      </c>
      <c r="AJ31" s="16">
        <v>2787.4900000000007</v>
      </c>
      <c r="AK31" s="16">
        <v>3114.5900000000006</v>
      </c>
      <c r="AL31" s="16">
        <v>2335.8800000000006</v>
      </c>
      <c r="AM31" s="16">
        <v>6014.6</v>
      </c>
      <c r="AN31" s="16">
        <v>3300.9000000000005</v>
      </c>
      <c r="AO31" s="16">
        <v>4.5474735088646412E-13</v>
      </c>
      <c r="AP31" s="16">
        <v>4.5474735088646412E-13</v>
      </c>
      <c r="AQ31" s="16">
        <v>1172.3200000000004</v>
      </c>
      <c r="AR31" s="16">
        <v>1320.6300000000003</v>
      </c>
      <c r="AS31" s="16">
        <v>1299.2400000000002</v>
      </c>
      <c r="AT31" s="16">
        <v>1136.8300000000002</v>
      </c>
      <c r="AU31" s="16">
        <v>11591.68</v>
      </c>
      <c r="AV31" s="16">
        <v>11591.68</v>
      </c>
      <c r="AW31" s="16">
        <v>11591.68</v>
      </c>
      <c r="AX31" s="16">
        <v>11591.68</v>
      </c>
      <c r="AY31" s="16">
        <v>21862.080000000002</v>
      </c>
      <c r="AZ31" s="16">
        <v>21862.080000000002</v>
      </c>
      <c r="BA31" s="16">
        <v>88951.7</v>
      </c>
      <c r="BB31" s="16">
        <v>88951.7</v>
      </c>
      <c r="BC31" s="16">
        <v>88951.7</v>
      </c>
      <c r="BD31" s="16">
        <v>88951.7</v>
      </c>
      <c r="BE31" s="16">
        <v>88951.7</v>
      </c>
      <c r="BF31" s="16">
        <v>88951.7</v>
      </c>
      <c r="BG31" s="16">
        <v>88951.7</v>
      </c>
      <c r="BH31" s="16">
        <v>88951.7</v>
      </c>
      <c r="BI31" s="16">
        <v>88951.7</v>
      </c>
      <c r="BJ31" s="16">
        <v>88951.7</v>
      </c>
      <c r="BK31" s="16">
        <v>88951.7</v>
      </c>
      <c r="BL31" s="16">
        <v>88951.7</v>
      </c>
      <c r="BM31" s="16">
        <v>88951.7</v>
      </c>
      <c r="BN31" s="16">
        <v>88951.7</v>
      </c>
      <c r="BO31" s="16">
        <v>88951.7</v>
      </c>
      <c r="BP31" s="16">
        <v>88951.7</v>
      </c>
      <c r="BQ31" s="16">
        <v>88951.7</v>
      </c>
      <c r="BR31" s="16">
        <v>88951.7</v>
      </c>
      <c r="BS31" s="16">
        <v>88951.7</v>
      </c>
      <c r="BT31" s="16">
        <v>88951.7</v>
      </c>
      <c r="BU31" s="16">
        <v>88951.7</v>
      </c>
      <c r="BV31" s="16">
        <v>88951.7</v>
      </c>
      <c r="BW31" s="16">
        <v>90622</v>
      </c>
      <c r="BX31" s="16">
        <v>90617.8</v>
      </c>
      <c r="BY31" s="16">
        <v>95537.8</v>
      </c>
      <c r="BZ31" s="16">
        <v>95537.8</v>
      </c>
      <c r="CA31" s="16">
        <v>95537.8</v>
      </c>
      <c r="CB31" s="16">
        <v>95537.8</v>
      </c>
      <c r="CC31" s="16">
        <v>103947.49</v>
      </c>
      <c r="CD31" s="16">
        <v>103947.49</v>
      </c>
      <c r="CE31" s="16">
        <v>103947.49</v>
      </c>
      <c r="CF31" s="16">
        <v>103947.49</v>
      </c>
      <c r="CG31" s="16">
        <v>103947.49</v>
      </c>
      <c r="CH31" s="16">
        <v>103947.49</v>
      </c>
    </row>
    <row r="32" spans="1:86" x14ac:dyDescent="0.2">
      <c r="A32" s="10" t="s">
        <v>116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-1931.97</v>
      </c>
      <c r="AW32" s="16">
        <v>-3863.88</v>
      </c>
      <c r="AX32" s="16">
        <v>-5795.87</v>
      </c>
      <c r="AY32" s="16">
        <v>-17998.169999999998</v>
      </c>
      <c r="AZ32" s="16">
        <v>-19930.179999999997</v>
      </c>
      <c r="BA32" s="16">
        <v>-88951.7</v>
      </c>
      <c r="BB32" s="16">
        <v>-88951.7</v>
      </c>
      <c r="BC32" s="16">
        <v>-88951.7</v>
      </c>
      <c r="BD32" s="16">
        <v>-88951.7</v>
      </c>
      <c r="BE32" s="16">
        <v>-88951.7</v>
      </c>
      <c r="BF32" s="16">
        <v>-88951.7</v>
      </c>
      <c r="BG32" s="16">
        <v>-88951.7</v>
      </c>
      <c r="BH32" s="16">
        <v>-88951.7</v>
      </c>
      <c r="BI32" s="16">
        <v>-88951.7</v>
      </c>
      <c r="BJ32" s="16">
        <v>-88951.7</v>
      </c>
      <c r="BK32" s="16">
        <v>-88951.7</v>
      </c>
      <c r="BL32" s="16">
        <v>-88951.7</v>
      </c>
      <c r="BM32" s="16">
        <v>-88951.7</v>
      </c>
      <c r="BN32" s="16">
        <v>-88951.7</v>
      </c>
      <c r="BO32" s="16">
        <v>-88951.7</v>
      </c>
      <c r="BP32" s="16">
        <v>-88951.7</v>
      </c>
      <c r="BQ32" s="16">
        <v>-88951.7</v>
      </c>
      <c r="BR32" s="16">
        <v>-88951.7</v>
      </c>
      <c r="BS32" s="16">
        <v>-88951.7</v>
      </c>
      <c r="BT32" s="16">
        <v>-88951.7</v>
      </c>
      <c r="BU32" s="16">
        <v>-88951.7</v>
      </c>
      <c r="BV32" s="16">
        <v>-88951.7</v>
      </c>
      <c r="BW32" s="16">
        <v>-90533.77</v>
      </c>
      <c r="BX32" s="16">
        <v>-90529.57</v>
      </c>
      <c r="BY32" s="16">
        <v>-95449.57</v>
      </c>
      <c r="BZ32" s="16">
        <v>-95537.8</v>
      </c>
      <c r="CA32" s="16">
        <v>-95537.8</v>
      </c>
      <c r="CB32" s="16">
        <v>-95537.8</v>
      </c>
      <c r="CC32" s="16">
        <v>-103947.49</v>
      </c>
      <c r="CD32" s="16">
        <v>-103947.49</v>
      </c>
      <c r="CE32" s="16">
        <v>-103947.49</v>
      </c>
      <c r="CF32" s="16">
        <v>-103947.49</v>
      </c>
      <c r="CG32" s="16">
        <v>-103947.49</v>
      </c>
      <c r="CH32" s="16">
        <v>-103947.49</v>
      </c>
    </row>
    <row r="33" spans="1:86" x14ac:dyDescent="0.2">
      <c r="A33" s="12" t="s">
        <v>117</v>
      </c>
      <c r="B33" s="13">
        <f t="shared" ref="B33:AG33" si="9">SUM(B22:B32)</f>
        <v>527</v>
      </c>
      <c r="C33" s="13">
        <f t="shared" si="9"/>
        <v>527</v>
      </c>
      <c r="D33" s="13">
        <f t="shared" si="9"/>
        <v>510</v>
      </c>
      <c r="E33" s="13">
        <f t="shared" si="9"/>
        <v>493</v>
      </c>
      <c r="F33" s="13">
        <f t="shared" si="9"/>
        <v>476</v>
      </c>
      <c r="G33" s="13">
        <f t="shared" si="9"/>
        <v>12072.33</v>
      </c>
      <c r="H33" s="13">
        <f t="shared" si="9"/>
        <v>10603.66</v>
      </c>
      <c r="I33" s="13">
        <f t="shared" si="9"/>
        <v>15741.33</v>
      </c>
      <c r="J33" s="13">
        <f t="shared" si="9"/>
        <v>13171.6</v>
      </c>
      <c r="K33" s="13">
        <f t="shared" si="9"/>
        <v>12871.56</v>
      </c>
      <c r="L33" s="13">
        <f t="shared" si="9"/>
        <v>9734.4</v>
      </c>
      <c r="M33" s="13">
        <f t="shared" si="9"/>
        <v>6597.26</v>
      </c>
      <c r="N33" s="13">
        <f t="shared" si="9"/>
        <v>3277.05</v>
      </c>
      <c r="O33" s="13">
        <f t="shared" si="9"/>
        <v>323</v>
      </c>
      <c r="P33" s="13">
        <f t="shared" si="9"/>
        <v>323</v>
      </c>
      <c r="Q33" s="13">
        <f t="shared" si="9"/>
        <v>306</v>
      </c>
      <c r="R33" s="13">
        <f t="shared" si="9"/>
        <v>289</v>
      </c>
      <c r="S33" s="13">
        <f t="shared" si="9"/>
        <v>568.39</v>
      </c>
      <c r="T33" s="13">
        <f t="shared" si="9"/>
        <v>518.46</v>
      </c>
      <c r="U33" s="13">
        <f t="shared" si="9"/>
        <v>1284.5899999999999</v>
      </c>
      <c r="V33" s="13">
        <f t="shared" si="9"/>
        <v>1211.23</v>
      </c>
      <c r="W33" s="13">
        <f t="shared" si="9"/>
        <v>1137.8600000000001</v>
      </c>
      <c r="X33" s="13">
        <f t="shared" si="9"/>
        <v>1064.5</v>
      </c>
      <c r="Y33" s="13">
        <f t="shared" si="9"/>
        <v>991.13000000000011</v>
      </c>
      <c r="Z33" s="13">
        <f t="shared" si="9"/>
        <v>917.76000000000022</v>
      </c>
      <c r="AA33" s="13">
        <f t="shared" si="9"/>
        <v>844.39000000000021</v>
      </c>
      <c r="AB33" s="13">
        <f t="shared" si="9"/>
        <v>771.00000000000023</v>
      </c>
      <c r="AC33" s="13">
        <f t="shared" si="9"/>
        <v>771.00000000000023</v>
      </c>
      <c r="AD33" s="13">
        <f t="shared" si="9"/>
        <v>2922.2000000000003</v>
      </c>
      <c r="AE33" s="13">
        <f t="shared" si="9"/>
        <v>2682.6600000000003</v>
      </c>
      <c r="AF33" s="13">
        <f t="shared" si="9"/>
        <v>3262.0800000000004</v>
      </c>
      <c r="AG33" s="13">
        <f t="shared" si="9"/>
        <v>3772.4400000000005</v>
      </c>
      <c r="AH33" s="13">
        <f t="shared" ref="AH33:BM33" si="10">SUM(AH22:AH32)</f>
        <v>3336.7500000000005</v>
      </c>
      <c r="AI33" s="13">
        <f t="shared" si="10"/>
        <v>3874.0300000000007</v>
      </c>
      <c r="AJ33" s="13">
        <f t="shared" si="10"/>
        <v>3276.1700000000005</v>
      </c>
      <c r="AK33" s="13">
        <f t="shared" si="10"/>
        <v>3579.9300000000007</v>
      </c>
      <c r="AL33" s="13">
        <f t="shared" si="10"/>
        <v>2777.8800000000006</v>
      </c>
      <c r="AM33" s="13">
        <f t="shared" si="10"/>
        <v>6433.27</v>
      </c>
      <c r="AN33" s="13">
        <f t="shared" si="10"/>
        <v>3696.2400000000007</v>
      </c>
      <c r="AO33" s="13">
        <f t="shared" si="10"/>
        <v>372.00000000000057</v>
      </c>
      <c r="AP33" s="13">
        <f t="shared" si="10"/>
        <v>348.75000000000057</v>
      </c>
      <c r="AQ33" s="13">
        <f t="shared" si="10"/>
        <v>1497.8200000000006</v>
      </c>
      <c r="AR33" s="13">
        <f t="shared" si="10"/>
        <v>1622.8800000000006</v>
      </c>
      <c r="AS33" s="13">
        <f t="shared" si="10"/>
        <v>1578.2400000000002</v>
      </c>
      <c r="AT33" s="13">
        <f t="shared" si="10"/>
        <v>1392.5800000000004</v>
      </c>
      <c r="AU33" s="13">
        <f t="shared" si="10"/>
        <v>11824.18</v>
      </c>
      <c r="AV33" s="13">
        <f t="shared" si="10"/>
        <v>9868.9600000000009</v>
      </c>
      <c r="AW33" s="13">
        <f t="shared" si="10"/>
        <v>7913.8</v>
      </c>
      <c r="AX33" s="13">
        <f t="shared" si="10"/>
        <v>5958.56</v>
      </c>
      <c r="AY33" s="13">
        <f t="shared" si="10"/>
        <v>4433.4100000000035</v>
      </c>
      <c r="AZ33" s="13">
        <f t="shared" si="10"/>
        <v>2470.1500000000051</v>
      </c>
      <c r="BA33" s="13">
        <f t="shared" si="10"/>
        <v>93</v>
      </c>
      <c r="BB33" s="13">
        <f t="shared" si="10"/>
        <v>93</v>
      </c>
      <c r="BC33" s="13">
        <f t="shared" si="10"/>
        <v>69.75</v>
      </c>
      <c r="BD33" s="13">
        <f t="shared" si="10"/>
        <v>428.85000000000582</v>
      </c>
      <c r="BE33" s="13">
        <f t="shared" si="10"/>
        <v>23.25</v>
      </c>
      <c r="BF33" s="13">
        <f t="shared" si="10"/>
        <v>0</v>
      </c>
      <c r="BG33" s="13">
        <f t="shared" si="10"/>
        <v>0</v>
      </c>
      <c r="BH33" s="13">
        <f t="shared" si="10"/>
        <v>0</v>
      </c>
      <c r="BI33" s="13">
        <f t="shared" si="10"/>
        <v>0</v>
      </c>
      <c r="BJ33" s="13">
        <f t="shared" si="10"/>
        <v>2625.1499999999942</v>
      </c>
      <c r="BK33" s="13">
        <f t="shared" si="10"/>
        <v>0</v>
      </c>
      <c r="BL33" s="13">
        <f t="shared" si="10"/>
        <v>0</v>
      </c>
      <c r="BM33" s="13">
        <f t="shared" si="10"/>
        <v>0</v>
      </c>
      <c r="BN33" s="13">
        <f t="shared" ref="BN33:CS33" si="11">SUM(BN22:BN32)</f>
        <v>0</v>
      </c>
      <c r="BO33" s="13">
        <f t="shared" si="11"/>
        <v>0</v>
      </c>
      <c r="BP33" s="13">
        <f t="shared" si="11"/>
        <v>0</v>
      </c>
      <c r="BQ33" s="13">
        <f t="shared" si="11"/>
        <v>0</v>
      </c>
      <c r="BR33" s="13">
        <f t="shared" si="11"/>
        <v>0</v>
      </c>
      <c r="BS33" s="13">
        <f t="shared" si="11"/>
        <v>0</v>
      </c>
      <c r="BT33" s="13">
        <f t="shared" si="11"/>
        <v>0</v>
      </c>
      <c r="BU33" s="13">
        <f t="shared" si="11"/>
        <v>0</v>
      </c>
      <c r="BV33" s="13">
        <f t="shared" si="11"/>
        <v>0</v>
      </c>
      <c r="BW33" s="13">
        <f t="shared" si="11"/>
        <v>88.229999999995925</v>
      </c>
      <c r="BX33" s="13">
        <f t="shared" si="11"/>
        <v>88.229999999995925</v>
      </c>
      <c r="BY33" s="13">
        <f t="shared" si="11"/>
        <v>88.229999999995925</v>
      </c>
      <c r="BZ33" s="13">
        <f t="shared" si="11"/>
        <v>0</v>
      </c>
      <c r="CA33" s="13">
        <f t="shared" si="11"/>
        <v>0</v>
      </c>
      <c r="CB33" s="13">
        <f t="shared" si="11"/>
        <v>0</v>
      </c>
      <c r="CC33" s="13">
        <f t="shared" si="11"/>
        <v>0</v>
      </c>
      <c r="CD33" s="13">
        <f t="shared" si="11"/>
        <v>0</v>
      </c>
      <c r="CE33" s="13">
        <f t="shared" si="11"/>
        <v>0</v>
      </c>
      <c r="CF33" s="13">
        <f t="shared" si="11"/>
        <v>0</v>
      </c>
      <c r="CG33" s="13">
        <f t="shared" si="11"/>
        <v>0</v>
      </c>
      <c r="CH33" s="13">
        <f t="shared" si="11"/>
        <v>0</v>
      </c>
    </row>
    <row r="34" spans="1:86" x14ac:dyDescent="0.2">
      <c r="A34" s="14" t="s">
        <v>118</v>
      </c>
      <c r="B34" s="15">
        <f t="shared" ref="B34:AG34" si="12">0+B20+B33+0</f>
        <v>43276</v>
      </c>
      <c r="C34" s="15">
        <f t="shared" si="12"/>
        <v>43276</v>
      </c>
      <c r="D34" s="15">
        <f t="shared" si="12"/>
        <v>40460.080000000002</v>
      </c>
      <c r="E34" s="15">
        <f t="shared" si="12"/>
        <v>38064.14</v>
      </c>
      <c r="F34" s="15">
        <f t="shared" si="12"/>
        <v>37768.379999999997</v>
      </c>
      <c r="G34" s="15">
        <f t="shared" si="12"/>
        <v>60091.05</v>
      </c>
      <c r="H34" s="15">
        <f t="shared" si="12"/>
        <v>59070.229999999996</v>
      </c>
      <c r="I34" s="15">
        <f t="shared" si="12"/>
        <v>79044.27</v>
      </c>
      <c r="J34" s="15">
        <f t="shared" si="12"/>
        <v>73154.930000000008</v>
      </c>
      <c r="K34" s="15">
        <f t="shared" si="12"/>
        <v>70172.92</v>
      </c>
      <c r="L34" s="15">
        <f t="shared" si="12"/>
        <v>67180.349999999991</v>
      </c>
      <c r="M34" s="15">
        <f t="shared" si="12"/>
        <v>60960.32</v>
      </c>
      <c r="N34" s="15">
        <f t="shared" si="12"/>
        <v>55056.520000000004</v>
      </c>
      <c r="O34" s="15">
        <f t="shared" si="12"/>
        <v>65809</v>
      </c>
      <c r="P34" s="15">
        <f t="shared" si="12"/>
        <v>65809</v>
      </c>
      <c r="Q34" s="15">
        <f t="shared" si="12"/>
        <v>62691.1</v>
      </c>
      <c r="R34" s="15">
        <f t="shared" si="12"/>
        <v>59786.2</v>
      </c>
      <c r="S34" s="15">
        <f t="shared" si="12"/>
        <v>57202.82</v>
      </c>
      <c r="T34" s="15">
        <f t="shared" si="12"/>
        <v>59608.06</v>
      </c>
      <c r="U34" s="15">
        <f t="shared" si="12"/>
        <v>57662.31</v>
      </c>
      <c r="V34" s="15">
        <f t="shared" si="12"/>
        <v>54877.310000000005</v>
      </c>
      <c r="W34" s="15">
        <f t="shared" si="12"/>
        <v>52092.05</v>
      </c>
      <c r="X34" s="15">
        <f t="shared" si="12"/>
        <v>49306.97</v>
      </c>
      <c r="Y34" s="15">
        <f t="shared" si="12"/>
        <v>46521.82</v>
      </c>
      <c r="Z34" s="15">
        <f t="shared" si="12"/>
        <v>43736.630000000005</v>
      </c>
      <c r="AA34" s="15">
        <f t="shared" si="12"/>
        <v>40986.71</v>
      </c>
      <c r="AB34" s="15">
        <f t="shared" si="12"/>
        <v>38619</v>
      </c>
      <c r="AC34" s="15">
        <f t="shared" si="12"/>
        <v>38619</v>
      </c>
      <c r="AD34" s="15">
        <f t="shared" si="12"/>
        <v>38476.399999999994</v>
      </c>
      <c r="AE34" s="15">
        <f t="shared" si="12"/>
        <v>50900.36</v>
      </c>
      <c r="AF34" s="15">
        <f t="shared" si="12"/>
        <v>48758.28</v>
      </c>
      <c r="AG34" s="15">
        <f t="shared" si="12"/>
        <v>46547.229999999996</v>
      </c>
      <c r="AH34" s="15">
        <f t="shared" ref="AH34:BM34" si="13">0+AH20+AH33+0</f>
        <v>48041.889999999992</v>
      </c>
      <c r="AI34" s="15">
        <f t="shared" si="13"/>
        <v>45724.609999999993</v>
      </c>
      <c r="AJ34" s="15">
        <f t="shared" si="13"/>
        <v>42720.579999999994</v>
      </c>
      <c r="AK34" s="15">
        <f t="shared" si="13"/>
        <v>40635.549999999996</v>
      </c>
      <c r="AL34" s="15">
        <f t="shared" si="13"/>
        <v>37444.589999999989</v>
      </c>
      <c r="AM34" s="15">
        <f t="shared" si="13"/>
        <v>51747.76999999999</v>
      </c>
      <c r="AN34" s="15">
        <f t="shared" si="13"/>
        <v>46248.349999999991</v>
      </c>
      <c r="AO34" s="15">
        <f t="shared" si="13"/>
        <v>40161.999999999993</v>
      </c>
      <c r="AP34" s="15">
        <f t="shared" si="13"/>
        <v>37381.709999999992</v>
      </c>
      <c r="AQ34" s="15">
        <f t="shared" si="13"/>
        <v>35773.659999999989</v>
      </c>
      <c r="AR34" s="15">
        <f t="shared" si="13"/>
        <v>33992.979999999989</v>
      </c>
      <c r="AS34" s="15">
        <f t="shared" si="13"/>
        <v>31601.919999999987</v>
      </c>
      <c r="AT34" s="15">
        <f t="shared" si="13"/>
        <v>29160.069999999989</v>
      </c>
      <c r="AU34" s="15">
        <f t="shared" si="13"/>
        <v>37837.909999999989</v>
      </c>
      <c r="AV34" s="15">
        <f t="shared" si="13"/>
        <v>34128.899999999987</v>
      </c>
      <c r="AW34" s="15">
        <f t="shared" si="13"/>
        <v>30437.399999999987</v>
      </c>
      <c r="AX34" s="15">
        <f t="shared" si="13"/>
        <v>41413.059999999983</v>
      </c>
      <c r="AY34" s="15">
        <f t="shared" si="13"/>
        <v>37833.80999999999</v>
      </c>
      <c r="AZ34" s="15">
        <f t="shared" si="13"/>
        <v>33816.599999999991</v>
      </c>
      <c r="BA34" s="15">
        <f t="shared" si="13"/>
        <v>29925.079999999987</v>
      </c>
      <c r="BB34" s="15">
        <f t="shared" si="13"/>
        <v>29925.079999999987</v>
      </c>
      <c r="BC34" s="15">
        <f t="shared" si="13"/>
        <v>28387.47</v>
      </c>
      <c r="BD34" s="15">
        <f t="shared" si="13"/>
        <v>41509.350000000006</v>
      </c>
      <c r="BE34" s="15">
        <f t="shared" si="13"/>
        <v>39181.540000000008</v>
      </c>
      <c r="BF34" s="15">
        <f t="shared" si="13"/>
        <v>37379.450000000012</v>
      </c>
      <c r="BG34" s="15">
        <f t="shared" si="13"/>
        <v>35600.710000000021</v>
      </c>
      <c r="BH34" s="15">
        <f t="shared" si="13"/>
        <v>33821.870000000024</v>
      </c>
      <c r="BI34" s="15">
        <f t="shared" si="13"/>
        <v>32043.130000000034</v>
      </c>
      <c r="BJ34" s="15">
        <f t="shared" si="13"/>
        <v>32889.440000000031</v>
      </c>
      <c r="BK34" s="15">
        <f t="shared" si="13"/>
        <v>28485.530000000028</v>
      </c>
      <c r="BL34" s="15">
        <f t="shared" si="13"/>
        <v>26706.690000000031</v>
      </c>
      <c r="BM34" s="15">
        <f t="shared" si="13"/>
        <v>24927.930000000051</v>
      </c>
      <c r="BN34" s="15">
        <f t="shared" ref="BN34:CS34" si="14">0+BN20+BN33+0</f>
        <v>36210.370000000054</v>
      </c>
      <c r="BO34" s="15">
        <f t="shared" si="14"/>
        <v>34067.990000000049</v>
      </c>
      <c r="BP34" s="15">
        <f t="shared" si="14"/>
        <v>32352.530000000057</v>
      </c>
      <c r="BQ34" s="15">
        <f t="shared" si="14"/>
        <v>30637.050000000047</v>
      </c>
      <c r="BR34" s="15">
        <f t="shared" si="14"/>
        <v>46421.640000000043</v>
      </c>
      <c r="BS34" s="15">
        <f t="shared" si="14"/>
        <v>44339.090000000055</v>
      </c>
      <c r="BT34" s="15">
        <f t="shared" si="14"/>
        <v>42256.440000000061</v>
      </c>
      <c r="BU34" s="15">
        <f t="shared" si="14"/>
        <v>58694.680000000051</v>
      </c>
      <c r="BV34" s="15">
        <f t="shared" si="14"/>
        <v>56082.830000000045</v>
      </c>
      <c r="BW34" s="15">
        <f t="shared" si="14"/>
        <v>53559.310000000041</v>
      </c>
      <c r="BX34" s="15">
        <f t="shared" si="14"/>
        <v>51319.850000000049</v>
      </c>
      <c r="BY34" s="15">
        <f t="shared" si="14"/>
        <v>49080.390000000029</v>
      </c>
      <c r="BZ34" s="15">
        <f t="shared" si="14"/>
        <v>46752.71000000005</v>
      </c>
      <c r="CA34" s="15">
        <f t="shared" si="14"/>
        <v>84345.260000000038</v>
      </c>
      <c r="CB34" s="15">
        <f t="shared" si="14"/>
        <v>83184.490000000049</v>
      </c>
      <c r="CC34" s="15">
        <f t="shared" si="14"/>
        <v>79766.300000000047</v>
      </c>
      <c r="CD34" s="15">
        <f t="shared" si="14"/>
        <v>102345.31000000006</v>
      </c>
      <c r="CE34" s="15">
        <f t="shared" si="14"/>
        <v>98184.320000000036</v>
      </c>
      <c r="CF34" s="15">
        <f t="shared" si="14"/>
        <v>95349.530000000057</v>
      </c>
      <c r="CG34" s="15">
        <f t="shared" si="14"/>
        <v>91150.650000000052</v>
      </c>
      <c r="CH34" s="15">
        <f t="shared" si="14"/>
        <v>91150.650000000052</v>
      </c>
    </row>
    <row r="35" spans="1:86" x14ac:dyDescent="0.2">
      <c r="A35" s="7" t="s">
        <v>119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</row>
    <row r="36" spans="1:86" x14ac:dyDescent="0.2">
      <c r="A36" s="9" t="s">
        <v>120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</row>
    <row r="37" spans="1:86" x14ac:dyDescent="0.2">
      <c r="A37" s="10" t="s">
        <v>121</v>
      </c>
      <c r="B37" s="11">
        <v>166580</v>
      </c>
      <c r="C37" s="11">
        <v>166580</v>
      </c>
      <c r="D37" s="11">
        <v>166580</v>
      </c>
      <c r="E37" s="11">
        <v>166580</v>
      </c>
      <c r="F37" s="11">
        <v>166580</v>
      </c>
      <c r="G37" s="11">
        <v>166580</v>
      </c>
      <c r="H37" s="11">
        <v>166580</v>
      </c>
      <c r="I37" s="11">
        <v>166580</v>
      </c>
      <c r="J37" s="11">
        <v>166580</v>
      </c>
      <c r="K37" s="11">
        <v>166580</v>
      </c>
      <c r="L37" s="11">
        <v>166580</v>
      </c>
      <c r="M37" s="11">
        <v>166580</v>
      </c>
      <c r="N37" s="11">
        <v>166580</v>
      </c>
      <c r="O37" s="11">
        <v>166580</v>
      </c>
      <c r="P37" s="11">
        <v>166580</v>
      </c>
      <c r="Q37" s="11">
        <v>166580</v>
      </c>
      <c r="R37" s="11">
        <v>166580</v>
      </c>
      <c r="S37" s="11">
        <v>166580</v>
      </c>
      <c r="T37" s="11">
        <v>166580</v>
      </c>
      <c r="U37" s="11">
        <v>166580</v>
      </c>
      <c r="V37" s="11">
        <v>166580</v>
      </c>
      <c r="W37" s="11">
        <v>166580</v>
      </c>
      <c r="X37" s="11">
        <v>166580</v>
      </c>
      <c r="Y37" s="11">
        <v>166580</v>
      </c>
      <c r="Z37" s="11">
        <v>166580</v>
      </c>
      <c r="AA37" s="11">
        <v>166580</v>
      </c>
      <c r="AB37" s="11">
        <v>166580</v>
      </c>
      <c r="AC37" s="11">
        <v>166580</v>
      </c>
      <c r="AD37" s="11">
        <v>166580</v>
      </c>
      <c r="AE37" s="11">
        <v>166580</v>
      </c>
      <c r="AF37" s="11">
        <v>166580</v>
      </c>
      <c r="AG37" s="11">
        <v>166580</v>
      </c>
      <c r="AH37" s="11">
        <v>166580</v>
      </c>
      <c r="AI37" s="11">
        <v>166580</v>
      </c>
      <c r="AJ37" s="11">
        <v>166580</v>
      </c>
      <c r="AK37" s="11">
        <v>166580</v>
      </c>
      <c r="AL37" s="11">
        <v>166580</v>
      </c>
      <c r="AM37" s="11">
        <v>166580</v>
      </c>
      <c r="AN37" s="11">
        <v>166580</v>
      </c>
      <c r="AO37" s="11">
        <v>166580</v>
      </c>
      <c r="AP37" s="11">
        <v>166580</v>
      </c>
      <c r="AQ37" s="11">
        <v>166580</v>
      </c>
      <c r="AR37" s="11">
        <v>166580</v>
      </c>
      <c r="AS37" s="11">
        <v>166580</v>
      </c>
      <c r="AT37" s="11">
        <v>166580</v>
      </c>
      <c r="AU37" s="11">
        <v>166580</v>
      </c>
      <c r="AV37" s="11">
        <v>166580</v>
      </c>
      <c r="AW37" s="11">
        <v>166580</v>
      </c>
      <c r="AX37" s="11">
        <v>166580</v>
      </c>
      <c r="AY37" s="11">
        <v>166580</v>
      </c>
      <c r="AZ37" s="11">
        <v>166580</v>
      </c>
      <c r="BA37" s="11">
        <v>166580</v>
      </c>
      <c r="BB37" s="11">
        <v>166580</v>
      </c>
      <c r="BC37" s="11">
        <v>166580</v>
      </c>
      <c r="BD37" s="11">
        <v>166580</v>
      </c>
      <c r="BE37" s="11">
        <v>166580</v>
      </c>
      <c r="BF37" s="11">
        <v>166580</v>
      </c>
      <c r="BG37" s="11">
        <v>166580</v>
      </c>
      <c r="BH37" s="11">
        <v>166580</v>
      </c>
      <c r="BI37" s="11">
        <v>166580</v>
      </c>
      <c r="BJ37" s="11">
        <v>166580</v>
      </c>
      <c r="BK37" s="11">
        <v>166580</v>
      </c>
      <c r="BL37" s="11">
        <v>166580</v>
      </c>
      <c r="BM37" s="11">
        <v>166580</v>
      </c>
      <c r="BN37" s="11">
        <v>166580</v>
      </c>
      <c r="BO37" s="11">
        <v>166580</v>
      </c>
      <c r="BP37" s="11">
        <v>166580</v>
      </c>
      <c r="BQ37" s="11">
        <v>166580</v>
      </c>
      <c r="BR37" s="11">
        <v>166580</v>
      </c>
      <c r="BS37" s="11">
        <v>166580</v>
      </c>
      <c r="BT37" s="11">
        <v>166580</v>
      </c>
      <c r="BU37" s="11">
        <v>166580</v>
      </c>
      <c r="BV37" s="11">
        <v>166580</v>
      </c>
      <c r="BW37" s="11">
        <v>166580</v>
      </c>
      <c r="BX37" s="11">
        <v>166580</v>
      </c>
      <c r="BY37" s="11">
        <v>166580</v>
      </c>
      <c r="BZ37" s="11">
        <v>166580</v>
      </c>
      <c r="CA37" s="11">
        <v>166580</v>
      </c>
      <c r="CB37" s="11">
        <v>166580</v>
      </c>
      <c r="CC37" s="11">
        <v>166580</v>
      </c>
      <c r="CD37" s="11">
        <v>166580</v>
      </c>
      <c r="CE37" s="11">
        <v>166580</v>
      </c>
      <c r="CF37" s="11">
        <v>166580</v>
      </c>
      <c r="CG37" s="11">
        <v>166580</v>
      </c>
      <c r="CH37" s="11">
        <v>166580</v>
      </c>
    </row>
    <row r="38" spans="1:86" x14ac:dyDescent="0.2">
      <c r="A38" s="12" t="s">
        <v>122</v>
      </c>
      <c r="B38" s="13">
        <f t="shared" ref="B38:AG38" si="15">SUM(B37)</f>
        <v>166580</v>
      </c>
      <c r="C38" s="13">
        <f t="shared" si="15"/>
        <v>166580</v>
      </c>
      <c r="D38" s="13">
        <f t="shared" si="15"/>
        <v>166580</v>
      </c>
      <c r="E38" s="13">
        <f t="shared" si="15"/>
        <v>166580</v>
      </c>
      <c r="F38" s="13">
        <f t="shared" si="15"/>
        <v>166580</v>
      </c>
      <c r="G38" s="13">
        <f t="shared" si="15"/>
        <v>166580</v>
      </c>
      <c r="H38" s="13">
        <f t="shared" si="15"/>
        <v>166580</v>
      </c>
      <c r="I38" s="13">
        <f t="shared" si="15"/>
        <v>166580</v>
      </c>
      <c r="J38" s="13">
        <f t="shared" si="15"/>
        <v>166580</v>
      </c>
      <c r="K38" s="13">
        <f t="shared" si="15"/>
        <v>166580</v>
      </c>
      <c r="L38" s="13">
        <f t="shared" si="15"/>
        <v>166580</v>
      </c>
      <c r="M38" s="13">
        <f t="shared" si="15"/>
        <v>166580</v>
      </c>
      <c r="N38" s="13">
        <f t="shared" si="15"/>
        <v>166580</v>
      </c>
      <c r="O38" s="13">
        <f t="shared" si="15"/>
        <v>166580</v>
      </c>
      <c r="P38" s="13">
        <f t="shared" si="15"/>
        <v>166580</v>
      </c>
      <c r="Q38" s="13">
        <f t="shared" si="15"/>
        <v>166580</v>
      </c>
      <c r="R38" s="13">
        <f t="shared" si="15"/>
        <v>166580</v>
      </c>
      <c r="S38" s="13">
        <f t="shared" si="15"/>
        <v>166580</v>
      </c>
      <c r="T38" s="13">
        <f t="shared" si="15"/>
        <v>166580</v>
      </c>
      <c r="U38" s="13">
        <f t="shared" si="15"/>
        <v>166580</v>
      </c>
      <c r="V38" s="13">
        <f t="shared" si="15"/>
        <v>166580</v>
      </c>
      <c r="W38" s="13">
        <f t="shared" si="15"/>
        <v>166580</v>
      </c>
      <c r="X38" s="13">
        <f t="shared" si="15"/>
        <v>166580</v>
      </c>
      <c r="Y38" s="13">
        <f t="shared" si="15"/>
        <v>166580</v>
      </c>
      <c r="Z38" s="13">
        <f t="shared" si="15"/>
        <v>166580</v>
      </c>
      <c r="AA38" s="13">
        <f t="shared" si="15"/>
        <v>166580</v>
      </c>
      <c r="AB38" s="13">
        <f t="shared" si="15"/>
        <v>166580</v>
      </c>
      <c r="AC38" s="13">
        <f t="shared" si="15"/>
        <v>166580</v>
      </c>
      <c r="AD38" s="13">
        <f t="shared" si="15"/>
        <v>166580</v>
      </c>
      <c r="AE38" s="13">
        <f t="shared" si="15"/>
        <v>166580</v>
      </c>
      <c r="AF38" s="13">
        <f t="shared" si="15"/>
        <v>166580</v>
      </c>
      <c r="AG38" s="13">
        <f t="shared" si="15"/>
        <v>166580</v>
      </c>
      <c r="AH38" s="13">
        <f t="shared" ref="AH38:BM38" si="16">SUM(AH37)</f>
        <v>166580</v>
      </c>
      <c r="AI38" s="13">
        <f t="shared" si="16"/>
        <v>166580</v>
      </c>
      <c r="AJ38" s="13">
        <f t="shared" si="16"/>
        <v>166580</v>
      </c>
      <c r="AK38" s="13">
        <f t="shared" si="16"/>
        <v>166580</v>
      </c>
      <c r="AL38" s="13">
        <f t="shared" si="16"/>
        <v>166580</v>
      </c>
      <c r="AM38" s="13">
        <f t="shared" si="16"/>
        <v>166580</v>
      </c>
      <c r="AN38" s="13">
        <f t="shared" si="16"/>
        <v>166580</v>
      </c>
      <c r="AO38" s="13">
        <f t="shared" si="16"/>
        <v>166580</v>
      </c>
      <c r="AP38" s="13">
        <f t="shared" si="16"/>
        <v>166580</v>
      </c>
      <c r="AQ38" s="13">
        <f t="shared" si="16"/>
        <v>166580</v>
      </c>
      <c r="AR38" s="13">
        <f t="shared" si="16"/>
        <v>166580</v>
      </c>
      <c r="AS38" s="13">
        <f t="shared" si="16"/>
        <v>166580</v>
      </c>
      <c r="AT38" s="13">
        <f t="shared" si="16"/>
        <v>166580</v>
      </c>
      <c r="AU38" s="13">
        <f t="shared" si="16"/>
        <v>166580</v>
      </c>
      <c r="AV38" s="13">
        <f t="shared" si="16"/>
        <v>166580</v>
      </c>
      <c r="AW38" s="13">
        <f t="shared" si="16"/>
        <v>166580</v>
      </c>
      <c r="AX38" s="13">
        <f t="shared" si="16"/>
        <v>166580</v>
      </c>
      <c r="AY38" s="13">
        <f t="shared" si="16"/>
        <v>166580</v>
      </c>
      <c r="AZ38" s="13">
        <f t="shared" si="16"/>
        <v>166580</v>
      </c>
      <c r="BA38" s="13">
        <f t="shared" si="16"/>
        <v>166580</v>
      </c>
      <c r="BB38" s="13">
        <f t="shared" si="16"/>
        <v>166580</v>
      </c>
      <c r="BC38" s="13">
        <f t="shared" si="16"/>
        <v>166580</v>
      </c>
      <c r="BD38" s="13">
        <f t="shared" si="16"/>
        <v>166580</v>
      </c>
      <c r="BE38" s="13">
        <f t="shared" si="16"/>
        <v>166580</v>
      </c>
      <c r="BF38" s="13">
        <f t="shared" si="16"/>
        <v>166580</v>
      </c>
      <c r="BG38" s="13">
        <f t="shared" si="16"/>
        <v>166580</v>
      </c>
      <c r="BH38" s="13">
        <f t="shared" si="16"/>
        <v>166580</v>
      </c>
      <c r="BI38" s="13">
        <f t="shared" si="16"/>
        <v>166580</v>
      </c>
      <c r="BJ38" s="13">
        <f t="shared" si="16"/>
        <v>166580</v>
      </c>
      <c r="BK38" s="13">
        <f t="shared" si="16"/>
        <v>166580</v>
      </c>
      <c r="BL38" s="13">
        <f t="shared" si="16"/>
        <v>166580</v>
      </c>
      <c r="BM38" s="13">
        <f t="shared" si="16"/>
        <v>166580</v>
      </c>
      <c r="BN38" s="13">
        <f t="shared" ref="BN38:CS38" si="17">SUM(BN37)</f>
        <v>166580</v>
      </c>
      <c r="BO38" s="13">
        <f t="shared" si="17"/>
        <v>166580</v>
      </c>
      <c r="BP38" s="13">
        <f t="shared" si="17"/>
        <v>166580</v>
      </c>
      <c r="BQ38" s="13">
        <f t="shared" si="17"/>
        <v>166580</v>
      </c>
      <c r="BR38" s="13">
        <f t="shared" si="17"/>
        <v>166580</v>
      </c>
      <c r="BS38" s="13">
        <f t="shared" si="17"/>
        <v>166580</v>
      </c>
      <c r="BT38" s="13">
        <f t="shared" si="17"/>
        <v>166580</v>
      </c>
      <c r="BU38" s="13">
        <f t="shared" si="17"/>
        <v>166580</v>
      </c>
      <c r="BV38" s="13">
        <f t="shared" si="17"/>
        <v>166580</v>
      </c>
      <c r="BW38" s="13">
        <f t="shared" si="17"/>
        <v>166580</v>
      </c>
      <c r="BX38" s="13">
        <f t="shared" si="17"/>
        <v>166580</v>
      </c>
      <c r="BY38" s="13">
        <f t="shared" si="17"/>
        <v>166580</v>
      </c>
      <c r="BZ38" s="13">
        <f t="shared" si="17"/>
        <v>166580</v>
      </c>
      <c r="CA38" s="13">
        <f t="shared" si="17"/>
        <v>166580</v>
      </c>
      <c r="CB38" s="13">
        <f t="shared" si="17"/>
        <v>166580</v>
      </c>
      <c r="CC38" s="13">
        <f t="shared" si="17"/>
        <v>166580</v>
      </c>
      <c r="CD38" s="13">
        <f t="shared" si="17"/>
        <v>166580</v>
      </c>
      <c r="CE38" s="13">
        <f t="shared" si="17"/>
        <v>166580</v>
      </c>
      <c r="CF38" s="13">
        <f t="shared" si="17"/>
        <v>166580</v>
      </c>
      <c r="CG38" s="13">
        <f t="shared" si="17"/>
        <v>166580</v>
      </c>
      <c r="CH38" s="13">
        <f t="shared" si="17"/>
        <v>166580</v>
      </c>
    </row>
    <row r="39" spans="1:86" x14ac:dyDescent="0.2">
      <c r="A39" s="9" t="s">
        <v>123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</row>
    <row r="40" spans="1:86" x14ac:dyDescent="0.2">
      <c r="A40" s="10" t="s">
        <v>124</v>
      </c>
      <c r="B40" s="11">
        <v>199400.68</v>
      </c>
      <c r="C40" s="11">
        <v>199400.68</v>
      </c>
      <c r="D40" s="11">
        <v>199257.56</v>
      </c>
      <c r="E40" s="11">
        <v>199073.05</v>
      </c>
      <c r="F40" s="11">
        <v>198888.25</v>
      </c>
      <c r="G40" s="11">
        <v>198703.16</v>
      </c>
      <c r="H40" s="11">
        <v>198517.77</v>
      </c>
      <c r="I40" s="11">
        <v>98332.09</v>
      </c>
      <c r="J40" s="11">
        <v>98146.12</v>
      </c>
      <c r="K40" s="11">
        <v>97801.51999999999</v>
      </c>
      <c r="L40" s="11">
        <v>97456.37</v>
      </c>
      <c r="M40" s="11">
        <v>97110.68</v>
      </c>
      <c r="N40" s="11">
        <v>96764.439999999988</v>
      </c>
      <c r="O40" s="11">
        <v>96417.65</v>
      </c>
      <c r="P40" s="11">
        <v>96417.65</v>
      </c>
      <c r="Q40" s="11">
        <v>96070.31</v>
      </c>
      <c r="R40" s="11">
        <v>95722.42</v>
      </c>
      <c r="S40" s="11">
        <v>95373.98</v>
      </c>
      <c r="T40" s="11">
        <v>95024.989999999991</v>
      </c>
      <c r="U40" s="11">
        <v>94675.45</v>
      </c>
      <c r="V40" s="11">
        <v>94325.349999999991</v>
      </c>
      <c r="W40" s="11">
        <v>93974.7</v>
      </c>
      <c r="X40" s="11">
        <v>93623.489999999991</v>
      </c>
      <c r="Y40" s="11">
        <v>93271.73</v>
      </c>
      <c r="Z40" s="11">
        <v>92919.409999999989</v>
      </c>
      <c r="AA40" s="11">
        <v>92566.529999999984</v>
      </c>
      <c r="AB40" s="11">
        <v>92213.089999999982</v>
      </c>
      <c r="AC40" s="11">
        <v>92213.089999999982</v>
      </c>
      <c r="AD40" s="11">
        <v>91859.089999999982</v>
      </c>
      <c r="AE40" s="11">
        <v>91149.409999999989</v>
      </c>
      <c r="AF40" s="11">
        <v>91149.409999999989</v>
      </c>
      <c r="AG40" s="11">
        <v>90793.73</v>
      </c>
      <c r="AH40" s="11">
        <v>90437.489999999991</v>
      </c>
      <c r="AI40" s="11">
        <v>90080.68</v>
      </c>
      <c r="AJ40" s="11">
        <v>89723.31</v>
      </c>
      <c r="AK40" s="11">
        <v>89365.37</v>
      </c>
      <c r="AL40" s="11">
        <v>89006.87</v>
      </c>
      <c r="AM40" s="11">
        <v>88647.799999999988</v>
      </c>
      <c r="AN40" s="11">
        <v>88288.159999999989</v>
      </c>
      <c r="AO40" s="11">
        <v>87927.949999999983</v>
      </c>
      <c r="AP40" s="11">
        <v>87567.169999999984</v>
      </c>
      <c r="AQ40" s="11">
        <v>87205.819999999978</v>
      </c>
      <c r="AR40" s="11">
        <v>86843.89999999998</v>
      </c>
      <c r="AS40" s="11">
        <v>86118.329999999973</v>
      </c>
      <c r="AT40" s="11">
        <v>86118.329999999973</v>
      </c>
      <c r="AU40" s="11">
        <v>85754.679999999978</v>
      </c>
      <c r="AV40" s="11">
        <v>85390.459999999977</v>
      </c>
      <c r="AW40" s="11">
        <v>85025.659999999974</v>
      </c>
      <c r="AX40" s="11">
        <v>84660.27999999997</v>
      </c>
      <c r="AY40" s="11">
        <v>84294.329999999973</v>
      </c>
      <c r="AZ40" s="11">
        <v>83927.799999999974</v>
      </c>
      <c r="BA40" s="11">
        <v>83192.989999999976</v>
      </c>
      <c r="BB40" s="11">
        <v>83192.989999999976</v>
      </c>
      <c r="BC40" s="11">
        <v>83192.989999999976</v>
      </c>
      <c r="BD40" s="11">
        <v>82824.709999999977</v>
      </c>
      <c r="BE40" s="11">
        <v>82455.849999999977</v>
      </c>
      <c r="BF40" s="11">
        <v>82086.409999999974</v>
      </c>
      <c r="BG40" s="11">
        <v>81716.379999999976</v>
      </c>
      <c r="BH40" s="11">
        <v>81345.75999999998</v>
      </c>
      <c r="BI40" s="11">
        <v>80974.559999999983</v>
      </c>
      <c r="BJ40" s="11">
        <v>80602.76999999999</v>
      </c>
      <c r="BK40" s="11">
        <v>80230.389999999985</v>
      </c>
      <c r="BL40" s="11">
        <v>79857.419999999984</v>
      </c>
      <c r="BM40" s="11">
        <v>79483.859999999986</v>
      </c>
      <c r="BN40" s="11">
        <v>78734.969999999987</v>
      </c>
      <c r="BO40" s="11">
        <v>78734.969999999987</v>
      </c>
      <c r="BP40" s="11">
        <v>78359.62999999999</v>
      </c>
      <c r="BQ40" s="11">
        <v>77483.7</v>
      </c>
      <c r="BR40" s="11">
        <v>76606.37999999999</v>
      </c>
      <c r="BS40" s="11">
        <v>75727.669999999984</v>
      </c>
      <c r="BT40" s="11">
        <v>74847.569999999978</v>
      </c>
      <c r="BU40" s="11">
        <v>73966.079999999973</v>
      </c>
      <c r="BV40" s="11">
        <v>73083.189999999973</v>
      </c>
      <c r="BW40" s="11">
        <v>71313.219999999972</v>
      </c>
      <c r="BX40" s="11">
        <v>71313.219999999972</v>
      </c>
      <c r="BY40" s="11">
        <v>70426.129999999976</v>
      </c>
      <c r="BZ40" s="11">
        <v>68647.739999999976</v>
      </c>
      <c r="CA40" s="11">
        <v>68647.739999999976</v>
      </c>
      <c r="CB40" s="11">
        <v>47756.429999999978</v>
      </c>
      <c r="CC40" s="11">
        <v>-2.1827872842550278E-11</v>
      </c>
      <c r="CD40" s="11">
        <v>-2.1827872842550278E-11</v>
      </c>
      <c r="CE40" s="11">
        <v>-2.1827872842550278E-11</v>
      </c>
      <c r="CF40" s="11">
        <v>-2.1827872842550278E-11</v>
      </c>
      <c r="CG40" s="11">
        <v>-2.1827872842550278E-11</v>
      </c>
      <c r="CH40" s="11">
        <v>-2.1827872842550278E-11</v>
      </c>
    </row>
    <row r="41" spans="1:86" x14ac:dyDescent="0.2">
      <c r="A41" s="12" t="s">
        <v>125</v>
      </c>
      <c r="B41" s="13">
        <f t="shared" ref="B41:AG41" si="18">SUM(B40)</f>
        <v>199400.68</v>
      </c>
      <c r="C41" s="13">
        <f t="shared" si="18"/>
        <v>199400.68</v>
      </c>
      <c r="D41" s="13">
        <f t="shared" si="18"/>
        <v>199257.56</v>
      </c>
      <c r="E41" s="13">
        <f t="shared" si="18"/>
        <v>199073.05</v>
      </c>
      <c r="F41" s="13">
        <f t="shared" si="18"/>
        <v>198888.25</v>
      </c>
      <c r="G41" s="13">
        <f t="shared" si="18"/>
        <v>198703.16</v>
      </c>
      <c r="H41" s="13">
        <f t="shared" si="18"/>
        <v>198517.77</v>
      </c>
      <c r="I41" s="13">
        <f t="shared" si="18"/>
        <v>98332.09</v>
      </c>
      <c r="J41" s="13">
        <f t="shared" si="18"/>
        <v>98146.12</v>
      </c>
      <c r="K41" s="13">
        <f t="shared" si="18"/>
        <v>97801.51999999999</v>
      </c>
      <c r="L41" s="13">
        <f t="shared" si="18"/>
        <v>97456.37</v>
      </c>
      <c r="M41" s="13">
        <f t="shared" si="18"/>
        <v>97110.68</v>
      </c>
      <c r="N41" s="13">
        <f t="shared" si="18"/>
        <v>96764.439999999988</v>
      </c>
      <c r="O41" s="13">
        <f t="shared" si="18"/>
        <v>96417.65</v>
      </c>
      <c r="P41" s="13">
        <f t="shared" si="18"/>
        <v>96417.65</v>
      </c>
      <c r="Q41" s="13">
        <f t="shared" si="18"/>
        <v>96070.31</v>
      </c>
      <c r="R41" s="13">
        <f t="shared" si="18"/>
        <v>95722.42</v>
      </c>
      <c r="S41" s="13">
        <f t="shared" si="18"/>
        <v>95373.98</v>
      </c>
      <c r="T41" s="13">
        <f t="shared" si="18"/>
        <v>95024.989999999991</v>
      </c>
      <c r="U41" s="13">
        <f t="shared" si="18"/>
        <v>94675.45</v>
      </c>
      <c r="V41" s="13">
        <f t="shared" si="18"/>
        <v>94325.349999999991</v>
      </c>
      <c r="W41" s="13">
        <f t="shared" si="18"/>
        <v>93974.7</v>
      </c>
      <c r="X41" s="13">
        <f t="shared" si="18"/>
        <v>93623.489999999991</v>
      </c>
      <c r="Y41" s="13">
        <f t="shared" si="18"/>
        <v>93271.73</v>
      </c>
      <c r="Z41" s="13">
        <f t="shared" si="18"/>
        <v>92919.409999999989</v>
      </c>
      <c r="AA41" s="13">
        <f t="shared" si="18"/>
        <v>92566.529999999984</v>
      </c>
      <c r="AB41" s="13">
        <f t="shared" si="18"/>
        <v>92213.089999999982</v>
      </c>
      <c r="AC41" s="13">
        <f t="shared" si="18"/>
        <v>92213.089999999982</v>
      </c>
      <c r="AD41" s="13">
        <f t="shared" si="18"/>
        <v>91859.089999999982</v>
      </c>
      <c r="AE41" s="13">
        <f t="shared" si="18"/>
        <v>91149.409999999989</v>
      </c>
      <c r="AF41" s="13">
        <f t="shared" si="18"/>
        <v>91149.409999999989</v>
      </c>
      <c r="AG41" s="13">
        <f t="shared" si="18"/>
        <v>90793.73</v>
      </c>
      <c r="AH41" s="13">
        <f t="shared" ref="AH41:BM41" si="19">SUM(AH40)</f>
        <v>90437.489999999991</v>
      </c>
      <c r="AI41" s="13">
        <f t="shared" si="19"/>
        <v>90080.68</v>
      </c>
      <c r="AJ41" s="13">
        <f t="shared" si="19"/>
        <v>89723.31</v>
      </c>
      <c r="AK41" s="13">
        <f t="shared" si="19"/>
        <v>89365.37</v>
      </c>
      <c r="AL41" s="13">
        <f t="shared" si="19"/>
        <v>89006.87</v>
      </c>
      <c r="AM41" s="13">
        <f t="shared" si="19"/>
        <v>88647.799999999988</v>
      </c>
      <c r="AN41" s="13">
        <f t="shared" si="19"/>
        <v>88288.159999999989</v>
      </c>
      <c r="AO41" s="13">
        <f t="shared" si="19"/>
        <v>87927.949999999983</v>
      </c>
      <c r="AP41" s="13">
        <f t="shared" si="19"/>
        <v>87567.169999999984</v>
      </c>
      <c r="AQ41" s="13">
        <f t="shared" si="19"/>
        <v>87205.819999999978</v>
      </c>
      <c r="AR41" s="13">
        <f t="shared" si="19"/>
        <v>86843.89999999998</v>
      </c>
      <c r="AS41" s="13">
        <f t="shared" si="19"/>
        <v>86118.329999999973</v>
      </c>
      <c r="AT41" s="13">
        <f t="shared" si="19"/>
        <v>86118.329999999973</v>
      </c>
      <c r="AU41" s="13">
        <f t="shared" si="19"/>
        <v>85754.679999999978</v>
      </c>
      <c r="AV41" s="13">
        <f t="shared" si="19"/>
        <v>85390.459999999977</v>
      </c>
      <c r="AW41" s="13">
        <f t="shared" si="19"/>
        <v>85025.659999999974</v>
      </c>
      <c r="AX41" s="13">
        <f t="shared" si="19"/>
        <v>84660.27999999997</v>
      </c>
      <c r="AY41" s="13">
        <f t="shared" si="19"/>
        <v>84294.329999999973</v>
      </c>
      <c r="AZ41" s="13">
        <f t="shared" si="19"/>
        <v>83927.799999999974</v>
      </c>
      <c r="BA41" s="13">
        <f t="shared" si="19"/>
        <v>83192.989999999976</v>
      </c>
      <c r="BB41" s="13">
        <f t="shared" si="19"/>
        <v>83192.989999999976</v>
      </c>
      <c r="BC41" s="13">
        <f t="shared" si="19"/>
        <v>83192.989999999976</v>
      </c>
      <c r="BD41" s="13">
        <f t="shared" si="19"/>
        <v>82824.709999999977</v>
      </c>
      <c r="BE41" s="13">
        <f t="shared" si="19"/>
        <v>82455.849999999977</v>
      </c>
      <c r="BF41" s="13">
        <f t="shared" si="19"/>
        <v>82086.409999999974</v>
      </c>
      <c r="BG41" s="13">
        <f t="shared" si="19"/>
        <v>81716.379999999976</v>
      </c>
      <c r="BH41" s="13">
        <f t="shared" si="19"/>
        <v>81345.75999999998</v>
      </c>
      <c r="BI41" s="13">
        <f t="shared" si="19"/>
        <v>80974.559999999983</v>
      </c>
      <c r="BJ41" s="13">
        <f t="shared" si="19"/>
        <v>80602.76999999999</v>
      </c>
      <c r="BK41" s="13">
        <f t="shared" si="19"/>
        <v>80230.389999999985</v>
      </c>
      <c r="BL41" s="13">
        <f t="shared" si="19"/>
        <v>79857.419999999984</v>
      </c>
      <c r="BM41" s="13">
        <f t="shared" si="19"/>
        <v>79483.859999999986</v>
      </c>
      <c r="BN41" s="13">
        <f t="shared" ref="BN41:CS41" si="20">SUM(BN40)</f>
        <v>78734.969999999987</v>
      </c>
      <c r="BO41" s="13">
        <f t="shared" si="20"/>
        <v>78734.969999999987</v>
      </c>
      <c r="BP41" s="13">
        <f t="shared" si="20"/>
        <v>78359.62999999999</v>
      </c>
      <c r="BQ41" s="13">
        <f t="shared" si="20"/>
        <v>77483.7</v>
      </c>
      <c r="BR41" s="13">
        <f t="shared" si="20"/>
        <v>76606.37999999999</v>
      </c>
      <c r="BS41" s="13">
        <f t="shared" si="20"/>
        <v>75727.669999999984</v>
      </c>
      <c r="BT41" s="13">
        <f t="shared" si="20"/>
        <v>74847.569999999978</v>
      </c>
      <c r="BU41" s="13">
        <f t="shared" si="20"/>
        <v>73966.079999999973</v>
      </c>
      <c r="BV41" s="13">
        <f t="shared" si="20"/>
        <v>73083.189999999973</v>
      </c>
      <c r="BW41" s="13">
        <f t="shared" si="20"/>
        <v>71313.219999999972</v>
      </c>
      <c r="BX41" s="13">
        <f t="shared" si="20"/>
        <v>71313.219999999972</v>
      </c>
      <c r="BY41" s="13">
        <f t="shared" si="20"/>
        <v>70426.129999999976</v>
      </c>
      <c r="BZ41" s="13">
        <f t="shared" si="20"/>
        <v>68647.739999999976</v>
      </c>
      <c r="CA41" s="13">
        <f t="shared" si="20"/>
        <v>68647.739999999976</v>
      </c>
      <c r="CB41" s="13">
        <f t="shared" si="20"/>
        <v>47756.429999999978</v>
      </c>
      <c r="CC41" s="13">
        <f t="shared" si="20"/>
        <v>-2.1827872842550278E-11</v>
      </c>
      <c r="CD41" s="13">
        <f t="shared" si="20"/>
        <v>-2.1827872842550278E-11</v>
      </c>
      <c r="CE41" s="13">
        <f t="shared" si="20"/>
        <v>-2.1827872842550278E-11</v>
      </c>
      <c r="CF41" s="13">
        <f t="shared" si="20"/>
        <v>-2.1827872842550278E-11</v>
      </c>
      <c r="CG41" s="13">
        <f t="shared" si="20"/>
        <v>-2.1827872842550278E-11</v>
      </c>
      <c r="CH41" s="13">
        <f t="shared" si="20"/>
        <v>-2.1827872842550278E-11</v>
      </c>
    </row>
    <row r="42" spans="1:86" x14ac:dyDescent="0.2">
      <c r="A42" s="14" t="s">
        <v>126</v>
      </c>
      <c r="B42" s="15">
        <f t="shared" ref="B42:AG42" si="21">B38+0+0+0+0+B41+0+0</f>
        <v>365980.68</v>
      </c>
      <c r="C42" s="15">
        <f t="shared" si="21"/>
        <v>365980.68</v>
      </c>
      <c r="D42" s="15">
        <f t="shared" si="21"/>
        <v>365837.56</v>
      </c>
      <c r="E42" s="15">
        <f t="shared" si="21"/>
        <v>365653.05</v>
      </c>
      <c r="F42" s="15">
        <f t="shared" si="21"/>
        <v>365468.25</v>
      </c>
      <c r="G42" s="15">
        <f t="shared" si="21"/>
        <v>365283.16000000003</v>
      </c>
      <c r="H42" s="15">
        <f t="shared" si="21"/>
        <v>365097.77</v>
      </c>
      <c r="I42" s="15">
        <f t="shared" si="21"/>
        <v>264912.08999999997</v>
      </c>
      <c r="J42" s="15">
        <f t="shared" si="21"/>
        <v>264726.12</v>
      </c>
      <c r="K42" s="15">
        <f t="shared" si="21"/>
        <v>264381.52</v>
      </c>
      <c r="L42" s="15">
        <f t="shared" si="21"/>
        <v>264036.37</v>
      </c>
      <c r="M42" s="15">
        <f t="shared" si="21"/>
        <v>263690.68</v>
      </c>
      <c r="N42" s="15">
        <f t="shared" si="21"/>
        <v>263344.44</v>
      </c>
      <c r="O42" s="15">
        <f t="shared" si="21"/>
        <v>262997.65000000002</v>
      </c>
      <c r="P42" s="15">
        <f t="shared" si="21"/>
        <v>262997.65000000002</v>
      </c>
      <c r="Q42" s="15">
        <f t="shared" si="21"/>
        <v>262650.31</v>
      </c>
      <c r="R42" s="15">
        <f t="shared" si="21"/>
        <v>262302.42</v>
      </c>
      <c r="S42" s="15">
        <f t="shared" si="21"/>
        <v>261953.97999999998</v>
      </c>
      <c r="T42" s="15">
        <f t="shared" si="21"/>
        <v>261604.99</v>
      </c>
      <c r="U42" s="15">
        <f t="shared" si="21"/>
        <v>261255.45</v>
      </c>
      <c r="V42" s="15">
        <f t="shared" si="21"/>
        <v>260905.34999999998</v>
      </c>
      <c r="W42" s="15">
        <f t="shared" si="21"/>
        <v>260554.7</v>
      </c>
      <c r="X42" s="15">
        <f t="shared" si="21"/>
        <v>260203.49</v>
      </c>
      <c r="Y42" s="15">
        <f t="shared" si="21"/>
        <v>259851.72999999998</v>
      </c>
      <c r="Z42" s="15">
        <f t="shared" si="21"/>
        <v>259499.40999999997</v>
      </c>
      <c r="AA42" s="15">
        <f t="shared" si="21"/>
        <v>259146.52999999997</v>
      </c>
      <c r="AB42" s="15">
        <f t="shared" si="21"/>
        <v>258793.08999999997</v>
      </c>
      <c r="AC42" s="15">
        <f t="shared" si="21"/>
        <v>258793.08999999997</v>
      </c>
      <c r="AD42" s="15">
        <f t="shared" si="21"/>
        <v>258439.08999999997</v>
      </c>
      <c r="AE42" s="15">
        <f t="shared" si="21"/>
        <v>257729.40999999997</v>
      </c>
      <c r="AF42" s="15">
        <f t="shared" si="21"/>
        <v>257729.40999999997</v>
      </c>
      <c r="AG42" s="15">
        <f t="shared" si="21"/>
        <v>257373.72999999998</v>
      </c>
      <c r="AH42" s="15">
        <f t="shared" ref="AH42:BM42" si="22">AH38+0+0+0+0+AH41+0+0</f>
        <v>257017.49</v>
      </c>
      <c r="AI42" s="15">
        <f t="shared" si="22"/>
        <v>256660.68</v>
      </c>
      <c r="AJ42" s="15">
        <f t="shared" si="22"/>
        <v>256303.31</v>
      </c>
      <c r="AK42" s="15">
        <f t="shared" si="22"/>
        <v>255945.37</v>
      </c>
      <c r="AL42" s="15">
        <f t="shared" si="22"/>
        <v>255586.87</v>
      </c>
      <c r="AM42" s="15">
        <f t="shared" si="22"/>
        <v>255227.8</v>
      </c>
      <c r="AN42" s="15">
        <f t="shared" si="22"/>
        <v>254868.15999999997</v>
      </c>
      <c r="AO42" s="15">
        <f t="shared" si="22"/>
        <v>254507.94999999998</v>
      </c>
      <c r="AP42" s="15">
        <f t="shared" si="22"/>
        <v>254147.16999999998</v>
      </c>
      <c r="AQ42" s="15">
        <f t="shared" si="22"/>
        <v>253785.81999999998</v>
      </c>
      <c r="AR42" s="15">
        <f t="shared" si="22"/>
        <v>253423.89999999997</v>
      </c>
      <c r="AS42" s="15">
        <f t="shared" si="22"/>
        <v>252698.32999999996</v>
      </c>
      <c r="AT42" s="15">
        <f t="shared" si="22"/>
        <v>252698.32999999996</v>
      </c>
      <c r="AU42" s="15">
        <f t="shared" si="22"/>
        <v>252334.68</v>
      </c>
      <c r="AV42" s="15">
        <f t="shared" si="22"/>
        <v>251970.45999999996</v>
      </c>
      <c r="AW42" s="15">
        <f t="shared" si="22"/>
        <v>251605.65999999997</v>
      </c>
      <c r="AX42" s="15">
        <f t="shared" si="22"/>
        <v>251240.27999999997</v>
      </c>
      <c r="AY42" s="15">
        <f t="shared" si="22"/>
        <v>250874.32999999996</v>
      </c>
      <c r="AZ42" s="15">
        <f t="shared" si="22"/>
        <v>250507.8</v>
      </c>
      <c r="BA42" s="15">
        <f t="shared" si="22"/>
        <v>249772.99</v>
      </c>
      <c r="BB42" s="15">
        <f t="shared" si="22"/>
        <v>249772.99</v>
      </c>
      <c r="BC42" s="15">
        <f t="shared" si="22"/>
        <v>249772.99</v>
      </c>
      <c r="BD42" s="15">
        <f t="shared" si="22"/>
        <v>249404.70999999996</v>
      </c>
      <c r="BE42" s="15">
        <f t="shared" si="22"/>
        <v>249035.84999999998</v>
      </c>
      <c r="BF42" s="15">
        <f t="shared" si="22"/>
        <v>248666.40999999997</v>
      </c>
      <c r="BG42" s="15">
        <f t="shared" si="22"/>
        <v>248296.37999999998</v>
      </c>
      <c r="BH42" s="15">
        <f t="shared" si="22"/>
        <v>247925.75999999998</v>
      </c>
      <c r="BI42" s="15">
        <f t="shared" si="22"/>
        <v>247554.56</v>
      </c>
      <c r="BJ42" s="15">
        <f t="shared" si="22"/>
        <v>247182.77</v>
      </c>
      <c r="BK42" s="15">
        <f t="shared" si="22"/>
        <v>246810.38999999998</v>
      </c>
      <c r="BL42" s="15">
        <f t="shared" si="22"/>
        <v>246437.41999999998</v>
      </c>
      <c r="BM42" s="15">
        <f t="shared" si="22"/>
        <v>246063.86</v>
      </c>
      <c r="BN42" s="15">
        <f t="shared" ref="BN42:CS42" si="23">BN38+0+0+0+0+BN41+0+0</f>
        <v>245314.96999999997</v>
      </c>
      <c r="BO42" s="15">
        <f t="shared" si="23"/>
        <v>245314.96999999997</v>
      </c>
      <c r="BP42" s="15">
        <f t="shared" si="23"/>
        <v>244939.63</v>
      </c>
      <c r="BQ42" s="15">
        <f t="shared" si="23"/>
        <v>244063.7</v>
      </c>
      <c r="BR42" s="15">
        <f t="shared" si="23"/>
        <v>243186.38</v>
      </c>
      <c r="BS42" s="15">
        <f t="shared" si="23"/>
        <v>242307.66999999998</v>
      </c>
      <c r="BT42" s="15">
        <f t="shared" si="23"/>
        <v>241427.56999999998</v>
      </c>
      <c r="BU42" s="15">
        <f t="shared" si="23"/>
        <v>240546.07999999996</v>
      </c>
      <c r="BV42" s="15">
        <f t="shared" si="23"/>
        <v>239663.18999999997</v>
      </c>
      <c r="BW42" s="15">
        <f t="shared" si="23"/>
        <v>237893.21999999997</v>
      </c>
      <c r="BX42" s="15">
        <f t="shared" si="23"/>
        <v>237893.21999999997</v>
      </c>
      <c r="BY42" s="15">
        <f t="shared" si="23"/>
        <v>237006.12999999998</v>
      </c>
      <c r="BZ42" s="15">
        <f t="shared" si="23"/>
        <v>235227.74</v>
      </c>
      <c r="CA42" s="15">
        <f t="shared" si="23"/>
        <v>235227.74</v>
      </c>
      <c r="CB42" s="15">
        <f t="shared" si="23"/>
        <v>214336.43</v>
      </c>
      <c r="CC42" s="15">
        <f t="shared" si="23"/>
        <v>166579.99999999997</v>
      </c>
      <c r="CD42" s="15">
        <f t="shared" si="23"/>
        <v>166579.99999999997</v>
      </c>
      <c r="CE42" s="15">
        <f t="shared" si="23"/>
        <v>166579.99999999997</v>
      </c>
      <c r="CF42" s="15">
        <f t="shared" si="23"/>
        <v>166579.99999999997</v>
      </c>
      <c r="CG42" s="15">
        <f t="shared" si="23"/>
        <v>166579.99999999997</v>
      </c>
      <c r="CH42" s="15">
        <f t="shared" si="23"/>
        <v>166579.99999999997</v>
      </c>
    </row>
    <row r="43" spans="1:86" x14ac:dyDescent="0.2">
      <c r="A43" s="17" t="s">
        <v>127</v>
      </c>
      <c r="B43" s="18">
        <f t="shared" ref="B43:AG43" si="24">B13+B34+B42</f>
        <v>409256.68</v>
      </c>
      <c r="C43" s="18">
        <f t="shared" si="24"/>
        <v>409256.68</v>
      </c>
      <c r="D43" s="18">
        <f t="shared" si="24"/>
        <v>406297.64</v>
      </c>
      <c r="E43" s="18">
        <f t="shared" si="24"/>
        <v>403717.19</v>
      </c>
      <c r="F43" s="18">
        <f t="shared" si="24"/>
        <v>403236.63</v>
      </c>
      <c r="G43" s="18">
        <f t="shared" si="24"/>
        <v>425374.21</v>
      </c>
      <c r="H43" s="18">
        <f t="shared" si="24"/>
        <v>424168</v>
      </c>
      <c r="I43" s="18">
        <f t="shared" si="24"/>
        <v>343956.36</v>
      </c>
      <c r="J43" s="18">
        <f t="shared" si="24"/>
        <v>337881.05</v>
      </c>
      <c r="K43" s="18">
        <f t="shared" si="24"/>
        <v>334554.44</v>
      </c>
      <c r="L43" s="18">
        <f t="shared" si="24"/>
        <v>331216.71999999997</v>
      </c>
      <c r="M43" s="18">
        <f t="shared" si="24"/>
        <v>324651</v>
      </c>
      <c r="N43" s="18">
        <f t="shared" si="24"/>
        <v>318400.96000000002</v>
      </c>
      <c r="O43" s="18">
        <f t="shared" si="24"/>
        <v>328806.65000000002</v>
      </c>
      <c r="P43" s="18">
        <f t="shared" si="24"/>
        <v>328806.65000000002</v>
      </c>
      <c r="Q43" s="18">
        <f t="shared" si="24"/>
        <v>325341.40999999997</v>
      </c>
      <c r="R43" s="18">
        <f t="shared" si="24"/>
        <v>322088.62</v>
      </c>
      <c r="S43" s="18">
        <f t="shared" si="24"/>
        <v>319156.8</v>
      </c>
      <c r="T43" s="18">
        <f t="shared" si="24"/>
        <v>321213.05</v>
      </c>
      <c r="U43" s="18">
        <f t="shared" si="24"/>
        <v>318917.76000000001</v>
      </c>
      <c r="V43" s="18">
        <f t="shared" si="24"/>
        <v>315782.65999999997</v>
      </c>
      <c r="W43" s="18">
        <f t="shared" si="24"/>
        <v>312646.75</v>
      </c>
      <c r="X43" s="18">
        <f t="shared" si="24"/>
        <v>309510.45999999996</v>
      </c>
      <c r="Y43" s="18">
        <f t="shared" si="24"/>
        <v>306373.55</v>
      </c>
      <c r="Z43" s="18">
        <f t="shared" si="24"/>
        <v>303236.03999999998</v>
      </c>
      <c r="AA43" s="18">
        <f t="shared" si="24"/>
        <v>300133.24</v>
      </c>
      <c r="AB43" s="18">
        <f t="shared" si="24"/>
        <v>297412.08999999997</v>
      </c>
      <c r="AC43" s="18">
        <f t="shared" si="24"/>
        <v>297412.08999999997</v>
      </c>
      <c r="AD43" s="18">
        <f t="shared" si="24"/>
        <v>296915.49</v>
      </c>
      <c r="AE43" s="18">
        <f t="shared" si="24"/>
        <v>308629.76999999996</v>
      </c>
      <c r="AF43" s="18">
        <f t="shared" si="24"/>
        <v>306623.43</v>
      </c>
      <c r="AG43" s="18">
        <f t="shared" si="24"/>
        <v>304175.69</v>
      </c>
      <c r="AH43" s="18">
        <f t="shared" ref="AH43:BM43" si="25">AH13+AH34+AH42</f>
        <v>305282.26</v>
      </c>
      <c r="AI43" s="18">
        <f t="shared" si="25"/>
        <v>302576.32999999996</v>
      </c>
      <c r="AJ43" s="18">
        <f t="shared" si="25"/>
        <v>299183.08</v>
      </c>
      <c r="AK43" s="18">
        <f t="shared" si="25"/>
        <v>296708.31</v>
      </c>
      <c r="AL43" s="18">
        <f t="shared" si="25"/>
        <v>293126.95999999996</v>
      </c>
      <c r="AM43" s="18">
        <f t="shared" si="25"/>
        <v>307039.26</v>
      </c>
      <c r="AN43" s="18">
        <f t="shared" si="25"/>
        <v>301393.69999999995</v>
      </c>
      <c r="AO43" s="18">
        <f t="shared" si="25"/>
        <v>294669.94999999995</v>
      </c>
      <c r="AP43" s="18">
        <f t="shared" si="25"/>
        <v>291528.88</v>
      </c>
      <c r="AQ43" s="18">
        <f t="shared" si="25"/>
        <v>289559.48</v>
      </c>
      <c r="AR43" s="18">
        <f t="shared" si="25"/>
        <v>287416.87999999995</v>
      </c>
      <c r="AS43" s="18">
        <f t="shared" si="25"/>
        <v>284300.24999999994</v>
      </c>
      <c r="AT43" s="18">
        <f t="shared" si="25"/>
        <v>281858.39999999997</v>
      </c>
      <c r="AU43" s="18">
        <f t="shared" si="25"/>
        <v>290172.58999999997</v>
      </c>
      <c r="AV43" s="18">
        <f t="shared" si="25"/>
        <v>286099.35999999993</v>
      </c>
      <c r="AW43" s="18">
        <f t="shared" si="25"/>
        <v>282043.05999999994</v>
      </c>
      <c r="AX43" s="18">
        <f t="shared" si="25"/>
        <v>292653.33999999997</v>
      </c>
      <c r="AY43" s="18">
        <f t="shared" si="25"/>
        <v>288708.13999999996</v>
      </c>
      <c r="AZ43" s="18">
        <f t="shared" si="25"/>
        <v>284324.39999999997</v>
      </c>
      <c r="BA43" s="18">
        <f t="shared" si="25"/>
        <v>279698.06999999995</v>
      </c>
      <c r="BB43" s="18">
        <f t="shared" si="25"/>
        <v>279698.06999999995</v>
      </c>
      <c r="BC43" s="18">
        <f t="shared" si="25"/>
        <v>278160.45999999996</v>
      </c>
      <c r="BD43" s="18">
        <f t="shared" si="25"/>
        <v>290914.05999999994</v>
      </c>
      <c r="BE43" s="18">
        <f t="shared" si="25"/>
        <v>288217.39</v>
      </c>
      <c r="BF43" s="18">
        <f t="shared" si="25"/>
        <v>286045.86</v>
      </c>
      <c r="BG43" s="18">
        <f t="shared" si="25"/>
        <v>283897.08999999997</v>
      </c>
      <c r="BH43" s="18">
        <f t="shared" si="25"/>
        <v>281747.63</v>
      </c>
      <c r="BI43" s="18">
        <f t="shared" si="25"/>
        <v>279597.69000000006</v>
      </c>
      <c r="BJ43" s="18">
        <f t="shared" si="25"/>
        <v>280072.21000000002</v>
      </c>
      <c r="BK43" s="18">
        <f t="shared" si="25"/>
        <v>275295.92000000004</v>
      </c>
      <c r="BL43" s="18">
        <f t="shared" si="25"/>
        <v>273144.11</v>
      </c>
      <c r="BM43" s="18">
        <f t="shared" si="25"/>
        <v>270991.79000000004</v>
      </c>
      <c r="BN43" s="18">
        <f t="shared" ref="BN43:CS43" si="26">BN13+BN34+BN42</f>
        <v>281525.34000000003</v>
      </c>
      <c r="BO43" s="18">
        <f t="shared" si="26"/>
        <v>279382.96000000002</v>
      </c>
      <c r="BP43" s="18">
        <f t="shared" si="26"/>
        <v>277292.16000000003</v>
      </c>
      <c r="BQ43" s="18">
        <f t="shared" si="26"/>
        <v>274700.75000000006</v>
      </c>
      <c r="BR43" s="18">
        <f t="shared" si="26"/>
        <v>289608.02</v>
      </c>
      <c r="BS43" s="18">
        <f t="shared" si="26"/>
        <v>286646.76</v>
      </c>
      <c r="BT43" s="18">
        <f t="shared" si="26"/>
        <v>283684.01</v>
      </c>
      <c r="BU43" s="18">
        <f t="shared" si="26"/>
        <v>299240.76</v>
      </c>
      <c r="BV43" s="18">
        <f t="shared" si="26"/>
        <v>295746.02</v>
      </c>
      <c r="BW43" s="18">
        <f t="shared" si="26"/>
        <v>291452.53000000003</v>
      </c>
      <c r="BX43" s="18">
        <f t="shared" si="26"/>
        <v>289213.07</v>
      </c>
      <c r="BY43" s="18">
        <f t="shared" si="26"/>
        <v>286086.52</v>
      </c>
      <c r="BZ43" s="18">
        <f t="shared" si="26"/>
        <v>281980.45000000007</v>
      </c>
      <c r="CA43" s="18">
        <f t="shared" si="26"/>
        <v>319573</v>
      </c>
      <c r="CB43" s="18">
        <f t="shared" si="26"/>
        <v>297520.92000000004</v>
      </c>
      <c r="CC43" s="18">
        <f t="shared" si="26"/>
        <v>246346.30000000002</v>
      </c>
      <c r="CD43" s="18">
        <f t="shared" si="26"/>
        <v>268925.31000000006</v>
      </c>
      <c r="CE43" s="18">
        <f t="shared" si="26"/>
        <v>264764.32</v>
      </c>
      <c r="CF43" s="18">
        <f t="shared" si="26"/>
        <v>261929.53000000003</v>
      </c>
      <c r="CG43" s="18">
        <f t="shared" si="26"/>
        <v>257730.65000000002</v>
      </c>
      <c r="CH43" s="18">
        <f t="shared" si="26"/>
        <v>257730.65000000002</v>
      </c>
    </row>
    <row r="44" spans="1:86" x14ac:dyDescent="0.2">
      <c r="A44" s="1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</row>
    <row r="45" spans="1:86" ht="12" x14ac:dyDescent="0.2">
      <c r="A45" s="5" t="s">
        <v>128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</row>
    <row r="46" spans="1:86" x14ac:dyDescent="0.2">
      <c r="A46" s="7" t="s">
        <v>129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</row>
    <row r="47" spans="1:86" x14ac:dyDescent="0.2">
      <c r="A47" s="9" t="s">
        <v>130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</row>
    <row r="48" spans="1:86" x14ac:dyDescent="0.2">
      <c r="A48" s="10" t="s">
        <v>131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1767.71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11">
        <v>0</v>
      </c>
      <c r="CF48" s="11">
        <v>0</v>
      </c>
      <c r="CG48" s="11">
        <v>0</v>
      </c>
      <c r="CH48" s="11">
        <v>0</v>
      </c>
    </row>
    <row r="49" spans="1:86" x14ac:dyDescent="0.2">
      <c r="A49" s="12" t="s">
        <v>132</v>
      </c>
      <c r="B49" s="13">
        <f t="shared" ref="B49:AG49" si="27">SUM(B48)</f>
        <v>0</v>
      </c>
      <c r="C49" s="13">
        <f t="shared" si="27"/>
        <v>0</v>
      </c>
      <c r="D49" s="13">
        <f t="shared" si="27"/>
        <v>0</v>
      </c>
      <c r="E49" s="13">
        <f t="shared" si="27"/>
        <v>0</v>
      </c>
      <c r="F49" s="13">
        <f t="shared" si="27"/>
        <v>0</v>
      </c>
      <c r="G49" s="13">
        <f t="shared" si="27"/>
        <v>0</v>
      </c>
      <c r="H49" s="13">
        <f t="shared" si="27"/>
        <v>0</v>
      </c>
      <c r="I49" s="13">
        <f t="shared" si="27"/>
        <v>0</v>
      </c>
      <c r="J49" s="13">
        <f t="shared" si="27"/>
        <v>0</v>
      </c>
      <c r="K49" s="13">
        <f t="shared" si="27"/>
        <v>0</v>
      </c>
      <c r="L49" s="13">
        <f t="shared" si="27"/>
        <v>0</v>
      </c>
      <c r="M49" s="13">
        <f t="shared" si="27"/>
        <v>0</v>
      </c>
      <c r="N49" s="13">
        <f t="shared" si="27"/>
        <v>0</v>
      </c>
      <c r="O49" s="13">
        <f t="shared" si="27"/>
        <v>0</v>
      </c>
      <c r="P49" s="13">
        <f t="shared" si="27"/>
        <v>0</v>
      </c>
      <c r="Q49" s="13">
        <f t="shared" si="27"/>
        <v>0</v>
      </c>
      <c r="R49" s="13">
        <f t="shared" si="27"/>
        <v>0</v>
      </c>
      <c r="S49" s="13">
        <f t="shared" si="27"/>
        <v>0</v>
      </c>
      <c r="T49" s="13">
        <f t="shared" si="27"/>
        <v>0</v>
      </c>
      <c r="U49" s="13">
        <f t="shared" si="27"/>
        <v>0</v>
      </c>
      <c r="V49" s="13">
        <f t="shared" si="27"/>
        <v>0</v>
      </c>
      <c r="W49" s="13">
        <f t="shared" si="27"/>
        <v>0</v>
      </c>
      <c r="X49" s="13">
        <f t="shared" si="27"/>
        <v>0</v>
      </c>
      <c r="Y49" s="13">
        <f t="shared" si="27"/>
        <v>0</v>
      </c>
      <c r="Z49" s="13">
        <f t="shared" si="27"/>
        <v>0</v>
      </c>
      <c r="AA49" s="13">
        <f t="shared" si="27"/>
        <v>0</v>
      </c>
      <c r="AB49" s="13">
        <f t="shared" si="27"/>
        <v>0</v>
      </c>
      <c r="AC49" s="13">
        <f t="shared" si="27"/>
        <v>0</v>
      </c>
      <c r="AD49" s="13">
        <f t="shared" si="27"/>
        <v>0</v>
      </c>
      <c r="AE49" s="13">
        <f t="shared" si="27"/>
        <v>0</v>
      </c>
      <c r="AF49" s="13">
        <f t="shared" si="27"/>
        <v>0</v>
      </c>
      <c r="AG49" s="13">
        <f t="shared" si="27"/>
        <v>0</v>
      </c>
      <c r="AH49" s="13">
        <f t="shared" ref="AH49:BM49" si="28">SUM(AH48)</f>
        <v>0</v>
      </c>
      <c r="AI49" s="13">
        <f t="shared" si="28"/>
        <v>0</v>
      </c>
      <c r="AJ49" s="13">
        <f t="shared" si="28"/>
        <v>0</v>
      </c>
      <c r="AK49" s="13">
        <f t="shared" si="28"/>
        <v>0</v>
      </c>
      <c r="AL49" s="13">
        <f t="shared" si="28"/>
        <v>0</v>
      </c>
      <c r="AM49" s="13">
        <f t="shared" si="28"/>
        <v>0</v>
      </c>
      <c r="AN49" s="13">
        <f t="shared" si="28"/>
        <v>0</v>
      </c>
      <c r="AO49" s="13">
        <f t="shared" si="28"/>
        <v>0</v>
      </c>
      <c r="AP49" s="13">
        <f t="shared" si="28"/>
        <v>0</v>
      </c>
      <c r="AQ49" s="13">
        <f t="shared" si="28"/>
        <v>0</v>
      </c>
      <c r="AR49" s="13">
        <f t="shared" si="28"/>
        <v>0</v>
      </c>
      <c r="AS49" s="13">
        <f t="shared" si="28"/>
        <v>0</v>
      </c>
      <c r="AT49" s="13">
        <f t="shared" si="28"/>
        <v>0</v>
      </c>
      <c r="AU49" s="13">
        <f t="shared" si="28"/>
        <v>0</v>
      </c>
      <c r="AV49" s="13">
        <f t="shared" si="28"/>
        <v>0</v>
      </c>
      <c r="AW49" s="13">
        <f t="shared" si="28"/>
        <v>0</v>
      </c>
      <c r="AX49" s="13">
        <f t="shared" si="28"/>
        <v>0</v>
      </c>
      <c r="AY49" s="13">
        <f t="shared" si="28"/>
        <v>0</v>
      </c>
      <c r="AZ49" s="13">
        <f t="shared" si="28"/>
        <v>0</v>
      </c>
      <c r="BA49" s="13">
        <f t="shared" si="28"/>
        <v>0</v>
      </c>
      <c r="BB49" s="13">
        <f t="shared" si="28"/>
        <v>0</v>
      </c>
      <c r="BC49" s="13">
        <f t="shared" si="28"/>
        <v>0</v>
      </c>
      <c r="BD49" s="13">
        <f t="shared" si="28"/>
        <v>0</v>
      </c>
      <c r="BE49" s="13">
        <f t="shared" si="28"/>
        <v>0</v>
      </c>
      <c r="BF49" s="13">
        <f t="shared" si="28"/>
        <v>0</v>
      </c>
      <c r="BG49" s="13">
        <f t="shared" si="28"/>
        <v>0</v>
      </c>
      <c r="BH49" s="13">
        <f t="shared" si="28"/>
        <v>0</v>
      </c>
      <c r="BI49" s="13">
        <f t="shared" si="28"/>
        <v>0</v>
      </c>
      <c r="BJ49" s="13">
        <f t="shared" si="28"/>
        <v>0</v>
      </c>
      <c r="BK49" s="13">
        <f t="shared" si="28"/>
        <v>0</v>
      </c>
      <c r="BL49" s="13">
        <f t="shared" si="28"/>
        <v>0</v>
      </c>
      <c r="BM49" s="13">
        <f t="shared" si="28"/>
        <v>0</v>
      </c>
      <c r="BN49" s="13">
        <f t="shared" ref="BN49:CS49" si="29">SUM(BN48)</f>
        <v>0</v>
      </c>
      <c r="BO49" s="13">
        <f t="shared" si="29"/>
        <v>0</v>
      </c>
      <c r="BP49" s="13">
        <f t="shared" si="29"/>
        <v>0</v>
      </c>
      <c r="BQ49" s="13">
        <f t="shared" si="29"/>
        <v>0</v>
      </c>
      <c r="BR49" s="13">
        <f t="shared" si="29"/>
        <v>0</v>
      </c>
      <c r="BS49" s="13">
        <f t="shared" si="29"/>
        <v>0</v>
      </c>
      <c r="BT49" s="13">
        <f t="shared" si="29"/>
        <v>0</v>
      </c>
      <c r="BU49" s="13">
        <f t="shared" si="29"/>
        <v>0</v>
      </c>
      <c r="BV49" s="13">
        <f t="shared" si="29"/>
        <v>0</v>
      </c>
      <c r="BW49" s="13">
        <f t="shared" si="29"/>
        <v>1767.71</v>
      </c>
      <c r="BX49" s="13">
        <f t="shared" si="29"/>
        <v>0</v>
      </c>
      <c r="BY49" s="13">
        <f t="shared" si="29"/>
        <v>0</v>
      </c>
      <c r="BZ49" s="13">
        <f t="shared" si="29"/>
        <v>0</v>
      </c>
      <c r="CA49" s="13">
        <f t="shared" si="29"/>
        <v>0</v>
      </c>
      <c r="CB49" s="13">
        <f t="shared" si="29"/>
        <v>0</v>
      </c>
      <c r="CC49" s="13">
        <f t="shared" si="29"/>
        <v>0</v>
      </c>
      <c r="CD49" s="13">
        <f t="shared" si="29"/>
        <v>0</v>
      </c>
      <c r="CE49" s="13">
        <f t="shared" si="29"/>
        <v>0</v>
      </c>
      <c r="CF49" s="13">
        <f t="shared" si="29"/>
        <v>0</v>
      </c>
      <c r="CG49" s="13">
        <f t="shared" si="29"/>
        <v>0</v>
      </c>
      <c r="CH49" s="13">
        <f t="shared" si="29"/>
        <v>0</v>
      </c>
    </row>
    <row r="50" spans="1:86" x14ac:dyDescent="0.2">
      <c r="A50" s="14" t="s">
        <v>133</v>
      </c>
      <c r="B50" s="15">
        <f t="shared" ref="B50:AG50" si="30">0+0+0+0+0+B49+0</f>
        <v>0</v>
      </c>
      <c r="C50" s="15">
        <f t="shared" si="30"/>
        <v>0</v>
      </c>
      <c r="D50" s="15">
        <f t="shared" si="30"/>
        <v>0</v>
      </c>
      <c r="E50" s="15">
        <f t="shared" si="30"/>
        <v>0</v>
      </c>
      <c r="F50" s="15">
        <f t="shared" si="30"/>
        <v>0</v>
      </c>
      <c r="G50" s="15">
        <f t="shared" si="30"/>
        <v>0</v>
      </c>
      <c r="H50" s="15">
        <f t="shared" si="30"/>
        <v>0</v>
      </c>
      <c r="I50" s="15">
        <f t="shared" si="30"/>
        <v>0</v>
      </c>
      <c r="J50" s="15">
        <f t="shared" si="30"/>
        <v>0</v>
      </c>
      <c r="K50" s="15">
        <f t="shared" si="30"/>
        <v>0</v>
      </c>
      <c r="L50" s="15">
        <f t="shared" si="30"/>
        <v>0</v>
      </c>
      <c r="M50" s="15">
        <f t="shared" si="30"/>
        <v>0</v>
      </c>
      <c r="N50" s="15">
        <f t="shared" si="30"/>
        <v>0</v>
      </c>
      <c r="O50" s="15">
        <f t="shared" si="30"/>
        <v>0</v>
      </c>
      <c r="P50" s="15">
        <f t="shared" si="30"/>
        <v>0</v>
      </c>
      <c r="Q50" s="15">
        <f t="shared" si="30"/>
        <v>0</v>
      </c>
      <c r="R50" s="15">
        <f t="shared" si="30"/>
        <v>0</v>
      </c>
      <c r="S50" s="15">
        <f t="shared" si="30"/>
        <v>0</v>
      </c>
      <c r="T50" s="15">
        <f t="shared" si="30"/>
        <v>0</v>
      </c>
      <c r="U50" s="15">
        <f t="shared" si="30"/>
        <v>0</v>
      </c>
      <c r="V50" s="15">
        <f t="shared" si="30"/>
        <v>0</v>
      </c>
      <c r="W50" s="15">
        <f t="shared" si="30"/>
        <v>0</v>
      </c>
      <c r="X50" s="15">
        <f t="shared" si="30"/>
        <v>0</v>
      </c>
      <c r="Y50" s="15">
        <f t="shared" si="30"/>
        <v>0</v>
      </c>
      <c r="Z50" s="15">
        <f t="shared" si="30"/>
        <v>0</v>
      </c>
      <c r="AA50" s="15">
        <f t="shared" si="30"/>
        <v>0</v>
      </c>
      <c r="AB50" s="15">
        <f t="shared" si="30"/>
        <v>0</v>
      </c>
      <c r="AC50" s="15">
        <f t="shared" si="30"/>
        <v>0</v>
      </c>
      <c r="AD50" s="15">
        <f t="shared" si="30"/>
        <v>0</v>
      </c>
      <c r="AE50" s="15">
        <f t="shared" si="30"/>
        <v>0</v>
      </c>
      <c r="AF50" s="15">
        <f t="shared" si="30"/>
        <v>0</v>
      </c>
      <c r="AG50" s="15">
        <f t="shared" si="30"/>
        <v>0</v>
      </c>
      <c r="AH50" s="15">
        <f t="shared" ref="AH50:BM50" si="31">0+0+0+0+0+AH49+0</f>
        <v>0</v>
      </c>
      <c r="AI50" s="15">
        <f t="shared" si="31"/>
        <v>0</v>
      </c>
      <c r="AJ50" s="15">
        <f t="shared" si="31"/>
        <v>0</v>
      </c>
      <c r="AK50" s="15">
        <f t="shared" si="31"/>
        <v>0</v>
      </c>
      <c r="AL50" s="15">
        <f t="shared" si="31"/>
        <v>0</v>
      </c>
      <c r="AM50" s="15">
        <f t="shared" si="31"/>
        <v>0</v>
      </c>
      <c r="AN50" s="15">
        <f t="shared" si="31"/>
        <v>0</v>
      </c>
      <c r="AO50" s="15">
        <f t="shared" si="31"/>
        <v>0</v>
      </c>
      <c r="AP50" s="15">
        <f t="shared" si="31"/>
        <v>0</v>
      </c>
      <c r="AQ50" s="15">
        <f t="shared" si="31"/>
        <v>0</v>
      </c>
      <c r="AR50" s="15">
        <f t="shared" si="31"/>
        <v>0</v>
      </c>
      <c r="AS50" s="15">
        <f t="shared" si="31"/>
        <v>0</v>
      </c>
      <c r="AT50" s="15">
        <f t="shared" si="31"/>
        <v>0</v>
      </c>
      <c r="AU50" s="15">
        <f t="shared" si="31"/>
        <v>0</v>
      </c>
      <c r="AV50" s="15">
        <f t="shared" si="31"/>
        <v>0</v>
      </c>
      <c r="AW50" s="15">
        <f t="shared" si="31"/>
        <v>0</v>
      </c>
      <c r="AX50" s="15">
        <f t="shared" si="31"/>
        <v>0</v>
      </c>
      <c r="AY50" s="15">
        <f t="shared" si="31"/>
        <v>0</v>
      </c>
      <c r="AZ50" s="15">
        <f t="shared" si="31"/>
        <v>0</v>
      </c>
      <c r="BA50" s="15">
        <f t="shared" si="31"/>
        <v>0</v>
      </c>
      <c r="BB50" s="15">
        <f t="shared" si="31"/>
        <v>0</v>
      </c>
      <c r="BC50" s="15">
        <f t="shared" si="31"/>
        <v>0</v>
      </c>
      <c r="BD50" s="15">
        <f t="shared" si="31"/>
        <v>0</v>
      </c>
      <c r="BE50" s="15">
        <f t="shared" si="31"/>
        <v>0</v>
      </c>
      <c r="BF50" s="15">
        <f t="shared" si="31"/>
        <v>0</v>
      </c>
      <c r="BG50" s="15">
        <f t="shared" si="31"/>
        <v>0</v>
      </c>
      <c r="BH50" s="15">
        <f t="shared" si="31"/>
        <v>0</v>
      </c>
      <c r="BI50" s="15">
        <f t="shared" si="31"/>
        <v>0</v>
      </c>
      <c r="BJ50" s="15">
        <f t="shared" si="31"/>
        <v>0</v>
      </c>
      <c r="BK50" s="15">
        <f t="shared" si="31"/>
        <v>0</v>
      </c>
      <c r="BL50" s="15">
        <f t="shared" si="31"/>
        <v>0</v>
      </c>
      <c r="BM50" s="15">
        <f t="shared" si="31"/>
        <v>0</v>
      </c>
      <c r="BN50" s="15">
        <f t="shared" ref="BN50:CS50" si="32">0+0+0+0+0+BN49+0</f>
        <v>0</v>
      </c>
      <c r="BO50" s="15">
        <f t="shared" si="32"/>
        <v>0</v>
      </c>
      <c r="BP50" s="15">
        <f t="shared" si="32"/>
        <v>0</v>
      </c>
      <c r="BQ50" s="15">
        <f t="shared" si="32"/>
        <v>0</v>
      </c>
      <c r="BR50" s="15">
        <f t="shared" si="32"/>
        <v>0</v>
      </c>
      <c r="BS50" s="15">
        <f t="shared" si="32"/>
        <v>0</v>
      </c>
      <c r="BT50" s="15">
        <f t="shared" si="32"/>
        <v>0</v>
      </c>
      <c r="BU50" s="15">
        <f t="shared" si="32"/>
        <v>0</v>
      </c>
      <c r="BV50" s="15">
        <f t="shared" si="32"/>
        <v>0</v>
      </c>
      <c r="BW50" s="15">
        <f t="shared" si="32"/>
        <v>1767.71</v>
      </c>
      <c r="BX50" s="15">
        <f t="shared" si="32"/>
        <v>0</v>
      </c>
      <c r="BY50" s="15">
        <f t="shared" si="32"/>
        <v>0</v>
      </c>
      <c r="BZ50" s="15">
        <f t="shared" si="32"/>
        <v>0</v>
      </c>
      <c r="CA50" s="15">
        <f t="shared" si="32"/>
        <v>0</v>
      </c>
      <c r="CB50" s="15">
        <f t="shared" si="32"/>
        <v>0</v>
      </c>
      <c r="CC50" s="15">
        <f t="shared" si="32"/>
        <v>0</v>
      </c>
      <c r="CD50" s="15">
        <f t="shared" si="32"/>
        <v>0</v>
      </c>
      <c r="CE50" s="15">
        <f t="shared" si="32"/>
        <v>0</v>
      </c>
      <c r="CF50" s="15">
        <f t="shared" si="32"/>
        <v>0</v>
      </c>
      <c r="CG50" s="15">
        <f t="shared" si="32"/>
        <v>0</v>
      </c>
      <c r="CH50" s="15">
        <f t="shared" si="32"/>
        <v>0</v>
      </c>
    </row>
    <row r="51" spans="1:86" x14ac:dyDescent="0.2">
      <c r="A51" s="7" t="s">
        <v>134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</row>
    <row r="52" spans="1:86" x14ac:dyDescent="0.2">
      <c r="A52" s="9" t="s">
        <v>135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</row>
    <row r="53" spans="1:86" x14ac:dyDescent="0.2">
      <c r="A53" s="10" t="s">
        <v>136</v>
      </c>
      <c r="B53" s="11">
        <v>0</v>
      </c>
      <c r="C53" s="11">
        <v>0</v>
      </c>
      <c r="D53" s="11">
        <v>0</v>
      </c>
      <c r="E53" s="11">
        <v>0</v>
      </c>
      <c r="F53" s="11">
        <v>5903.86</v>
      </c>
      <c r="G53" s="11">
        <v>0</v>
      </c>
      <c r="H53" s="11">
        <v>0</v>
      </c>
      <c r="I53" s="11">
        <v>1683.71</v>
      </c>
      <c r="J53" s="11">
        <v>0</v>
      </c>
      <c r="K53" s="11">
        <v>0</v>
      </c>
      <c r="L53" s="11">
        <v>1030.73</v>
      </c>
      <c r="M53" s="11">
        <v>0</v>
      </c>
      <c r="N53" s="11">
        <v>0</v>
      </c>
      <c r="O53" s="11">
        <v>524.79</v>
      </c>
      <c r="P53" s="11">
        <v>524.79</v>
      </c>
      <c r="Q53" s="11">
        <v>0</v>
      </c>
      <c r="R53" s="11">
        <v>0</v>
      </c>
      <c r="S53" s="11">
        <v>2788.17</v>
      </c>
      <c r="T53" s="11">
        <v>0</v>
      </c>
      <c r="U53" s="11">
        <v>0</v>
      </c>
      <c r="V53" s="11">
        <v>1196.05</v>
      </c>
      <c r="W53" s="11">
        <v>0</v>
      </c>
      <c r="X53" s="11">
        <v>0</v>
      </c>
      <c r="Y53" s="11">
        <v>1865.93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3320.23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10591</v>
      </c>
      <c r="AS53" s="11">
        <v>0</v>
      </c>
      <c r="AT53" s="11">
        <v>11543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</row>
    <row r="54" spans="1:86" x14ac:dyDescent="0.2">
      <c r="A54" s="10" t="s">
        <v>137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11900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</row>
    <row r="55" spans="1:86" x14ac:dyDescent="0.2">
      <c r="A55" s="12" t="s">
        <v>138</v>
      </c>
      <c r="B55" s="13">
        <f t="shared" ref="B55:AG55" si="33">SUM(B53:B54)</f>
        <v>0</v>
      </c>
      <c r="C55" s="13">
        <f t="shared" si="33"/>
        <v>0</v>
      </c>
      <c r="D55" s="13">
        <f t="shared" si="33"/>
        <v>0</v>
      </c>
      <c r="E55" s="13">
        <f t="shared" si="33"/>
        <v>0</v>
      </c>
      <c r="F55" s="13">
        <f t="shared" si="33"/>
        <v>5903.86</v>
      </c>
      <c r="G55" s="13">
        <f t="shared" si="33"/>
        <v>0</v>
      </c>
      <c r="H55" s="13">
        <f t="shared" si="33"/>
        <v>0</v>
      </c>
      <c r="I55" s="13">
        <f t="shared" si="33"/>
        <v>1683.71</v>
      </c>
      <c r="J55" s="13">
        <f t="shared" si="33"/>
        <v>0</v>
      </c>
      <c r="K55" s="13">
        <f t="shared" si="33"/>
        <v>0</v>
      </c>
      <c r="L55" s="13">
        <f t="shared" si="33"/>
        <v>1030.73</v>
      </c>
      <c r="M55" s="13">
        <f t="shared" si="33"/>
        <v>0</v>
      </c>
      <c r="N55" s="13">
        <f t="shared" si="33"/>
        <v>0</v>
      </c>
      <c r="O55" s="13">
        <f t="shared" si="33"/>
        <v>524.79</v>
      </c>
      <c r="P55" s="13">
        <f t="shared" si="33"/>
        <v>524.79</v>
      </c>
      <c r="Q55" s="13">
        <f t="shared" si="33"/>
        <v>0</v>
      </c>
      <c r="R55" s="13">
        <f t="shared" si="33"/>
        <v>0</v>
      </c>
      <c r="S55" s="13">
        <f t="shared" si="33"/>
        <v>2788.17</v>
      </c>
      <c r="T55" s="13">
        <f t="shared" si="33"/>
        <v>0</v>
      </c>
      <c r="U55" s="13">
        <f t="shared" si="33"/>
        <v>0</v>
      </c>
      <c r="V55" s="13">
        <f t="shared" si="33"/>
        <v>1196.05</v>
      </c>
      <c r="W55" s="13">
        <f t="shared" si="33"/>
        <v>0</v>
      </c>
      <c r="X55" s="13">
        <f t="shared" si="33"/>
        <v>0</v>
      </c>
      <c r="Y55" s="13">
        <f t="shared" si="33"/>
        <v>1865.93</v>
      </c>
      <c r="Z55" s="13">
        <f t="shared" si="33"/>
        <v>0</v>
      </c>
      <c r="AA55" s="13">
        <f t="shared" si="33"/>
        <v>0</v>
      </c>
      <c r="AB55" s="13">
        <f t="shared" si="33"/>
        <v>0</v>
      </c>
      <c r="AC55" s="13">
        <f t="shared" si="33"/>
        <v>0</v>
      </c>
      <c r="AD55" s="13">
        <f t="shared" si="33"/>
        <v>0</v>
      </c>
      <c r="AE55" s="13">
        <f t="shared" si="33"/>
        <v>0</v>
      </c>
      <c r="AF55" s="13">
        <f t="shared" si="33"/>
        <v>3320.23</v>
      </c>
      <c r="AG55" s="13">
        <f t="shared" si="33"/>
        <v>0</v>
      </c>
      <c r="AH55" s="13">
        <f t="shared" ref="AH55:BM55" si="34">SUM(AH53:AH54)</f>
        <v>0</v>
      </c>
      <c r="AI55" s="13">
        <f t="shared" si="34"/>
        <v>0</v>
      </c>
      <c r="AJ55" s="13">
        <f t="shared" si="34"/>
        <v>0</v>
      </c>
      <c r="AK55" s="13">
        <f t="shared" si="34"/>
        <v>0</v>
      </c>
      <c r="AL55" s="13">
        <f t="shared" si="34"/>
        <v>0</v>
      </c>
      <c r="AM55" s="13">
        <f t="shared" si="34"/>
        <v>0</v>
      </c>
      <c r="AN55" s="13">
        <f t="shared" si="34"/>
        <v>0</v>
      </c>
      <c r="AO55" s="13">
        <f t="shared" si="34"/>
        <v>0</v>
      </c>
      <c r="AP55" s="13">
        <f t="shared" si="34"/>
        <v>0</v>
      </c>
      <c r="AQ55" s="13">
        <f t="shared" si="34"/>
        <v>0</v>
      </c>
      <c r="AR55" s="13">
        <f t="shared" si="34"/>
        <v>10591</v>
      </c>
      <c r="AS55" s="13">
        <f t="shared" si="34"/>
        <v>0</v>
      </c>
      <c r="AT55" s="13">
        <f t="shared" si="34"/>
        <v>11543</v>
      </c>
      <c r="AU55" s="13">
        <f t="shared" si="34"/>
        <v>0</v>
      </c>
      <c r="AV55" s="13">
        <f t="shared" si="34"/>
        <v>0</v>
      </c>
      <c r="AW55" s="13">
        <f t="shared" si="34"/>
        <v>0</v>
      </c>
      <c r="AX55" s="13">
        <f t="shared" si="34"/>
        <v>0</v>
      </c>
      <c r="AY55" s="13">
        <f t="shared" si="34"/>
        <v>0</v>
      </c>
      <c r="AZ55" s="13">
        <f t="shared" si="34"/>
        <v>0</v>
      </c>
      <c r="BA55" s="13">
        <f t="shared" si="34"/>
        <v>0</v>
      </c>
      <c r="BB55" s="13">
        <f t="shared" si="34"/>
        <v>0</v>
      </c>
      <c r="BC55" s="13">
        <f t="shared" si="34"/>
        <v>0</v>
      </c>
      <c r="BD55" s="13">
        <f t="shared" si="34"/>
        <v>0</v>
      </c>
      <c r="BE55" s="13">
        <f t="shared" si="34"/>
        <v>0</v>
      </c>
      <c r="BF55" s="13">
        <f t="shared" si="34"/>
        <v>0</v>
      </c>
      <c r="BG55" s="13">
        <f t="shared" si="34"/>
        <v>0</v>
      </c>
      <c r="BH55" s="13">
        <f t="shared" si="34"/>
        <v>11900</v>
      </c>
      <c r="BI55" s="13">
        <f t="shared" si="34"/>
        <v>0</v>
      </c>
      <c r="BJ55" s="13">
        <f t="shared" si="34"/>
        <v>0</v>
      </c>
      <c r="BK55" s="13">
        <f t="shared" si="34"/>
        <v>0</v>
      </c>
      <c r="BL55" s="13">
        <f t="shared" si="34"/>
        <v>0</v>
      </c>
      <c r="BM55" s="13">
        <f t="shared" si="34"/>
        <v>0</v>
      </c>
      <c r="BN55" s="13">
        <f t="shared" ref="BN55:CS55" si="35">SUM(BN53:BN54)</f>
        <v>0</v>
      </c>
      <c r="BO55" s="13">
        <f t="shared" si="35"/>
        <v>0</v>
      </c>
      <c r="BP55" s="13">
        <f t="shared" si="35"/>
        <v>0</v>
      </c>
      <c r="BQ55" s="13">
        <f t="shared" si="35"/>
        <v>0</v>
      </c>
      <c r="BR55" s="13">
        <f t="shared" si="35"/>
        <v>0</v>
      </c>
      <c r="BS55" s="13">
        <f t="shared" si="35"/>
        <v>0</v>
      </c>
      <c r="BT55" s="13">
        <f t="shared" si="35"/>
        <v>0</v>
      </c>
      <c r="BU55" s="13">
        <f t="shared" si="35"/>
        <v>0</v>
      </c>
      <c r="BV55" s="13">
        <f t="shared" si="35"/>
        <v>0</v>
      </c>
      <c r="BW55" s="13">
        <f t="shared" si="35"/>
        <v>0</v>
      </c>
      <c r="BX55" s="13">
        <f t="shared" si="35"/>
        <v>0</v>
      </c>
      <c r="BY55" s="13">
        <f t="shared" si="35"/>
        <v>0</v>
      </c>
      <c r="BZ55" s="13">
        <f t="shared" si="35"/>
        <v>0</v>
      </c>
      <c r="CA55" s="13">
        <f t="shared" si="35"/>
        <v>0</v>
      </c>
      <c r="CB55" s="13">
        <f t="shared" si="35"/>
        <v>0</v>
      </c>
      <c r="CC55" s="13">
        <f t="shared" si="35"/>
        <v>0</v>
      </c>
      <c r="CD55" s="13">
        <f t="shared" si="35"/>
        <v>0</v>
      </c>
      <c r="CE55" s="13">
        <f t="shared" si="35"/>
        <v>0</v>
      </c>
      <c r="CF55" s="13">
        <f t="shared" si="35"/>
        <v>0</v>
      </c>
      <c r="CG55" s="13">
        <f t="shared" si="35"/>
        <v>0</v>
      </c>
      <c r="CH55" s="13">
        <f t="shared" si="35"/>
        <v>0</v>
      </c>
    </row>
    <row r="56" spans="1:86" x14ac:dyDescent="0.2">
      <c r="A56" s="9" t="s">
        <v>139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</row>
    <row r="57" spans="1:86" x14ac:dyDescent="0.2">
      <c r="A57" s="10" t="s">
        <v>140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5047.22</v>
      </c>
      <c r="BF57" s="11">
        <v>0</v>
      </c>
      <c r="BG57" s="11">
        <v>0</v>
      </c>
      <c r="BH57" s="11">
        <v>2396.36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1930.18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4090.46</v>
      </c>
      <c r="CD57" s="11">
        <v>0</v>
      </c>
      <c r="CE57" s="11">
        <v>0</v>
      </c>
      <c r="CF57" s="11">
        <v>1790</v>
      </c>
      <c r="CG57" s="11">
        <v>0</v>
      </c>
      <c r="CH57" s="11">
        <v>0</v>
      </c>
    </row>
    <row r="58" spans="1:86" x14ac:dyDescent="0.2">
      <c r="A58" s="12" t="s">
        <v>141</v>
      </c>
      <c r="B58" s="13">
        <f t="shared" ref="B58:AG58" si="36">SUM(B57)</f>
        <v>0</v>
      </c>
      <c r="C58" s="13">
        <f t="shared" si="36"/>
        <v>0</v>
      </c>
      <c r="D58" s="13">
        <f t="shared" si="36"/>
        <v>0</v>
      </c>
      <c r="E58" s="13">
        <f t="shared" si="36"/>
        <v>0</v>
      </c>
      <c r="F58" s="13">
        <f t="shared" si="36"/>
        <v>0</v>
      </c>
      <c r="G58" s="13">
        <f t="shared" si="36"/>
        <v>0</v>
      </c>
      <c r="H58" s="13">
        <f t="shared" si="36"/>
        <v>0</v>
      </c>
      <c r="I58" s="13">
        <f t="shared" si="36"/>
        <v>0</v>
      </c>
      <c r="J58" s="13">
        <f t="shared" si="36"/>
        <v>0</v>
      </c>
      <c r="K58" s="13">
        <f t="shared" si="36"/>
        <v>0</v>
      </c>
      <c r="L58" s="13">
        <f t="shared" si="36"/>
        <v>0</v>
      </c>
      <c r="M58" s="13">
        <f t="shared" si="36"/>
        <v>0</v>
      </c>
      <c r="N58" s="13">
        <f t="shared" si="36"/>
        <v>0</v>
      </c>
      <c r="O58" s="13">
        <f t="shared" si="36"/>
        <v>0</v>
      </c>
      <c r="P58" s="13">
        <f t="shared" si="36"/>
        <v>0</v>
      </c>
      <c r="Q58" s="13">
        <f t="shared" si="36"/>
        <v>0</v>
      </c>
      <c r="R58" s="13">
        <f t="shared" si="36"/>
        <v>0</v>
      </c>
      <c r="S58" s="13">
        <f t="shared" si="36"/>
        <v>0</v>
      </c>
      <c r="T58" s="13">
        <f t="shared" si="36"/>
        <v>0</v>
      </c>
      <c r="U58" s="13">
        <f t="shared" si="36"/>
        <v>0</v>
      </c>
      <c r="V58" s="13">
        <f t="shared" si="36"/>
        <v>0</v>
      </c>
      <c r="W58" s="13">
        <f t="shared" si="36"/>
        <v>0</v>
      </c>
      <c r="X58" s="13">
        <f t="shared" si="36"/>
        <v>0</v>
      </c>
      <c r="Y58" s="13">
        <f t="shared" si="36"/>
        <v>0</v>
      </c>
      <c r="Z58" s="13">
        <f t="shared" si="36"/>
        <v>0</v>
      </c>
      <c r="AA58" s="13">
        <f t="shared" si="36"/>
        <v>0</v>
      </c>
      <c r="AB58" s="13">
        <f t="shared" si="36"/>
        <v>0</v>
      </c>
      <c r="AC58" s="13">
        <f t="shared" si="36"/>
        <v>0</v>
      </c>
      <c r="AD58" s="13">
        <f t="shared" si="36"/>
        <v>0</v>
      </c>
      <c r="AE58" s="13">
        <f t="shared" si="36"/>
        <v>0</v>
      </c>
      <c r="AF58" s="13">
        <f t="shared" si="36"/>
        <v>0</v>
      </c>
      <c r="AG58" s="13">
        <f t="shared" si="36"/>
        <v>0</v>
      </c>
      <c r="AH58" s="13">
        <f t="shared" ref="AH58:BM58" si="37">SUM(AH57)</f>
        <v>0</v>
      </c>
      <c r="AI58" s="13">
        <f t="shared" si="37"/>
        <v>0</v>
      </c>
      <c r="AJ58" s="13">
        <f t="shared" si="37"/>
        <v>0</v>
      </c>
      <c r="AK58" s="13">
        <f t="shared" si="37"/>
        <v>0</v>
      </c>
      <c r="AL58" s="13">
        <f t="shared" si="37"/>
        <v>0</v>
      </c>
      <c r="AM58" s="13">
        <f t="shared" si="37"/>
        <v>0</v>
      </c>
      <c r="AN58" s="13">
        <f t="shared" si="37"/>
        <v>0</v>
      </c>
      <c r="AO58" s="13">
        <f t="shared" si="37"/>
        <v>0</v>
      </c>
      <c r="AP58" s="13">
        <f t="shared" si="37"/>
        <v>0</v>
      </c>
      <c r="AQ58" s="13">
        <f t="shared" si="37"/>
        <v>0</v>
      </c>
      <c r="AR58" s="13">
        <f t="shared" si="37"/>
        <v>0</v>
      </c>
      <c r="AS58" s="13">
        <f t="shared" si="37"/>
        <v>0</v>
      </c>
      <c r="AT58" s="13">
        <f t="shared" si="37"/>
        <v>0</v>
      </c>
      <c r="AU58" s="13">
        <f t="shared" si="37"/>
        <v>0</v>
      </c>
      <c r="AV58" s="13">
        <f t="shared" si="37"/>
        <v>0</v>
      </c>
      <c r="AW58" s="13">
        <f t="shared" si="37"/>
        <v>0</v>
      </c>
      <c r="AX58" s="13">
        <f t="shared" si="37"/>
        <v>0</v>
      </c>
      <c r="AY58" s="13">
        <f t="shared" si="37"/>
        <v>0</v>
      </c>
      <c r="AZ58" s="13">
        <f t="shared" si="37"/>
        <v>0</v>
      </c>
      <c r="BA58" s="13">
        <f t="shared" si="37"/>
        <v>0</v>
      </c>
      <c r="BB58" s="13">
        <f t="shared" si="37"/>
        <v>0</v>
      </c>
      <c r="BC58" s="13">
        <f t="shared" si="37"/>
        <v>0</v>
      </c>
      <c r="BD58" s="13">
        <f t="shared" si="37"/>
        <v>0</v>
      </c>
      <c r="BE58" s="13">
        <f t="shared" si="37"/>
        <v>5047.22</v>
      </c>
      <c r="BF58" s="13">
        <f t="shared" si="37"/>
        <v>0</v>
      </c>
      <c r="BG58" s="13">
        <f t="shared" si="37"/>
        <v>0</v>
      </c>
      <c r="BH58" s="13">
        <f t="shared" si="37"/>
        <v>2396.36</v>
      </c>
      <c r="BI58" s="13">
        <f t="shared" si="37"/>
        <v>0</v>
      </c>
      <c r="BJ58" s="13">
        <f t="shared" si="37"/>
        <v>0</v>
      </c>
      <c r="BK58" s="13">
        <f t="shared" si="37"/>
        <v>0</v>
      </c>
      <c r="BL58" s="13">
        <f t="shared" si="37"/>
        <v>0</v>
      </c>
      <c r="BM58" s="13">
        <f t="shared" si="37"/>
        <v>0</v>
      </c>
      <c r="BN58" s="13">
        <f t="shared" ref="BN58:CS58" si="38">SUM(BN57)</f>
        <v>0</v>
      </c>
      <c r="BO58" s="13">
        <f t="shared" si="38"/>
        <v>0</v>
      </c>
      <c r="BP58" s="13">
        <f t="shared" si="38"/>
        <v>0</v>
      </c>
      <c r="BQ58" s="13">
        <f t="shared" si="38"/>
        <v>0</v>
      </c>
      <c r="BR58" s="13">
        <f t="shared" si="38"/>
        <v>0</v>
      </c>
      <c r="BS58" s="13">
        <f t="shared" si="38"/>
        <v>0</v>
      </c>
      <c r="BT58" s="13">
        <f t="shared" si="38"/>
        <v>0</v>
      </c>
      <c r="BU58" s="13">
        <f t="shared" si="38"/>
        <v>0</v>
      </c>
      <c r="BV58" s="13">
        <f t="shared" si="38"/>
        <v>0</v>
      </c>
      <c r="BW58" s="13">
        <f t="shared" si="38"/>
        <v>1930.18</v>
      </c>
      <c r="BX58" s="13">
        <f t="shared" si="38"/>
        <v>0</v>
      </c>
      <c r="BY58" s="13">
        <f t="shared" si="38"/>
        <v>0</v>
      </c>
      <c r="BZ58" s="13">
        <f t="shared" si="38"/>
        <v>0</v>
      </c>
      <c r="CA58" s="13">
        <f t="shared" si="38"/>
        <v>0</v>
      </c>
      <c r="CB58" s="13">
        <f t="shared" si="38"/>
        <v>0</v>
      </c>
      <c r="CC58" s="13">
        <f t="shared" si="38"/>
        <v>4090.46</v>
      </c>
      <c r="CD58" s="13">
        <f t="shared" si="38"/>
        <v>0</v>
      </c>
      <c r="CE58" s="13">
        <f t="shared" si="38"/>
        <v>0</v>
      </c>
      <c r="CF58" s="13">
        <f t="shared" si="38"/>
        <v>1790</v>
      </c>
      <c r="CG58" s="13">
        <f t="shared" si="38"/>
        <v>0</v>
      </c>
      <c r="CH58" s="13">
        <f t="shared" si="38"/>
        <v>0</v>
      </c>
    </row>
    <row r="59" spans="1:86" x14ac:dyDescent="0.2">
      <c r="A59" s="9" t="s">
        <v>142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</row>
    <row r="60" spans="1:86" x14ac:dyDescent="0.2">
      <c r="A60" s="10" t="s">
        <v>143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500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1000</v>
      </c>
      <c r="CA60" s="11">
        <v>0</v>
      </c>
      <c r="CB60" s="11">
        <v>0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</row>
    <row r="61" spans="1:86" x14ac:dyDescent="0.2">
      <c r="A61" s="10" t="s">
        <v>144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2554.89</v>
      </c>
      <c r="P61" s="11">
        <v>2568.5499999999997</v>
      </c>
      <c r="Q61" s="11">
        <v>13.659999999999854</v>
      </c>
      <c r="R61" s="11">
        <v>13.659999999999854</v>
      </c>
      <c r="S61" s="11">
        <v>13.659999999999854</v>
      </c>
      <c r="T61" s="11">
        <v>13.659999999999854</v>
      </c>
      <c r="U61" s="11">
        <v>13.659999999999854</v>
      </c>
      <c r="V61" s="11">
        <v>13.659999999999854</v>
      </c>
      <c r="W61" s="11">
        <v>13.659999999999854</v>
      </c>
      <c r="X61" s="11">
        <v>-1.4566126083082054E-13</v>
      </c>
      <c r="Y61" s="11">
        <v>-1.4566126083082054E-13</v>
      </c>
      <c r="Z61" s="11">
        <v>-1.4566126083082054E-13</v>
      </c>
      <c r="AA61" s="11">
        <v>-1.4566126083082054E-13</v>
      </c>
      <c r="AB61" s="11">
        <v>2121.54</v>
      </c>
      <c r="AC61" s="11">
        <v>2121.54</v>
      </c>
      <c r="AD61" s="11">
        <v>-0.11999999999989086</v>
      </c>
      <c r="AE61" s="11">
        <v>-0.11999999999989086</v>
      </c>
      <c r="AF61" s="11">
        <v>1.0913492332065289E-13</v>
      </c>
      <c r="AG61" s="11">
        <v>1.0913492332065289E-13</v>
      </c>
      <c r="AH61" s="11">
        <v>1.0913492332065289E-13</v>
      </c>
      <c r="AI61" s="11">
        <v>1.0913492332065289E-13</v>
      </c>
      <c r="AJ61" s="11">
        <v>1.0913492332065289E-13</v>
      </c>
      <c r="AK61" s="11">
        <v>1.0913492332065289E-13</v>
      </c>
      <c r="AL61" s="11">
        <v>1.0913492332065289E-13</v>
      </c>
      <c r="AM61" s="11">
        <v>1.0913492332065289E-13</v>
      </c>
      <c r="AN61" s="11">
        <v>1.0913492332065289E-13</v>
      </c>
      <c r="AO61" s="11">
        <v>1.0913492332065289E-13</v>
      </c>
      <c r="AP61" s="11">
        <v>1.0913492332065289E-13</v>
      </c>
      <c r="AQ61" s="11">
        <v>1.0913492332065289E-13</v>
      </c>
      <c r="AR61" s="11">
        <v>1.0913492332065289E-13</v>
      </c>
      <c r="AS61" s="11">
        <v>1.0913492332065289E-13</v>
      </c>
      <c r="AT61" s="11">
        <v>1.0913492332065289E-13</v>
      </c>
      <c r="AU61" s="11">
        <v>1.0913492332065289E-13</v>
      </c>
      <c r="AV61" s="11">
        <v>1.0913492332065289E-13</v>
      </c>
      <c r="AW61" s="11">
        <v>1.0913492332065289E-13</v>
      </c>
      <c r="AX61" s="11">
        <v>1.0913492332065289E-13</v>
      </c>
      <c r="AY61" s="11">
        <v>1.0913492332065289E-13</v>
      </c>
      <c r="AZ61" s="11">
        <v>1.0913492332065289E-13</v>
      </c>
      <c r="BA61" s="11">
        <v>1.0913492332065289E-13</v>
      </c>
      <c r="BB61" s="11">
        <v>1.0913492332065289E-13</v>
      </c>
      <c r="BC61" s="11">
        <v>1.0913492332065289E-13</v>
      </c>
      <c r="BD61" s="11">
        <v>1.0913492332065289E-13</v>
      </c>
      <c r="BE61" s="11">
        <v>1.0913492332065289E-13</v>
      </c>
      <c r="BF61" s="11">
        <v>1.0913492332065289E-13</v>
      </c>
      <c r="BG61" s="11">
        <v>1.0913492332065289E-13</v>
      </c>
      <c r="BH61" s="11">
        <v>1.0913492332065289E-13</v>
      </c>
      <c r="BI61" s="11">
        <v>1.0913492332065289E-13</v>
      </c>
      <c r="BJ61" s="11">
        <v>1.0913492332065289E-13</v>
      </c>
      <c r="BK61" s="11">
        <v>1.0913492332065289E-13</v>
      </c>
      <c r="BL61" s="11">
        <v>1.0913492332065289E-13</v>
      </c>
      <c r="BM61" s="11">
        <v>1.0913492332065289E-13</v>
      </c>
      <c r="BN61" s="11">
        <v>2803.24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11">
        <v>0</v>
      </c>
      <c r="BU61" s="11">
        <v>0</v>
      </c>
      <c r="BV61" s="11">
        <v>0</v>
      </c>
      <c r="BW61" s="11">
        <v>0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1">
        <v>0</v>
      </c>
    </row>
    <row r="62" spans="1:86" x14ac:dyDescent="0.2">
      <c r="A62" s="10" t="s">
        <v>145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8518</v>
      </c>
      <c r="AP62" s="11">
        <v>8518</v>
      </c>
      <c r="AQ62" s="11">
        <v>8518</v>
      </c>
      <c r="AR62" s="11">
        <v>8518</v>
      </c>
      <c r="AS62" s="11">
        <v>8518</v>
      </c>
      <c r="AT62" s="11">
        <v>8518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973</v>
      </c>
      <c r="BO62" s="11">
        <v>973</v>
      </c>
      <c r="BP62" s="11">
        <v>973</v>
      </c>
      <c r="BQ62" s="11">
        <v>973</v>
      </c>
      <c r="BR62" s="11">
        <v>973</v>
      </c>
      <c r="BS62" s="11">
        <v>973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</row>
    <row r="63" spans="1:86" x14ac:dyDescent="0.2">
      <c r="A63" s="10" t="s">
        <v>146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16.82</v>
      </c>
      <c r="P63" s="11">
        <v>16.82</v>
      </c>
      <c r="Q63" s="11">
        <v>16.82</v>
      </c>
      <c r="R63" s="11">
        <v>16.82</v>
      </c>
      <c r="S63" s="11">
        <v>16.82</v>
      </c>
      <c r="T63" s="11">
        <v>16.82</v>
      </c>
      <c r="U63" s="11">
        <v>16.82</v>
      </c>
      <c r="V63" s="11">
        <v>16.82</v>
      </c>
      <c r="W63" s="11">
        <v>16.82</v>
      </c>
      <c r="X63" s="11">
        <v>16.82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10547.83</v>
      </c>
      <c r="AP63" s="11">
        <v>10547.83</v>
      </c>
      <c r="AQ63" s="11">
        <v>10547.83</v>
      </c>
      <c r="AR63" s="11">
        <v>10547.83</v>
      </c>
      <c r="AS63" s="11">
        <v>10547.83</v>
      </c>
      <c r="AT63" s="11">
        <v>10547.83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3394.97</v>
      </c>
      <c r="BB63" s="11">
        <v>3394.97</v>
      </c>
      <c r="BC63" s="11">
        <v>3394.97</v>
      </c>
      <c r="BD63" s="11">
        <v>3394.97</v>
      </c>
      <c r="BE63" s="11">
        <v>3394.97</v>
      </c>
      <c r="BF63" s="11">
        <v>3394.97</v>
      </c>
      <c r="BG63" s="11">
        <v>3394.97</v>
      </c>
      <c r="BH63" s="11">
        <v>3394.97</v>
      </c>
      <c r="BI63" s="11">
        <v>3394.97</v>
      </c>
      <c r="BJ63" s="11">
        <v>0</v>
      </c>
      <c r="BK63" s="11">
        <v>0</v>
      </c>
      <c r="BL63" s="11">
        <v>0</v>
      </c>
      <c r="BM63" s="11">
        <v>0</v>
      </c>
      <c r="BN63" s="11">
        <v>1150.96</v>
      </c>
      <c r="BO63" s="11">
        <v>1150.96</v>
      </c>
      <c r="BP63" s="11">
        <v>1150.96</v>
      </c>
      <c r="BQ63" s="11">
        <v>1150.96</v>
      </c>
      <c r="BR63" s="11">
        <v>1150.96</v>
      </c>
      <c r="BS63" s="11">
        <v>0</v>
      </c>
      <c r="BT63" s="11">
        <v>0</v>
      </c>
      <c r="BU63" s="11">
        <v>0</v>
      </c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1">
        <v>0</v>
      </c>
    </row>
    <row r="64" spans="1:86" x14ac:dyDescent="0.2">
      <c r="A64" s="12" t="s">
        <v>147</v>
      </c>
      <c r="B64" s="13">
        <f t="shared" ref="B64:AG64" si="39">SUM(B60:B63)</f>
        <v>0</v>
      </c>
      <c r="C64" s="13">
        <f t="shared" si="39"/>
        <v>0</v>
      </c>
      <c r="D64" s="13">
        <f t="shared" si="39"/>
        <v>0</v>
      </c>
      <c r="E64" s="13">
        <f t="shared" si="39"/>
        <v>0</v>
      </c>
      <c r="F64" s="13">
        <f t="shared" si="39"/>
        <v>0</v>
      </c>
      <c r="G64" s="13">
        <f t="shared" si="39"/>
        <v>0</v>
      </c>
      <c r="H64" s="13">
        <f t="shared" si="39"/>
        <v>0</v>
      </c>
      <c r="I64" s="13">
        <f t="shared" si="39"/>
        <v>0</v>
      </c>
      <c r="J64" s="13">
        <f t="shared" si="39"/>
        <v>0</v>
      </c>
      <c r="K64" s="13">
        <f t="shared" si="39"/>
        <v>0</v>
      </c>
      <c r="L64" s="13">
        <f t="shared" si="39"/>
        <v>0</v>
      </c>
      <c r="M64" s="13">
        <f t="shared" si="39"/>
        <v>0</v>
      </c>
      <c r="N64" s="13">
        <f t="shared" si="39"/>
        <v>0</v>
      </c>
      <c r="O64" s="13">
        <f t="shared" si="39"/>
        <v>2571.71</v>
      </c>
      <c r="P64" s="13">
        <f t="shared" si="39"/>
        <v>2585.37</v>
      </c>
      <c r="Q64" s="13">
        <f t="shared" si="39"/>
        <v>30.479999999999855</v>
      </c>
      <c r="R64" s="13">
        <f t="shared" si="39"/>
        <v>30.479999999999855</v>
      </c>
      <c r="S64" s="13">
        <f t="shared" si="39"/>
        <v>30.479999999999855</v>
      </c>
      <c r="T64" s="13">
        <f t="shared" si="39"/>
        <v>30.479999999999855</v>
      </c>
      <c r="U64" s="13">
        <f t="shared" si="39"/>
        <v>30.479999999999855</v>
      </c>
      <c r="V64" s="13">
        <f t="shared" si="39"/>
        <v>30.479999999999855</v>
      </c>
      <c r="W64" s="13">
        <f t="shared" si="39"/>
        <v>30.479999999999855</v>
      </c>
      <c r="X64" s="13">
        <f t="shared" si="39"/>
        <v>16.819999999999855</v>
      </c>
      <c r="Y64" s="13">
        <f t="shared" si="39"/>
        <v>-1.4566126083082054E-13</v>
      </c>
      <c r="Z64" s="13">
        <f t="shared" si="39"/>
        <v>-1.4566126083082054E-13</v>
      </c>
      <c r="AA64" s="13">
        <f t="shared" si="39"/>
        <v>-1.4566126083082054E-13</v>
      </c>
      <c r="AB64" s="13">
        <f t="shared" si="39"/>
        <v>2121.54</v>
      </c>
      <c r="AC64" s="13">
        <f t="shared" si="39"/>
        <v>2121.54</v>
      </c>
      <c r="AD64" s="13">
        <f t="shared" si="39"/>
        <v>-0.11999999999989086</v>
      </c>
      <c r="AE64" s="13">
        <f t="shared" si="39"/>
        <v>-0.11999999999989086</v>
      </c>
      <c r="AF64" s="13">
        <f t="shared" si="39"/>
        <v>1.0913492332065289E-13</v>
      </c>
      <c r="AG64" s="13">
        <f t="shared" si="39"/>
        <v>1.0913492332065289E-13</v>
      </c>
      <c r="AH64" s="13">
        <f t="shared" ref="AH64:BM64" si="40">SUM(AH60:AH63)</f>
        <v>1.0913492332065289E-13</v>
      </c>
      <c r="AI64" s="13">
        <f t="shared" si="40"/>
        <v>1.0913492332065289E-13</v>
      </c>
      <c r="AJ64" s="13">
        <f t="shared" si="40"/>
        <v>1.0913492332065289E-13</v>
      </c>
      <c r="AK64" s="13">
        <f t="shared" si="40"/>
        <v>1.0913492332065289E-13</v>
      </c>
      <c r="AL64" s="13">
        <f t="shared" si="40"/>
        <v>1.0913492332065289E-13</v>
      </c>
      <c r="AM64" s="13">
        <f t="shared" si="40"/>
        <v>1.0913492332065289E-13</v>
      </c>
      <c r="AN64" s="13">
        <f t="shared" si="40"/>
        <v>1.0913492332065289E-13</v>
      </c>
      <c r="AO64" s="13">
        <f t="shared" si="40"/>
        <v>19065.830000000002</v>
      </c>
      <c r="AP64" s="13">
        <f t="shared" si="40"/>
        <v>19065.830000000002</v>
      </c>
      <c r="AQ64" s="13">
        <f t="shared" si="40"/>
        <v>19065.830000000002</v>
      </c>
      <c r="AR64" s="13">
        <f t="shared" si="40"/>
        <v>19065.830000000002</v>
      </c>
      <c r="AS64" s="13">
        <f t="shared" si="40"/>
        <v>19065.830000000002</v>
      </c>
      <c r="AT64" s="13">
        <f t="shared" si="40"/>
        <v>19065.830000000002</v>
      </c>
      <c r="AU64" s="13">
        <f t="shared" si="40"/>
        <v>1.0913492332065289E-13</v>
      </c>
      <c r="AV64" s="13">
        <f t="shared" si="40"/>
        <v>1.0913492332065289E-13</v>
      </c>
      <c r="AW64" s="13">
        <f t="shared" si="40"/>
        <v>1.0913492332065289E-13</v>
      </c>
      <c r="AX64" s="13">
        <f t="shared" si="40"/>
        <v>1.0913492332065289E-13</v>
      </c>
      <c r="AY64" s="13">
        <f t="shared" si="40"/>
        <v>1.0913492332065289E-13</v>
      </c>
      <c r="AZ64" s="13">
        <f t="shared" si="40"/>
        <v>1.0913492332065289E-13</v>
      </c>
      <c r="BA64" s="13">
        <f t="shared" si="40"/>
        <v>3394.97</v>
      </c>
      <c r="BB64" s="13">
        <f t="shared" si="40"/>
        <v>3394.97</v>
      </c>
      <c r="BC64" s="13">
        <f t="shared" si="40"/>
        <v>3394.97</v>
      </c>
      <c r="BD64" s="13">
        <f t="shared" si="40"/>
        <v>3394.97</v>
      </c>
      <c r="BE64" s="13">
        <f t="shared" si="40"/>
        <v>3394.97</v>
      </c>
      <c r="BF64" s="13">
        <f t="shared" si="40"/>
        <v>3394.97</v>
      </c>
      <c r="BG64" s="13">
        <f t="shared" si="40"/>
        <v>3394.97</v>
      </c>
      <c r="BH64" s="13">
        <f t="shared" si="40"/>
        <v>3394.97</v>
      </c>
      <c r="BI64" s="13">
        <f t="shared" si="40"/>
        <v>3394.97</v>
      </c>
      <c r="BJ64" s="13">
        <f t="shared" si="40"/>
        <v>1.0913492332065289E-13</v>
      </c>
      <c r="BK64" s="13">
        <f t="shared" si="40"/>
        <v>1.0913492332065289E-13</v>
      </c>
      <c r="BL64" s="13">
        <f t="shared" si="40"/>
        <v>1.0913492332065289E-13</v>
      </c>
      <c r="BM64" s="13">
        <f t="shared" si="40"/>
        <v>1.0913492332065289E-13</v>
      </c>
      <c r="BN64" s="13">
        <f t="shared" ref="BN64:CS64" si="41">SUM(BN60:BN63)</f>
        <v>5427.2</v>
      </c>
      <c r="BO64" s="13">
        <f t="shared" si="41"/>
        <v>2123.96</v>
      </c>
      <c r="BP64" s="13">
        <f t="shared" si="41"/>
        <v>2123.96</v>
      </c>
      <c r="BQ64" s="13">
        <f t="shared" si="41"/>
        <v>2123.96</v>
      </c>
      <c r="BR64" s="13">
        <f t="shared" si="41"/>
        <v>2123.96</v>
      </c>
      <c r="BS64" s="13">
        <f t="shared" si="41"/>
        <v>973</v>
      </c>
      <c r="BT64" s="13">
        <f t="shared" si="41"/>
        <v>0</v>
      </c>
      <c r="BU64" s="13">
        <f t="shared" si="41"/>
        <v>0</v>
      </c>
      <c r="BV64" s="13">
        <f t="shared" si="41"/>
        <v>0</v>
      </c>
      <c r="BW64" s="13">
        <f t="shared" si="41"/>
        <v>0</v>
      </c>
      <c r="BX64" s="13">
        <f t="shared" si="41"/>
        <v>0</v>
      </c>
      <c r="BY64" s="13">
        <f t="shared" si="41"/>
        <v>0</v>
      </c>
      <c r="BZ64" s="13">
        <f t="shared" si="41"/>
        <v>1000</v>
      </c>
      <c r="CA64" s="13">
        <f t="shared" si="41"/>
        <v>0</v>
      </c>
      <c r="CB64" s="13">
        <f t="shared" si="41"/>
        <v>0</v>
      </c>
      <c r="CC64" s="13">
        <f t="shared" si="41"/>
        <v>0</v>
      </c>
      <c r="CD64" s="13">
        <f t="shared" si="41"/>
        <v>0</v>
      </c>
      <c r="CE64" s="13">
        <f t="shared" si="41"/>
        <v>0</v>
      </c>
      <c r="CF64" s="13">
        <f t="shared" si="41"/>
        <v>0</v>
      </c>
      <c r="CG64" s="13">
        <f t="shared" si="41"/>
        <v>0</v>
      </c>
      <c r="CH64" s="13">
        <f t="shared" si="41"/>
        <v>0</v>
      </c>
    </row>
    <row r="65" spans="1:86" x14ac:dyDescent="0.2">
      <c r="A65" s="14" t="s">
        <v>148</v>
      </c>
      <c r="B65" s="15">
        <f t="shared" ref="B65:AG65" si="42">B55+B58+0+0+0+B64</f>
        <v>0</v>
      </c>
      <c r="C65" s="15">
        <f t="shared" si="42"/>
        <v>0</v>
      </c>
      <c r="D65" s="15">
        <f t="shared" si="42"/>
        <v>0</v>
      </c>
      <c r="E65" s="15">
        <f t="shared" si="42"/>
        <v>0</v>
      </c>
      <c r="F65" s="15">
        <f t="shared" si="42"/>
        <v>5903.86</v>
      </c>
      <c r="G65" s="15">
        <f t="shared" si="42"/>
        <v>0</v>
      </c>
      <c r="H65" s="15">
        <f t="shared" si="42"/>
        <v>0</v>
      </c>
      <c r="I65" s="15">
        <f t="shared" si="42"/>
        <v>1683.71</v>
      </c>
      <c r="J65" s="15">
        <f t="shared" si="42"/>
        <v>0</v>
      </c>
      <c r="K65" s="15">
        <f t="shared" si="42"/>
        <v>0</v>
      </c>
      <c r="L65" s="15">
        <f t="shared" si="42"/>
        <v>1030.73</v>
      </c>
      <c r="M65" s="15">
        <f t="shared" si="42"/>
        <v>0</v>
      </c>
      <c r="N65" s="15">
        <f t="shared" si="42"/>
        <v>0</v>
      </c>
      <c r="O65" s="15">
        <f t="shared" si="42"/>
        <v>3096.5</v>
      </c>
      <c r="P65" s="15">
        <f t="shared" si="42"/>
        <v>3110.16</v>
      </c>
      <c r="Q65" s="15">
        <f t="shared" si="42"/>
        <v>30.479999999999855</v>
      </c>
      <c r="R65" s="15">
        <f t="shared" si="42"/>
        <v>30.479999999999855</v>
      </c>
      <c r="S65" s="15">
        <f t="shared" si="42"/>
        <v>2818.65</v>
      </c>
      <c r="T65" s="15">
        <f t="shared" si="42"/>
        <v>30.479999999999855</v>
      </c>
      <c r="U65" s="15">
        <f t="shared" si="42"/>
        <v>30.479999999999855</v>
      </c>
      <c r="V65" s="15">
        <f t="shared" si="42"/>
        <v>1226.5299999999997</v>
      </c>
      <c r="W65" s="15">
        <f t="shared" si="42"/>
        <v>30.479999999999855</v>
      </c>
      <c r="X65" s="15">
        <f t="shared" si="42"/>
        <v>16.819999999999855</v>
      </c>
      <c r="Y65" s="15">
        <f t="shared" si="42"/>
        <v>1865.9299999999998</v>
      </c>
      <c r="Z65" s="15">
        <f t="shared" si="42"/>
        <v>-1.4566126083082054E-13</v>
      </c>
      <c r="AA65" s="15">
        <f t="shared" si="42"/>
        <v>-1.4566126083082054E-13</v>
      </c>
      <c r="AB65" s="15">
        <f t="shared" si="42"/>
        <v>2121.54</v>
      </c>
      <c r="AC65" s="15">
        <f t="shared" si="42"/>
        <v>2121.54</v>
      </c>
      <c r="AD65" s="15">
        <f t="shared" si="42"/>
        <v>-0.11999999999989086</v>
      </c>
      <c r="AE65" s="15">
        <f t="shared" si="42"/>
        <v>-0.11999999999989086</v>
      </c>
      <c r="AF65" s="15">
        <f t="shared" si="42"/>
        <v>3320.23</v>
      </c>
      <c r="AG65" s="15">
        <f t="shared" si="42"/>
        <v>1.0913492332065289E-13</v>
      </c>
      <c r="AH65" s="15">
        <f t="shared" ref="AH65:BM65" si="43">AH55+AH58+0+0+0+AH64</f>
        <v>1.0913492332065289E-13</v>
      </c>
      <c r="AI65" s="15">
        <f t="shared" si="43"/>
        <v>1.0913492332065289E-13</v>
      </c>
      <c r="AJ65" s="15">
        <f t="shared" si="43"/>
        <v>1.0913492332065289E-13</v>
      </c>
      <c r="AK65" s="15">
        <f t="shared" si="43"/>
        <v>1.0913492332065289E-13</v>
      </c>
      <c r="AL65" s="15">
        <f t="shared" si="43"/>
        <v>1.0913492332065289E-13</v>
      </c>
      <c r="AM65" s="15">
        <f t="shared" si="43"/>
        <v>1.0913492332065289E-13</v>
      </c>
      <c r="AN65" s="15">
        <f t="shared" si="43"/>
        <v>1.0913492332065289E-13</v>
      </c>
      <c r="AO65" s="15">
        <f t="shared" si="43"/>
        <v>19065.830000000002</v>
      </c>
      <c r="AP65" s="15">
        <f t="shared" si="43"/>
        <v>19065.830000000002</v>
      </c>
      <c r="AQ65" s="15">
        <f t="shared" si="43"/>
        <v>19065.830000000002</v>
      </c>
      <c r="AR65" s="15">
        <f t="shared" si="43"/>
        <v>29656.83</v>
      </c>
      <c r="AS65" s="15">
        <f t="shared" si="43"/>
        <v>19065.830000000002</v>
      </c>
      <c r="AT65" s="15">
        <f t="shared" si="43"/>
        <v>30608.83</v>
      </c>
      <c r="AU65" s="15">
        <f t="shared" si="43"/>
        <v>1.0913492332065289E-13</v>
      </c>
      <c r="AV65" s="15">
        <f t="shared" si="43"/>
        <v>1.0913492332065289E-13</v>
      </c>
      <c r="AW65" s="15">
        <f t="shared" si="43"/>
        <v>1.0913492332065289E-13</v>
      </c>
      <c r="AX65" s="15">
        <f t="shared" si="43"/>
        <v>1.0913492332065289E-13</v>
      </c>
      <c r="AY65" s="15">
        <f t="shared" si="43"/>
        <v>1.0913492332065289E-13</v>
      </c>
      <c r="AZ65" s="15">
        <f t="shared" si="43"/>
        <v>1.0913492332065289E-13</v>
      </c>
      <c r="BA65" s="15">
        <f t="shared" si="43"/>
        <v>3394.97</v>
      </c>
      <c r="BB65" s="15">
        <f t="shared" si="43"/>
        <v>3394.97</v>
      </c>
      <c r="BC65" s="15">
        <f t="shared" si="43"/>
        <v>3394.97</v>
      </c>
      <c r="BD65" s="15">
        <f t="shared" si="43"/>
        <v>3394.97</v>
      </c>
      <c r="BE65" s="15">
        <f t="shared" si="43"/>
        <v>8442.19</v>
      </c>
      <c r="BF65" s="15">
        <f t="shared" si="43"/>
        <v>3394.97</v>
      </c>
      <c r="BG65" s="15">
        <f t="shared" si="43"/>
        <v>3394.97</v>
      </c>
      <c r="BH65" s="15">
        <f t="shared" si="43"/>
        <v>17691.330000000002</v>
      </c>
      <c r="BI65" s="15">
        <f t="shared" si="43"/>
        <v>3394.97</v>
      </c>
      <c r="BJ65" s="15">
        <f t="shared" si="43"/>
        <v>1.0913492332065289E-13</v>
      </c>
      <c r="BK65" s="15">
        <f t="shared" si="43"/>
        <v>1.0913492332065289E-13</v>
      </c>
      <c r="BL65" s="15">
        <f t="shared" si="43"/>
        <v>1.0913492332065289E-13</v>
      </c>
      <c r="BM65" s="15">
        <f t="shared" si="43"/>
        <v>1.0913492332065289E-13</v>
      </c>
      <c r="BN65" s="15">
        <f t="shared" ref="BN65:CS65" si="44">BN55+BN58+0+0+0+BN64</f>
        <v>5427.2</v>
      </c>
      <c r="BO65" s="15">
        <f t="shared" si="44"/>
        <v>2123.96</v>
      </c>
      <c r="BP65" s="15">
        <f t="shared" si="44"/>
        <v>2123.96</v>
      </c>
      <c r="BQ65" s="15">
        <f t="shared" si="44"/>
        <v>2123.96</v>
      </c>
      <c r="BR65" s="15">
        <f t="shared" si="44"/>
        <v>2123.96</v>
      </c>
      <c r="BS65" s="15">
        <f t="shared" si="44"/>
        <v>973</v>
      </c>
      <c r="BT65" s="15">
        <f t="shared" si="44"/>
        <v>0</v>
      </c>
      <c r="BU65" s="15">
        <f t="shared" si="44"/>
        <v>0</v>
      </c>
      <c r="BV65" s="15">
        <f t="shared" si="44"/>
        <v>0</v>
      </c>
      <c r="BW65" s="15">
        <f t="shared" si="44"/>
        <v>1930.18</v>
      </c>
      <c r="BX65" s="15">
        <f t="shared" si="44"/>
        <v>0</v>
      </c>
      <c r="BY65" s="15">
        <f t="shared" si="44"/>
        <v>0</v>
      </c>
      <c r="BZ65" s="15">
        <f t="shared" si="44"/>
        <v>1000</v>
      </c>
      <c r="CA65" s="15">
        <f t="shared" si="44"/>
        <v>0</v>
      </c>
      <c r="CB65" s="15">
        <f t="shared" si="44"/>
        <v>0</v>
      </c>
      <c r="CC65" s="15">
        <f t="shared" si="44"/>
        <v>4090.46</v>
      </c>
      <c r="CD65" s="15">
        <f t="shared" si="44"/>
        <v>0</v>
      </c>
      <c r="CE65" s="15">
        <f t="shared" si="44"/>
        <v>0</v>
      </c>
      <c r="CF65" s="15">
        <f t="shared" si="44"/>
        <v>1790</v>
      </c>
      <c r="CG65" s="15">
        <f t="shared" si="44"/>
        <v>0</v>
      </c>
      <c r="CH65" s="15">
        <f t="shared" si="44"/>
        <v>0</v>
      </c>
    </row>
    <row r="66" spans="1:86" x14ac:dyDescent="0.2">
      <c r="A66" s="7" t="s">
        <v>149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</row>
    <row r="67" spans="1:86" x14ac:dyDescent="0.2">
      <c r="A67" s="9" t="s">
        <v>150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</row>
    <row r="68" spans="1:86" x14ac:dyDescent="0.2">
      <c r="A68" s="10" t="s">
        <v>151</v>
      </c>
      <c r="B68" s="11">
        <v>44424.71</v>
      </c>
      <c r="C68" s="11">
        <v>44424.71</v>
      </c>
      <c r="D68" s="11">
        <v>11375.349999999999</v>
      </c>
      <c r="E68" s="11">
        <v>20898.72</v>
      </c>
      <c r="F68" s="11">
        <v>27395.4</v>
      </c>
      <c r="G68" s="11">
        <v>7962.3500000000022</v>
      </c>
      <c r="H68" s="11">
        <v>16166.610000000002</v>
      </c>
      <c r="I68" s="11">
        <v>44342.840000000004</v>
      </c>
      <c r="J68" s="11">
        <v>28391.420000000006</v>
      </c>
      <c r="K68" s="11">
        <v>34813.540000000008</v>
      </c>
      <c r="L68" s="11">
        <v>34172.740000000005</v>
      </c>
      <c r="M68" s="11">
        <v>67666.040000000008</v>
      </c>
      <c r="N68" s="11">
        <v>61629.710000000006</v>
      </c>
      <c r="O68" s="11">
        <v>37828.810000000005</v>
      </c>
      <c r="P68" s="11">
        <v>37828.810000000005</v>
      </c>
      <c r="Q68" s="11">
        <v>54006.090000000004</v>
      </c>
      <c r="R68" s="11">
        <v>62867.33</v>
      </c>
      <c r="S68" s="11">
        <v>63679.62</v>
      </c>
      <c r="T68" s="11">
        <v>77199.53</v>
      </c>
      <c r="U68" s="11">
        <v>86244.09</v>
      </c>
      <c r="V68" s="11">
        <v>44974</v>
      </c>
      <c r="W68" s="11">
        <v>57029.96</v>
      </c>
      <c r="X68" s="11">
        <v>65967.17</v>
      </c>
      <c r="Y68" s="11">
        <v>73486.11</v>
      </c>
      <c r="Z68" s="11">
        <v>81006.929999999993</v>
      </c>
      <c r="AA68" s="11">
        <v>100250.79999999999</v>
      </c>
      <c r="AB68" s="11">
        <v>96860.469999999987</v>
      </c>
      <c r="AC68" s="11">
        <v>96860.469999999987</v>
      </c>
      <c r="AD68" s="11">
        <v>86346.76999999999</v>
      </c>
      <c r="AE68" s="11">
        <v>84902.689999999988</v>
      </c>
      <c r="AF68" s="11">
        <v>77296.37</v>
      </c>
      <c r="AG68" s="11">
        <v>89202.829999999987</v>
      </c>
      <c r="AH68" s="11">
        <v>89383.199999999983</v>
      </c>
      <c r="AI68" s="11">
        <v>90761.889999999985</v>
      </c>
      <c r="AJ68" s="11">
        <v>100649.30999999998</v>
      </c>
      <c r="AK68" s="11">
        <v>99538.979999999981</v>
      </c>
      <c r="AL68" s="11">
        <v>106937.89999999998</v>
      </c>
      <c r="AM68" s="11">
        <v>93373.989999999976</v>
      </c>
      <c r="AN68" s="11">
        <v>26824.589999999982</v>
      </c>
      <c r="AO68" s="11">
        <v>29301.819999999982</v>
      </c>
      <c r="AP68" s="11">
        <v>37606.519999999982</v>
      </c>
      <c r="AQ68" s="11">
        <v>43402.219999999979</v>
      </c>
      <c r="AR68" s="11">
        <v>27036.139999999978</v>
      </c>
      <c r="AS68" s="11">
        <v>46131.099999999977</v>
      </c>
      <c r="AT68" s="11">
        <v>40147.419999999976</v>
      </c>
      <c r="AU68" s="11">
        <v>33463.269999999975</v>
      </c>
      <c r="AV68" s="11">
        <v>27486.509999999973</v>
      </c>
      <c r="AW68" s="11">
        <v>27350.279999999973</v>
      </c>
      <c r="AX68" s="11">
        <v>34280.689999999973</v>
      </c>
      <c r="AY68" s="11">
        <v>23535.869999999974</v>
      </c>
      <c r="AZ68" s="11">
        <v>14208.049999999974</v>
      </c>
      <c r="BA68" s="11">
        <v>22120.399999999972</v>
      </c>
      <c r="BB68" s="11">
        <v>22120.399999999972</v>
      </c>
      <c r="BC68" s="11">
        <v>28319.099999999973</v>
      </c>
      <c r="BD68" s="11">
        <v>27461.949999999972</v>
      </c>
      <c r="BE68" s="11">
        <v>17694.809999999972</v>
      </c>
      <c r="BF68" s="11">
        <v>28432.359999999971</v>
      </c>
      <c r="BG68" s="11">
        <v>42712.95999999997</v>
      </c>
      <c r="BH68" s="11">
        <v>7344.1499999999724</v>
      </c>
      <c r="BI68" s="11">
        <v>30579.699999999972</v>
      </c>
      <c r="BJ68" s="11">
        <v>31926.04999999997</v>
      </c>
      <c r="BK68" s="11">
        <v>24436.859999999971</v>
      </c>
      <c r="BL68" s="11">
        <v>22371.559999999972</v>
      </c>
      <c r="BM68" s="11">
        <v>39204.499999999971</v>
      </c>
      <c r="BN68" s="11">
        <v>17500.579999999973</v>
      </c>
      <c r="BO68" s="11">
        <v>28901.539999999972</v>
      </c>
      <c r="BP68" s="11">
        <v>25076.249999999971</v>
      </c>
      <c r="BQ68" s="11">
        <v>36623.339999999967</v>
      </c>
      <c r="BR68" s="11">
        <v>42018.659999999967</v>
      </c>
      <c r="BS68" s="11">
        <v>14791.989999999969</v>
      </c>
      <c r="BT68" s="11">
        <v>20430.879999999968</v>
      </c>
      <c r="BU68" s="11">
        <v>3565.1799999999675</v>
      </c>
      <c r="BV68" s="11">
        <v>39358.729999999967</v>
      </c>
      <c r="BW68" s="11">
        <v>50953.559999999969</v>
      </c>
      <c r="BX68" s="11">
        <v>62870.689999999966</v>
      </c>
      <c r="BY68" s="11">
        <v>63998.569999999963</v>
      </c>
      <c r="BZ68" s="11">
        <v>69237.459999999963</v>
      </c>
      <c r="CA68" s="11">
        <v>77817.02999999997</v>
      </c>
      <c r="CB68" s="11">
        <v>55268.77999999997</v>
      </c>
      <c r="CC68" s="11">
        <v>103562.45999999996</v>
      </c>
      <c r="CD68" s="11">
        <v>78639.419999999955</v>
      </c>
      <c r="CE68" s="11">
        <v>48370.499999999956</v>
      </c>
      <c r="CF68" s="11">
        <v>55884.029999999955</v>
      </c>
      <c r="CG68" s="11">
        <v>38870.369999999952</v>
      </c>
      <c r="CH68" s="11">
        <v>38870.369999999952</v>
      </c>
    </row>
    <row r="69" spans="1:86" x14ac:dyDescent="0.2">
      <c r="A69" s="10" t="s">
        <v>152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-489.52</v>
      </c>
      <c r="BB69" s="11">
        <v>-489.52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0</v>
      </c>
      <c r="BX69" s="11">
        <v>0</v>
      </c>
      <c r="BY69" s="11">
        <v>0</v>
      </c>
      <c r="BZ69" s="11">
        <v>0</v>
      </c>
      <c r="CA69" s="11">
        <v>0</v>
      </c>
      <c r="CB69" s="11">
        <v>-2284.8000000000002</v>
      </c>
      <c r="CC69" s="11">
        <v>-2284.8000000000002</v>
      </c>
      <c r="CD69" s="11">
        <v>0</v>
      </c>
      <c r="CE69" s="11">
        <v>0</v>
      </c>
      <c r="CF69" s="11">
        <v>0</v>
      </c>
      <c r="CG69" s="11">
        <v>0</v>
      </c>
      <c r="CH69" s="11">
        <v>-13172.85</v>
      </c>
    </row>
    <row r="70" spans="1:86" x14ac:dyDescent="0.2">
      <c r="A70" s="10" t="s">
        <v>153</v>
      </c>
      <c r="B70" s="11">
        <v>8.5399999999999991</v>
      </c>
      <c r="C70" s="11">
        <v>8.5399999999999991</v>
      </c>
      <c r="D70" s="11">
        <v>30008.54</v>
      </c>
      <c r="E70" s="11">
        <v>30008.54</v>
      </c>
      <c r="F70" s="11">
        <v>30008.54</v>
      </c>
      <c r="G70" s="11">
        <v>30008.54</v>
      </c>
      <c r="H70" s="11">
        <v>30008.54</v>
      </c>
      <c r="I70" s="11">
        <v>110008.54000000001</v>
      </c>
      <c r="J70" s="11">
        <v>110008.54000000001</v>
      </c>
      <c r="K70" s="11">
        <v>110008.54000000001</v>
      </c>
      <c r="L70" s="11">
        <v>110008.54000000001</v>
      </c>
      <c r="M70" s="11">
        <v>110008.54000000001</v>
      </c>
      <c r="N70" s="11">
        <v>110008.54000000001</v>
      </c>
      <c r="O70" s="11">
        <v>110111.84000000001</v>
      </c>
      <c r="P70" s="11">
        <v>110111.84000000001</v>
      </c>
      <c r="Q70" s="11">
        <v>110111.84000000001</v>
      </c>
      <c r="R70" s="11">
        <v>110111.84000000001</v>
      </c>
      <c r="S70" s="11">
        <v>110111.84000000001</v>
      </c>
      <c r="T70" s="11">
        <v>110111.84000000001</v>
      </c>
      <c r="U70" s="11">
        <v>110111.84000000001</v>
      </c>
      <c r="V70" s="11">
        <v>160111.84000000003</v>
      </c>
      <c r="W70" s="11">
        <v>160111.84000000003</v>
      </c>
      <c r="X70" s="11">
        <v>160111.84000000003</v>
      </c>
      <c r="Y70" s="11">
        <v>160111.84000000003</v>
      </c>
      <c r="Z70" s="11">
        <v>160111.84000000003</v>
      </c>
      <c r="AA70" s="11">
        <v>160111.84000000003</v>
      </c>
      <c r="AB70" s="11">
        <v>160231.12000000002</v>
      </c>
      <c r="AC70" s="11">
        <v>160231.12000000002</v>
      </c>
      <c r="AD70" s="11">
        <v>160231.12000000002</v>
      </c>
      <c r="AE70" s="11">
        <v>160231.12000000002</v>
      </c>
      <c r="AF70" s="11">
        <v>160231.12000000002</v>
      </c>
      <c r="AG70" s="11">
        <v>160231.12000000002</v>
      </c>
      <c r="AH70" s="11">
        <v>160231.12000000002</v>
      </c>
      <c r="AI70" s="11">
        <v>160231.12000000002</v>
      </c>
      <c r="AJ70" s="11">
        <v>160231.12000000002</v>
      </c>
      <c r="AK70" s="11">
        <v>160231.12000000002</v>
      </c>
      <c r="AL70" s="11">
        <v>160231.12000000002</v>
      </c>
      <c r="AM70" s="11">
        <v>160231.12000000002</v>
      </c>
      <c r="AN70" s="11">
        <v>220231.12000000002</v>
      </c>
      <c r="AO70" s="11">
        <v>390323.56000000006</v>
      </c>
      <c r="AP70" s="11">
        <v>390323.56000000006</v>
      </c>
      <c r="AQ70" s="11">
        <v>390323.56000000006</v>
      </c>
      <c r="AR70" s="11">
        <v>390323.56000000006</v>
      </c>
      <c r="AS70" s="11">
        <v>390323.56000000006</v>
      </c>
      <c r="AT70" s="11">
        <v>390323.56000000006</v>
      </c>
      <c r="AU70" s="11">
        <v>390323.56000000006</v>
      </c>
      <c r="AV70" s="11">
        <v>390323.56000000006</v>
      </c>
      <c r="AW70" s="11">
        <v>390323.56000000006</v>
      </c>
      <c r="AX70" s="11">
        <v>390323.56000000006</v>
      </c>
      <c r="AY70" s="11">
        <v>390323.56000000006</v>
      </c>
      <c r="AZ70" s="11">
        <v>440323.56000000006</v>
      </c>
      <c r="BA70" s="11">
        <v>440411.22000000003</v>
      </c>
      <c r="BB70" s="11">
        <v>440411.22000000003</v>
      </c>
      <c r="BC70" s="11">
        <v>440411.22000000003</v>
      </c>
      <c r="BD70" s="11">
        <v>440411.22000000003</v>
      </c>
      <c r="BE70" s="11">
        <v>440411.22000000003</v>
      </c>
      <c r="BF70" s="11">
        <v>440411.22000000003</v>
      </c>
      <c r="BG70" s="11">
        <v>440411.22000000003</v>
      </c>
      <c r="BH70" s="11">
        <v>470411.22000000003</v>
      </c>
      <c r="BI70" s="11">
        <v>470411.22000000003</v>
      </c>
      <c r="BJ70" s="11">
        <v>470411.22000000003</v>
      </c>
      <c r="BK70" s="11">
        <v>470411.22000000003</v>
      </c>
      <c r="BL70" s="11">
        <v>470411.22000000003</v>
      </c>
      <c r="BM70" s="11">
        <v>440000</v>
      </c>
      <c r="BN70" s="11">
        <v>440054.42</v>
      </c>
      <c r="BO70" s="11">
        <v>440054.42</v>
      </c>
      <c r="BP70" s="11">
        <v>440054.42</v>
      </c>
      <c r="BQ70" s="11">
        <v>440054.42</v>
      </c>
      <c r="BR70" s="11">
        <v>440054.42</v>
      </c>
      <c r="BS70" s="11">
        <v>440054.42</v>
      </c>
      <c r="BT70" s="11">
        <v>440054.42</v>
      </c>
      <c r="BU70" s="11">
        <v>440054.42</v>
      </c>
      <c r="BV70" s="11">
        <v>199999.99999999997</v>
      </c>
      <c r="BW70" s="11">
        <v>199999.99999999997</v>
      </c>
      <c r="BX70" s="11">
        <v>199999.99999999997</v>
      </c>
      <c r="BY70" s="11">
        <v>199999.99999999997</v>
      </c>
      <c r="BZ70" s="11">
        <v>200025.20999999996</v>
      </c>
      <c r="CA70" s="11">
        <v>200025.20999999996</v>
      </c>
      <c r="CB70" s="11">
        <v>200025.20999999996</v>
      </c>
      <c r="CC70" s="11">
        <v>200025.20999999996</v>
      </c>
      <c r="CD70" s="11">
        <v>240025.20999999996</v>
      </c>
      <c r="CE70" s="11">
        <v>240025.20999999996</v>
      </c>
      <c r="CF70" s="11">
        <v>240025.20999999996</v>
      </c>
      <c r="CG70" s="11">
        <v>270025.20999999996</v>
      </c>
      <c r="CH70" s="11">
        <v>270025.20999999996</v>
      </c>
    </row>
    <row r="71" spans="1:86" x14ac:dyDescent="0.2">
      <c r="A71" s="10" t="s">
        <v>154</v>
      </c>
      <c r="B71" s="11">
        <v>141.03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</row>
    <row r="72" spans="1:86" x14ac:dyDescent="0.2">
      <c r="A72" s="12" t="s">
        <v>155</v>
      </c>
      <c r="B72" s="15">
        <f t="shared" ref="B72:AG72" si="45">SUM(B68:B71)</f>
        <v>44574.28</v>
      </c>
      <c r="C72" s="15">
        <f t="shared" si="45"/>
        <v>44433.25</v>
      </c>
      <c r="D72" s="15">
        <f t="shared" si="45"/>
        <v>41383.89</v>
      </c>
      <c r="E72" s="15">
        <f t="shared" si="45"/>
        <v>50907.26</v>
      </c>
      <c r="F72" s="15">
        <f t="shared" si="45"/>
        <v>57403.94</v>
      </c>
      <c r="G72" s="15">
        <f t="shared" si="45"/>
        <v>37970.89</v>
      </c>
      <c r="H72" s="15">
        <f t="shared" si="45"/>
        <v>46175.15</v>
      </c>
      <c r="I72" s="15">
        <f t="shared" si="45"/>
        <v>154351.38</v>
      </c>
      <c r="J72" s="15">
        <f t="shared" si="45"/>
        <v>138399.96000000002</v>
      </c>
      <c r="K72" s="15">
        <f t="shared" si="45"/>
        <v>144822.08000000002</v>
      </c>
      <c r="L72" s="15">
        <f t="shared" si="45"/>
        <v>144181.28000000003</v>
      </c>
      <c r="M72" s="15">
        <f t="shared" si="45"/>
        <v>177674.58000000002</v>
      </c>
      <c r="N72" s="15">
        <f t="shared" si="45"/>
        <v>171638.25</v>
      </c>
      <c r="O72" s="15">
        <f t="shared" si="45"/>
        <v>147940.65000000002</v>
      </c>
      <c r="P72" s="15">
        <f t="shared" si="45"/>
        <v>147940.65000000002</v>
      </c>
      <c r="Q72" s="15">
        <f t="shared" si="45"/>
        <v>164117.93000000002</v>
      </c>
      <c r="R72" s="15">
        <f t="shared" si="45"/>
        <v>172979.17</v>
      </c>
      <c r="S72" s="15">
        <f t="shared" si="45"/>
        <v>173791.46000000002</v>
      </c>
      <c r="T72" s="15">
        <f t="shared" si="45"/>
        <v>187311.37</v>
      </c>
      <c r="U72" s="15">
        <f t="shared" si="45"/>
        <v>196355.93</v>
      </c>
      <c r="V72" s="15">
        <f t="shared" si="45"/>
        <v>205085.84000000003</v>
      </c>
      <c r="W72" s="15">
        <f t="shared" si="45"/>
        <v>217141.80000000002</v>
      </c>
      <c r="X72" s="15">
        <f t="shared" si="45"/>
        <v>226079.01</v>
      </c>
      <c r="Y72" s="15">
        <f t="shared" si="45"/>
        <v>233597.95</v>
      </c>
      <c r="Z72" s="15">
        <f t="shared" si="45"/>
        <v>241118.77000000002</v>
      </c>
      <c r="AA72" s="15">
        <f t="shared" si="45"/>
        <v>260362.64</v>
      </c>
      <c r="AB72" s="15">
        <f t="shared" si="45"/>
        <v>257091.59000000003</v>
      </c>
      <c r="AC72" s="15">
        <f t="shared" si="45"/>
        <v>257091.59000000003</v>
      </c>
      <c r="AD72" s="15">
        <f t="shared" si="45"/>
        <v>246577.89</v>
      </c>
      <c r="AE72" s="15">
        <f t="shared" si="45"/>
        <v>245133.81</v>
      </c>
      <c r="AF72" s="15">
        <f t="shared" si="45"/>
        <v>237527.49000000002</v>
      </c>
      <c r="AG72" s="15">
        <f t="shared" si="45"/>
        <v>249433.95</v>
      </c>
      <c r="AH72" s="15">
        <f t="shared" ref="AH72:BM72" si="46">SUM(AH68:AH71)</f>
        <v>249614.32</v>
      </c>
      <c r="AI72" s="15">
        <f t="shared" si="46"/>
        <v>250993.01</v>
      </c>
      <c r="AJ72" s="15">
        <f t="shared" si="46"/>
        <v>260880.43</v>
      </c>
      <c r="AK72" s="15">
        <f t="shared" si="46"/>
        <v>259770.1</v>
      </c>
      <c r="AL72" s="15">
        <f t="shared" si="46"/>
        <v>267169.02</v>
      </c>
      <c r="AM72" s="15">
        <f t="shared" si="46"/>
        <v>253605.11</v>
      </c>
      <c r="AN72" s="15">
        <f t="shared" si="46"/>
        <v>247055.71000000002</v>
      </c>
      <c r="AO72" s="15">
        <f t="shared" si="46"/>
        <v>419625.38000000006</v>
      </c>
      <c r="AP72" s="15">
        <f t="shared" si="46"/>
        <v>427930.08</v>
      </c>
      <c r="AQ72" s="15">
        <f t="shared" si="46"/>
        <v>433725.78</v>
      </c>
      <c r="AR72" s="15">
        <f t="shared" si="46"/>
        <v>417359.7</v>
      </c>
      <c r="AS72" s="15">
        <f t="shared" si="46"/>
        <v>436454.66000000003</v>
      </c>
      <c r="AT72" s="15">
        <f t="shared" si="46"/>
        <v>430470.98000000004</v>
      </c>
      <c r="AU72" s="15">
        <f t="shared" si="46"/>
        <v>423786.83</v>
      </c>
      <c r="AV72" s="15">
        <f t="shared" si="46"/>
        <v>417810.07</v>
      </c>
      <c r="AW72" s="15">
        <f t="shared" si="46"/>
        <v>417673.84</v>
      </c>
      <c r="AX72" s="15">
        <f t="shared" si="46"/>
        <v>424604.25</v>
      </c>
      <c r="AY72" s="15">
        <f t="shared" si="46"/>
        <v>413859.43000000005</v>
      </c>
      <c r="AZ72" s="15">
        <f t="shared" si="46"/>
        <v>454531.61000000004</v>
      </c>
      <c r="BA72" s="15">
        <f t="shared" si="46"/>
        <v>462042.1</v>
      </c>
      <c r="BB72" s="15">
        <f t="shared" si="46"/>
        <v>462042.1</v>
      </c>
      <c r="BC72" s="15">
        <f t="shared" si="46"/>
        <v>468730.32</v>
      </c>
      <c r="BD72" s="15">
        <f t="shared" si="46"/>
        <v>467873.17</v>
      </c>
      <c r="BE72" s="15">
        <f t="shared" si="46"/>
        <v>458106.03</v>
      </c>
      <c r="BF72" s="15">
        <f t="shared" si="46"/>
        <v>468843.58</v>
      </c>
      <c r="BG72" s="15">
        <f t="shared" si="46"/>
        <v>483124.18</v>
      </c>
      <c r="BH72" s="15">
        <f t="shared" si="46"/>
        <v>477755.37</v>
      </c>
      <c r="BI72" s="15">
        <f t="shared" si="46"/>
        <v>500990.92</v>
      </c>
      <c r="BJ72" s="15">
        <f t="shared" si="46"/>
        <v>502337.27</v>
      </c>
      <c r="BK72" s="15">
        <f t="shared" si="46"/>
        <v>494848.08</v>
      </c>
      <c r="BL72" s="15">
        <f t="shared" si="46"/>
        <v>492782.78</v>
      </c>
      <c r="BM72" s="15">
        <f t="shared" si="46"/>
        <v>479204.5</v>
      </c>
      <c r="BN72" s="15">
        <f t="shared" ref="BN72:CS72" si="47">SUM(BN68:BN71)</f>
        <v>457554.99999999994</v>
      </c>
      <c r="BO72" s="15">
        <f t="shared" si="47"/>
        <v>468955.95999999996</v>
      </c>
      <c r="BP72" s="15">
        <f t="shared" si="47"/>
        <v>465130.66999999993</v>
      </c>
      <c r="BQ72" s="15">
        <f t="shared" si="47"/>
        <v>476677.75999999995</v>
      </c>
      <c r="BR72" s="15">
        <f t="shared" si="47"/>
        <v>482073.07999999996</v>
      </c>
      <c r="BS72" s="15">
        <f t="shared" si="47"/>
        <v>454846.41</v>
      </c>
      <c r="BT72" s="15">
        <f t="shared" si="47"/>
        <v>460485.29999999993</v>
      </c>
      <c r="BU72" s="15">
        <f t="shared" si="47"/>
        <v>443619.6</v>
      </c>
      <c r="BV72" s="15">
        <f t="shared" si="47"/>
        <v>239358.72999999992</v>
      </c>
      <c r="BW72" s="15">
        <f t="shared" si="47"/>
        <v>250953.55999999994</v>
      </c>
      <c r="BX72" s="15">
        <f t="shared" si="47"/>
        <v>262870.68999999994</v>
      </c>
      <c r="BY72" s="15">
        <f t="shared" si="47"/>
        <v>263998.56999999995</v>
      </c>
      <c r="BZ72" s="15">
        <f t="shared" si="47"/>
        <v>269262.66999999993</v>
      </c>
      <c r="CA72" s="15">
        <f t="shared" si="47"/>
        <v>277842.23999999993</v>
      </c>
      <c r="CB72" s="15">
        <f t="shared" si="47"/>
        <v>253009.18999999994</v>
      </c>
      <c r="CC72" s="15">
        <f t="shared" si="47"/>
        <v>301302.86999999994</v>
      </c>
      <c r="CD72" s="15">
        <f t="shared" si="47"/>
        <v>318664.62999999989</v>
      </c>
      <c r="CE72" s="15">
        <f t="shared" si="47"/>
        <v>288395.7099999999</v>
      </c>
      <c r="CF72" s="15">
        <f t="shared" si="47"/>
        <v>295909.23999999993</v>
      </c>
      <c r="CG72" s="15">
        <f t="shared" si="47"/>
        <v>308895.5799999999</v>
      </c>
      <c r="CH72" s="15">
        <f t="shared" si="47"/>
        <v>295722.72999999992</v>
      </c>
    </row>
    <row r="73" spans="1:86" x14ac:dyDescent="0.2">
      <c r="A73" s="14" t="s">
        <v>156</v>
      </c>
      <c r="B73" s="15">
        <f t="shared" ref="B73:AG73" si="48">0+0+B72</f>
        <v>44574.28</v>
      </c>
      <c r="C73" s="15">
        <f t="shared" si="48"/>
        <v>44433.25</v>
      </c>
      <c r="D73" s="15">
        <f t="shared" si="48"/>
        <v>41383.89</v>
      </c>
      <c r="E73" s="15">
        <f t="shared" si="48"/>
        <v>50907.26</v>
      </c>
      <c r="F73" s="15">
        <f t="shared" si="48"/>
        <v>57403.94</v>
      </c>
      <c r="G73" s="15">
        <f t="shared" si="48"/>
        <v>37970.89</v>
      </c>
      <c r="H73" s="15">
        <f t="shared" si="48"/>
        <v>46175.15</v>
      </c>
      <c r="I73" s="15">
        <f t="shared" si="48"/>
        <v>154351.38</v>
      </c>
      <c r="J73" s="15">
        <f t="shared" si="48"/>
        <v>138399.96000000002</v>
      </c>
      <c r="K73" s="15">
        <f t="shared" si="48"/>
        <v>144822.08000000002</v>
      </c>
      <c r="L73" s="15">
        <f t="shared" si="48"/>
        <v>144181.28000000003</v>
      </c>
      <c r="M73" s="15">
        <f t="shared" si="48"/>
        <v>177674.58000000002</v>
      </c>
      <c r="N73" s="15">
        <f t="shared" si="48"/>
        <v>171638.25</v>
      </c>
      <c r="O73" s="15">
        <f t="shared" si="48"/>
        <v>147940.65000000002</v>
      </c>
      <c r="P73" s="15">
        <f t="shared" si="48"/>
        <v>147940.65000000002</v>
      </c>
      <c r="Q73" s="15">
        <f t="shared" si="48"/>
        <v>164117.93000000002</v>
      </c>
      <c r="R73" s="15">
        <f t="shared" si="48"/>
        <v>172979.17</v>
      </c>
      <c r="S73" s="15">
        <f t="shared" si="48"/>
        <v>173791.46000000002</v>
      </c>
      <c r="T73" s="15">
        <f t="shared" si="48"/>
        <v>187311.37</v>
      </c>
      <c r="U73" s="15">
        <f t="shared" si="48"/>
        <v>196355.93</v>
      </c>
      <c r="V73" s="15">
        <f t="shared" si="48"/>
        <v>205085.84000000003</v>
      </c>
      <c r="W73" s="15">
        <f t="shared" si="48"/>
        <v>217141.80000000002</v>
      </c>
      <c r="X73" s="15">
        <f t="shared" si="48"/>
        <v>226079.01</v>
      </c>
      <c r="Y73" s="15">
        <f t="shared" si="48"/>
        <v>233597.95</v>
      </c>
      <c r="Z73" s="15">
        <f t="shared" si="48"/>
        <v>241118.77000000002</v>
      </c>
      <c r="AA73" s="15">
        <f t="shared" si="48"/>
        <v>260362.64</v>
      </c>
      <c r="AB73" s="15">
        <f t="shared" si="48"/>
        <v>257091.59000000003</v>
      </c>
      <c r="AC73" s="15">
        <f t="shared" si="48"/>
        <v>257091.59000000003</v>
      </c>
      <c r="AD73" s="15">
        <f t="shared" si="48"/>
        <v>246577.89</v>
      </c>
      <c r="AE73" s="15">
        <f t="shared" si="48"/>
        <v>245133.81</v>
      </c>
      <c r="AF73" s="15">
        <f t="shared" si="48"/>
        <v>237527.49000000002</v>
      </c>
      <c r="AG73" s="15">
        <f t="shared" si="48"/>
        <v>249433.95</v>
      </c>
      <c r="AH73" s="15">
        <f t="shared" ref="AH73:BM73" si="49">0+0+AH72</f>
        <v>249614.32</v>
      </c>
      <c r="AI73" s="15">
        <f t="shared" si="49"/>
        <v>250993.01</v>
      </c>
      <c r="AJ73" s="15">
        <f t="shared" si="49"/>
        <v>260880.43</v>
      </c>
      <c r="AK73" s="15">
        <f t="shared" si="49"/>
        <v>259770.1</v>
      </c>
      <c r="AL73" s="15">
        <f t="shared" si="49"/>
        <v>267169.02</v>
      </c>
      <c r="AM73" s="15">
        <f t="shared" si="49"/>
        <v>253605.11</v>
      </c>
      <c r="AN73" s="15">
        <f t="shared" si="49"/>
        <v>247055.71000000002</v>
      </c>
      <c r="AO73" s="15">
        <f t="shared" si="49"/>
        <v>419625.38000000006</v>
      </c>
      <c r="AP73" s="15">
        <f t="shared" si="49"/>
        <v>427930.08</v>
      </c>
      <c r="AQ73" s="15">
        <f t="shared" si="49"/>
        <v>433725.78</v>
      </c>
      <c r="AR73" s="15">
        <f t="shared" si="49"/>
        <v>417359.7</v>
      </c>
      <c r="AS73" s="15">
        <f t="shared" si="49"/>
        <v>436454.66000000003</v>
      </c>
      <c r="AT73" s="15">
        <f t="shared" si="49"/>
        <v>430470.98000000004</v>
      </c>
      <c r="AU73" s="15">
        <f t="shared" si="49"/>
        <v>423786.83</v>
      </c>
      <c r="AV73" s="15">
        <f t="shared" si="49"/>
        <v>417810.07</v>
      </c>
      <c r="AW73" s="15">
        <f t="shared" si="49"/>
        <v>417673.84</v>
      </c>
      <c r="AX73" s="15">
        <f t="shared" si="49"/>
        <v>424604.25</v>
      </c>
      <c r="AY73" s="15">
        <f t="shared" si="49"/>
        <v>413859.43000000005</v>
      </c>
      <c r="AZ73" s="15">
        <f t="shared" si="49"/>
        <v>454531.61000000004</v>
      </c>
      <c r="BA73" s="15">
        <f t="shared" si="49"/>
        <v>462042.1</v>
      </c>
      <c r="BB73" s="15">
        <f t="shared" si="49"/>
        <v>462042.1</v>
      </c>
      <c r="BC73" s="15">
        <f t="shared" si="49"/>
        <v>468730.32</v>
      </c>
      <c r="BD73" s="15">
        <f t="shared" si="49"/>
        <v>467873.17</v>
      </c>
      <c r="BE73" s="15">
        <f t="shared" si="49"/>
        <v>458106.03</v>
      </c>
      <c r="BF73" s="15">
        <f t="shared" si="49"/>
        <v>468843.58</v>
      </c>
      <c r="BG73" s="15">
        <f t="shared" si="49"/>
        <v>483124.18</v>
      </c>
      <c r="BH73" s="15">
        <f t="shared" si="49"/>
        <v>477755.37</v>
      </c>
      <c r="BI73" s="15">
        <f t="shared" si="49"/>
        <v>500990.92</v>
      </c>
      <c r="BJ73" s="15">
        <f t="shared" si="49"/>
        <v>502337.27</v>
      </c>
      <c r="BK73" s="15">
        <f t="shared" si="49"/>
        <v>494848.08</v>
      </c>
      <c r="BL73" s="15">
        <f t="shared" si="49"/>
        <v>492782.78</v>
      </c>
      <c r="BM73" s="15">
        <f t="shared" si="49"/>
        <v>479204.5</v>
      </c>
      <c r="BN73" s="15">
        <f t="shared" ref="BN73:CS73" si="50">0+0+BN72</f>
        <v>457554.99999999994</v>
      </c>
      <c r="BO73" s="15">
        <f t="shared" si="50"/>
        <v>468955.95999999996</v>
      </c>
      <c r="BP73" s="15">
        <f t="shared" si="50"/>
        <v>465130.66999999993</v>
      </c>
      <c r="BQ73" s="15">
        <f t="shared" si="50"/>
        <v>476677.75999999995</v>
      </c>
      <c r="BR73" s="15">
        <f t="shared" si="50"/>
        <v>482073.07999999996</v>
      </c>
      <c r="BS73" s="15">
        <f t="shared" si="50"/>
        <v>454846.41</v>
      </c>
      <c r="BT73" s="15">
        <f t="shared" si="50"/>
        <v>460485.29999999993</v>
      </c>
      <c r="BU73" s="15">
        <f t="shared" si="50"/>
        <v>443619.6</v>
      </c>
      <c r="BV73" s="15">
        <f t="shared" si="50"/>
        <v>239358.72999999992</v>
      </c>
      <c r="BW73" s="15">
        <f t="shared" si="50"/>
        <v>250953.55999999994</v>
      </c>
      <c r="BX73" s="15">
        <f t="shared" si="50"/>
        <v>262870.68999999994</v>
      </c>
      <c r="BY73" s="15">
        <f t="shared" si="50"/>
        <v>263998.56999999995</v>
      </c>
      <c r="BZ73" s="15">
        <f t="shared" si="50"/>
        <v>269262.66999999993</v>
      </c>
      <c r="CA73" s="15">
        <f t="shared" si="50"/>
        <v>277842.23999999993</v>
      </c>
      <c r="CB73" s="15">
        <f t="shared" si="50"/>
        <v>253009.18999999994</v>
      </c>
      <c r="CC73" s="15">
        <f t="shared" si="50"/>
        <v>301302.86999999994</v>
      </c>
      <c r="CD73" s="15">
        <f t="shared" si="50"/>
        <v>318664.62999999989</v>
      </c>
      <c r="CE73" s="15">
        <f t="shared" si="50"/>
        <v>288395.7099999999</v>
      </c>
      <c r="CF73" s="15">
        <f t="shared" si="50"/>
        <v>295909.23999999993</v>
      </c>
      <c r="CG73" s="15">
        <f t="shared" si="50"/>
        <v>308895.5799999999</v>
      </c>
      <c r="CH73" s="15">
        <f t="shared" si="50"/>
        <v>295722.72999999992</v>
      </c>
    </row>
    <row r="74" spans="1:86" x14ac:dyDescent="0.2">
      <c r="A74" s="17" t="s">
        <v>157</v>
      </c>
      <c r="B74" s="18">
        <f t="shared" ref="B74:AG74" si="51">B50+B65+0+B73</f>
        <v>44574.28</v>
      </c>
      <c r="C74" s="18">
        <f t="shared" si="51"/>
        <v>44433.25</v>
      </c>
      <c r="D74" s="18">
        <f t="shared" si="51"/>
        <v>41383.89</v>
      </c>
      <c r="E74" s="18">
        <f t="shared" si="51"/>
        <v>50907.26</v>
      </c>
      <c r="F74" s="18">
        <f t="shared" si="51"/>
        <v>63307.8</v>
      </c>
      <c r="G74" s="18">
        <f t="shared" si="51"/>
        <v>37970.89</v>
      </c>
      <c r="H74" s="18">
        <f t="shared" si="51"/>
        <v>46175.15</v>
      </c>
      <c r="I74" s="18">
        <f t="shared" si="51"/>
        <v>156035.09</v>
      </c>
      <c r="J74" s="18">
        <f t="shared" si="51"/>
        <v>138399.96000000002</v>
      </c>
      <c r="K74" s="18">
        <f t="shared" si="51"/>
        <v>144822.08000000002</v>
      </c>
      <c r="L74" s="18">
        <f t="shared" si="51"/>
        <v>145212.01000000004</v>
      </c>
      <c r="M74" s="18">
        <f t="shared" si="51"/>
        <v>177674.58000000002</v>
      </c>
      <c r="N74" s="18">
        <f t="shared" si="51"/>
        <v>171638.25</v>
      </c>
      <c r="O74" s="18">
        <f t="shared" si="51"/>
        <v>151037.15000000002</v>
      </c>
      <c r="P74" s="18">
        <f t="shared" si="51"/>
        <v>151050.81000000003</v>
      </c>
      <c r="Q74" s="18">
        <f t="shared" si="51"/>
        <v>164148.41000000003</v>
      </c>
      <c r="R74" s="18">
        <f t="shared" si="51"/>
        <v>173009.65000000002</v>
      </c>
      <c r="S74" s="18">
        <f t="shared" si="51"/>
        <v>176610.11000000002</v>
      </c>
      <c r="T74" s="18">
        <f t="shared" si="51"/>
        <v>187341.85</v>
      </c>
      <c r="U74" s="18">
        <f t="shared" si="51"/>
        <v>196386.41</v>
      </c>
      <c r="V74" s="18">
        <f t="shared" si="51"/>
        <v>206312.37000000002</v>
      </c>
      <c r="W74" s="18">
        <f t="shared" si="51"/>
        <v>217172.28000000003</v>
      </c>
      <c r="X74" s="18">
        <f t="shared" si="51"/>
        <v>226095.83000000002</v>
      </c>
      <c r="Y74" s="18">
        <f t="shared" si="51"/>
        <v>235463.88</v>
      </c>
      <c r="Z74" s="18">
        <f t="shared" si="51"/>
        <v>241118.77000000002</v>
      </c>
      <c r="AA74" s="18">
        <f t="shared" si="51"/>
        <v>260362.64</v>
      </c>
      <c r="AB74" s="18">
        <f t="shared" si="51"/>
        <v>259213.13000000003</v>
      </c>
      <c r="AC74" s="18">
        <f t="shared" si="51"/>
        <v>259213.13000000003</v>
      </c>
      <c r="AD74" s="18">
        <f t="shared" si="51"/>
        <v>246577.77000000002</v>
      </c>
      <c r="AE74" s="18">
        <f t="shared" si="51"/>
        <v>245133.69</v>
      </c>
      <c r="AF74" s="18">
        <f t="shared" si="51"/>
        <v>240847.72000000003</v>
      </c>
      <c r="AG74" s="18">
        <f t="shared" si="51"/>
        <v>249433.95</v>
      </c>
      <c r="AH74" s="18">
        <f t="shared" ref="AH74:BM74" si="52">AH50+AH65+0+AH73</f>
        <v>249614.32</v>
      </c>
      <c r="AI74" s="18">
        <f t="shared" si="52"/>
        <v>250993.01</v>
      </c>
      <c r="AJ74" s="18">
        <f t="shared" si="52"/>
        <v>260880.43</v>
      </c>
      <c r="AK74" s="18">
        <f t="shared" si="52"/>
        <v>259770.1</v>
      </c>
      <c r="AL74" s="18">
        <f t="shared" si="52"/>
        <v>267169.02</v>
      </c>
      <c r="AM74" s="18">
        <f t="shared" si="52"/>
        <v>253605.11</v>
      </c>
      <c r="AN74" s="18">
        <f t="shared" si="52"/>
        <v>247055.71000000002</v>
      </c>
      <c r="AO74" s="18">
        <f t="shared" si="52"/>
        <v>438691.21000000008</v>
      </c>
      <c r="AP74" s="18">
        <f t="shared" si="52"/>
        <v>446995.91000000003</v>
      </c>
      <c r="AQ74" s="18">
        <f t="shared" si="52"/>
        <v>452791.61000000004</v>
      </c>
      <c r="AR74" s="18">
        <f t="shared" si="52"/>
        <v>447016.53</v>
      </c>
      <c r="AS74" s="18">
        <f t="shared" si="52"/>
        <v>455520.49000000005</v>
      </c>
      <c r="AT74" s="18">
        <f t="shared" si="52"/>
        <v>461079.81000000006</v>
      </c>
      <c r="AU74" s="18">
        <f t="shared" si="52"/>
        <v>423786.83</v>
      </c>
      <c r="AV74" s="18">
        <f t="shared" si="52"/>
        <v>417810.07</v>
      </c>
      <c r="AW74" s="18">
        <f t="shared" si="52"/>
        <v>417673.84</v>
      </c>
      <c r="AX74" s="18">
        <f t="shared" si="52"/>
        <v>424604.25</v>
      </c>
      <c r="AY74" s="18">
        <f t="shared" si="52"/>
        <v>413859.43000000005</v>
      </c>
      <c r="AZ74" s="18">
        <f t="shared" si="52"/>
        <v>454531.61000000004</v>
      </c>
      <c r="BA74" s="18">
        <f t="shared" si="52"/>
        <v>465437.06999999995</v>
      </c>
      <c r="BB74" s="18">
        <f t="shared" si="52"/>
        <v>465437.06999999995</v>
      </c>
      <c r="BC74" s="18">
        <f t="shared" si="52"/>
        <v>472125.29</v>
      </c>
      <c r="BD74" s="18">
        <f t="shared" si="52"/>
        <v>471268.13999999996</v>
      </c>
      <c r="BE74" s="18">
        <f t="shared" si="52"/>
        <v>466548.22000000003</v>
      </c>
      <c r="BF74" s="18">
        <f t="shared" si="52"/>
        <v>472238.55</v>
      </c>
      <c r="BG74" s="18">
        <f t="shared" si="52"/>
        <v>486519.14999999997</v>
      </c>
      <c r="BH74" s="18">
        <f t="shared" si="52"/>
        <v>495446.7</v>
      </c>
      <c r="BI74" s="18">
        <f t="shared" si="52"/>
        <v>504385.88999999996</v>
      </c>
      <c r="BJ74" s="18">
        <f t="shared" si="52"/>
        <v>502337.27</v>
      </c>
      <c r="BK74" s="18">
        <f t="shared" si="52"/>
        <v>494848.08</v>
      </c>
      <c r="BL74" s="18">
        <f t="shared" si="52"/>
        <v>492782.78</v>
      </c>
      <c r="BM74" s="18">
        <f t="shared" si="52"/>
        <v>479204.5</v>
      </c>
      <c r="BN74" s="18">
        <f t="shared" ref="BN74:CS74" si="53">BN50+BN65+0+BN73</f>
        <v>462982.19999999995</v>
      </c>
      <c r="BO74" s="18">
        <f t="shared" si="53"/>
        <v>471079.92</v>
      </c>
      <c r="BP74" s="18">
        <f t="shared" si="53"/>
        <v>467254.62999999995</v>
      </c>
      <c r="BQ74" s="18">
        <f t="shared" si="53"/>
        <v>478801.72</v>
      </c>
      <c r="BR74" s="18">
        <f t="shared" si="53"/>
        <v>484197.04</v>
      </c>
      <c r="BS74" s="18">
        <f t="shared" si="53"/>
        <v>455819.41</v>
      </c>
      <c r="BT74" s="18">
        <f t="shared" si="53"/>
        <v>460485.29999999993</v>
      </c>
      <c r="BU74" s="18">
        <f t="shared" si="53"/>
        <v>443619.6</v>
      </c>
      <c r="BV74" s="18">
        <f t="shared" si="53"/>
        <v>239358.72999999992</v>
      </c>
      <c r="BW74" s="18">
        <f t="shared" si="53"/>
        <v>254651.44999999995</v>
      </c>
      <c r="BX74" s="18">
        <f t="shared" si="53"/>
        <v>262870.68999999994</v>
      </c>
      <c r="BY74" s="18">
        <f t="shared" si="53"/>
        <v>263998.56999999995</v>
      </c>
      <c r="BZ74" s="18">
        <f t="shared" si="53"/>
        <v>270262.66999999993</v>
      </c>
      <c r="CA74" s="18">
        <f t="shared" si="53"/>
        <v>277842.23999999993</v>
      </c>
      <c r="CB74" s="18">
        <f t="shared" si="53"/>
        <v>253009.18999999994</v>
      </c>
      <c r="CC74" s="18">
        <f t="shared" si="53"/>
        <v>305393.32999999996</v>
      </c>
      <c r="CD74" s="18">
        <f t="shared" si="53"/>
        <v>318664.62999999989</v>
      </c>
      <c r="CE74" s="18">
        <f t="shared" si="53"/>
        <v>288395.7099999999</v>
      </c>
      <c r="CF74" s="18">
        <f t="shared" si="53"/>
        <v>297699.23999999993</v>
      </c>
      <c r="CG74" s="18">
        <f t="shared" si="53"/>
        <v>308895.5799999999</v>
      </c>
      <c r="CH74" s="18">
        <f t="shared" si="53"/>
        <v>295722.72999999992</v>
      </c>
    </row>
    <row r="75" spans="1:86" x14ac:dyDescent="0.2">
      <c r="A75" s="19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</row>
    <row r="76" spans="1:86" ht="12" x14ac:dyDescent="0.2">
      <c r="A76" s="5" t="s">
        <v>158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</row>
    <row r="77" spans="1:86" x14ac:dyDescent="0.2">
      <c r="A77" s="20" t="s">
        <v>159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6095.47</v>
      </c>
      <c r="BG77" s="11">
        <v>2997.7700000000004</v>
      </c>
      <c r="BH77" s="11">
        <v>4.5474735088646412E-13</v>
      </c>
      <c r="BI77" s="11">
        <v>6029.2200000000012</v>
      </c>
      <c r="BJ77" s="11">
        <v>2965.190000000001</v>
      </c>
      <c r="BK77" s="11">
        <v>9.0949470177292824E-13</v>
      </c>
      <c r="BL77" s="11">
        <v>6029.2200000000012</v>
      </c>
      <c r="BM77" s="11">
        <v>4014.0300000000011</v>
      </c>
      <c r="BN77" s="11">
        <v>869.32000000000107</v>
      </c>
      <c r="BO77" s="11">
        <v>6749.77</v>
      </c>
      <c r="BP77" s="11">
        <v>4022.0500000000006</v>
      </c>
      <c r="BQ77" s="11">
        <v>793.91000000000076</v>
      </c>
      <c r="BR77" s="11">
        <v>10019.310000000001</v>
      </c>
      <c r="BS77" s="11">
        <v>5999.3200000000015</v>
      </c>
      <c r="BT77" s="11">
        <v>2109.0000000000014</v>
      </c>
      <c r="BU77" s="11">
        <v>12477.090000000002</v>
      </c>
      <c r="BV77" s="11">
        <v>8266.3900000000031</v>
      </c>
      <c r="BW77" s="11">
        <v>4567.3900000000031</v>
      </c>
      <c r="BX77" s="11">
        <v>12192.980000000003</v>
      </c>
      <c r="BY77" s="11">
        <v>9160.9800000000032</v>
      </c>
      <c r="BZ77" s="11">
        <v>5063.7300000000032</v>
      </c>
      <c r="CA77" s="11">
        <v>12732.230000000003</v>
      </c>
      <c r="CB77" s="11">
        <v>9081.6200000000026</v>
      </c>
      <c r="CC77" s="11">
        <v>4819.0400000000027</v>
      </c>
      <c r="CD77" s="11">
        <v>12262.170000000002</v>
      </c>
      <c r="CE77" s="11">
        <v>8129.6800000000021</v>
      </c>
      <c r="CF77" s="11">
        <v>4130.5000000000018</v>
      </c>
      <c r="CG77" s="11">
        <v>15649.250000000002</v>
      </c>
      <c r="CH77" s="11">
        <v>15649.250000000002</v>
      </c>
    </row>
    <row r="78" spans="1:86" ht="12" thickBot="1" x14ac:dyDescent="0.25">
      <c r="A78" s="21" t="s">
        <v>160</v>
      </c>
      <c r="B78" s="15">
        <f t="shared" ref="B78:AG78" si="54">SUM(B77)</f>
        <v>0</v>
      </c>
      <c r="C78" s="15">
        <f t="shared" si="54"/>
        <v>0</v>
      </c>
      <c r="D78" s="15">
        <f t="shared" si="54"/>
        <v>0</v>
      </c>
      <c r="E78" s="15">
        <f t="shared" si="54"/>
        <v>0</v>
      </c>
      <c r="F78" s="15">
        <f t="shared" si="54"/>
        <v>0</v>
      </c>
      <c r="G78" s="15">
        <f t="shared" si="54"/>
        <v>0</v>
      </c>
      <c r="H78" s="15">
        <f t="shared" si="54"/>
        <v>0</v>
      </c>
      <c r="I78" s="15">
        <f t="shared" si="54"/>
        <v>0</v>
      </c>
      <c r="J78" s="15">
        <f t="shared" si="54"/>
        <v>0</v>
      </c>
      <c r="K78" s="15">
        <f t="shared" si="54"/>
        <v>0</v>
      </c>
      <c r="L78" s="15">
        <f t="shared" si="54"/>
        <v>0</v>
      </c>
      <c r="M78" s="15">
        <f t="shared" si="54"/>
        <v>0</v>
      </c>
      <c r="N78" s="15">
        <f t="shared" si="54"/>
        <v>0</v>
      </c>
      <c r="O78" s="15">
        <f t="shared" si="54"/>
        <v>0</v>
      </c>
      <c r="P78" s="15">
        <f t="shared" si="54"/>
        <v>0</v>
      </c>
      <c r="Q78" s="15">
        <f t="shared" si="54"/>
        <v>0</v>
      </c>
      <c r="R78" s="15">
        <f t="shared" si="54"/>
        <v>0</v>
      </c>
      <c r="S78" s="15">
        <f t="shared" si="54"/>
        <v>0</v>
      </c>
      <c r="T78" s="15">
        <f t="shared" si="54"/>
        <v>0</v>
      </c>
      <c r="U78" s="15">
        <f t="shared" si="54"/>
        <v>0</v>
      </c>
      <c r="V78" s="15">
        <f t="shared" si="54"/>
        <v>0</v>
      </c>
      <c r="W78" s="15">
        <f t="shared" si="54"/>
        <v>0</v>
      </c>
      <c r="X78" s="15">
        <f t="shared" si="54"/>
        <v>0</v>
      </c>
      <c r="Y78" s="15">
        <f t="shared" si="54"/>
        <v>0</v>
      </c>
      <c r="Z78" s="15">
        <f t="shared" si="54"/>
        <v>0</v>
      </c>
      <c r="AA78" s="15">
        <f t="shared" si="54"/>
        <v>0</v>
      </c>
      <c r="AB78" s="15">
        <f t="shared" si="54"/>
        <v>0</v>
      </c>
      <c r="AC78" s="15">
        <f t="shared" si="54"/>
        <v>0</v>
      </c>
      <c r="AD78" s="15">
        <f t="shared" si="54"/>
        <v>0</v>
      </c>
      <c r="AE78" s="15">
        <f t="shared" si="54"/>
        <v>0</v>
      </c>
      <c r="AF78" s="15">
        <f t="shared" si="54"/>
        <v>0</v>
      </c>
      <c r="AG78" s="15">
        <f t="shared" si="54"/>
        <v>0</v>
      </c>
      <c r="AH78" s="15">
        <f t="shared" ref="AH78:BM78" si="55">SUM(AH77)</f>
        <v>0</v>
      </c>
      <c r="AI78" s="15">
        <f t="shared" si="55"/>
        <v>0</v>
      </c>
      <c r="AJ78" s="15">
        <f t="shared" si="55"/>
        <v>0</v>
      </c>
      <c r="AK78" s="15">
        <f t="shared" si="55"/>
        <v>0</v>
      </c>
      <c r="AL78" s="15">
        <f t="shared" si="55"/>
        <v>0</v>
      </c>
      <c r="AM78" s="15">
        <f t="shared" si="55"/>
        <v>0</v>
      </c>
      <c r="AN78" s="15">
        <f t="shared" si="55"/>
        <v>0</v>
      </c>
      <c r="AO78" s="15">
        <f t="shared" si="55"/>
        <v>0</v>
      </c>
      <c r="AP78" s="15">
        <f t="shared" si="55"/>
        <v>0</v>
      </c>
      <c r="AQ78" s="15">
        <f t="shared" si="55"/>
        <v>0</v>
      </c>
      <c r="AR78" s="15">
        <f t="shared" si="55"/>
        <v>0</v>
      </c>
      <c r="AS78" s="15">
        <f t="shared" si="55"/>
        <v>0</v>
      </c>
      <c r="AT78" s="15">
        <f t="shared" si="55"/>
        <v>0</v>
      </c>
      <c r="AU78" s="15">
        <f t="shared" si="55"/>
        <v>0</v>
      </c>
      <c r="AV78" s="15">
        <f t="shared" si="55"/>
        <v>0</v>
      </c>
      <c r="AW78" s="15">
        <f t="shared" si="55"/>
        <v>0</v>
      </c>
      <c r="AX78" s="15">
        <f t="shared" si="55"/>
        <v>0</v>
      </c>
      <c r="AY78" s="15">
        <f t="shared" si="55"/>
        <v>0</v>
      </c>
      <c r="AZ78" s="15">
        <f t="shared" si="55"/>
        <v>0</v>
      </c>
      <c r="BA78" s="15">
        <f t="shared" si="55"/>
        <v>0</v>
      </c>
      <c r="BB78" s="15">
        <f t="shared" si="55"/>
        <v>0</v>
      </c>
      <c r="BC78" s="15">
        <f t="shared" si="55"/>
        <v>0</v>
      </c>
      <c r="BD78" s="15">
        <f t="shared" si="55"/>
        <v>0</v>
      </c>
      <c r="BE78" s="15">
        <f t="shared" si="55"/>
        <v>0</v>
      </c>
      <c r="BF78" s="15">
        <f t="shared" si="55"/>
        <v>6095.47</v>
      </c>
      <c r="BG78" s="15">
        <f t="shared" si="55"/>
        <v>2997.7700000000004</v>
      </c>
      <c r="BH78" s="15">
        <f t="shared" si="55"/>
        <v>4.5474735088646412E-13</v>
      </c>
      <c r="BI78" s="15">
        <f t="shared" si="55"/>
        <v>6029.2200000000012</v>
      </c>
      <c r="BJ78" s="15">
        <f t="shared" si="55"/>
        <v>2965.190000000001</v>
      </c>
      <c r="BK78" s="15">
        <f t="shared" si="55"/>
        <v>9.0949470177292824E-13</v>
      </c>
      <c r="BL78" s="15">
        <f t="shared" si="55"/>
        <v>6029.2200000000012</v>
      </c>
      <c r="BM78" s="15">
        <f t="shared" si="55"/>
        <v>4014.0300000000011</v>
      </c>
      <c r="BN78" s="15">
        <f t="shared" ref="BN78:CS78" si="56">SUM(BN77)</f>
        <v>869.32000000000107</v>
      </c>
      <c r="BO78" s="15">
        <f t="shared" si="56"/>
        <v>6749.77</v>
      </c>
      <c r="BP78" s="15">
        <f t="shared" si="56"/>
        <v>4022.0500000000006</v>
      </c>
      <c r="BQ78" s="15">
        <f t="shared" si="56"/>
        <v>793.91000000000076</v>
      </c>
      <c r="BR78" s="15">
        <f t="shared" si="56"/>
        <v>10019.310000000001</v>
      </c>
      <c r="BS78" s="15">
        <f t="shared" si="56"/>
        <v>5999.3200000000015</v>
      </c>
      <c r="BT78" s="15">
        <f t="shared" si="56"/>
        <v>2109.0000000000014</v>
      </c>
      <c r="BU78" s="15">
        <f t="shared" si="56"/>
        <v>12477.090000000002</v>
      </c>
      <c r="BV78" s="15">
        <f t="shared" si="56"/>
        <v>8266.3900000000031</v>
      </c>
      <c r="BW78" s="15">
        <f t="shared" si="56"/>
        <v>4567.3900000000031</v>
      </c>
      <c r="BX78" s="15">
        <f t="shared" si="56"/>
        <v>12192.980000000003</v>
      </c>
      <c r="BY78" s="15">
        <f t="shared" si="56"/>
        <v>9160.9800000000032</v>
      </c>
      <c r="BZ78" s="15">
        <f t="shared" si="56"/>
        <v>5063.7300000000032</v>
      </c>
      <c r="CA78" s="15">
        <f t="shared" si="56"/>
        <v>12732.230000000003</v>
      </c>
      <c r="CB78" s="15">
        <f t="shared" si="56"/>
        <v>9081.6200000000026</v>
      </c>
      <c r="CC78" s="15">
        <f t="shared" si="56"/>
        <v>4819.0400000000027</v>
      </c>
      <c r="CD78" s="15">
        <f t="shared" si="56"/>
        <v>12262.170000000002</v>
      </c>
      <c r="CE78" s="15">
        <f t="shared" si="56"/>
        <v>8129.6800000000021</v>
      </c>
      <c r="CF78" s="15">
        <f t="shared" si="56"/>
        <v>4130.5000000000018</v>
      </c>
      <c r="CG78" s="15">
        <f t="shared" si="56"/>
        <v>15649.250000000002</v>
      </c>
      <c r="CH78" s="15">
        <f t="shared" si="56"/>
        <v>15649.250000000002</v>
      </c>
    </row>
    <row r="79" spans="1:86" ht="12.75" thickTop="1" x14ac:dyDescent="0.2">
      <c r="A79" s="22" t="s">
        <v>161</v>
      </c>
      <c r="B79" s="23">
        <f t="shared" ref="B79:AG79" si="57">B43+B44+B74+B75+B78+0</f>
        <v>453830.95999999996</v>
      </c>
      <c r="C79" s="23">
        <f t="shared" si="57"/>
        <v>453689.93</v>
      </c>
      <c r="D79" s="23">
        <f t="shared" si="57"/>
        <v>447681.53</v>
      </c>
      <c r="E79" s="23">
        <f t="shared" si="57"/>
        <v>454624.45</v>
      </c>
      <c r="F79" s="23">
        <f t="shared" si="57"/>
        <v>466544.43</v>
      </c>
      <c r="G79" s="23">
        <f t="shared" si="57"/>
        <v>463345.10000000003</v>
      </c>
      <c r="H79" s="23">
        <f t="shared" si="57"/>
        <v>470343.15</v>
      </c>
      <c r="I79" s="23">
        <f t="shared" si="57"/>
        <v>499991.44999999995</v>
      </c>
      <c r="J79" s="23">
        <f t="shared" si="57"/>
        <v>476281.01</v>
      </c>
      <c r="K79" s="23">
        <f t="shared" si="57"/>
        <v>479376.52</v>
      </c>
      <c r="L79" s="23">
        <f t="shared" si="57"/>
        <v>476428.73</v>
      </c>
      <c r="M79" s="23">
        <f t="shared" si="57"/>
        <v>502325.58</v>
      </c>
      <c r="N79" s="23">
        <f t="shared" si="57"/>
        <v>490039.21</v>
      </c>
      <c r="O79" s="23">
        <f t="shared" si="57"/>
        <v>479843.80000000005</v>
      </c>
      <c r="P79" s="23">
        <f t="shared" si="57"/>
        <v>479857.46000000008</v>
      </c>
      <c r="Q79" s="23">
        <f t="shared" si="57"/>
        <v>489489.82</v>
      </c>
      <c r="R79" s="23">
        <f t="shared" si="57"/>
        <v>495098.27</v>
      </c>
      <c r="S79" s="23">
        <f t="shared" si="57"/>
        <v>495766.91000000003</v>
      </c>
      <c r="T79" s="23">
        <f t="shared" si="57"/>
        <v>508554.9</v>
      </c>
      <c r="U79" s="23">
        <f t="shared" si="57"/>
        <v>515304.17000000004</v>
      </c>
      <c r="V79" s="23">
        <f t="shared" si="57"/>
        <v>522095.03</v>
      </c>
      <c r="W79" s="23">
        <f t="shared" si="57"/>
        <v>529819.03</v>
      </c>
      <c r="X79" s="23">
        <f t="shared" si="57"/>
        <v>535606.29</v>
      </c>
      <c r="Y79" s="23">
        <f t="shared" si="57"/>
        <v>541837.42999999993</v>
      </c>
      <c r="Z79" s="23">
        <f t="shared" si="57"/>
        <v>544354.81000000006</v>
      </c>
      <c r="AA79" s="23">
        <f t="shared" si="57"/>
        <v>560495.88</v>
      </c>
      <c r="AB79" s="23">
        <f t="shared" si="57"/>
        <v>556625.22</v>
      </c>
      <c r="AC79" s="23">
        <f t="shared" si="57"/>
        <v>556625.22</v>
      </c>
      <c r="AD79" s="23">
        <f t="shared" si="57"/>
        <v>543493.26</v>
      </c>
      <c r="AE79" s="23">
        <f t="shared" si="57"/>
        <v>553763.46</v>
      </c>
      <c r="AF79" s="23">
        <f t="shared" si="57"/>
        <v>547471.15</v>
      </c>
      <c r="AG79" s="23">
        <f t="shared" si="57"/>
        <v>553609.64</v>
      </c>
      <c r="AH79" s="23">
        <f t="shared" ref="AH79:BM79" si="58">AH43+AH44+AH74+AH75+AH78+0</f>
        <v>554896.58000000007</v>
      </c>
      <c r="AI79" s="23">
        <f t="shared" si="58"/>
        <v>553569.34</v>
      </c>
      <c r="AJ79" s="23">
        <f t="shared" si="58"/>
        <v>560063.51</v>
      </c>
      <c r="AK79" s="23">
        <f t="shared" si="58"/>
        <v>556478.41</v>
      </c>
      <c r="AL79" s="23">
        <f t="shared" si="58"/>
        <v>560295.98</v>
      </c>
      <c r="AM79" s="23">
        <f t="shared" si="58"/>
        <v>560644.37</v>
      </c>
      <c r="AN79" s="23">
        <f t="shared" si="58"/>
        <v>548449.40999999992</v>
      </c>
      <c r="AO79" s="23">
        <f t="shared" si="58"/>
        <v>733361.16</v>
      </c>
      <c r="AP79" s="23">
        <f t="shared" si="58"/>
        <v>738524.79</v>
      </c>
      <c r="AQ79" s="23">
        <f t="shared" si="58"/>
        <v>742351.09000000008</v>
      </c>
      <c r="AR79" s="23">
        <f t="shared" si="58"/>
        <v>734433.40999999992</v>
      </c>
      <c r="AS79" s="23">
        <f t="shared" si="58"/>
        <v>739820.74</v>
      </c>
      <c r="AT79" s="23">
        <f t="shared" si="58"/>
        <v>742938.21</v>
      </c>
      <c r="AU79" s="23">
        <f t="shared" si="58"/>
        <v>713959.41999999993</v>
      </c>
      <c r="AV79" s="23">
        <f t="shared" si="58"/>
        <v>703909.42999999993</v>
      </c>
      <c r="AW79" s="23">
        <f t="shared" si="58"/>
        <v>699716.89999999991</v>
      </c>
      <c r="AX79" s="23">
        <f t="shared" si="58"/>
        <v>717257.59</v>
      </c>
      <c r="AY79" s="23">
        <f t="shared" si="58"/>
        <v>702567.57000000007</v>
      </c>
      <c r="AZ79" s="23">
        <f t="shared" si="58"/>
        <v>738856.01</v>
      </c>
      <c r="BA79" s="23">
        <f t="shared" si="58"/>
        <v>745135.1399999999</v>
      </c>
      <c r="BB79" s="23">
        <f t="shared" si="58"/>
        <v>745135.1399999999</v>
      </c>
      <c r="BC79" s="23">
        <f t="shared" si="58"/>
        <v>750285.75</v>
      </c>
      <c r="BD79" s="23">
        <f t="shared" si="58"/>
        <v>762182.2</v>
      </c>
      <c r="BE79" s="23">
        <f t="shared" si="58"/>
        <v>754765.6100000001</v>
      </c>
      <c r="BF79" s="23">
        <f t="shared" si="58"/>
        <v>764379.87999999989</v>
      </c>
      <c r="BG79" s="23">
        <f t="shared" si="58"/>
        <v>773414.01</v>
      </c>
      <c r="BH79" s="23">
        <f t="shared" si="58"/>
        <v>777194.33000000007</v>
      </c>
      <c r="BI79" s="23">
        <f t="shared" si="58"/>
        <v>790012.8</v>
      </c>
      <c r="BJ79" s="23">
        <f t="shared" si="58"/>
        <v>785374.66999999993</v>
      </c>
      <c r="BK79" s="23">
        <f t="shared" si="58"/>
        <v>770144</v>
      </c>
      <c r="BL79" s="23">
        <f t="shared" si="58"/>
        <v>771956.11</v>
      </c>
      <c r="BM79" s="23">
        <f t="shared" si="58"/>
        <v>754210.32000000007</v>
      </c>
      <c r="BN79" s="23">
        <f t="shared" ref="BN79:CS79" si="59">BN43+BN44+BN74+BN75+BN78+0</f>
        <v>745376.86</v>
      </c>
      <c r="BO79" s="23">
        <f t="shared" si="59"/>
        <v>757212.65</v>
      </c>
      <c r="BP79" s="23">
        <f t="shared" si="59"/>
        <v>748568.84000000008</v>
      </c>
      <c r="BQ79" s="23">
        <f t="shared" si="59"/>
        <v>754296.38</v>
      </c>
      <c r="BR79" s="23">
        <f t="shared" si="59"/>
        <v>783824.37000000011</v>
      </c>
      <c r="BS79" s="23">
        <f t="shared" si="59"/>
        <v>748465.48999999987</v>
      </c>
      <c r="BT79" s="23">
        <f t="shared" si="59"/>
        <v>746278.30999999994</v>
      </c>
      <c r="BU79" s="23">
        <f t="shared" si="59"/>
        <v>755337.45</v>
      </c>
      <c r="BV79" s="23">
        <f t="shared" si="59"/>
        <v>543371.14</v>
      </c>
      <c r="BW79" s="23">
        <f t="shared" si="59"/>
        <v>550671.37</v>
      </c>
      <c r="BX79" s="23">
        <f t="shared" si="59"/>
        <v>564276.74</v>
      </c>
      <c r="BY79" s="23">
        <f t="shared" si="59"/>
        <v>559246.06999999995</v>
      </c>
      <c r="BZ79" s="23">
        <f t="shared" si="59"/>
        <v>557306.85</v>
      </c>
      <c r="CA79" s="23">
        <f t="shared" si="59"/>
        <v>610147.47</v>
      </c>
      <c r="CB79" s="23">
        <f t="shared" si="59"/>
        <v>559611.73</v>
      </c>
      <c r="CC79" s="23">
        <f t="shared" si="59"/>
        <v>556558.67000000004</v>
      </c>
      <c r="CD79" s="23">
        <f t="shared" si="59"/>
        <v>599852.11</v>
      </c>
      <c r="CE79" s="23">
        <f t="shared" si="59"/>
        <v>561289.71</v>
      </c>
      <c r="CF79" s="23">
        <f t="shared" si="59"/>
        <v>563759.27</v>
      </c>
      <c r="CG79" s="23">
        <f t="shared" si="59"/>
        <v>582275.48</v>
      </c>
      <c r="CH79" s="23">
        <f t="shared" si="59"/>
        <v>569102.62999999989</v>
      </c>
    </row>
    <row r="80" spans="1:86" x14ac:dyDescent="0.2">
      <c r="A80" s="24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</row>
    <row r="81" spans="1:86" ht="12.75" x14ac:dyDescent="0.2">
      <c r="A81" s="3" t="s">
        <v>162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</row>
    <row r="82" spans="1:86" ht="12" x14ac:dyDescent="0.2">
      <c r="A82" s="5" t="s">
        <v>163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</row>
    <row r="83" spans="1:86" x14ac:dyDescent="0.2">
      <c r="A83" s="7" t="s">
        <v>164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</row>
    <row r="84" spans="1:86" x14ac:dyDescent="0.2">
      <c r="A84" s="25" t="s">
        <v>165</v>
      </c>
      <c r="B84" s="11">
        <v>25000</v>
      </c>
      <c r="C84" s="11">
        <v>25000</v>
      </c>
      <c r="D84" s="11">
        <v>25000</v>
      </c>
      <c r="E84" s="11">
        <v>25000</v>
      </c>
      <c r="F84" s="11">
        <v>25000</v>
      </c>
      <c r="G84" s="11">
        <v>25000</v>
      </c>
      <c r="H84" s="11">
        <v>25000</v>
      </c>
      <c r="I84" s="11">
        <v>25000</v>
      </c>
      <c r="J84" s="11">
        <v>25000</v>
      </c>
      <c r="K84" s="11">
        <v>25000</v>
      </c>
      <c r="L84" s="11">
        <v>25000</v>
      </c>
      <c r="M84" s="11">
        <v>25000</v>
      </c>
      <c r="N84" s="11">
        <v>25000</v>
      </c>
      <c r="O84" s="11">
        <v>25000</v>
      </c>
      <c r="P84" s="11">
        <v>25000</v>
      </c>
      <c r="Q84" s="11">
        <v>25000</v>
      </c>
      <c r="R84" s="11">
        <v>25000</v>
      </c>
      <c r="S84" s="11">
        <v>25000</v>
      </c>
      <c r="T84" s="11">
        <v>25000</v>
      </c>
      <c r="U84" s="11">
        <v>25000</v>
      </c>
      <c r="V84" s="11">
        <v>25000</v>
      </c>
      <c r="W84" s="11">
        <v>25000</v>
      </c>
      <c r="X84" s="11">
        <v>25000</v>
      </c>
      <c r="Y84" s="11">
        <v>25000</v>
      </c>
      <c r="Z84" s="11">
        <v>25000</v>
      </c>
      <c r="AA84" s="11">
        <v>25000</v>
      </c>
      <c r="AB84" s="11">
        <v>25000</v>
      </c>
      <c r="AC84" s="11">
        <v>25000</v>
      </c>
      <c r="AD84" s="11">
        <v>25000</v>
      </c>
      <c r="AE84" s="11">
        <v>25000</v>
      </c>
      <c r="AF84" s="11">
        <v>25000</v>
      </c>
      <c r="AG84" s="11">
        <v>25000</v>
      </c>
      <c r="AH84" s="11">
        <v>25000</v>
      </c>
      <c r="AI84" s="11">
        <v>25000</v>
      </c>
      <c r="AJ84" s="11">
        <v>25000</v>
      </c>
      <c r="AK84" s="11">
        <v>25000</v>
      </c>
      <c r="AL84" s="11">
        <v>25000</v>
      </c>
      <c r="AM84" s="11">
        <v>25000</v>
      </c>
      <c r="AN84" s="11">
        <v>25000</v>
      </c>
      <c r="AO84" s="11">
        <v>25000</v>
      </c>
      <c r="AP84" s="11">
        <v>25000</v>
      </c>
      <c r="AQ84" s="11">
        <v>25000</v>
      </c>
      <c r="AR84" s="11">
        <v>25000</v>
      </c>
      <c r="AS84" s="11">
        <v>25000</v>
      </c>
      <c r="AT84" s="11">
        <v>25000</v>
      </c>
      <c r="AU84" s="11">
        <v>25000</v>
      </c>
      <c r="AV84" s="11">
        <v>25000</v>
      </c>
      <c r="AW84" s="11">
        <v>25000</v>
      </c>
      <c r="AX84" s="11">
        <v>25000</v>
      </c>
      <c r="AY84" s="11">
        <v>25000</v>
      </c>
      <c r="AZ84" s="11">
        <v>25000</v>
      </c>
      <c r="BA84" s="11">
        <v>25000</v>
      </c>
      <c r="BB84" s="11">
        <v>25000</v>
      </c>
      <c r="BC84" s="11">
        <v>25000</v>
      </c>
      <c r="BD84" s="11">
        <v>25000</v>
      </c>
      <c r="BE84" s="11">
        <v>25000</v>
      </c>
      <c r="BF84" s="11">
        <v>25000</v>
      </c>
      <c r="BG84" s="11">
        <v>25000</v>
      </c>
      <c r="BH84" s="11">
        <v>25000</v>
      </c>
      <c r="BI84" s="11">
        <v>25000</v>
      </c>
      <c r="BJ84" s="11">
        <v>25000</v>
      </c>
      <c r="BK84" s="11">
        <v>25000</v>
      </c>
      <c r="BL84" s="11">
        <v>25000</v>
      </c>
      <c r="BM84" s="11">
        <v>25000</v>
      </c>
      <c r="BN84" s="11">
        <v>25000</v>
      </c>
      <c r="BO84" s="11">
        <v>25000</v>
      </c>
      <c r="BP84" s="11">
        <v>25000</v>
      </c>
      <c r="BQ84" s="11">
        <v>25000</v>
      </c>
      <c r="BR84" s="11">
        <v>25000</v>
      </c>
      <c r="BS84" s="11">
        <v>25000</v>
      </c>
      <c r="BT84" s="11">
        <v>25000</v>
      </c>
      <c r="BU84" s="11">
        <v>25000</v>
      </c>
      <c r="BV84" s="11">
        <v>25000</v>
      </c>
      <c r="BW84" s="11">
        <v>25000</v>
      </c>
      <c r="BX84" s="11">
        <v>25000</v>
      </c>
      <c r="BY84" s="11">
        <v>25000</v>
      </c>
      <c r="BZ84" s="11">
        <v>25000</v>
      </c>
      <c r="CA84" s="11">
        <v>25000</v>
      </c>
      <c r="CB84" s="11">
        <v>25000</v>
      </c>
      <c r="CC84" s="11">
        <v>25000</v>
      </c>
      <c r="CD84" s="11">
        <v>25000</v>
      </c>
      <c r="CE84" s="11">
        <v>25000</v>
      </c>
      <c r="CF84" s="11">
        <v>25000</v>
      </c>
      <c r="CG84" s="11">
        <v>25000</v>
      </c>
      <c r="CH84" s="11">
        <v>25000</v>
      </c>
    </row>
    <row r="85" spans="1:86" x14ac:dyDescent="0.2">
      <c r="A85" s="14" t="s">
        <v>166</v>
      </c>
      <c r="B85" s="15">
        <f t="shared" ref="B85:AG85" si="60">SUM(B84)</f>
        <v>25000</v>
      </c>
      <c r="C85" s="15">
        <f t="shared" si="60"/>
        <v>25000</v>
      </c>
      <c r="D85" s="15">
        <f t="shared" si="60"/>
        <v>25000</v>
      </c>
      <c r="E85" s="15">
        <f t="shared" si="60"/>
        <v>25000</v>
      </c>
      <c r="F85" s="15">
        <f t="shared" si="60"/>
        <v>25000</v>
      </c>
      <c r="G85" s="15">
        <f t="shared" si="60"/>
        <v>25000</v>
      </c>
      <c r="H85" s="15">
        <f t="shared" si="60"/>
        <v>25000</v>
      </c>
      <c r="I85" s="15">
        <f t="shared" si="60"/>
        <v>25000</v>
      </c>
      <c r="J85" s="15">
        <f t="shared" si="60"/>
        <v>25000</v>
      </c>
      <c r="K85" s="15">
        <f t="shared" si="60"/>
        <v>25000</v>
      </c>
      <c r="L85" s="15">
        <f t="shared" si="60"/>
        <v>25000</v>
      </c>
      <c r="M85" s="15">
        <f t="shared" si="60"/>
        <v>25000</v>
      </c>
      <c r="N85" s="15">
        <f t="shared" si="60"/>
        <v>25000</v>
      </c>
      <c r="O85" s="15">
        <f t="shared" si="60"/>
        <v>25000</v>
      </c>
      <c r="P85" s="15">
        <f t="shared" si="60"/>
        <v>25000</v>
      </c>
      <c r="Q85" s="15">
        <f t="shared" si="60"/>
        <v>25000</v>
      </c>
      <c r="R85" s="15">
        <f t="shared" si="60"/>
        <v>25000</v>
      </c>
      <c r="S85" s="15">
        <f t="shared" si="60"/>
        <v>25000</v>
      </c>
      <c r="T85" s="15">
        <f t="shared" si="60"/>
        <v>25000</v>
      </c>
      <c r="U85" s="15">
        <f t="shared" si="60"/>
        <v>25000</v>
      </c>
      <c r="V85" s="15">
        <f t="shared" si="60"/>
        <v>25000</v>
      </c>
      <c r="W85" s="15">
        <f t="shared" si="60"/>
        <v>25000</v>
      </c>
      <c r="X85" s="15">
        <f t="shared" si="60"/>
        <v>25000</v>
      </c>
      <c r="Y85" s="15">
        <f t="shared" si="60"/>
        <v>25000</v>
      </c>
      <c r="Z85" s="15">
        <f t="shared" si="60"/>
        <v>25000</v>
      </c>
      <c r="AA85" s="15">
        <f t="shared" si="60"/>
        <v>25000</v>
      </c>
      <c r="AB85" s="15">
        <f t="shared" si="60"/>
        <v>25000</v>
      </c>
      <c r="AC85" s="15">
        <f t="shared" si="60"/>
        <v>25000</v>
      </c>
      <c r="AD85" s="15">
        <f t="shared" si="60"/>
        <v>25000</v>
      </c>
      <c r="AE85" s="15">
        <f t="shared" si="60"/>
        <v>25000</v>
      </c>
      <c r="AF85" s="15">
        <f t="shared" si="60"/>
        <v>25000</v>
      </c>
      <c r="AG85" s="15">
        <f t="shared" si="60"/>
        <v>25000</v>
      </c>
      <c r="AH85" s="15">
        <f t="shared" ref="AH85:BM85" si="61">SUM(AH84)</f>
        <v>25000</v>
      </c>
      <c r="AI85" s="15">
        <f t="shared" si="61"/>
        <v>25000</v>
      </c>
      <c r="AJ85" s="15">
        <f t="shared" si="61"/>
        <v>25000</v>
      </c>
      <c r="AK85" s="15">
        <f t="shared" si="61"/>
        <v>25000</v>
      </c>
      <c r="AL85" s="15">
        <f t="shared" si="61"/>
        <v>25000</v>
      </c>
      <c r="AM85" s="15">
        <f t="shared" si="61"/>
        <v>25000</v>
      </c>
      <c r="AN85" s="15">
        <f t="shared" si="61"/>
        <v>25000</v>
      </c>
      <c r="AO85" s="15">
        <f t="shared" si="61"/>
        <v>25000</v>
      </c>
      <c r="AP85" s="15">
        <f t="shared" si="61"/>
        <v>25000</v>
      </c>
      <c r="AQ85" s="15">
        <f t="shared" si="61"/>
        <v>25000</v>
      </c>
      <c r="AR85" s="15">
        <f t="shared" si="61"/>
        <v>25000</v>
      </c>
      <c r="AS85" s="15">
        <f t="shared" si="61"/>
        <v>25000</v>
      </c>
      <c r="AT85" s="15">
        <f t="shared" si="61"/>
        <v>25000</v>
      </c>
      <c r="AU85" s="15">
        <f t="shared" si="61"/>
        <v>25000</v>
      </c>
      <c r="AV85" s="15">
        <f t="shared" si="61"/>
        <v>25000</v>
      </c>
      <c r="AW85" s="15">
        <f t="shared" si="61"/>
        <v>25000</v>
      </c>
      <c r="AX85" s="15">
        <f t="shared" si="61"/>
        <v>25000</v>
      </c>
      <c r="AY85" s="15">
        <f t="shared" si="61"/>
        <v>25000</v>
      </c>
      <c r="AZ85" s="15">
        <f t="shared" si="61"/>
        <v>25000</v>
      </c>
      <c r="BA85" s="15">
        <f t="shared" si="61"/>
        <v>25000</v>
      </c>
      <c r="BB85" s="15">
        <f t="shared" si="61"/>
        <v>25000</v>
      </c>
      <c r="BC85" s="15">
        <f t="shared" si="61"/>
        <v>25000</v>
      </c>
      <c r="BD85" s="15">
        <f t="shared" si="61"/>
        <v>25000</v>
      </c>
      <c r="BE85" s="15">
        <f t="shared" si="61"/>
        <v>25000</v>
      </c>
      <c r="BF85" s="15">
        <f t="shared" si="61"/>
        <v>25000</v>
      </c>
      <c r="BG85" s="15">
        <f t="shared" si="61"/>
        <v>25000</v>
      </c>
      <c r="BH85" s="15">
        <f t="shared" si="61"/>
        <v>25000</v>
      </c>
      <c r="BI85" s="15">
        <f t="shared" si="61"/>
        <v>25000</v>
      </c>
      <c r="BJ85" s="15">
        <f t="shared" si="61"/>
        <v>25000</v>
      </c>
      <c r="BK85" s="15">
        <f t="shared" si="61"/>
        <v>25000</v>
      </c>
      <c r="BL85" s="15">
        <f t="shared" si="61"/>
        <v>25000</v>
      </c>
      <c r="BM85" s="15">
        <f t="shared" si="61"/>
        <v>25000</v>
      </c>
      <c r="BN85" s="15">
        <f t="shared" ref="BN85:CS85" si="62">SUM(BN84)</f>
        <v>25000</v>
      </c>
      <c r="BO85" s="15">
        <f t="shared" si="62"/>
        <v>25000</v>
      </c>
      <c r="BP85" s="15">
        <f t="shared" si="62"/>
        <v>25000</v>
      </c>
      <c r="BQ85" s="15">
        <f t="shared" si="62"/>
        <v>25000</v>
      </c>
      <c r="BR85" s="15">
        <f t="shared" si="62"/>
        <v>25000</v>
      </c>
      <c r="BS85" s="15">
        <f t="shared" si="62"/>
        <v>25000</v>
      </c>
      <c r="BT85" s="15">
        <f t="shared" si="62"/>
        <v>25000</v>
      </c>
      <c r="BU85" s="15">
        <f t="shared" si="62"/>
        <v>25000</v>
      </c>
      <c r="BV85" s="15">
        <f t="shared" si="62"/>
        <v>25000</v>
      </c>
      <c r="BW85" s="15">
        <f t="shared" si="62"/>
        <v>25000</v>
      </c>
      <c r="BX85" s="15">
        <f t="shared" si="62"/>
        <v>25000</v>
      </c>
      <c r="BY85" s="15">
        <f t="shared" si="62"/>
        <v>25000</v>
      </c>
      <c r="BZ85" s="15">
        <f t="shared" si="62"/>
        <v>25000</v>
      </c>
      <c r="CA85" s="15">
        <f t="shared" si="62"/>
        <v>25000</v>
      </c>
      <c r="CB85" s="15">
        <f t="shared" si="62"/>
        <v>25000</v>
      </c>
      <c r="CC85" s="15">
        <f t="shared" si="62"/>
        <v>25000</v>
      </c>
      <c r="CD85" s="15">
        <f t="shared" si="62"/>
        <v>25000</v>
      </c>
      <c r="CE85" s="15">
        <f t="shared" si="62"/>
        <v>25000</v>
      </c>
      <c r="CF85" s="15">
        <f t="shared" si="62"/>
        <v>25000</v>
      </c>
      <c r="CG85" s="15">
        <f t="shared" si="62"/>
        <v>25000</v>
      </c>
      <c r="CH85" s="15">
        <f t="shared" si="62"/>
        <v>25000</v>
      </c>
    </row>
    <row r="86" spans="1:86" x14ac:dyDescent="0.2">
      <c r="A86" s="14" t="s">
        <v>167</v>
      </c>
      <c r="B86" s="15">
        <f>407714.959999999-B87</f>
        <v>407714.95999999897</v>
      </c>
      <c r="C86" s="15">
        <f>407714.959999999-C87</f>
        <v>407714.95999999897</v>
      </c>
      <c r="D86" s="15">
        <f>411922.84-D87</f>
        <v>411922.84</v>
      </c>
      <c r="E86" s="15">
        <f>417202.45-E87</f>
        <v>417202.45</v>
      </c>
      <c r="F86" s="15">
        <f>426890.69-F87</f>
        <v>426890.69</v>
      </c>
      <c r="G86" s="15">
        <f>431435.029999999-G87</f>
        <v>431435.02999999898</v>
      </c>
      <c r="H86" s="15">
        <f>434839.889999999-H87</f>
        <v>434839.88999999902</v>
      </c>
      <c r="I86" s="15">
        <f>437328.179999999-I87</f>
        <v>437328.179999999</v>
      </c>
      <c r="J86" s="15">
        <f>440039.069999999-J87</f>
        <v>440039.06999999902</v>
      </c>
      <c r="K86" s="15">
        <f>440038.349999999-K87</f>
        <v>440038.34999999899</v>
      </c>
      <c r="L86" s="15">
        <f>441553.199999999-L87</f>
        <v>441553.19999999902</v>
      </c>
      <c r="M86" s="15">
        <f>469970.959999999-M87</f>
        <v>469970.95999999897</v>
      </c>
      <c r="N86" s="15">
        <f>463090.449999999-N87</f>
        <v>463090.44999999902</v>
      </c>
      <c r="O86" s="15">
        <f>453464.079999999-O87</f>
        <v>453464.07999999903</v>
      </c>
      <c r="P86" s="15">
        <f>453464.079999999-P87</f>
        <v>453464.07999999903</v>
      </c>
      <c r="Q86" s="15">
        <f>460755.119999999-Q87</f>
        <v>460755.11999999901</v>
      </c>
      <c r="R86" s="15">
        <f>466579.17-R87</f>
        <v>466579.17</v>
      </c>
      <c r="S86" s="15">
        <f>473024.01-S87</f>
        <v>473024.01</v>
      </c>
      <c r="T86" s="15">
        <f>481015.54-T87</f>
        <v>481015.54</v>
      </c>
      <c r="U86" s="15">
        <f>486939.99-U87</f>
        <v>486939.99</v>
      </c>
      <c r="V86" s="15">
        <f>493332.379999999-V87</f>
        <v>493332.37999999902</v>
      </c>
      <c r="W86" s="15">
        <f>501073.58-W87</f>
        <v>501073.58</v>
      </c>
      <c r="X86" s="15">
        <f>507068.859999999-X87</f>
        <v>507068.859999999</v>
      </c>
      <c r="Y86" s="15">
        <f>508697.079999999-Y87</f>
        <v>508697.07999999903</v>
      </c>
      <c r="Z86" s="15">
        <f>507976.649999999-Z87</f>
        <v>507976.64999999898</v>
      </c>
      <c r="AA86" s="15">
        <f>522527.15-AA87</f>
        <v>522527.15</v>
      </c>
      <c r="AB86" s="15">
        <f>502980.299999999-AB87</f>
        <v>502980.299999999</v>
      </c>
      <c r="AC86" s="15">
        <f>502980.299999999-AC87</f>
        <v>502980.299999999</v>
      </c>
      <c r="AD86" s="15">
        <f>502451.729999999-AD87</f>
        <v>502451.72999999899</v>
      </c>
      <c r="AE86" s="15">
        <f>508351.03-AE87</f>
        <v>508351.03</v>
      </c>
      <c r="AF86" s="15">
        <f>515781.469999999-AF87</f>
        <v>515781.46999999898</v>
      </c>
      <c r="AG86" s="15">
        <f>514692.869999999-AG87</f>
        <v>514692.86999999901</v>
      </c>
      <c r="AH86" s="15">
        <f>520023.309999999-AH87</f>
        <v>520023.30999999901</v>
      </c>
      <c r="AI86" s="15">
        <f>524651.199999999-AI87</f>
        <v>524651.19999999902</v>
      </c>
      <c r="AJ86" s="15">
        <f>523703.949999999-AJ87</f>
        <v>523703.94999999902</v>
      </c>
      <c r="AK86" s="15">
        <f>528510.699999999-AK87</f>
        <v>528510.69999999902</v>
      </c>
      <c r="AL86" s="15">
        <f>532652.249999999-AL87</f>
        <v>532652.24999999895</v>
      </c>
      <c r="AM86" s="15">
        <f>528027.799999999-AM87</f>
        <v>528027.799999999</v>
      </c>
      <c r="AN86" s="15">
        <f>487887.76-AN87</f>
        <v>487887.76</v>
      </c>
      <c r="AO86" s="15">
        <f>504862.609999999-AO87</f>
        <v>504862.609999999</v>
      </c>
      <c r="AP86" s="15">
        <f>501439.589999999-AP87</f>
        <v>501439.58999999898</v>
      </c>
      <c r="AQ86" s="15">
        <f>504033.519999999-AQ87</f>
        <v>504033.51999999897</v>
      </c>
      <c r="AR86" s="15">
        <f>506005.249999999-AR87</f>
        <v>506005.24999999901</v>
      </c>
      <c r="AS86" s="15">
        <f>502794.789999999-AS87</f>
        <v>502794.78999999899</v>
      </c>
      <c r="AT86" s="15">
        <f>505877.549999999-AT87</f>
        <v>505877.549999999</v>
      </c>
      <c r="AU86" s="15">
        <f>512242.229999999-AU87</f>
        <v>512242.22999999899</v>
      </c>
      <c r="AV86" s="15">
        <f>507305.369999999-AV87</f>
        <v>507305.36999999901</v>
      </c>
      <c r="AW86" s="15">
        <f>511073.289999999-AW87</f>
        <v>511073.28999999899</v>
      </c>
      <c r="AX86" s="15">
        <f>512768.269999999-AX87</f>
        <v>512768.26999999897</v>
      </c>
      <c r="AY86" s="15">
        <f>508682.369999999-AY87</f>
        <v>508682.36999999901</v>
      </c>
      <c r="AZ86" s="15">
        <f>511200.869999999-AZ87</f>
        <v>511200.86999999901</v>
      </c>
      <c r="BA86" s="15">
        <f>514357.329999999-BA87</f>
        <v>514357.32999999903</v>
      </c>
      <c r="BB86" s="15">
        <f>514357.329999999-BB87</f>
        <v>514357.32999999903</v>
      </c>
      <c r="BC86" s="15">
        <f>511414.159999999-BC87</f>
        <v>511414.15999999898</v>
      </c>
      <c r="BD86" s="15">
        <f>514390.269999999-BD87</f>
        <v>514390.26999999897</v>
      </c>
      <c r="BE86" s="15">
        <f>524193.01-BE87</f>
        <v>524193.01</v>
      </c>
      <c r="BF86" s="15">
        <f>533394.75-BF87</f>
        <v>533394.75</v>
      </c>
      <c r="BG86" s="15">
        <f>542436.57-BG87</f>
        <v>542436.56999999995</v>
      </c>
      <c r="BH86" s="15">
        <f>546776.199999999-BH87</f>
        <v>546776.19999999902</v>
      </c>
      <c r="BI86" s="15">
        <f>550884.61-BI87</f>
        <v>550884.61</v>
      </c>
      <c r="BJ86" s="15">
        <f>553669.919999999-BJ87</f>
        <v>553669.91999999899</v>
      </c>
      <c r="BK86" s="15">
        <f>543931.99-BK87</f>
        <v>543931.99</v>
      </c>
      <c r="BL86" s="15">
        <f>534692.639999999-BL87</f>
        <v>534692.63999999897</v>
      </c>
      <c r="BM86" s="15">
        <f>527399.629999999-BM87</f>
        <v>527399.62999999896</v>
      </c>
      <c r="BN86" s="15">
        <f>518570.059999999-BN87</f>
        <v>518570.05999999901</v>
      </c>
      <c r="BO86" s="15">
        <f>518871.53-BO87</f>
        <v>518871.53</v>
      </c>
      <c r="BP86" s="15">
        <f>520406.079999999-BP87</f>
        <v>520406.07999999903</v>
      </c>
      <c r="BQ86" s="15">
        <f>525260.349999999-BQ87</f>
        <v>525260.34999999905</v>
      </c>
      <c r="BR86" s="15">
        <f>523772.989999999-BR87</f>
        <v>523772.989999999</v>
      </c>
      <c r="BS86" s="15">
        <f>520891.049999999-BS87</f>
        <v>520891.049999999</v>
      </c>
      <c r="BT86" s="15">
        <f>519000.52-BT87</f>
        <v>519000.52</v>
      </c>
      <c r="BU86" s="15">
        <f>517374.219999999-BU87</f>
        <v>517374.21999999898</v>
      </c>
      <c r="BV86" s="15">
        <f>516079.589999999-BV87</f>
        <v>516079.58999999898</v>
      </c>
      <c r="BW86" s="15">
        <f>520644.319999999-BW87</f>
        <v>520644.31999999902</v>
      </c>
      <c r="BX86" s="15">
        <f>524490.149999999-BX87</f>
        <v>524490.14999999898</v>
      </c>
      <c r="BY86" s="15">
        <f>523218.049999999-BY87</f>
        <v>523218.049999999</v>
      </c>
      <c r="BZ86" s="15">
        <f>525978.779999999-BZ87</f>
        <v>525978.77999999898</v>
      </c>
      <c r="CA86" s="15">
        <f>527345.209999999-CA87</f>
        <v>525978.77999999898</v>
      </c>
      <c r="CB86" s="15">
        <f>530282.029999999-CB87</f>
        <v>525978.77999999898</v>
      </c>
      <c r="CC86" s="15">
        <f>527160.57-CC87</f>
        <v>525978.77999999991</v>
      </c>
      <c r="CD86" s="15">
        <f>528410.99-CD87</f>
        <v>525978.78</v>
      </c>
      <c r="CE86" s="15">
        <f>530346.679999999-CE87</f>
        <v>525978.77999999898</v>
      </c>
      <c r="CF86" s="15">
        <f>533378.139999999-CF87</f>
        <v>525978.77999999898</v>
      </c>
      <c r="CG86" s="15">
        <f>538059.759999999-CG87</f>
        <v>525978.77999999898</v>
      </c>
      <c r="CH86" s="15">
        <f>538059.759999999-CH87</f>
        <v>525978.77999999898</v>
      </c>
    </row>
    <row r="87" spans="1:86" x14ac:dyDescent="0.2">
      <c r="A87" s="7" t="s">
        <v>168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1366.4299999999994</v>
      </c>
      <c r="CB87" s="11">
        <v>4303.2499999999982</v>
      </c>
      <c r="CC87" s="11">
        <v>1181.79</v>
      </c>
      <c r="CD87" s="11">
        <v>2432.21</v>
      </c>
      <c r="CE87" s="11">
        <v>4367.8999999999996</v>
      </c>
      <c r="CF87" s="11">
        <v>7399.3600000000006</v>
      </c>
      <c r="CG87" s="11">
        <v>12080.98</v>
      </c>
      <c r="CH87" s="11">
        <v>12080.98</v>
      </c>
    </row>
    <row r="88" spans="1:86" x14ac:dyDescent="0.2">
      <c r="A88" s="17" t="s">
        <v>169</v>
      </c>
      <c r="B88" s="18">
        <f t="shared" ref="B88:AG88" si="63">B85+0+0+B86+0+B87</f>
        <v>432714.95999999897</v>
      </c>
      <c r="C88" s="18">
        <f t="shared" si="63"/>
        <v>432714.95999999897</v>
      </c>
      <c r="D88" s="18">
        <f t="shared" si="63"/>
        <v>436922.84</v>
      </c>
      <c r="E88" s="18">
        <f t="shared" si="63"/>
        <v>442202.45</v>
      </c>
      <c r="F88" s="18">
        <f t="shared" si="63"/>
        <v>451890.69</v>
      </c>
      <c r="G88" s="18">
        <f t="shared" si="63"/>
        <v>456435.02999999898</v>
      </c>
      <c r="H88" s="18">
        <f t="shared" si="63"/>
        <v>459839.88999999902</v>
      </c>
      <c r="I88" s="18">
        <f t="shared" si="63"/>
        <v>462328.179999999</v>
      </c>
      <c r="J88" s="18">
        <f t="shared" si="63"/>
        <v>465039.06999999902</v>
      </c>
      <c r="K88" s="18">
        <f t="shared" si="63"/>
        <v>465038.34999999899</v>
      </c>
      <c r="L88" s="18">
        <f t="shared" si="63"/>
        <v>466553.19999999902</v>
      </c>
      <c r="M88" s="18">
        <f t="shared" si="63"/>
        <v>494970.95999999897</v>
      </c>
      <c r="N88" s="18">
        <f t="shared" si="63"/>
        <v>488090.44999999902</v>
      </c>
      <c r="O88" s="18">
        <f t="shared" si="63"/>
        <v>478464.07999999903</v>
      </c>
      <c r="P88" s="18">
        <f t="shared" si="63"/>
        <v>478464.07999999903</v>
      </c>
      <c r="Q88" s="18">
        <f t="shared" si="63"/>
        <v>485755.11999999901</v>
      </c>
      <c r="R88" s="18">
        <f t="shared" si="63"/>
        <v>491579.17</v>
      </c>
      <c r="S88" s="18">
        <f t="shared" si="63"/>
        <v>498024.01</v>
      </c>
      <c r="T88" s="18">
        <f t="shared" si="63"/>
        <v>506015.54</v>
      </c>
      <c r="U88" s="18">
        <f t="shared" si="63"/>
        <v>511939.99</v>
      </c>
      <c r="V88" s="18">
        <f t="shared" si="63"/>
        <v>518332.37999999902</v>
      </c>
      <c r="W88" s="18">
        <f t="shared" si="63"/>
        <v>526073.58000000007</v>
      </c>
      <c r="X88" s="18">
        <f t="shared" si="63"/>
        <v>532068.85999999894</v>
      </c>
      <c r="Y88" s="18">
        <f t="shared" si="63"/>
        <v>533697.07999999903</v>
      </c>
      <c r="Z88" s="18">
        <f t="shared" si="63"/>
        <v>532976.64999999898</v>
      </c>
      <c r="AA88" s="18">
        <f t="shared" si="63"/>
        <v>547527.15</v>
      </c>
      <c r="AB88" s="18">
        <f t="shared" si="63"/>
        <v>527980.299999999</v>
      </c>
      <c r="AC88" s="18">
        <f t="shared" si="63"/>
        <v>527980.299999999</v>
      </c>
      <c r="AD88" s="18">
        <f t="shared" si="63"/>
        <v>527451.72999999905</v>
      </c>
      <c r="AE88" s="18">
        <f t="shared" si="63"/>
        <v>533351.03</v>
      </c>
      <c r="AF88" s="18">
        <f t="shared" si="63"/>
        <v>540781.46999999904</v>
      </c>
      <c r="AG88" s="18">
        <f t="shared" si="63"/>
        <v>539692.86999999895</v>
      </c>
      <c r="AH88" s="18">
        <f t="shared" ref="AH88:BM88" si="64">AH85+0+0+AH86+0+AH87</f>
        <v>545023.30999999901</v>
      </c>
      <c r="AI88" s="18">
        <f t="shared" si="64"/>
        <v>549651.19999999902</v>
      </c>
      <c r="AJ88" s="18">
        <f t="shared" si="64"/>
        <v>548703.94999999902</v>
      </c>
      <c r="AK88" s="18">
        <f t="shared" si="64"/>
        <v>553510.69999999902</v>
      </c>
      <c r="AL88" s="18">
        <f t="shared" si="64"/>
        <v>557652.24999999895</v>
      </c>
      <c r="AM88" s="18">
        <f t="shared" si="64"/>
        <v>553027.799999999</v>
      </c>
      <c r="AN88" s="18">
        <f t="shared" si="64"/>
        <v>512887.76</v>
      </c>
      <c r="AO88" s="18">
        <f t="shared" si="64"/>
        <v>529862.60999999894</v>
      </c>
      <c r="AP88" s="18">
        <f t="shared" si="64"/>
        <v>526439.58999999892</v>
      </c>
      <c r="AQ88" s="18">
        <f t="shared" si="64"/>
        <v>529033.51999999897</v>
      </c>
      <c r="AR88" s="18">
        <f t="shared" si="64"/>
        <v>531005.24999999907</v>
      </c>
      <c r="AS88" s="18">
        <f t="shared" si="64"/>
        <v>527794.78999999899</v>
      </c>
      <c r="AT88" s="18">
        <f t="shared" si="64"/>
        <v>530877.549999999</v>
      </c>
      <c r="AU88" s="18">
        <f t="shared" si="64"/>
        <v>537242.22999999905</v>
      </c>
      <c r="AV88" s="18">
        <f t="shared" si="64"/>
        <v>532305.36999999895</v>
      </c>
      <c r="AW88" s="18">
        <f t="shared" si="64"/>
        <v>536073.28999999899</v>
      </c>
      <c r="AX88" s="18">
        <f t="shared" si="64"/>
        <v>537768.26999999897</v>
      </c>
      <c r="AY88" s="18">
        <f t="shared" si="64"/>
        <v>533682.36999999895</v>
      </c>
      <c r="AZ88" s="18">
        <f t="shared" si="64"/>
        <v>536200.86999999895</v>
      </c>
      <c r="BA88" s="18">
        <f t="shared" si="64"/>
        <v>539357.32999999903</v>
      </c>
      <c r="BB88" s="18">
        <f t="shared" si="64"/>
        <v>539357.32999999903</v>
      </c>
      <c r="BC88" s="18">
        <f t="shared" si="64"/>
        <v>536414.15999999898</v>
      </c>
      <c r="BD88" s="18">
        <f t="shared" si="64"/>
        <v>539390.26999999897</v>
      </c>
      <c r="BE88" s="18">
        <f t="shared" si="64"/>
        <v>549193.01</v>
      </c>
      <c r="BF88" s="18">
        <f t="shared" si="64"/>
        <v>558394.75</v>
      </c>
      <c r="BG88" s="18">
        <f t="shared" si="64"/>
        <v>567436.56999999995</v>
      </c>
      <c r="BH88" s="18">
        <f t="shared" si="64"/>
        <v>571776.19999999902</v>
      </c>
      <c r="BI88" s="18">
        <f t="shared" si="64"/>
        <v>575884.61</v>
      </c>
      <c r="BJ88" s="18">
        <f t="shared" si="64"/>
        <v>578669.91999999899</v>
      </c>
      <c r="BK88" s="18">
        <f t="shared" si="64"/>
        <v>568931.99</v>
      </c>
      <c r="BL88" s="18">
        <f t="shared" si="64"/>
        <v>559692.63999999897</v>
      </c>
      <c r="BM88" s="18">
        <f t="shared" si="64"/>
        <v>552399.62999999896</v>
      </c>
      <c r="BN88" s="18">
        <f t="shared" ref="BN88:CS88" si="65">BN85+0+0+BN86+0+BN87</f>
        <v>543570.05999999901</v>
      </c>
      <c r="BO88" s="18">
        <f t="shared" si="65"/>
        <v>543871.53</v>
      </c>
      <c r="BP88" s="18">
        <f t="shared" si="65"/>
        <v>545406.07999999903</v>
      </c>
      <c r="BQ88" s="18">
        <f t="shared" si="65"/>
        <v>550260.34999999905</v>
      </c>
      <c r="BR88" s="18">
        <f t="shared" si="65"/>
        <v>548772.98999999906</v>
      </c>
      <c r="BS88" s="18">
        <f t="shared" si="65"/>
        <v>545891.049999999</v>
      </c>
      <c r="BT88" s="18">
        <f t="shared" si="65"/>
        <v>544000.52</v>
      </c>
      <c r="BU88" s="18">
        <f t="shared" si="65"/>
        <v>542374.21999999904</v>
      </c>
      <c r="BV88" s="18">
        <f t="shared" si="65"/>
        <v>541079.58999999892</v>
      </c>
      <c r="BW88" s="18">
        <f t="shared" si="65"/>
        <v>545644.31999999902</v>
      </c>
      <c r="BX88" s="18">
        <f t="shared" si="65"/>
        <v>549490.14999999898</v>
      </c>
      <c r="BY88" s="18">
        <f t="shared" si="65"/>
        <v>548218.049999999</v>
      </c>
      <c r="BZ88" s="18">
        <f t="shared" si="65"/>
        <v>550978.77999999898</v>
      </c>
      <c r="CA88" s="18">
        <f t="shared" si="65"/>
        <v>552345.20999999903</v>
      </c>
      <c r="CB88" s="18">
        <f t="shared" si="65"/>
        <v>555282.02999999898</v>
      </c>
      <c r="CC88" s="18">
        <f t="shared" si="65"/>
        <v>552160.56999999995</v>
      </c>
      <c r="CD88" s="18">
        <f t="shared" si="65"/>
        <v>553410.99</v>
      </c>
      <c r="CE88" s="18">
        <f t="shared" si="65"/>
        <v>555346.679999999</v>
      </c>
      <c r="CF88" s="18">
        <f t="shared" si="65"/>
        <v>558378.13999999897</v>
      </c>
      <c r="CG88" s="18">
        <f t="shared" si="65"/>
        <v>563059.75999999896</v>
      </c>
      <c r="CH88" s="18">
        <f t="shared" si="65"/>
        <v>563059.75999999896</v>
      </c>
    </row>
    <row r="89" spans="1:86" x14ac:dyDescent="0.2">
      <c r="A89" s="19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</row>
    <row r="90" spans="1:86" ht="12" x14ac:dyDescent="0.2">
      <c r="A90" s="5" t="s">
        <v>170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</row>
    <row r="91" spans="1:86" x14ac:dyDescent="0.2">
      <c r="A91" s="7" t="s">
        <v>171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</row>
    <row r="92" spans="1:86" x14ac:dyDescent="0.2">
      <c r="A92" s="25" t="s">
        <v>172</v>
      </c>
      <c r="B92" s="11">
        <v>3589</v>
      </c>
      <c r="C92" s="11">
        <v>3589</v>
      </c>
      <c r="D92" s="11">
        <v>3589</v>
      </c>
      <c r="E92" s="11">
        <v>3589</v>
      </c>
      <c r="F92" s="11">
        <v>3589</v>
      </c>
      <c r="G92" s="11">
        <v>3589</v>
      </c>
      <c r="H92" s="11">
        <v>3589</v>
      </c>
      <c r="I92" s="11">
        <v>3589</v>
      </c>
      <c r="J92" s="11">
        <v>3589</v>
      </c>
      <c r="K92" s="11">
        <v>3589</v>
      </c>
      <c r="L92" s="11">
        <v>0</v>
      </c>
      <c r="M92" s="11">
        <v>0</v>
      </c>
      <c r="N92" s="11">
        <v>0</v>
      </c>
      <c r="O92" s="11">
        <v>15</v>
      </c>
      <c r="P92" s="11">
        <v>15</v>
      </c>
      <c r="Q92" s="11">
        <v>15</v>
      </c>
      <c r="R92" s="11">
        <v>15</v>
      </c>
      <c r="S92" s="11">
        <v>15</v>
      </c>
      <c r="T92" s="11">
        <v>15</v>
      </c>
      <c r="U92" s="11">
        <v>15</v>
      </c>
      <c r="V92" s="11">
        <v>15</v>
      </c>
      <c r="W92" s="11">
        <v>15</v>
      </c>
      <c r="X92" s="11">
        <v>15</v>
      </c>
      <c r="Y92" s="11">
        <v>0</v>
      </c>
      <c r="Z92" s="11">
        <v>0</v>
      </c>
      <c r="AA92" s="11">
        <v>0</v>
      </c>
      <c r="AB92" s="11">
        <v>675</v>
      </c>
      <c r="AC92" s="11">
        <v>675</v>
      </c>
      <c r="AD92" s="11">
        <v>675</v>
      </c>
      <c r="AE92" s="11">
        <v>675</v>
      </c>
      <c r="AF92" s="11">
        <v>675</v>
      </c>
      <c r="AG92" s="11">
        <v>675</v>
      </c>
      <c r="AH92" s="11">
        <v>675</v>
      </c>
      <c r="AI92" s="11">
        <v>675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11">
        <v>0</v>
      </c>
      <c r="AZ92" s="11">
        <v>0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1">
        <v>0</v>
      </c>
      <c r="BQ92" s="11">
        <v>0</v>
      </c>
      <c r="BR92" s="11">
        <v>0</v>
      </c>
      <c r="BS92" s="11">
        <v>0</v>
      </c>
      <c r="BT92" s="11">
        <v>0</v>
      </c>
      <c r="BU92" s="11">
        <v>0</v>
      </c>
      <c r="BV92" s="11">
        <v>0</v>
      </c>
      <c r="BW92" s="11">
        <v>0</v>
      </c>
      <c r="BX92" s="11">
        <v>0</v>
      </c>
      <c r="BY92" s="11">
        <v>0</v>
      </c>
      <c r="BZ92" s="11">
        <v>0</v>
      </c>
      <c r="CA92" s="11">
        <v>0</v>
      </c>
      <c r="CB92" s="11">
        <v>0</v>
      </c>
      <c r="CC92" s="11">
        <v>0</v>
      </c>
      <c r="CD92" s="11">
        <v>0</v>
      </c>
      <c r="CE92" s="11">
        <v>0</v>
      </c>
      <c r="CF92" s="11">
        <v>0</v>
      </c>
      <c r="CG92" s="11">
        <v>0</v>
      </c>
      <c r="CH92" s="11">
        <v>0</v>
      </c>
    </row>
    <row r="93" spans="1:86" x14ac:dyDescent="0.2">
      <c r="A93" s="25" t="s">
        <v>173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0</v>
      </c>
      <c r="AW93" s="11">
        <v>0</v>
      </c>
      <c r="AX93" s="11">
        <v>0</v>
      </c>
      <c r="AY93" s="11">
        <v>0</v>
      </c>
      <c r="AZ93" s="11">
        <v>0</v>
      </c>
      <c r="BA93" s="11">
        <v>1354</v>
      </c>
      <c r="BB93" s="11">
        <v>1354</v>
      </c>
      <c r="BC93" s="11">
        <v>1354</v>
      </c>
      <c r="BD93" s="11">
        <v>1354</v>
      </c>
      <c r="BE93" s="11">
        <v>1354</v>
      </c>
      <c r="BF93" s="11">
        <v>1354</v>
      </c>
      <c r="BG93" s="11">
        <v>1354</v>
      </c>
      <c r="BH93" s="11">
        <v>1354</v>
      </c>
      <c r="BI93" s="11">
        <v>1354</v>
      </c>
      <c r="BJ93" s="11">
        <v>0</v>
      </c>
      <c r="BK93" s="11">
        <v>0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  <c r="BQ93" s="11">
        <v>0</v>
      </c>
      <c r="BR93" s="11">
        <v>0</v>
      </c>
      <c r="BS93" s="11">
        <v>0</v>
      </c>
      <c r="BT93" s="11">
        <v>0</v>
      </c>
      <c r="BU93" s="11">
        <v>0</v>
      </c>
      <c r="BV93" s="11">
        <v>0</v>
      </c>
      <c r="BW93" s="11">
        <v>0</v>
      </c>
      <c r="BX93" s="11">
        <v>0</v>
      </c>
      <c r="BY93" s="11">
        <v>0</v>
      </c>
      <c r="BZ93" s="11">
        <v>601</v>
      </c>
      <c r="CA93" s="11">
        <v>601</v>
      </c>
      <c r="CB93" s="11">
        <v>601</v>
      </c>
      <c r="CC93" s="11">
        <v>601</v>
      </c>
      <c r="CD93" s="11">
        <v>601</v>
      </c>
      <c r="CE93" s="11">
        <v>601</v>
      </c>
      <c r="CF93" s="11">
        <v>601</v>
      </c>
      <c r="CG93" s="11">
        <v>601</v>
      </c>
      <c r="CH93" s="11">
        <v>601</v>
      </c>
    </row>
    <row r="94" spans="1:86" x14ac:dyDescent="0.2">
      <c r="A94" s="25" t="s">
        <v>174</v>
      </c>
      <c r="B94" s="11">
        <v>4530.2</v>
      </c>
      <c r="C94" s="11">
        <v>4530.2</v>
      </c>
      <c r="D94" s="11">
        <v>4530.2</v>
      </c>
      <c r="E94" s="11">
        <v>4530.2</v>
      </c>
      <c r="F94" s="11">
        <v>4530.2</v>
      </c>
      <c r="G94" s="11">
        <v>4530.2</v>
      </c>
      <c r="H94" s="11">
        <v>4530.2</v>
      </c>
      <c r="I94" s="11">
        <v>4530.2</v>
      </c>
      <c r="J94" s="11">
        <v>4530.2</v>
      </c>
      <c r="K94" s="11">
        <v>4530.2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830.33</v>
      </c>
      <c r="AC94" s="11">
        <v>830.33</v>
      </c>
      <c r="AD94" s="11">
        <v>830.33</v>
      </c>
      <c r="AE94" s="11">
        <v>830.33</v>
      </c>
      <c r="AF94" s="11">
        <v>830.33</v>
      </c>
      <c r="AG94" s="11">
        <v>830.33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X94" s="11">
        <v>0</v>
      </c>
      <c r="AY94" s="11">
        <v>0</v>
      </c>
      <c r="AZ94" s="11">
        <v>0</v>
      </c>
      <c r="BA94" s="11">
        <v>0</v>
      </c>
      <c r="BB94" s="11">
        <v>0</v>
      </c>
      <c r="BC94" s="11">
        <v>0</v>
      </c>
      <c r="BD94" s="11">
        <v>0</v>
      </c>
      <c r="BE94" s="11">
        <v>0</v>
      </c>
      <c r="BF94" s="11">
        <v>0</v>
      </c>
      <c r="BG94" s="11">
        <v>0</v>
      </c>
      <c r="BH94" s="11">
        <v>0</v>
      </c>
      <c r="BI94" s="11">
        <v>0</v>
      </c>
      <c r="BJ94" s="11">
        <v>0</v>
      </c>
      <c r="BK94" s="11">
        <v>0</v>
      </c>
      <c r="BL94" s="11">
        <v>0</v>
      </c>
      <c r="BM94" s="11">
        <v>0</v>
      </c>
      <c r="BN94" s="11">
        <v>0</v>
      </c>
      <c r="BO94" s="11">
        <v>0</v>
      </c>
      <c r="BP94" s="11">
        <v>0</v>
      </c>
      <c r="BQ94" s="11">
        <v>0</v>
      </c>
      <c r="BR94" s="11">
        <v>0</v>
      </c>
      <c r="BS94" s="11">
        <v>0</v>
      </c>
      <c r="BT94" s="11">
        <v>0</v>
      </c>
      <c r="BU94" s="11">
        <v>0</v>
      </c>
      <c r="BV94" s="11">
        <v>0</v>
      </c>
      <c r="BW94" s="11">
        <v>0</v>
      </c>
      <c r="BX94" s="11">
        <v>0</v>
      </c>
      <c r="BY94" s="11">
        <v>0</v>
      </c>
      <c r="BZ94" s="11">
        <v>723.77</v>
      </c>
      <c r="CA94" s="11">
        <v>723.77</v>
      </c>
      <c r="CB94" s="11">
        <v>723.77</v>
      </c>
      <c r="CC94" s="11">
        <v>723.77</v>
      </c>
      <c r="CD94" s="11">
        <v>723.77</v>
      </c>
      <c r="CE94" s="11">
        <v>723.77</v>
      </c>
      <c r="CF94" s="11">
        <v>723.77</v>
      </c>
      <c r="CG94" s="11">
        <v>723.77</v>
      </c>
      <c r="CH94" s="11">
        <v>723.77</v>
      </c>
    </row>
    <row r="95" spans="1:86" x14ac:dyDescent="0.2">
      <c r="A95" s="14" t="s">
        <v>175</v>
      </c>
      <c r="B95" s="15">
        <f t="shared" ref="B95:AG95" si="66">SUM(B92:B94)</f>
        <v>8119.2</v>
      </c>
      <c r="C95" s="15">
        <f t="shared" si="66"/>
        <v>8119.2</v>
      </c>
      <c r="D95" s="15">
        <f t="shared" si="66"/>
        <v>8119.2</v>
      </c>
      <c r="E95" s="15">
        <f t="shared" si="66"/>
        <v>8119.2</v>
      </c>
      <c r="F95" s="15">
        <f t="shared" si="66"/>
        <v>8119.2</v>
      </c>
      <c r="G95" s="15">
        <f t="shared" si="66"/>
        <v>8119.2</v>
      </c>
      <c r="H95" s="15">
        <f t="shared" si="66"/>
        <v>8119.2</v>
      </c>
      <c r="I95" s="15">
        <f t="shared" si="66"/>
        <v>8119.2</v>
      </c>
      <c r="J95" s="15">
        <f t="shared" si="66"/>
        <v>8119.2</v>
      </c>
      <c r="K95" s="15">
        <f t="shared" si="66"/>
        <v>8119.2</v>
      </c>
      <c r="L95" s="15">
        <f t="shared" si="66"/>
        <v>0</v>
      </c>
      <c r="M95" s="15">
        <f t="shared" si="66"/>
        <v>0</v>
      </c>
      <c r="N95" s="15">
        <f t="shared" si="66"/>
        <v>0</v>
      </c>
      <c r="O95" s="15">
        <f t="shared" si="66"/>
        <v>15</v>
      </c>
      <c r="P95" s="15">
        <f t="shared" si="66"/>
        <v>15</v>
      </c>
      <c r="Q95" s="15">
        <f t="shared" si="66"/>
        <v>15</v>
      </c>
      <c r="R95" s="15">
        <f t="shared" si="66"/>
        <v>15</v>
      </c>
      <c r="S95" s="15">
        <f t="shared" si="66"/>
        <v>15</v>
      </c>
      <c r="T95" s="15">
        <f t="shared" si="66"/>
        <v>15</v>
      </c>
      <c r="U95" s="15">
        <f t="shared" si="66"/>
        <v>15</v>
      </c>
      <c r="V95" s="15">
        <f t="shared" si="66"/>
        <v>15</v>
      </c>
      <c r="W95" s="15">
        <f t="shared" si="66"/>
        <v>15</v>
      </c>
      <c r="X95" s="15">
        <f t="shared" si="66"/>
        <v>15</v>
      </c>
      <c r="Y95" s="15">
        <f t="shared" si="66"/>
        <v>0</v>
      </c>
      <c r="Z95" s="15">
        <f t="shared" si="66"/>
        <v>0</v>
      </c>
      <c r="AA95" s="15">
        <f t="shared" si="66"/>
        <v>0</v>
      </c>
      <c r="AB95" s="15">
        <f t="shared" si="66"/>
        <v>1505.33</v>
      </c>
      <c r="AC95" s="15">
        <f t="shared" si="66"/>
        <v>1505.33</v>
      </c>
      <c r="AD95" s="15">
        <f t="shared" si="66"/>
        <v>1505.33</v>
      </c>
      <c r="AE95" s="15">
        <f t="shared" si="66"/>
        <v>1505.33</v>
      </c>
      <c r="AF95" s="15">
        <f t="shared" si="66"/>
        <v>1505.33</v>
      </c>
      <c r="AG95" s="15">
        <f t="shared" si="66"/>
        <v>1505.33</v>
      </c>
      <c r="AH95" s="15">
        <f t="shared" ref="AH95:BM95" si="67">SUM(AH92:AH94)</f>
        <v>675</v>
      </c>
      <c r="AI95" s="15">
        <f t="shared" si="67"/>
        <v>675</v>
      </c>
      <c r="AJ95" s="15">
        <f t="shared" si="67"/>
        <v>0</v>
      </c>
      <c r="AK95" s="15">
        <f t="shared" si="67"/>
        <v>0</v>
      </c>
      <c r="AL95" s="15">
        <f t="shared" si="67"/>
        <v>0</v>
      </c>
      <c r="AM95" s="15">
        <f t="shared" si="67"/>
        <v>0</v>
      </c>
      <c r="AN95" s="15">
        <f t="shared" si="67"/>
        <v>0</v>
      </c>
      <c r="AO95" s="15">
        <f t="shared" si="67"/>
        <v>0</v>
      </c>
      <c r="AP95" s="15">
        <f t="shared" si="67"/>
        <v>0</v>
      </c>
      <c r="AQ95" s="15">
        <f t="shared" si="67"/>
        <v>0</v>
      </c>
      <c r="AR95" s="15">
        <f t="shared" si="67"/>
        <v>0</v>
      </c>
      <c r="AS95" s="15">
        <f t="shared" si="67"/>
        <v>0</v>
      </c>
      <c r="AT95" s="15">
        <f t="shared" si="67"/>
        <v>0</v>
      </c>
      <c r="AU95" s="15">
        <f t="shared" si="67"/>
        <v>0</v>
      </c>
      <c r="AV95" s="15">
        <f t="shared" si="67"/>
        <v>0</v>
      </c>
      <c r="AW95" s="15">
        <f t="shared" si="67"/>
        <v>0</v>
      </c>
      <c r="AX95" s="15">
        <f t="shared" si="67"/>
        <v>0</v>
      </c>
      <c r="AY95" s="15">
        <f t="shared" si="67"/>
        <v>0</v>
      </c>
      <c r="AZ95" s="15">
        <f t="shared" si="67"/>
        <v>0</v>
      </c>
      <c r="BA95" s="15">
        <f t="shared" si="67"/>
        <v>1354</v>
      </c>
      <c r="BB95" s="15">
        <f t="shared" si="67"/>
        <v>1354</v>
      </c>
      <c r="BC95" s="15">
        <f t="shared" si="67"/>
        <v>1354</v>
      </c>
      <c r="BD95" s="15">
        <f t="shared" si="67"/>
        <v>1354</v>
      </c>
      <c r="BE95" s="15">
        <f t="shared" si="67"/>
        <v>1354</v>
      </c>
      <c r="BF95" s="15">
        <f t="shared" si="67"/>
        <v>1354</v>
      </c>
      <c r="BG95" s="15">
        <f t="shared" si="67"/>
        <v>1354</v>
      </c>
      <c r="BH95" s="15">
        <f t="shared" si="67"/>
        <v>1354</v>
      </c>
      <c r="BI95" s="15">
        <f t="shared" si="67"/>
        <v>1354</v>
      </c>
      <c r="BJ95" s="15">
        <f t="shared" si="67"/>
        <v>0</v>
      </c>
      <c r="BK95" s="15">
        <f t="shared" si="67"/>
        <v>0</v>
      </c>
      <c r="BL95" s="15">
        <f t="shared" si="67"/>
        <v>0</v>
      </c>
      <c r="BM95" s="15">
        <f t="shared" si="67"/>
        <v>0</v>
      </c>
      <c r="BN95" s="15">
        <f t="shared" ref="BN95:CS95" si="68">SUM(BN92:BN94)</f>
        <v>0</v>
      </c>
      <c r="BO95" s="15">
        <f t="shared" si="68"/>
        <v>0</v>
      </c>
      <c r="BP95" s="15">
        <f t="shared" si="68"/>
        <v>0</v>
      </c>
      <c r="BQ95" s="15">
        <f t="shared" si="68"/>
        <v>0</v>
      </c>
      <c r="BR95" s="15">
        <f t="shared" si="68"/>
        <v>0</v>
      </c>
      <c r="BS95" s="15">
        <f t="shared" si="68"/>
        <v>0</v>
      </c>
      <c r="BT95" s="15">
        <f t="shared" si="68"/>
        <v>0</v>
      </c>
      <c r="BU95" s="15">
        <f t="shared" si="68"/>
        <v>0</v>
      </c>
      <c r="BV95" s="15">
        <f t="shared" si="68"/>
        <v>0</v>
      </c>
      <c r="BW95" s="15">
        <f t="shared" si="68"/>
        <v>0</v>
      </c>
      <c r="BX95" s="15">
        <f t="shared" si="68"/>
        <v>0</v>
      </c>
      <c r="BY95" s="15">
        <f t="shared" si="68"/>
        <v>0</v>
      </c>
      <c r="BZ95" s="15">
        <f t="shared" si="68"/>
        <v>1324.77</v>
      </c>
      <c r="CA95" s="15">
        <f t="shared" si="68"/>
        <v>1324.77</v>
      </c>
      <c r="CB95" s="15">
        <f t="shared" si="68"/>
        <v>1324.77</v>
      </c>
      <c r="CC95" s="15">
        <f t="shared" si="68"/>
        <v>1324.77</v>
      </c>
      <c r="CD95" s="15">
        <f t="shared" si="68"/>
        <v>1324.77</v>
      </c>
      <c r="CE95" s="15">
        <f t="shared" si="68"/>
        <v>1324.77</v>
      </c>
      <c r="CF95" s="15">
        <f t="shared" si="68"/>
        <v>1324.77</v>
      </c>
      <c r="CG95" s="15">
        <f t="shared" si="68"/>
        <v>1324.77</v>
      </c>
      <c r="CH95" s="15">
        <f t="shared" si="68"/>
        <v>1324.77</v>
      </c>
    </row>
    <row r="96" spans="1:86" x14ac:dyDescent="0.2">
      <c r="A96" s="7" t="s">
        <v>176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</row>
    <row r="97" spans="1:86" x14ac:dyDescent="0.2">
      <c r="A97" s="25" t="s">
        <v>177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16245</v>
      </c>
      <c r="AY97" s="11">
        <v>0</v>
      </c>
      <c r="AZ97" s="11">
        <v>-600</v>
      </c>
      <c r="BA97" s="11">
        <v>0</v>
      </c>
      <c r="BB97" s="11">
        <v>0</v>
      </c>
      <c r="BC97" s="11">
        <v>0</v>
      </c>
      <c r="BD97" s="11">
        <v>382.35</v>
      </c>
      <c r="BE97" s="11">
        <v>0</v>
      </c>
      <c r="BF97" s="11">
        <v>0</v>
      </c>
      <c r="BG97" s="11">
        <v>0</v>
      </c>
      <c r="BH97" s="11">
        <v>0</v>
      </c>
      <c r="BI97" s="11">
        <v>0</v>
      </c>
      <c r="BJ97" s="11">
        <v>0</v>
      </c>
      <c r="BK97" s="11">
        <v>159</v>
      </c>
      <c r="BL97" s="11">
        <v>0</v>
      </c>
      <c r="BM97" s="11">
        <v>0</v>
      </c>
      <c r="BN97" s="11">
        <v>0</v>
      </c>
      <c r="BO97" s="11">
        <v>0</v>
      </c>
      <c r="BP97" s="11">
        <v>0</v>
      </c>
      <c r="BQ97" s="11">
        <v>0</v>
      </c>
      <c r="BR97" s="11">
        <v>114</v>
      </c>
      <c r="BS97" s="11">
        <v>0</v>
      </c>
      <c r="BT97" s="11">
        <v>0</v>
      </c>
      <c r="BU97" s="11">
        <v>0</v>
      </c>
      <c r="BV97" s="11">
        <v>0</v>
      </c>
      <c r="BW97" s="11">
        <v>946.94</v>
      </c>
      <c r="BX97" s="11">
        <v>0</v>
      </c>
      <c r="BY97" s="11">
        <v>0</v>
      </c>
      <c r="BZ97" s="11">
        <v>0</v>
      </c>
      <c r="CA97" s="11">
        <v>-160</v>
      </c>
      <c r="CB97" s="11">
        <v>-160</v>
      </c>
      <c r="CC97" s="11">
        <v>-160</v>
      </c>
      <c r="CD97" s="11">
        <v>0</v>
      </c>
      <c r="CE97" s="11">
        <v>0</v>
      </c>
      <c r="CF97" s="11">
        <v>0</v>
      </c>
      <c r="CG97" s="11">
        <v>1668</v>
      </c>
      <c r="CH97" s="11">
        <v>1668</v>
      </c>
    </row>
    <row r="98" spans="1:86" x14ac:dyDescent="0.2">
      <c r="A98" s="25" t="s">
        <v>178</v>
      </c>
      <c r="B98" s="11">
        <v>750</v>
      </c>
      <c r="C98" s="11">
        <v>750</v>
      </c>
      <c r="D98" s="11">
        <v>750</v>
      </c>
      <c r="E98" s="11">
        <v>750</v>
      </c>
      <c r="F98" s="11">
        <v>750</v>
      </c>
      <c r="G98" s="11">
        <v>750</v>
      </c>
      <c r="H98" s="11">
        <v>750</v>
      </c>
      <c r="I98" s="11">
        <v>750</v>
      </c>
      <c r="J98" s="11">
        <v>750</v>
      </c>
      <c r="K98" s="11">
        <v>0</v>
      </c>
      <c r="L98" s="11">
        <v>0</v>
      </c>
      <c r="M98" s="11">
        <v>0</v>
      </c>
      <c r="N98" s="11">
        <v>0</v>
      </c>
      <c r="O98" s="11">
        <v>780</v>
      </c>
      <c r="P98" s="11">
        <v>780</v>
      </c>
      <c r="Q98" s="11">
        <v>780</v>
      </c>
      <c r="R98" s="11">
        <v>780</v>
      </c>
      <c r="S98" s="11">
        <v>780</v>
      </c>
      <c r="T98" s="11">
        <v>780</v>
      </c>
      <c r="U98" s="11">
        <v>780</v>
      </c>
      <c r="V98" s="11">
        <v>780</v>
      </c>
      <c r="W98" s="11">
        <v>780</v>
      </c>
      <c r="X98" s="11">
        <v>780</v>
      </c>
      <c r="Y98" s="11">
        <v>0</v>
      </c>
      <c r="Z98" s="11">
        <v>0</v>
      </c>
      <c r="AA98" s="11">
        <v>0</v>
      </c>
      <c r="AB98" s="11">
        <v>830</v>
      </c>
      <c r="AC98" s="11">
        <v>830</v>
      </c>
      <c r="AD98" s="11">
        <v>830</v>
      </c>
      <c r="AE98" s="11">
        <v>830</v>
      </c>
      <c r="AF98" s="11">
        <v>830</v>
      </c>
      <c r="AG98" s="11">
        <v>830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890</v>
      </c>
      <c r="AP98" s="11">
        <v>890</v>
      </c>
      <c r="AQ98" s="11">
        <v>890</v>
      </c>
      <c r="AR98" s="11">
        <v>890</v>
      </c>
      <c r="AS98" s="11">
        <v>890</v>
      </c>
      <c r="AT98" s="11">
        <v>890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910</v>
      </c>
      <c r="BB98" s="11">
        <v>910</v>
      </c>
      <c r="BC98" s="11">
        <v>910</v>
      </c>
      <c r="BD98" s="11">
        <v>910</v>
      </c>
      <c r="BE98" s="11">
        <v>910</v>
      </c>
      <c r="BF98" s="11">
        <v>910</v>
      </c>
      <c r="BG98" s="11">
        <v>910</v>
      </c>
      <c r="BH98" s="11">
        <v>910</v>
      </c>
      <c r="BI98" s="11">
        <v>910</v>
      </c>
      <c r="BJ98" s="11">
        <v>0</v>
      </c>
      <c r="BK98" s="11">
        <v>0</v>
      </c>
      <c r="BL98" s="11">
        <v>0</v>
      </c>
      <c r="BM98" s="11">
        <v>0</v>
      </c>
      <c r="BN98" s="11">
        <v>880</v>
      </c>
      <c r="BO98" s="11">
        <v>880</v>
      </c>
      <c r="BP98" s="11">
        <v>880</v>
      </c>
      <c r="BQ98" s="11">
        <v>880</v>
      </c>
      <c r="BR98" s="11">
        <v>880</v>
      </c>
      <c r="BS98" s="11">
        <v>0</v>
      </c>
      <c r="BT98" s="11">
        <v>0</v>
      </c>
      <c r="BU98" s="11">
        <v>0</v>
      </c>
      <c r="BV98" s="11">
        <v>0</v>
      </c>
      <c r="BW98" s="11">
        <v>0</v>
      </c>
      <c r="BX98" s="11">
        <v>0</v>
      </c>
      <c r="BY98" s="11">
        <v>0</v>
      </c>
      <c r="BZ98" s="11">
        <v>900</v>
      </c>
      <c r="CA98" s="11">
        <v>900</v>
      </c>
      <c r="CB98" s="11">
        <v>900</v>
      </c>
      <c r="CC98" s="11">
        <v>900</v>
      </c>
      <c r="CD98" s="11">
        <v>900</v>
      </c>
      <c r="CE98" s="11">
        <v>900</v>
      </c>
      <c r="CF98" s="11">
        <v>900</v>
      </c>
      <c r="CG98" s="11">
        <v>900</v>
      </c>
      <c r="CH98" s="11">
        <v>900</v>
      </c>
    </row>
    <row r="99" spans="1:86" x14ac:dyDescent="0.2">
      <c r="A99" s="25" t="s">
        <v>179</v>
      </c>
      <c r="B99" s="11">
        <v>100</v>
      </c>
      <c r="C99" s="11">
        <v>100</v>
      </c>
      <c r="D99" s="11">
        <v>100</v>
      </c>
      <c r="E99" s="11">
        <v>100</v>
      </c>
      <c r="F99" s="11">
        <v>100</v>
      </c>
      <c r="G99" s="11">
        <v>100</v>
      </c>
      <c r="H99" s="11">
        <v>100</v>
      </c>
      <c r="I99" s="11">
        <v>100</v>
      </c>
      <c r="J99" s="11">
        <v>100</v>
      </c>
      <c r="K99" s="11">
        <v>100</v>
      </c>
      <c r="L99" s="11">
        <v>100</v>
      </c>
      <c r="M99" s="11">
        <v>100</v>
      </c>
      <c r="N99" s="11">
        <v>100</v>
      </c>
      <c r="O99" s="11">
        <v>100</v>
      </c>
      <c r="P99" s="11">
        <v>100</v>
      </c>
      <c r="Q99" s="11">
        <v>100</v>
      </c>
      <c r="R99" s="11">
        <v>100</v>
      </c>
      <c r="S99" s="11">
        <v>100</v>
      </c>
      <c r="T99" s="11">
        <v>100</v>
      </c>
      <c r="U99" s="11">
        <v>100</v>
      </c>
      <c r="V99" s="11">
        <v>100</v>
      </c>
      <c r="W99" s="11">
        <v>100</v>
      </c>
      <c r="X99" s="11">
        <v>100</v>
      </c>
      <c r="Y99" s="11">
        <v>100</v>
      </c>
      <c r="Z99" s="11">
        <v>100</v>
      </c>
      <c r="AA99" s="11">
        <v>100</v>
      </c>
      <c r="AB99" s="11">
        <v>100</v>
      </c>
      <c r="AC99" s="11">
        <v>100</v>
      </c>
      <c r="AD99" s="11">
        <v>100</v>
      </c>
      <c r="AE99" s="11">
        <v>100</v>
      </c>
      <c r="AF99" s="11">
        <v>100</v>
      </c>
      <c r="AG99" s="11">
        <v>100</v>
      </c>
      <c r="AH99" s="11">
        <v>100</v>
      </c>
      <c r="AI99" s="11">
        <v>100</v>
      </c>
      <c r="AJ99" s="11">
        <v>100</v>
      </c>
      <c r="AK99" s="11">
        <v>100</v>
      </c>
      <c r="AL99" s="11">
        <v>100</v>
      </c>
      <c r="AM99" s="11">
        <v>100</v>
      </c>
      <c r="AN99" s="11">
        <v>100</v>
      </c>
      <c r="AO99" s="11">
        <v>100</v>
      </c>
      <c r="AP99" s="11">
        <v>100</v>
      </c>
      <c r="AQ99" s="11">
        <v>100</v>
      </c>
      <c r="AR99" s="11">
        <v>100</v>
      </c>
      <c r="AS99" s="11">
        <v>100</v>
      </c>
      <c r="AT99" s="11">
        <v>100</v>
      </c>
      <c r="AU99" s="11">
        <v>100</v>
      </c>
      <c r="AV99" s="11">
        <v>100</v>
      </c>
      <c r="AW99" s="11">
        <v>100</v>
      </c>
      <c r="AX99" s="11">
        <v>100</v>
      </c>
      <c r="AY99" s="11">
        <v>100</v>
      </c>
      <c r="AZ99" s="11">
        <v>100</v>
      </c>
      <c r="BA99" s="11">
        <v>100</v>
      </c>
      <c r="BB99" s="11">
        <v>100</v>
      </c>
      <c r="BC99" s="11">
        <v>100</v>
      </c>
      <c r="BD99" s="11">
        <v>100</v>
      </c>
      <c r="BE99" s="11">
        <v>100</v>
      </c>
      <c r="BF99" s="11">
        <v>100</v>
      </c>
      <c r="BG99" s="11">
        <v>100</v>
      </c>
      <c r="BH99" s="11">
        <v>100</v>
      </c>
      <c r="BI99" s="11">
        <v>100</v>
      </c>
      <c r="BJ99" s="11">
        <v>100</v>
      </c>
      <c r="BK99" s="11">
        <v>100</v>
      </c>
      <c r="BL99" s="11">
        <v>100</v>
      </c>
      <c r="BM99" s="11">
        <v>100</v>
      </c>
      <c r="BN99" s="11">
        <v>100</v>
      </c>
      <c r="BO99" s="11">
        <v>100</v>
      </c>
      <c r="BP99" s="11">
        <v>100</v>
      </c>
      <c r="BQ99" s="11">
        <v>100</v>
      </c>
      <c r="BR99" s="11">
        <v>100</v>
      </c>
      <c r="BS99" s="11">
        <v>100</v>
      </c>
      <c r="BT99" s="11">
        <v>100</v>
      </c>
      <c r="BU99" s="11">
        <v>100</v>
      </c>
      <c r="BV99" s="11">
        <v>100</v>
      </c>
      <c r="BW99" s="11">
        <v>100</v>
      </c>
      <c r="BX99" s="11">
        <v>100</v>
      </c>
      <c r="BY99" s="11">
        <v>100</v>
      </c>
      <c r="BZ99" s="11">
        <v>100</v>
      </c>
      <c r="CA99" s="11">
        <v>100</v>
      </c>
      <c r="CB99" s="11">
        <v>100</v>
      </c>
      <c r="CC99" s="11">
        <v>100</v>
      </c>
      <c r="CD99" s="11">
        <v>100</v>
      </c>
      <c r="CE99" s="11">
        <v>100</v>
      </c>
      <c r="CF99" s="11">
        <v>100</v>
      </c>
      <c r="CG99" s="11">
        <v>100</v>
      </c>
      <c r="CH99" s="11">
        <v>100</v>
      </c>
    </row>
    <row r="100" spans="1:86" x14ac:dyDescent="0.2">
      <c r="A100" s="14" t="s">
        <v>180</v>
      </c>
      <c r="B100" s="15">
        <f t="shared" ref="B100:AG100" si="69">SUM(B97:B99)</f>
        <v>850</v>
      </c>
      <c r="C100" s="15">
        <f t="shared" si="69"/>
        <v>850</v>
      </c>
      <c r="D100" s="15">
        <f t="shared" si="69"/>
        <v>850</v>
      </c>
      <c r="E100" s="15">
        <f t="shared" si="69"/>
        <v>850</v>
      </c>
      <c r="F100" s="15">
        <f t="shared" si="69"/>
        <v>850</v>
      </c>
      <c r="G100" s="15">
        <f t="shared" si="69"/>
        <v>850</v>
      </c>
      <c r="H100" s="15">
        <f t="shared" si="69"/>
        <v>850</v>
      </c>
      <c r="I100" s="15">
        <f t="shared" si="69"/>
        <v>850</v>
      </c>
      <c r="J100" s="15">
        <f t="shared" si="69"/>
        <v>850</v>
      </c>
      <c r="K100" s="15">
        <f t="shared" si="69"/>
        <v>100</v>
      </c>
      <c r="L100" s="15">
        <f t="shared" si="69"/>
        <v>100</v>
      </c>
      <c r="M100" s="15">
        <f t="shared" si="69"/>
        <v>100</v>
      </c>
      <c r="N100" s="15">
        <f t="shared" si="69"/>
        <v>100</v>
      </c>
      <c r="O100" s="15">
        <f t="shared" si="69"/>
        <v>880</v>
      </c>
      <c r="P100" s="15">
        <f t="shared" si="69"/>
        <v>880</v>
      </c>
      <c r="Q100" s="15">
        <f t="shared" si="69"/>
        <v>880</v>
      </c>
      <c r="R100" s="15">
        <f t="shared" si="69"/>
        <v>880</v>
      </c>
      <c r="S100" s="15">
        <f t="shared" si="69"/>
        <v>880</v>
      </c>
      <c r="T100" s="15">
        <f t="shared" si="69"/>
        <v>880</v>
      </c>
      <c r="U100" s="15">
        <f t="shared" si="69"/>
        <v>880</v>
      </c>
      <c r="V100" s="15">
        <f t="shared" si="69"/>
        <v>880</v>
      </c>
      <c r="W100" s="15">
        <f t="shared" si="69"/>
        <v>880</v>
      </c>
      <c r="X100" s="15">
        <f t="shared" si="69"/>
        <v>880</v>
      </c>
      <c r="Y100" s="15">
        <f t="shared" si="69"/>
        <v>100</v>
      </c>
      <c r="Z100" s="15">
        <f t="shared" si="69"/>
        <v>100</v>
      </c>
      <c r="AA100" s="15">
        <f t="shared" si="69"/>
        <v>100</v>
      </c>
      <c r="AB100" s="15">
        <f t="shared" si="69"/>
        <v>930</v>
      </c>
      <c r="AC100" s="15">
        <f t="shared" si="69"/>
        <v>930</v>
      </c>
      <c r="AD100" s="15">
        <f t="shared" si="69"/>
        <v>930</v>
      </c>
      <c r="AE100" s="15">
        <f t="shared" si="69"/>
        <v>930</v>
      </c>
      <c r="AF100" s="15">
        <f t="shared" si="69"/>
        <v>930</v>
      </c>
      <c r="AG100" s="15">
        <f t="shared" si="69"/>
        <v>930</v>
      </c>
      <c r="AH100" s="15">
        <f t="shared" ref="AH100:BM100" si="70">SUM(AH97:AH99)</f>
        <v>100</v>
      </c>
      <c r="AI100" s="15">
        <f t="shared" si="70"/>
        <v>100</v>
      </c>
      <c r="AJ100" s="15">
        <f t="shared" si="70"/>
        <v>100</v>
      </c>
      <c r="AK100" s="15">
        <f t="shared" si="70"/>
        <v>100</v>
      </c>
      <c r="AL100" s="15">
        <f t="shared" si="70"/>
        <v>100</v>
      </c>
      <c r="AM100" s="15">
        <f t="shared" si="70"/>
        <v>100</v>
      </c>
      <c r="AN100" s="15">
        <f t="shared" si="70"/>
        <v>100</v>
      </c>
      <c r="AO100" s="15">
        <f t="shared" si="70"/>
        <v>990</v>
      </c>
      <c r="AP100" s="15">
        <f t="shared" si="70"/>
        <v>990</v>
      </c>
      <c r="AQ100" s="15">
        <f t="shared" si="70"/>
        <v>990</v>
      </c>
      <c r="AR100" s="15">
        <f t="shared" si="70"/>
        <v>990</v>
      </c>
      <c r="AS100" s="15">
        <f t="shared" si="70"/>
        <v>990</v>
      </c>
      <c r="AT100" s="15">
        <f t="shared" si="70"/>
        <v>990</v>
      </c>
      <c r="AU100" s="15">
        <f t="shared" si="70"/>
        <v>100</v>
      </c>
      <c r="AV100" s="15">
        <f t="shared" si="70"/>
        <v>100</v>
      </c>
      <c r="AW100" s="15">
        <f t="shared" si="70"/>
        <v>100</v>
      </c>
      <c r="AX100" s="15">
        <f t="shared" si="70"/>
        <v>16345</v>
      </c>
      <c r="AY100" s="15">
        <f t="shared" si="70"/>
        <v>100</v>
      </c>
      <c r="AZ100" s="15">
        <f t="shared" si="70"/>
        <v>-500</v>
      </c>
      <c r="BA100" s="15">
        <f t="shared" si="70"/>
        <v>1010</v>
      </c>
      <c r="BB100" s="15">
        <f t="shared" si="70"/>
        <v>1010</v>
      </c>
      <c r="BC100" s="15">
        <f t="shared" si="70"/>
        <v>1010</v>
      </c>
      <c r="BD100" s="15">
        <f t="shared" si="70"/>
        <v>1392.35</v>
      </c>
      <c r="BE100" s="15">
        <f t="shared" si="70"/>
        <v>1010</v>
      </c>
      <c r="BF100" s="15">
        <f t="shared" si="70"/>
        <v>1010</v>
      </c>
      <c r="BG100" s="15">
        <f t="shared" si="70"/>
        <v>1010</v>
      </c>
      <c r="BH100" s="15">
        <f t="shared" si="70"/>
        <v>1010</v>
      </c>
      <c r="BI100" s="15">
        <f t="shared" si="70"/>
        <v>1010</v>
      </c>
      <c r="BJ100" s="15">
        <f t="shared" si="70"/>
        <v>100</v>
      </c>
      <c r="BK100" s="15">
        <f t="shared" si="70"/>
        <v>259</v>
      </c>
      <c r="BL100" s="15">
        <f t="shared" si="70"/>
        <v>100</v>
      </c>
      <c r="BM100" s="15">
        <f t="shared" si="70"/>
        <v>100</v>
      </c>
      <c r="BN100" s="15">
        <f t="shared" ref="BN100:CS100" si="71">SUM(BN97:BN99)</f>
        <v>980</v>
      </c>
      <c r="BO100" s="15">
        <f t="shared" si="71"/>
        <v>980</v>
      </c>
      <c r="BP100" s="15">
        <f t="shared" si="71"/>
        <v>980</v>
      </c>
      <c r="BQ100" s="15">
        <f t="shared" si="71"/>
        <v>980</v>
      </c>
      <c r="BR100" s="15">
        <f t="shared" si="71"/>
        <v>1094</v>
      </c>
      <c r="BS100" s="15">
        <f t="shared" si="71"/>
        <v>100</v>
      </c>
      <c r="BT100" s="15">
        <f t="shared" si="71"/>
        <v>100</v>
      </c>
      <c r="BU100" s="15">
        <f t="shared" si="71"/>
        <v>100</v>
      </c>
      <c r="BV100" s="15">
        <f t="shared" si="71"/>
        <v>100</v>
      </c>
      <c r="BW100" s="15">
        <f t="shared" si="71"/>
        <v>1046.94</v>
      </c>
      <c r="BX100" s="15">
        <f t="shared" si="71"/>
        <v>100</v>
      </c>
      <c r="BY100" s="15">
        <f t="shared" si="71"/>
        <v>100</v>
      </c>
      <c r="BZ100" s="15">
        <f t="shared" si="71"/>
        <v>1000</v>
      </c>
      <c r="CA100" s="15">
        <f t="shared" si="71"/>
        <v>840</v>
      </c>
      <c r="CB100" s="15">
        <f t="shared" si="71"/>
        <v>840</v>
      </c>
      <c r="CC100" s="15">
        <f t="shared" si="71"/>
        <v>840</v>
      </c>
      <c r="CD100" s="15">
        <f t="shared" si="71"/>
        <v>1000</v>
      </c>
      <c r="CE100" s="15">
        <f t="shared" si="71"/>
        <v>1000</v>
      </c>
      <c r="CF100" s="15">
        <f t="shared" si="71"/>
        <v>1000</v>
      </c>
      <c r="CG100" s="15">
        <f t="shared" si="71"/>
        <v>2668</v>
      </c>
      <c r="CH100" s="15">
        <f t="shared" si="71"/>
        <v>2668</v>
      </c>
    </row>
    <row r="101" spans="1:86" x14ac:dyDescent="0.2">
      <c r="A101" s="17" t="s">
        <v>181</v>
      </c>
      <c r="B101" s="18">
        <f t="shared" ref="B101:AG101" si="72">0+B95+B100</f>
        <v>8969.2000000000007</v>
      </c>
      <c r="C101" s="18">
        <f t="shared" si="72"/>
        <v>8969.2000000000007</v>
      </c>
      <c r="D101" s="18">
        <f t="shared" si="72"/>
        <v>8969.2000000000007</v>
      </c>
      <c r="E101" s="18">
        <f t="shared" si="72"/>
        <v>8969.2000000000007</v>
      </c>
      <c r="F101" s="18">
        <f t="shared" si="72"/>
        <v>8969.2000000000007</v>
      </c>
      <c r="G101" s="18">
        <f t="shared" si="72"/>
        <v>8969.2000000000007</v>
      </c>
      <c r="H101" s="18">
        <f t="shared" si="72"/>
        <v>8969.2000000000007</v>
      </c>
      <c r="I101" s="18">
        <f t="shared" si="72"/>
        <v>8969.2000000000007</v>
      </c>
      <c r="J101" s="18">
        <f t="shared" si="72"/>
        <v>8969.2000000000007</v>
      </c>
      <c r="K101" s="18">
        <f t="shared" si="72"/>
        <v>8219.2000000000007</v>
      </c>
      <c r="L101" s="18">
        <f t="shared" si="72"/>
        <v>100</v>
      </c>
      <c r="M101" s="18">
        <f t="shared" si="72"/>
        <v>100</v>
      </c>
      <c r="N101" s="18">
        <f t="shared" si="72"/>
        <v>100</v>
      </c>
      <c r="O101" s="18">
        <f t="shared" si="72"/>
        <v>895</v>
      </c>
      <c r="P101" s="18">
        <f t="shared" si="72"/>
        <v>895</v>
      </c>
      <c r="Q101" s="18">
        <f t="shared" si="72"/>
        <v>895</v>
      </c>
      <c r="R101" s="18">
        <f t="shared" si="72"/>
        <v>895</v>
      </c>
      <c r="S101" s="18">
        <f t="shared" si="72"/>
        <v>895</v>
      </c>
      <c r="T101" s="18">
        <f t="shared" si="72"/>
        <v>895</v>
      </c>
      <c r="U101" s="18">
        <f t="shared" si="72"/>
        <v>895</v>
      </c>
      <c r="V101" s="18">
        <f t="shared" si="72"/>
        <v>895</v>
      </c>
      <c r="W101" s="18">
        <f t="shared" si="72"/>
        <v>895</v>
      </c>
      <c r="X101" s="18">
        <f t="shared" si="72"/>
        <v>895</v>
      </c>
      <c r="Y101" s="18">
        <f t="shared" si="72"/>
        <v>100</v>
      </c>
      <c r="Z101" s="18">
        <f t="shared" si="72"/>
        <v>100</v>
      </c>
      <c r="AA101" s="18">
        <f t="shared" si="72"/>
        <v>100</v>
      </c>
      <c r="AB101" s="18">
        <f t="shared" si="72"/>
        <v>2435.33</v>
      </c>
      <c r="AC101" s="18">
        <f t="shared" si="72"/>
        <v>2435.33</v>
      </c>
      <c r="AD101" s="18">
        <f t="shared" si="72"/>
        <v>2435.33</v>
      </c>
      <c r="AE101" s="18">
        <f t="shared" si="72"/>
        <v>2435.33</v>
      </c>
      <c r="AF101" s="18">
        <f t="shared" si="72"/>
        <v>2435.33</v>
      </c>
      <c r="AG101" s="18">
        <f t="shared" si="72"/>
        <v>2435.33</v>
      </c>
      <c r="AH101" s="18">
        <f t="shared" ref="AH101:BM101" si="73">0+AH95+AH100</f>
        <v>775</v>
      </c>
      <c r="AI101" s="18">
        <f t="shared" si="73"/>
        <v>775</v>
      </c>
      <c r="AJ101" s="18">
        <f t="shared" si="73"/>
        <v>100</v>
      </c>
      <c r="AK101" s="18">
        <f t="shared" si="73"/>
        <v>100</v>
      </c>
      <c r="AL101" s="18">
        <f t="shared" si="73"/>
        <v>100</v>
      </c>
      <c r="AM101" s="18">
        <f t="shared" si="73"/>
        <v>100</v>
      </c>
      <c r="AN101" s="18">
        <f t="shared" si="73"/>
        <v>100</v>
      </c>
      <c r="AO101" s="18">
        <f t="shared" si="73"/>
        <v>990</v>
      </c>
      <c r="AP101" s="18">
        <f t="shared" si="73"/>
        <v>990</v>
      </c>
      <c r="AQ101" s="18">
        <f t="shared" si="73"/>
        <v>990</v>
      </c>
      <c r="AR101" s="18">
        <f t="shared" si="73"/>
        <v>990</v>
      </c>
      <c r="AS101" s="18">
        <f t="shared" si="73"/>
        <v>990</v>
      </c>
      <c r="AT101" s="18">
        <f t="shared" si="73"/>
        <v>990</v>
      </c>
      <c r="AU101" s="18">
        <f t="shared" si="73"/>
        <v>100</v>
      </c>
      <c r="AV101" s="18">
        <f t="shared" si="73"/>
        <v>100</v>
      </c>
      <c r="AW101" s="18">
        <f t="shared" si="73"/>
        <v>100</v>
      </c>
      <c r="AX101" s="18">
        <f t="shared" si="73"/>
        <v>16345</v>
      </c>
      <c r="AY101" s="18">
        <f t="shared" si="73"/>
        <v>100</v>
      </c>
      <c r="AZ101" s="18">
        <f t="shared" si="73"/>
        <v>-500</v>
      </c>
      <c r="BA101" s="18">
        <f t="shared" si="73"/>
        <v>2364</v>
      </c>
      <c r="BB101" s="18">
        <f t="shared" si="73"/>
        <v>2364</v>
      </c>
      <c r="BC101" s="18">
        <f t="shared" si="73"/>
        <v>2364</v>
      </c>
      <c r="BD101" s="18">
        <f t="shared" si="73"/>
        <v>2746.35</v>
      </c>
      <c r="BE101" s="18">
        <f t="shared" si="73"/>
        <v>2364</v>
      </c>
      <c r="BF101" s="18">
        <f t="shared" si="73"/>
        <v>2364</v>
      </c>
      <c r="BG101" s="18">
        <f t="shared" si="73"/>
        <v>2364</v>
      </c>
      <c r="BH101" s="18">
        <f t="shared" si="73"/>
        <v>2364</v>
      </c>
      <c r="BI101" s="18">
        <f t="shared" si="73"/>
        <v>2364</v>
      </c>
      <c r="BJ101" s="18">
        <f t="shared" si="73"/>
        <v>100</v>
      </c>
      <c r="BK101" s="18">
        <f t="shared" si="73"/>
        <v>259</v>
      </c>
      <c r="BL101" s="18">
        <f t="shared" si="73"/>
        <v>100</v>
      </c>
      <c r="BM101" s="18">
        <f t="shared" si="73"/>
        <v>100</v>
      </c>
      <c r="BN101" s="18">
        <f t="shared" ref="BN101:CS101" si="74">0+BN95+BN100</f>
        <v>980</v>
      </c>
      <c r="BO101" s="18">
        <f t="shared" si="74"/>
        <v>980</v>
      </c>
      <c r="BP101" s="18">
        <f t="shared" si="74"/>
        <v>980</v>
      </c>
      <c r="BQ101" s="18">
        <f t="shared" si="74"/>
        <v>980</v>
      </c>
      <c r="BR101" s="18">
        <f t="shared" si="74"/>
        <v>1094</v>
      </c>
      <c r="BS101" s="18">
        <f t="shared" si="74"/>
        <v>100</v>
      </c>
      <c r="BT101" s="18">
        <f t="shared" si="74"/>
        <v>100</v>
      </c>
      <c r="BU101" s="18">
        <f t="shared" si="74"/>
        <v>100</v>
      </c>
      <c r="BV101" s="18">
        <f t="shared" si="74"/>
        <v>100</v>
      </c>
      <c r="BW101" s="18">
        <f t="shared" si="74"/>
        <v>1046.94</v>
      </c>
      <c r="BX101" s="18">
        <f t="shared" si="74"/>
        <v>100</v>
      </c>
      <c r="BY101" s="18">
        <f t="shared" si="74"/>
        <v>100</v>
      </c>
      <c r="BZ101" s="18">
        <f t="shared" si="74"/>
        <v>2324.77</v>
      </c>
      <c r="CA101" s="18">
        <f t="shared" si="74"/>
        <v>2164.77</v>
      </c>
      <c r="CB101" s="18">
        <f t="shared" si="74"/>
        <v>2164.77</v>
      </c>
      <c r="CC101" s="18">
        <f t="shared" si="74"/>
        <v>2164.77</v>
      </c>
      <c r="CD101" s="18">
        <f t="shared" si="74"/>
        <v>2324.77</v>
      </c>
      <c r="CE101" s="18">
        <f t="shared" si="74"/>
        <v>2324.77</v>
      </c>
      <c r="CF101" s="18">
        <f t="shared" si="74"/>
        <v>2324.77</v>
      </c>
      <c r="CG101" s="18">
        <f t="shared" si="74"/>
        <v>3992.77</v>
      </c>
      <c r="CH101" s="18">
        <f t="shared" si="74"/>
        <v>3992.77</v>
      </c>
    </row>
    <row r="102" spans="1:86" x14ac:dyDescent="0.2">
      <c r="A102" s="19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</row>
    <row r="103" spans="1:86" ht="12" x14ac:dyDescent="0.2">
      <c r="A103" s="5" t="s">
        <v>182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</row>
    <row r="104" spans="1:86" x14ac:dyDescent="0.2">
      <c r="A104" s="7" t="s">
        <v>183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</row>
    <row r="105" spans="1:86" x14ac:dyDescent="0.2">
      <c r="A105" s="25" t="s">
        <v>184</v>
      </c>
      <c r="B105" s="11">
        <v>4734.74</v>
      </c>
      <c r="C105" s="11">
        <v>0</v>
      </c>
      <c r="D105" s="11">
        <v>-4290.47</v>
      </c>
      <c r="E105" s="11">
        <v>-4321.3</v>
      </c>
      <c r="F105" s="11">
        <v>-4315.83</v>
      </c>
      <c r="G105" s="11">
        <v>-3440.45</v>
      </c>
      <c r="H105" s="11">
        <v>-4284.54</v>
      </c>
      <c r="I105" s="11">
        <v>26972.85</v>
      </c>
      <c r="J105" s="11">
        <v>-4134.0600000000013</v>
      </c>
      <c r="K105" s="11">
        <v>682.49999999999909</v>
      </c>
      <c r="L105" s="11">
        <v>-4261.4100000000008</v>
      </c>
      <c r="M105" s="11">
        <v>-4122.5000000000009</v>
      </c>
      <c r="N105" s="11">
        <v>-4238.0800000000008</v>
      </c>
      <c r="O105" s="11">
        <v>-4236.3600000000006</v>
      </c>
      <c r="P105" s="11">
        <v>-9.0949470177292824E-13</v>
      </c>
      <c r="Q105" s="11">
        <v>295.7399999999991</v>
      </c>
      <c r="R105" s="11">
        <v>11.619999999999095</v>
      </c>
      <c r="S105" s="11">
        <v>11.619999999999095</v>
      </c>
      <c r="T105" s="11">
        <v>15.619999999999095</v>
      </c>
      <c r="U105" s="11">
        <v>18.279999999999095</v>
      </c>
      <c r="V105" s="11">
        <v>18.279999999999095</v>
      </c>
      <c r="W105" s="11">
        <v>282.2399999999991</v>
      </c>
      <c r="X105" s="11">
        <v>18.27999999999912</v>
      </c>
      <c r="Y105" s="11">
        <v>5323.5199999999986</v>
      </c>
      <c r="Z105" s="11">
        <v>8676.9399999999987</v>
      </c>
      <c r="AA105" s="11">
        <v>-18.380000000001019</v>
      </c>
      <c r="AB105" s="11">
        <v>24562.78</v>
      </c>
      <c r="AC105" s="11">
        <v>0</v>
      </c>
      <c r="AD105" s="11">
        <v>-24580.95</v>
      </c>
      <c r="AE105" s="11">
        <v>-24577.600000000002</v>
      </c>
      <c r="AF105" s="11">
        <v>-23243.86</v>
      </c>
      <c r="AG105" s="11">
        <v>-24127.53</v>
      </c>
      <c r="AH105" s="11">
        <v>-17825.169999999998</v>
      </c>
      <c r="AI105" s="11">
        <v>-23847</v>
      </c>
      <c r="AJ105" s="11">
        <v>-24555.97</v>
      </c>
      <c r="AK105" s="11">
        <v>-24555.97</v>
      </c>
      <c r="AL105" s="11">
        <v>-24555.97</v>
      </c>
      <c r="AM105" s="11">
        <v>-24555.97</v>
      </c>
      <c r="AN105" s="11">
        <v>-24555.97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1">
        <v>0</v>
      </c>
      <c r="CH105" s="11">
        <v>0</v>
      </c>
    </row>
    <row r="106" spans="1:86" x14ac:dyDescent="0.2">
      <c r="A106" s="25" t="s">
        <v>185</v>
      </c>
      <c r="B106" s="11">
        <v>0</v>
      </c>
      <c r="C106" s="11">
        <v>4734.74</v>
      </c>
      <c r="D106" s="11">
        <v>4734.74</v>
      </c>
      <c r="E106" s="11">
        <v>4734.74</v>
      </c>
      <c r="F106" s="11">
        <v>4734.74</v>
      </c>
      <c r="G106" s="11">
        <v>4734.74</v>
      </c>
      <c r="H106" s="11">
        <v>4734.74</v>
      </c>
      <c r="I106" s="11">
        <v>4734.74</v>
      </c>
      <c r="J106" s="11">
        <v>4734.74</v>
      </c>
      <c r="K106" s="11">
        <v>4734.74</v>
      </c>
      <c r="L106" s="11">
        <v>4734.74</v>
      </c>
      <c r="M106" s="11">
        <v>4734.74</v>
      </c>
      <c r="N106" s="11">
        <v>4734.74</v>
      </c>
      <c r="O106" s="11">
        <v>4734.74</v>
      </c>
      <c r="P106" s="11">
        <v>498.38000000000011</v>
      </c>
      <c r="Q106" s="11">
        <v>498.38000000000011</v>
      </c>
      <c r="R106" s="11">
        <v>498.38000000000011</v>
      </c>
      <c r="S106" s="11">
        <v>498.38000000000011</v>
      </c>
      <c r="T106" s="11">
        <v>498.38000000000011</v>
      </c>
      <c r="U106" s="11">
        <v>498.38000000000011</v>
      </c>
      <c r="V106" s="11">
        <v>498.38000000000011</v>
      </c>
      <c r="W106" s="11">
        <v>498.38000000000011</v>
      </c>
      <c r="X106" s="11">
        <v>498.38000000000011</v>
      </c>
      <c r="Y106" s="11">
        <v>498.38000000000011</v>
      </c>
      <c r="Z106" s="11">
        <v>498.38000000000011</v>
      </c>
      <c r="AA106" s="11">
        <v>498.38000000000011</v>
      </c>
      <c r="AB106" s="11">
        <v>498.38000000000011</v>
      </c>
      <c r="AC106" s="11">
        <v>25061.16</v>
      </c>
      <c r="AD106" s="11">
        <v>25061.16</v>
      </c>
      <c r="AE106" s="11">
        <v>25061.16</v>
      </c>
      <c r="AF106" s="11">
        <v>25061.16</v>
      </c>
      <c r="AG106" s="11">
        <v>25061.16</v>
      </c>
      <c r="AH106" s="11">
        <v>25061.16</v>
      </c>
      <c r="AI106" s="11">
        <v>25061.16</v>
      </c>
      <c r="AJ106" s="11">
        <v>25061.16</v>
      </c>
      <c r="AK106" s="11">
        <v>25052.52</v>
      </c>
      <c r="AL106" s="11">
        <v>25070.850000000002</v>
      </c>
      <c r="AM106" s="11">
        <v>25173.45</v>
      </c>
      <c r="AN106" s="11">
        <v>57233.760000000002</v>
      </c>
      <c r="AO106" s="11">
        <v>800.80000000000291</v>
      </c>
      <c r="AP106" s="11">
        <v>800.80000000000291</v>
      </c>
      <c r="AQ106" s="11">
        <v>2013.3000000000029</v>
      </c>
      <c r="AR106" s="11">
        <v>800.80000000000291</v>
      </c>
      <c r="AS106" s="11">
        <v>800.80000000000291</v>
      </c>
      <c r="AT106" s="11">
        <v>800.80000000000291</v>
      </c>
      <c r="AU106" s="11">
        <v>1050.8000000000029</v>
      </c>
      <c r="AV106" s="11">
        <v>1049.210000000003</v>
      </c>
      <c r="AW106" s="11">
        <v>800.80000000000302</v>
      </c>
      <c r="AX106" s="11">
        <v>1499.210000000003</v>
      </c>
      <c r="AY106" s="11">
        <v>813.77000000000294</v>
      </c>
      <c r="AZ106" s="11">
        <v>1952.3400000000029</v>
      </c>
      <c r="BA106" s="11">
        <v>781.84000000000287</v>
      </c>
      <c r="BB106" s="11">
        <v>781.84000000000287</v>
      </c>
      <c r="BC106" s="11">
        <v>9894.9000000000015</v>
      </c>
      <c r="BD106" s="11">
        <v>20506.350000000002</v>
      </c>
      <c r="BE106" s="11">
        <v>842.61000000000058</v>
      </c>
      <c r="BF106" s="11">
        <v>829.33000000000061</v>
      </c>
      <c r="BG106" s="11">
        <v>821.60000000000059</v>
      </c>
      <c r="BH106" s="11">
        <v>829.33000000000061</v>
      </c>
      <c r="BI106" s="11">
        <v>9922.58</v>
      </c>
      <c r="BJ106" s="11">
        <v>4323.9399999999996</v>
      </c>
      <c r="BK106" s="11">
        <v>1044.2499999999995</v>
      </c>
      <c r="BL106" s="11">
        <v>12897.23</v>
      </c>
      <c r="BM106" s="11">
        <v>1776.7999999999993</v>
      </c>
      <c r="BN106" s="11">
        <v>826.79999999999927</v>
      </c>
      <c r="BO106" s="11">
        <v>11128.91</v>
      </c>
      <c r="BP106" s="11">
        <v>829.79999999999927</v>
      </c>
      <c r="BQ106" s="11">
        <v>849.32999999999925</v>
      </c>
      <c r="BR106" s="11">
        <v>36618.47</v>
      </c>
      <c r="BS106" s="11">
        <v>1801.6699999999983</v>
      </c>
      <c r="BT106" s="11">
        <v>863.99999999999829</v>
      </c>
      <c r="BU106" s="11">
        <v>12643.479999999998</v>
      </c>
      <c r="BV106" s="11">
        <v>878.07999999999811</v>
      </c>
      <c r="BW106" s="11">
        <v>1546.5999999999981</v>
      </c>
      <c r="BX106" s="11">
        <v>12680.64</v>
      </c>
      <c r="BY106" s="11">
        <v>9754.2199999999993</v>
      </c>
      <c r="BZ106" s="11">
        <v>910.79999999999927</v>
      </c>
      <c r="CA106" s="11">
        <v>61518.25</v>
      </c>
      <c r="CB106" s="11">
        <v>913.58000000000175</v>
      </c>
      <c r="CC106" s="11">
        <v>1146.9900000000018</v>
      </c>
      <c r="CD106" s="11">
        <v>47027.270000000004</v>
      </c>
      <c r="CE106" s="11">
        <v>1345.3400000000038</v>
      </c>
      <c r="CF106" s="11">
        <v>985.6800000000037</v>
      </c>
      <c r="CG106" s="11">
        <v>13172.850000000004</v>
      </c>
      <c r="CH106" s="11">
        <v>3.637978807091713E-12</v>
      </c>
    </row>
    <row r="107" spans="1:86" x14ac:dyDescent="0.2">
      <c r="A107" s="14" t="s">
        <v>186</v>
      </c>
      <c r="B107" s="15">
        <f t="shared" ref="B107:AG107" si="75">SUM(B105:B106)</f>
        <v>4734.74</v>
      </c>
      <c r="C107" s="15">
        <f t="shared" si="75"/>
        <v>4734.74</v>
      </c>
      <c r="D107" s="15">
        <f t="shared" si="75"/>
        <v>444.26999999999953</v>
      </c>
      <c r="E107" s="15">
        <f t="shared" si="75"/>
        <v>413.4399999999996</v>
      </c>
      <c r="F107" s="15">
        <f t="shared" si="75"/>
        <v>418.90999999999985</v>
      </c>
      <c r="G107" s="15">
        <f t="shared" si="75"/>
        <v>1294.29</v>
      </c>
      <c r="H107" s="15">
        <f t="shared" si="75"/>
        <v>450.19999999999982</v>
      </c>
      <c r="I107" s="15">
        <f t="shared" si="75"/>
        <v>31707.589999999997</v>
      </c>
      <c r="J107" s="15">
        <f t="shared" si="75"/>
        <v>600.67999999999847</v>
      </c>
      <c r="K107" s="15">
        <f t="shared" si="75"/>
        <v>5417.2399999999989</v>
      </c>
      <c r="L107" s="15">
        <f t="shared" si="75"/>
        <v>473.32999999999902</v>
      </c>
      <c r="M107" s="15">
        <f t="shared" si="75"/>
        <v>612.23999999999887</v>
      </c>
      <c r="N107" s="15">
        <f t="shared" si="75"/>
        <v>496.65999999999894</v>
      </c>
      <c r="O107" s="15">
        <f t="shared" si="75"/>
        <v>498.3799999999992</v>
      </c>
      <c r="P107" s="15">
        <f t="shared" si="75"/>
        <v>498.3799999999992</v>
      </c>
      <c r="Q107" s="15">
        <f t="shared" si="75"/>
        <v>794.11999999999921</v>
      </c>
      <c r="R107" s="15">
        <f t="shared" si="75"/>
        <v>509.9999999999992</v>
      </c>
      <c r="S107" s="15">
        <f t="shared" si="75"/>
        <v>509.9999999999992</v>
      </c>
      <c r="T107" s="15">
        <f t="shared" si="75"/>
        <v>513.9999999999992</v>
      </c>
      <c r="U107" s="15">
        <f t="shared" si="75"/>
        <v>516.65999999999917</v>
      </c>
      <c r="V107" s="15">
        <f t="shared" si="75"/>
        <v>516.65999999999917</v>
      </c>
      <c r="W107" s="15">
        <f t="shared" si="75"/>
        <v>780.61999999999921</v>
      </c>
      <c r="X107" s="15">
        <f t="shared" si="75"/>
        <v>516.65999999999917</v>
      </c>
      <c r="Y107" s="15">
        <f t="shared" si="75"/>
        <v>5821.8999999999987</v>
      </c>
      <c r="Z107" s="15">
        <f t="shared" si="75"/>
        <v>9175.32</v>
      </c>
      <c r="AA107" s="15">
        <f t="shared" si="75"/>
        <v>479.99999999999909</v>
      </c>
      <c r="AB107" s="15">
        <f t="shared" si="75"/>
        <v>25061.16</v>
      </c>
      <c r="AC107" s="15">
        <f t="shared" si="75"/>
        <v>25061.16</v>
      </c>
      <c r="AD107" s="15">
        <f t="shared" si="75"/>
        <v>480.20999999999913</v>
      </c>
      <c r="AE107" s="15">
        <f t="shared" si="75"/>
        <v>483.55999999999767</v>
      </c>
      <c r="AF107" s="15">
        <f t="shared" si="75"/>
        <v>1817.2999999999993</v>
      </c>
      <c r="AG107" s="15">
        <f t="shared" si="75"/>
        <v>933.63000000000102</v>
      </c>
      <c r="AH107" s="15">
        <f t="shared" ref="AH107:BM107" si="76">SUM(AH105:AH106)</f>
        <v>7235.9900000000016</v>
      </c>
      <c r="AI107" s="15">
        <f t="shared" si="76"/>
        <v>1214.1599999999999</v>
      </c>
      <c r="AJ107" s="15">
        <f t="shared" si="76"/>
        <v>505.18999999999869</v>
      </c>
      <c r="AK107" s="15">
        <f t="shared" si="76"/>
        <v>496.54999999999927</v>
      </c>
      <c r="AL107" s="15">
        <f t="shared" si="76"/>
        <v>514.88000000000102</v>
      </c>
      <c r="AM107" s="15">
        <f t="shared" si="76"/>
        <v>617.47999999999956</v>
      </c>
      <c r="AN107" s="15">
        <f t="shared" si="76"/>
        <v>32677.79</v>
      </c>
      <c r="AO107" s="15">
        <f t="shared" si="76"/>
        <v>800.80000000000291</v>
      </c>
      <c r="AP107" s="15">
        <f t="shared" si="76"/>
        <v>800.80000000000291</v>
      </c>
      <c r="AQ107" s="15">
        <f t="shared" si="76"/>
        <v>2013.3000000000029</v>
      </c>
      <c r="AR107" s="15">
        <f t="shared" si="76"/>
        <v>800.80000000000291</v>
      </c>
      <c r="AS107" s="15">
        <f t="shared" si="76"/>
        <v>800.80000000000291</v>
      </c>
      <c r="AT107" s="15">
        <f t="shared" si="76"/>
        <v>800.80000000000291</v>
      </c>
      <c r="AU107" s="15">
        <f t="shared" si="76"/>
        <v>1050.8000000000029</v>
      </c>
      <c r="AV107" s="15">
        <f t="shared" si="76"/>
        <v>1049.210000000003</v>
      </c>
      <c r="AW107" s="15">
        <f t="shared" si="76"/>
        <v>800.80000000000302</v>
      </c>
      <c r="AX107" s="15">
        <f t="shared" si="76"/>
        <v>1499.210000000003</v>
      </c>
      <c r="AY107" s="15">
        <f t="shared" si="76"/>
        <v>813.77000000000294</v>
      </c>
      <c r="AZ107" s="15">
        <f t="shared" si="76"/>
        <v>1952.3400000000029</v>
      </c>
      <c r="BA107" s="15">
        <f t="shared" si="76"/>
        <v>781.84000000000287</v>
      </c>
      <c r="BB107" s="15">
        <f t="shared" si="76"/>
        <v>781.84000000000287</v>
      </c>
      <c r="BC107" s="15">
        <f t="shared" si="76"/>
        <v>9894.9000000000015</v>
      </c>
      <c r="BD107" s="15">
        <f t="shared" si="76"/>
        <v>20506.350000000002</v>
      </c>
      <c r="BE107" s="15">
        <f t="shared" si="76"/>
        <v>842.61000000000058</v>
      </c>
      <c r="BF107" s="15">
        <f t="shared" si="76"/>
        <v>829.33000000000061</v>
      </c>
      <c r="BG107" s="15">
        <f t="shared" si="76"/>
        <v>821.60000000000059</v>
      </c>
      <c r="BH107" s="15">
        <f t="shared" si="76"/>
        <v>829.33000000000061</v>
      </c>
      <c r="BI107" s="15">
        <f t="shared" si="76"/>
        <v>9922.58</v>
      </c>
      <c r="BJ107" s="15">
        <f t="shared" si="76"/>
        <v>4323.9399999999996</v>
      </c>
      <c r="BK107" s="15">
        <f t="shared" si="76"/>
        <v>1044.2499999999995</v>
      </c>
      <c r="BL107" s="15">
        <f t="shared" si="76"/>
        <v>12897.23</v>
      </c>
      <c r="BM107" s="15">
        <f t="shared" si="76"/>
        <v>1776.7999999999993</v>
      </c>
      <c r="BN107" s="15">
        <f t="shared" ref="BN107:CS107" si="77">SUM(BN105:BN106)</f>
        <v>826.79999999999927</v>
      </c>
      <c r="BO107" s="15">
        <f t="shared" si="77"/>
        <v>11128.91</v>
      </c>
      <c r="BP107" s="15">
        <f t="shared" si="77"/>
        <v>829.79999999999927</v>
      </c>
      <c r="BQ107" s="15">
        <f t="shared" si="77"/>
        <v>849.32999999999925</v>
      </c>
      <c r="BR107" s="15">
        <f t="shared" si="77"/>
        <v>36618.47</v>
      </c>
      <c r="BS107" s="15">
        <f t="shared" si="77"/>
        <v>1801.6699999999983</v>
      </c>
      <c r="BT107" s="15">
        <f t="shared" si="77"/>
        <v>863.99999999999829</v>
      </c>
      <c r="BU107" s="15">
        <f t="shared" si="77"/>
        <v>12643.479999999998</v>
      </c>
      <c r="BV107" s="15">
        <f t="shared" si="77"/>
        <v>878.07999999999811</v>
      </c>
      <c r="BW107" s="15">
        <f t="shared" si="77"/>
        <v>1546.5999999999981</v>
      </c>
      <c r="BX107" s="15">
        <f t="shared" si="77"/>
        <v>12680.64</v>
      </c>
      <c r="BY107" s="15">
        <f t="shared" si="77"/>
        <v>9754.2199999999993</v>
      </c>
      <c r="BZ107" s="15">
        <f t="shared" si="77"/>
        <v>910.79999999999927</v>
      </c>
      <c r="CA107" s="15">
        <f t="shared" si="77"/>
        <v>61518.25</v>
      </c>
      <c r="CB107" s="15">
        <f t="shared" si="77"/>
        <v>913.58000000000175</v>
      </c>
      <c r="CC107" s="15">
        <f t="shared" si="77"/>
        <v>1146.9900000000018</v>
      </c>
      <c r="CD107" s="15">
        <f t="shared" si="77"/>
        <v>47027.270000000004</v>
      </c>
      <c r="CE107" s="15">
        <f t="shared" si="77"/>
        <v>1345.3400000000038</v>
      </c>
      <c r="CF107" s="15">
        <f t="shared" si="77"/>
        <v>985.6800000000037</v>
      </c>
      <c r="CG107" s="15">
        <f t="shared" si="77"/>
        <v>13172.850000000004</v>
      </c>
      <c r="CH107" s="15">
        <f t="shared" si="77"/>
        <v>3.637978807091713E-12</v>
      </c>
    </row>
    <row r="108" spans="1:86" x14ac:dyDescent="0.2">
      <c r="A108" s="7" t="s">
        <v>187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</row>
    <row r="109" spans="1:86" x14ac:dyDescent="0.2">
      <c r="A109" s="25" t="s">
        <v>188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3204.92</v>
      </c>
      <c r="BV109" s="11">
        <v>0</v>
      </c>
      <c r="BW109" s="11">
        <v>0</v>
      </c>
      <c r="BX109" s="11">
        <v>0</v>
      </c>
      <c r="BY109" s="11">
        <v>0</v>
      </c>
      <c r="BZ109" s="11">
        <v>0</v>
      </c>
      <c r="CA109" s="11">
        <v>0</v>
      </c>
      <c r="CB109" s="11">
        <v>0</v>
      </c>
      <c r="CC109" s="11">
        <v>0</v>
      </c>
      <c r="CD109" s="11">
        <v>0</v>
      </c>
      <c r="CE109" s="11">
        <v>0</v>
      </c>
      <c r="CF109" s="11">
        <v>0</v>
      </c>
      <c r="CG109" s="11">
        <v>0</v>
      </c>
      <c r="CH109" s="11">
        <v>0</v>
      </c>
    </row>
    <row r="110" spans="1:86" x14ac:dyDescent="0.2">
      <c r="A110" s="25" t="s">
        <v>189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200000</v>
      </c>
      <c r="AP110" s="11">
        <v>200000</v>
      </c>
      <c r="AQ110" s="11">
        <v>200000</v>
      </c>
      <c r="AR110" s="11">
        <v>200000</v>
      </c>
      <c r="AS110" s="11">
        <v>200000</v>
      </c>
      <c r="AT110" s="11">
        <v>200000</v>
      </c>
      <c r="AU110" s="11">
        <v>200000</v>
      </c>
      <c r="AV110" s="11">
        <v>200000</v>
      </c>
      <c r="AW110" s="11">
        <v>200000</v>
      </c>
      <c r="AX110" s="11">
        <v>200000</v>
      </c>
      <c r="AY110" s="11">
        <v>200000</v>
      </c>
      <c r="AZ110" s="11">
        <v>200000</v>
      </c>
      <c r="BA110" s="11">
        <v>200000</v>
      </c>
      <c r="BB110" s="11">
        <v>200000</v>
      </c>
      <c r="BC110" s="11">
        <v>200000</v>
      </c>
      <c r="BD110" s="11">
        <v>200000</v>
      </c>
      <c r="BE110" s="11">
        <v>200000</v>
      </c>
      <c r="BF110" s="11">
        <v>200000</v>
      </c>
      <c r="BG110" s="11">
        <v>200000</v>
      </c>
      <c r="BH110" s="11">
        <v>200000</v>
      </c>
      <c r="BI110" s="11">
        <v>200000</v>
      </c>
      <c r="BJ110" s="11">
        <v>200000</v>
      </c>
      <c r="BK110" s="11">
        <v>200000</v>
      </c>
      <c r="BL110" s="11">
        <v>200000</v>
      </c>
      <c r="BM110" s="11">
        <v>200000</v>
      </c>
      <c r="BN110" s="11">
        <v>200000</v>
      </c>
      <c r="BO110" s="11">
        <v>200000</v>
      </c>
      <c r="BP110" s="11">
        <v>200000</v>
      </c>
      <c r="BQ110" s="11">
        <v>200000</v>
      </c>
      <c r="BR110" s="11">
        <v>200000</v>
      </c>
      <c r="BS110" s="11">
        <v>200000</v>
      </c>
      <c r="BT110" s="11">
        <v>200000</v>
      </c>
      <c r="BU110" s="11">
        <v>200000</v>
      </c>
      <c r="BV110" s="11">
        <v>0</v>
      </c>
      <c r="BW110" s="11">
        <v>0</v>
      </c>
      <c r="BX110" s="11">
        <v>0</v>
      </c>
      <c r="BY110" s="11">
        <v>0</v>
      </c>
      <c r="BZ110" s="11">
        <v>0</v>
      </c>
      <c r="CA110" s="11">
        <v>0</v>
      </c>
      <c r="CB110" s="11">
        <v>0</v>
      </c>
      <c r="CC110" s="11">
        <v>0</v>
      </c>
      <c r="CD110" s="11">
        <v>0</v>
      </c>
      <c r="CE110" s="11">
        <v>0</v>
      </c>
      <c r="CF110" s="11">
        <v>0</v>
      </c>
      <c r="CG110" s="11">
        <v>0</v>
      </c>
      <c r="CH110" s="11">
        <v>0</v>
      </c>
    </row>
    <row r="111" spans="1:86" x14ac:dyDescent="0.2">
      <c r="A111" s="14" t="s">
        <v>190</v>
      </c>
      <c r="B111" s="15">
        <f t="shared" ref="B111:AG111" si="78">SUM(B109:B110)</f>
        <v>0</v>
      </c>
      <c r="C111" s="15">
        <f t="shared" si="78"/>
        <v>0</v>
      </c>
      <c r="D111" s="15">
        <f t="shared" si="78"/>
        <v>0</v>
      </c>
      <c r="E111" s="15">
        <f t="shared" si="78"/>
        <v>0</v>
      </c>
      <c r="F111" s="15">
        <f t="shared" si="78"/>
        <v>0</v>
      </c>
      <c r="G111" s="15">
        <f t="shared" si="78"/>
        <v>0</v>
      </c>
      <c r="H111" s="15">
        <f t="shared" si="78"/>
        <v>0</v>
      </c>
      <c r="I111" s="15">
        <f t="shared" si="78"/>
        <v>0</v>
      </c>
      <c r="J111" s="15">
        <f t="shared" si="78"/>
        <v>0</v>
      </c>
      <c r="K111" s="15">
        <f t="shared" si="78"/>
        <v>0</v>
      </c>
      <c r="L111" s="15">
        <f t="shared" si="78"/>
        <v>0</v>
      </c>
      <c r="M111" s="15">
        <f t="shared" si="78"/>
        <v>0</v>
      </c>
      <c r="N111" s="15">
        <f t="shared" si="78"/>
        <v>0</v>
      </c>
      <c r="O111" s="15">
        <f t="shared" si="78"/>
        <v>0</v>
      </c>
      <c r="P111" s="15">
        <f t="shared" si="78"/>
        <v>0</v>
      </c>
      <c r="Q111" s="15">
        <f t="shared" si="78"/>
        <v>0</v>
      </c>
      <c r="R111" s="15">
        <f t="shared" si="78"/>
        <v>0</v>
      </c>
      <c r="S111" s="15">
        <f t="shared" si="78"/>
        <v>0</v>
      </c>
      <c r="T111" s="15">
        <f t="shared" si="78"/>
        <v>0</v>
      </c>
      <c r="U111" s="15">
        <f t="shared" si="78"/>
        <v>0</v>
      </c>
      <c r="V111" s="15">
        <f t="shared" si="78"/>
        <v>0</v>
      </c>
      <c r="W111" s="15">
        <f t="shared" si="78"/>
        <v>0</v>
      </c>
      <c r="X111" s="15">
        <f t="shared" si="78"/>
        <v>0</v>
      </c>
      <c r="Y111" s="15">
        <f t="shared" si="78"/>
        <v>0</v>
      </c>
      <c r="Z111" s="15">
        <f t="shared" si="78"/>
        <v>0</v>
      </c>
      <c r="AA111" s="15">
        <f t="shared" si="78"/>
        <v>0</v>
      </c>
      <c r="AB111" s="15">
        <f t="shared" si="78"/>
        <v>0</v>
      </c>
      <c r="AC111" s="15">
        <f t="shared" si="78"/>
        <v>0</v>
      </c>
      <c r="AD111" s="15">
        <f t="shared" si="78"/>
        <v>0</v>
      </c>
      <c r="AE111" s="15">
        <f t="shared" si="78"/>
        <v>0</v>
      </c>
      <c r="AF111" s="15">
        <f t="shared" si="78"/>
        <v>0</v>
      </c>
      <c r="AG111" s="15">
        <f t="shared" si="78"/>
        <v>0</v>
      </c>
      <c r="AH111" s="15">
        <f t="shared" ref="AH111:BM111" si="79">SUM(AH109:AH110)</f>
        <v>0</v>
      </c>
      <c r="AI111" s="15">
        <f t="shared" si="79"/>
        <v>0</v>
      </c>
      <c r="AJ111" s="15">
        <f t="shared" si="79"/>
        <v>0</v>
      </c>
      <c r="AK111" s="15">
        <f t="shared" si="79"/>
        <v>0</v>
      </c>
      <c r="AL111" s="15">
        <f t="shared" si="79"/>
        <v>0</v>
      </c>
      <c r="AM111" s="15">
        <f t="shared" si="79"/>
        <v>0</v>
      </c>
      <c r="AN111" s="15">
        <f t="shared" si="79"/>
        <v>0</v>
      </c>
      <c r="AO111" s="15">
        <f t="shared" si="79"/>
        <v>200000</v>
      </c>
      <c r="AP111" s="15">
        <f t="shared" si="79"/>
        <v>200000</v>
      </c>
      <c r="AQ111" s="15">
        <f t="shared" si="79"/>
        <v>200000</v>
      </c>
      <c r="AR111" s="15">
        <f t="shared" si="79"/>
        <v>200000</v>
      </c>
      <c r="AS111" s="15">
        <f t="shared" si="79"/>
        <v>200000</v>
      </c>
      <c r="AT111" s="15">
        <f t="shared" si="79"/>
        <v>200000</v>
      </c>
      <c r="AU111" s="15">
        <f t="shared" si="79"/>
        <v>200000</v>
      </c>
      <c r="AV111" s="15">
        <f t="shared" si="79"/>
        <v>200000</v>
      </c>
      <c r="AW111" s="15">
        <f t="shared" si="79"/>
        <v>200000</v>
      </c>
      <c r="AX111" s="15">
        <f t="shared" si="79"/>
        <v>200000</v>
      </c>
      <c r="AY111" s="15">
        <f t="shared" si="79"/>
        <v>200000</v>
      </c>
      <c r="AZ111" s="15">
        <f t="shared" si="79"/>
        <v>200000</v>
      </c>
      <c r="BA111" s="15">
        <f t="shared" si="79"/>
        <v>200000</v>
      </c>
      <c r="BB111" s="15">
        <f t="shared" si="79"/>
        <v>200000</v>
      </c>
      <c r="BC111" s="15">
        <f t="shared" si="79"/>
        <v>200000</v>
      </c>
      <c r="BD111" s="15">
        <f t="shared" si="79"/>
        <v>200000</v>
      </c>
      <c r="BE111" s="15">
        <f t="shared" si="79"/>
        <v>200000</v>
      </c>
      <c r="BF111" s="15">
        <f t="shared" si="79"/>
        <v>200000</v>
      </c>
      <c r="BG111" s="15">
        <f t="shared" si="79"/>
        <v>200000</v>
      </c>
      <c r="BH111" s="15">
        <f t="shared" si="79"/>
        <v>200000</v>
      </c>
      <c r="BI111" s="15">
        <f t="shared" si="79"/>
        <v>200000</v>
      </c>
      <c r="BJ111" s="15">
        <f t="shared" si="79"/>
        <v>200000</v>
      </c>
      <c r="BK111" s="15">
        <f t="shared" si="79"/>
        <v>200000</v>
      </c>
      <c r="BL111" s="15">
        <f t="shared" si="79"/>
        <v>200000</v>
      </c>
      <c r="BM111" s="15">
        <f t="shared" si="79"/>
        <v>200000</v>
      </c>
      <c r="BN111" s="15">
        <f t="shared" ref="BN111:CS111" si="80">SUM(BN109:BN110)</f>
        <v>200000</v>
      </c>
      <c r="BO111" s="15">
        <f t="shared" si="80"/>
        <v>200000</v>
      </c>
      <c r="BP111" s="15">
        <f t="shared" si="80"/>
        <v>200000</v>
      </c>
      <c r="BQ111" s="15">
        <f t="shared" si="80"/>
        <v>200000</v>
      </c>
      <c r="BR111" s="15">
        <f t="shared" si="80"/>
        <v>200000</v>
      </c>
      <c r="BS111" s="15">
        <f t="shared" si="80"/>
        <v>200000</v>
      </c>
      <c r="BT111" s="15">
        <f t="shared" si="80"/>
        <v>200000</v>
      </c>
      <c r="BU111" s="15">
        <f t="shared" si="80"/>
        <v>203204.92</v>
      </c>
      <c r="BV111" s="15">
        <f t="shared" si="80"/>
        <v>0</v>
      </c>
      <c r="BW111" s="15">
        <f t="shared" si="80"/>
        <v>0</v>
      </c>
      <c r="BX111" s="15">
        <f t="shared" si="80"/>
        <v>0</v>
      </c>
      <c r="BY111" s="15">
        <f t="shared" si="80"/>
        <v>0</v>
      </c>
      <c r="BZ111" s="15">
        <f t="shared" si="80"/>
        <v>0</v>
      </c>
      <c r="CA111" s="15">
        <f t="shared" si="80"/>
        <v>0</v>
      </c>
      <c r="CB111" s="15">
        <f t="shared" si="80"/>
        <v>0</v>
      </c>
      <c r="CC111" s="15">
        <f t="shared" si="80"/>
        <v>0</v>
      </c>
      <c r="CD111" s="15">
        <f t="shared" si="80"/>
        <v>0</v>
      </c>
      <c r="CE111" s="15">
        <f t="shared" si="80"/>
        <v>0</v>
      </c>
      <c r="CF111" s="15">
        <f t="shared" si="80"/>
        <v>0</v>
      </c>
      <c r="CG111" s="15">
        <f t="shared" si="80"/>
        <v>0</v>
      </c>
      <c r="CH111" s="15">
        <f t="shared" si="80"/>
        <v>0</v>
      </c>
    </row>
    <row r="112" spans="1:86" x14ac:dyDescent="0.2">
      <c r="A112" s="7" t="s">
        <v>191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</row>
    <row r="113" spans="1:86" x14ac:dyDescent="0.2">
      <c r="A113" s="25" t="s">
        <v>192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-1727.71</v>
      </c>
      <c r="AW113" s="11">
        <v>-1727.71</v>
      </c>
      <c r="AX113" s="11">
        <v>-1727.71</v>
      </c>
      <c r="AY113" s="11">
        <v>-3455.42</v>
      </c>
      <c r="AZ113" s="11">
        <v>-3455.42</v>
      </c>
      <c r="BA113" s="11">
        <v>-3455.42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>
        <v>0</v>
      </c>
      <c r="BU113" s="11">
        <v>0</v>
      </c>
      <c r="BV113" s="11">
        <v>0</v>
      </c>
      <c r="BW113" s="11">
        <v>0</v>
      </c>
      <c r="BX113" s="11">
        <v>0</v>
      </c>
      <c r="BY113" s="11">
        <v>0</v>
      </c>
      <c r="BZ113" s="11">
        <v>0</v>
      </c>
      <c r="CA113" s="11">
        <v>0</v>
      </c>
      <c r="CB113" s="11">
        <v>0</v>
      </c>
      <c r="CC113" s="11">
        <v>0</v>
      </c>
      <c r="CD113" s="11">
        <v>0</v>
      </c>
      <c r="CE113" s="11">
        <v>0</v>
      </c>
      <c r="CF113" s="11">
        <v>0</v>
      </c>
      <c r="CG113" s="11">
        <v>0</v>
      </c>
      <c r="CH113" s="11">
        <v>0</v>
      </c>
    </row>
    <row r="114" spans="1:86" x14ac:dyDescent="0.2">
      <c r="A114" s="25" t="s">
        <v>193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-169.01</v>
      </c>
      <c r="AW114" s="11">
        <v>-421</v>
      </c>
      <c r="AX114" s="11">
        <v>-730.97</v>
      </c>
      <c r="AY114" s="11">
        <v>-5953.8200000000006</v>
      </c>
      <c r="AZ114" s="11">
        <v>-6300.8200000000006</v>
      </c>
      <c r="BA114" s="11">
        <v>-6478.670000000001</v>
      </c>
      <c r="BB114" s="11">
        <v>-9.0949470177292824E-13</v>
      </c>
      <c r="BC114" s="11">
        <v>-5.7000000000009097</v>
      </c>
      <c r="BD114" s="11">
        <v>-5.7000000000009097</v>
      </c>
      <c r="BE114" s="11">
        <v>-5.7000000000009097</v>
      </c>
      <c r="BF114" s="11">
        <v>-5.7000000000009097</v>
      </c>
      <c r="BG114" s="11">
        <v>-5.7000000000009097</v>
      </c>
      <c r="BH114" s="11">
        <v>-5.7000000000009097</v>
      </c>
      <c r="BI114" s="11">
        <v>-5.7000000000009097</v>
      </c>
      <c r="BJ114" s="11">
        <v>-5.7000000000009097</v>
      </c>
      <c r="BK114" s="11">
        <v>-5.7000000000009097</v>
      </c>
      <c r="BL114" s="11">
        <v>-5.7000000000009097</v>
      </c>
      <c r="BM114" s="11">
        <v>-5.7000000000009097</v>
      </c>
      <c r="BN114" s="11">
        <v>-9.0949470177292824E-13</v>
      </c>
      <c r="BO114" s="11">
        <v>-9.0949470177292824E-13</v>
      </c>
      <c r="BP114" s="11">
        <v>-9.0949470177292824E-13</v>
      </c>
      <c r="BQ114" s="11">
        <v>-9.0949470177292824E-13</v>
      </c>
      <c r="BR114" s="11">
        <v>-9.0949470177292824E-13</v>
      </c>
      <c r="BS114" s="11">
        <v>-9.0949470177292824E-13</v>
      </c>
      <c r="BT114" s="11">
        <v>-9.0949470177292824E-13</v>
      </c>
      <c r="BU114" s="11">
        <v>-9.0949470177292824E-13</v>
      </c>
      <c r="BV114" s="11">
        <v>-9.0949470177292824E-13</v>
      </c>
      <c r="BW114" s="11">
        <v>-9.0949470177292824E-13</v>
      </c>
      <c r="BX114" s="11">
        <v>-9.0949470177292824E-13</v>
      </c>
      <c r="BY114" s="11">
        <v>-9.0949470177292824E-13</v>
      </c>
      <c r="BZ114" s="11">
        <v>-9.0949470177292824E-13</v>
      </c>
      <c r="CA114" s="11">
        <v>-9.0949470177292824E-13</v>
      </c>
      <c r="CB114" s="11">
        <v>-9.0949470177292824E-13</v>
      </c>
      <c r="CC114" s="11">
        <v>-9.0949470177292824E-13</v>
      </c>
      <c r="CD114" s="11">
        <v>-9.0949470177292824E-13</v>
      </c>
      <c r="CE114" s="11">
        <v>-9.0949470177292824E-13</v>
      </c>
      <c r="CF114" s="11">
        <v>-9.0949470177292824E-13</v>
      </c>
      <c r="CG114" s="11">
        <v>-9.0949470177292824E-13</v>
      </c>
      <c r="CH114" s="11">
        <v>-9.0949470177292824E-13</v>
      </c>
    </row>
    <row r="115" spans="1:86" x14ac:dyDescent="0.2">
      <c r="A115" s="25" t="s">
        <v>194</v>
      </c>
      <c r="B115" s="11">
        <v>-8845.11</v>
      </c>
      <c r="C115" s="11">
        <v>0</v>
      </c>
      <c r="D115" s="11">
        <v>-193.78</v>
      </c>
      <c r="E115" s="11">
        <v>-361.64</v>
      </c>
      <c r="F115" s="11">
        <v>-940</v>
      </c>
      <c r="G115" s="11">
        <v>-6155.46</v>
      </c>
      <c r="H115" s="11">
        <v>-6933.64</v>
      </c>
      <c r="I115" s="11">
        <v>-12078.03</v>
      </c>
      <c r="J115" s="11">
        <v>-12268.18</v>
      </c>
      <c r="K115" s="11">
        <v>-13428.66</v>
      </c>
      <c r="L115" s="11">
        <v>-14272.84</v>
      </c>
      <c r="M115" s="11">
        <v>-14508.7</v>
      </c>
      <c r="N115" s="11">
        <v>-15018.84</v>
      </c>
      <c r="O115" s="11">
        <v>-19636.59</v>
      </c>
      <c r="P115" s="11">
        <v>0</v>
      </c>
      <c r="Q115" s="11">
        <v>-234.42</v>
      </c>
      <c r="R115" s="11">
        <v>-400.32</v>
      </c>
      <c r="S115" s="11">
        <v>-638.98</v>
      </c>
      <c r="T115" s="11">
        <v>-1788.6200000000001</v>
      </c>
      <c r="U115" s="11">
        <v>-2116.1000000000004</v>
      </c>
      <c r="V115" s="11">
        <v>-2284.0800000000004</v>
      </c>
      <c r="W115" s="11">
        <v>-2494.2700000000004</v>
      </c>
      <c r="X115" s="11">
        <v>-2648.5200000000004</v>
      </c>
      <c r="Y115" s="11">
        <v>-3023.01</v>
      </c>
      <c r="Z115" s="11">
        <v>-3200.19</v>
      </c>
      <c r="AA115" s="11">
        <v>-3382.26</v>
      </c>
      <c r="AB115" s="11">
        <v>-7783.92</v>
      </c>
      <c r="AC115" s="11">
        <v>0</v>
      </c>
      <c r="AD115" s="11">
        <v>-646.76</v>
      </c>
      <c r="AE115" s="11">
        <v>-3741.37</v>
      </c>
      <c r="AF115" s="11">
        <v>-4114.4399999999996</v>
      </c>
      <c r="AG115" s="11">
        <v>-4494.3999999999996</v>
      </c>
      <c r="AH115" s="11">
        <v>-5742.4699999999993</v>
      </c>
      <c r="AI115" s="11">
        <v>-6141.5099999999993</v>
      </c>
      <c r="AJ115" s="11">
        <v>-6314.9099999999989</v>
      </c>
      <c r="AK115" s="11">
        <v>-6759.6899999999987</v>
      </c>
      <c r="AL115" s="11">
        <v>-7010.8599999999988</v>
      </c>
      <c r="AM115" s="11">
        <v>-11147.46</v>
      </c>
      <c r="AN115" s="11">
        <v>-19291.37</v>
      </c>
      <c r="AO115" s="11">
        <v>0</v>
      </c>
      <c r="AP115" s="11">
        <v>-196.35</v>
      </c>
      <c r="AQ115" s="11">
        <v>-694.89</v>
      </c>
      <c r="AR115" s="11">
        <v>-1119.53</v>
      </c>
      <c r="AS115" s="11">
        <v>-1375.1299999999999</v>
      </c>
      <c r="AT115" s="11">
        <v>-1596.02</v>
      </c>
      <c r="AU115" s="11">
        <v>-4478.08</v>
      </c>
      <c r="AV115" s="11">
        <v>-4499.59</v>
      </c>
      <c r="AW115" s="11">
        <v>-4499.59</v>
      </c>
      <c r="AX115" s="11">
        <v>-4524.7</v>
      </c>
      <c r="AY115" s="11">
        <v>-4527.79</v>
      </c>
      <c r="AZ115" s="11">
        <v>-4530.1099999999997</v>
      </c>
      <c r="BA115" s="11">
        <v>-4539.6099999999997</v>
      </c>
      <c r="BB115" s="11">
        <v>0</v>
      </c>
      <c r="BC115" s="11">
        <v>-224.73</v>
      </c>
      <c r="BD115" s="11">
        <v>-3578.62</v>
      </c>
      <c r="BE115" s="11">
        <v>-3861.6099999999997</v>
      </c>
      <c r="BF115" s="11">
        <v>-4071.9999999999995</v>
      </c>
      <c r="BG115" s="11">
        <v>-4282.3499999999995</v>
      </c>
      <c r="BH115" s="11">
        <v>-4492.3499999999995</v>
      </c>
      <c r="BI115" s="11">
        <v>-4702.8799999999992</v>
      </c>
      <c r="BJ115" s="11">
        <v>-5828.5099999999993</v>
      </c>
      <c r="BK115" s="11">
        <v>-6071.8899999999994</v>
      </c>
      <c r="BL115" s="11">
        <v>-6957.7899999999991</v>
      </c>
      <c r="BM115" s="11">
        <v>-7176.0399999999991</v>
      </c>
      <c r="BN115" s="11">
        <v>9.0949470177292824E-13</v>
      </c>
      <c r="BO115" s="11">
        <v>-292.53999999999911</v>
      </c>
      <c r="BP115" s="11">
        <v>-464.32999999999913</v>
      </c>
      <c r="BQ115" s="11">
        <v>-676.58999999999912</v>
      </c>
      <c r="BR115" s="11">
        <v>-4862.4999999999991</v>
      </c>
      <c r="BS115" s="11">
        <v>-5714.5499999999993</v>
      </c>
      <c r="BT115" s="11">
        <v>-5925.579999999999</v>
      </c>
      <c r="BU115" s="11">
        <v>-10435.57</v>
      </c>
      <c r="BV115" s="11">
        <v>-10646.92</v>
      </c>
      <c r="BW115" s="11">
        <v>-11029.66</v>
      </c>
      <c r="BX115" s="11">
        <v>-11531.78</v>
      </c>
      <c r="BY115" s="11">
        <v>-12866.050000000001</v>
      </c>
      <c r="BZ115" s="11">
        <v>-1.8189894035458565E-12</v>
      </c>
      <c r="CA115" s="11">
        <v>-8388.9700000000012</v>
      </c>
      <c r="CB115" s="11">
        <v>-9234.8300000000017</v>
      </c>
      <c r="CC115" s="11">
        <v>-11309.800000000001</v>
      </c>
      <c r="CD115" s="11">
        <v>-17118.080000000002</v>
      </c>
      <c r="CE115" s="11">
        <v>-17389.88</v>
      </c>
      <c r="CF115" s="11">
        <v>-18149.72</v>
      </c>
      <c r="CG115" s="11">
        <v>-18644.38</v>
      </c>
      <c r="CH115" s="11">
        <v>-18644.38</v>
      </c>
    </row>
    <row r="116" spans="1:86" x14ac:dyDescent="0.2">
      <c r="A116" s="25" t="s">
        <v>195</v>
      </c>
      <c r="B116" s="11">
        <v>-924.02</v>
      </c>
      <c r="C116" s="11">
        <v>0</v>
      </c>
      <c r="D116" s="11">
        <v>-78.53</v>
      </c>
      <c r="E116" s="11">
        <v>-157.07999999999998</v>
      </c>
      <c r="F116" s="11">
        <v>-236.67</v>
      </c>
      <c r="G116" s="11">
        <v>-320.91999999999996</v>
      </c>
      <c r="H116" s="11">
        <v>-406.46</v>
      </c>
      <c r="I116" s="11">
        <v>-492.96999999999997</v>
      </c>
      <c r="J116" s="11">
        <v>-581.32999999999993</v>
      </c>
      <c r="K116" s="11">
        <v>-671.26</v>
      </c>
      <c r="L116" s="11">
        <v>-761.19</v>
      </c>
      <c r="M116" s="11">
        <v>-851.47</v>
      </c>
      <c r="N116" s="11">
        <v>-945.84</v>
      </c>
      <c r="O116" s="11">
        <v>-1040.53</v>
      </c>
      <c r="P116" s="11">
        <v>0</v>
      </c>
      <c r="Q116" s="11">
        <v>-96.9</v>
      </c>
      <c r="R116" s="11">
        <v>-193.8</v>
      </c>
      <c r="S116" s="11">
        <v>-290.70000000000005</v>
      </c>
      <c r="T116" s="11">
        <v>-388.36</v>
      </c>
      <c r="U116" s="11">
        <v>-486.53000000000003</v>
      </c>
      <c r="V116" s="11">
        <v>-584.70000000000005</v>
      </c>
      <c r="W116" s="11">
        <v>-682.87</v>
      </c>
      <c r="X116" s="11">
        <v>-781.04</v>
      </c>
      <c r="Y116" s="11">
        <v>-1841.83</v>
      </c>
      <c r="Z116" s="11">
        <v>-1937.34</v>
      </c>
      <c r="AA116" s="11">
        <v>-2028.54</v>
      </c>
      <c r="AB116" s="11">
        <v>-3943.31</v>
      </c>
      <c r="AC116" s="11">
        <v>0</v>
      </c>
      <c r="AD116" s="11">
        <v>-91.24</v>
      </c>
      <c r="AE116" s="11">
        <v>-183.12</v>
      </c>
      <c r="AF116" s="11">
        <v>-275.71000000000004</v>
      </c>
      <c r="AG116" s="11">
        <v>-369.44000000000005</v>
      </c>
      <c r="AH116" s="11">
        <v>-463.17000000000007</v>
      </c>
      <c r="AI116" s="11">
        <v>-556.90000000000009</v>
      </c>
      <c r="AJ116" s="11">
        <v>-650.63000000000011</v>
      </c>
      <c r="AK116" s="11">
        <v>-744.97000000000014</v>
      </c>
      <c r="AL116" s="11">
        <v>-842.80000000000018</v>
      </c>
      <c r="AM116" s="11">
        <v>-960.12000000000012</v>
      </c>
      <c r="AN116" s="11">
        <v>-1292.77</v>
      </c>
      <c r="AO116" s="11">
        <v>0</v>
      </c>
      <c r="AP116" s="11">
        <v>-152.15</v>
      </c>
      <c r="AQ116" s="11">
        <v>-304.3</v>
      </c>
      <c r="AR116" s="11">
        <v>-456.45000000000005</v>
      </c>
      <c r="AS116" s="11">
        <v>-608.6</v>
      </c>
      <c r="AT116" s="11">
        <v>-760.75</v>
      </c>
      <c r="AU116" s="11">
        <v>-960.4</v>
      </c>
      <c r="AV116" s="11">
        <v>-1112.55</v>
      </c>
      <c r="AW116" s="11">
        <v>-1264.7</v>
      </c>
      <c r="AX116" s="11">
        <v>-1416.8500000000001</v>
      </c>
      <c r="AY116" s="11">
        <v>-1565.68</v>
      </c>
      <c r="AZ116" s="11">
        <v>-1891.88</v>
      </c>
      <c r="BA116" s="11">
        <v>-4246.55</v>
      </c>
      <c r="BB116" s="11">
        <v>0</v>
      </c>
      <c r="BC116" s="11">
        <v>-150.84</v>
      </c>
      <c r="BD116" s="11">
        <v>-504.25</v>
      </c>
      <c r="BE116" s="11">
        <v>-660.35</v>
      </c>
      <c r="BF116" s="11">
        <v>-816.45</v>
      </c>
      <c r="BG116" s="11">
        <v>-972.55000000000007</v>
      </c>
      <c r="BH116" s="11">
        <v>-1128.6500000000001</v>
      </c>
      <c r="BI116" s="11">
        <v>-1284.75</v>
      </c>
      <c r="BJ116" s="11">
        <v>-1440.85</v>
      </c>
      <c r="BK116" s="11">
        <v>-1596.9499999999998</v>
      </c>
      <c r="BL116" s="11">
        <v>-1752.7299999999998</v>
      </c>
      <c r="BM116" s="11">
        <v>-2090.3199999999997</v>
      </c>
      <c r="BN116" s="11">
        <v>4.5474735088646412E-13</v>
      </c>
      <c r="BO116" s="11">
        <v>-157.48999999999955</v>
      </c>
      <c r="BP116" s="11">
        <v>-315.14999999999952</v>
      </c>
      <c r="BQ116" s="11">
        <v>-577.32999999999947</v>
      </c>
      <c r="BR116" s="11">
        <v>-763.75999999999954</v>
      </c>
      <c r="BS116" s="11">
        <v>-953.22999999999956</v>
      </c>
      <c r="BT116" s="11">
        <v>-1145.3199999999995</v>
      </c>
      <c r="BU116" s="11">
        <v>-1339.4099999999994</v>
      </c>
      <c r="BV116" s="11">
        <v>-1564.6099999999994</v>
      </c>
      <c r="BW116" s="11">
        <v>-1786.8299999999995</v>
      </c>
      <c r="BX116" s="11">
        <v>-2029.0299999999995</v>
      </c>
      <c r="BY116" s="11">
        <v>-2464.3499999999995</v>
      </c>
      <c r="BZ116" s="11">
        <v>4.5474735088646412E-13</v>
      </c>
      <c r="CA116" s="11">
        <v>-253.13999999999953</v>
      </c>
      <c r="CB116" s="11">
        <v>-426.71999999999957</v>
      </c>
      <c r="CC116" s="11">
        <v>-605.75999999999954</v>
      </c>
      <c r="CD116" s="11">
        <v>-788.88999999999953</v>
      </c>
      <c r="CE116" s="11">
        <v>-1044.4999999999995</v>
      </c>
      <c r="CF116" s="11">
        <v>-1160.5299999999995</v>
      </c>
      <c r="CG116" s="11">
        <v>-1160.5299999999995</v>
      </c>
      <c r="CH116" s="11">
        <v>-1160.5299999999995</v>
      </c>
    </row>
    <row r="117" spans="1:86" x14ac:dyDescent="0.2">
      <c r="A117" s="25" t="s">
        <v>196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3455.42</v>
      </c>
      <c r="BB117" s="11">
        <v>0</v>
      </c>
      <c r="BC117" s="11">
        <v>-1727.71</v>
      </c>
      <c r="BD117" s="11">
        <v>-1727.71</v>
      </c>
      <c r="BE117" s="11">
        <v>-1727.71</v>
      </c>
      <c r="BF117" s="11">
        <v>-3455.4300000000003</v>
      </c>
      <c r="BG117" s="11">
        <v>-3455.4300000000003</v>
      </c>
      <c r="BH117" s="11">
        <v>-3455.4300000000003</v>
      </c>
      <c r="BI117" s="11">
        <v>-5183.1500000000005</v>
      </c>
      <c r="BJ117" s="11">
        <v>-5183.1500000000005</v>
      </c>
      <c r="BK117" s="11">
        <v>-5183.1500000000005</v>
      </c>
      <c r="BL117" s="11">
        <v>-6910.8700000000008</v>
      </c>
      <c r="BM117" s="11">
        <v>-6910.8700000000008</v>
      </c>
      <c r="BN117" s="11">
        <v>-9.0949470177292824E-13</v>
      </c>
      <c r="BO117" s="11">
        <v>-1727.7200000000009</v>
      </c>
      <c r="BP117" s="11">
        <v>-1727.7200000000009</v>
      </c>
      <c r="BQ117" s="11">
        <v>-1727.7200000000009</v>
      </c>
      <c r="BR117" s="11">
        <v>-3916.2900000000009</v>
      </c>
      <c r="BS117" s="11">
        <v>-3916.2900000000009</v>
      </c>
      <c r="BT117" s="11">
        <v>-3916.2900000000009</v>
      </c>
      <c r="BU117" s="11">
        <v>-6152.5700000000015</v>
      </c>
      <c r="BV117" s="11">
        <v>-6152.5700000000015</v>
      </c>
      <c r="BW117" s="11">
        <v>-6152.5700000000015</v>
      </c>
      <c r="BX117" s="11">
        <v>-8388.8500000000022</v>
      </c>
      <c r="BY117" s="11">
        <v>-8388.8500000000022</v>
      </c>
      <c r="BZ117" s="11">
        <v>-1.8189894035458565E-12</v>
      </c>
      <c r="CA117" s="11">
        <v>-2236.280000000002</v>
      </c>
      <c r="CB117" s="11">
        <v>-2236.280000000002</v>
      </c>
      <c r="CC117" s="11">
        <v>-2236.280000000002</v>
      </c>
      <c r="CD117" s="11">
        <v>-4472.5600000000022</v>
      </c>
      <c r="CE117" s="11">
        <v>-4472.5600000000022</v>
      </c>
      <c r="CF117" s="11">
        <v>-4472.5600000000022</v>
      </c>
      <c r="CG117" s="11">
        <v>-6661.1300000000028</v>
      </c>
      <c r="CH117" s="11">
        <v>-6661.1300000000028</v>
      </c>
    </row>
    <row r="118" spans="1:86" x14ac:dyDescent="0.2">
      <c r="A118" s="25" t="s">
        <v>197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-3819.34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0</v>
      </c>
      <c r="BS118" s="11">
        <v>0</v>
      </c>
      <c r="BT118" s="11">
        <v>0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0</v>
      </c>
      <c r="CC118" s="11">
        <v>0</v>
      </c>
      <c r="CD118" s="11">
        <v>0</v>
      </c>
      <c r="CE118" s="11">
        <v>0</v>
      </c>
      <c r="CF118" s="11">
        <v>0</v>
      </c>
      <c r="CG118" s="11">
        <v>0</v>
      </c>
      <c r="CH118" s="11">
        <v>0</v>
      </c>
    </row>
    <row r="119" spans="1:86" x14ac:dyDescent="0.2">
      <c r="A119" s="25" t="s">
        <v>198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-6148.61</v>
      </c>
      <c r="T119" s="11">
        <v>0</v>
      </c>
      <c r="U119" s="11">
        <v>0</v>
      </c>
      <c r="V119" s="11">
        <v>48</v>
      </c>
      <c r="W119" s="11">
        <v>0</v>
      </c>
      <c r="X119" s="11">
        <v>0</v>
      </c>
      <c r="Y119" s="11">
        <v>0</v>
      </c>
      <c r="Z119" s="11">
        <v>0</v>
      </c>
      <c r="AA119" s="11">
        <v>8647.75</v>
      </c>
      <c r="AB119" s="11">
        <v>0</v>
      </c>
      <c r="AC119" s="11">
        <v>0</v>
      </c>
      <c r="AD119" s="11">
        <v>11492.75</v>
      </c>
      <c r="AE119" s="11">
        <v>0</v>
      </c>
      <c r="AF119" s="11">
        <v>0</v>
      </c>
      <c r="AG119" s="11">
        <v>0</v>
      </c>
      <c r="AH119" s="11">
        <v>0</v>
      </c>
      <c r="AI119" s="11">
        <v>48</v>
      </c>
      <c r="AJ119" s="11">
        <v>0</v>
      </c>
      <c r="AK119" s="11">
        <v>0</v>
      </c>
      <c r="AL119" s="11">
        <v>0</v>
      </c>
      <c r="AM119" s="11">
        <v>107.92</v>
      </c>
      <c r="AN119" s="11">
        <v>0</v>
      </c>
      <c r="AO119" s="11">
        <v>0</v>
      </c>
      <c r="AP119" s="11">
        <v>0</v>
      </c>
      <c r="AQ119" s="11">
        <v>8969.81</v>
      </c>
      <c r="AR119" s="11">
        <v>219</v>
      </c>
      <c r="AS119" s="11">
        <v>0</v>
      </c>
      <c r="AT119" s="11">
        <v>0</v>
      </c>
      <c r="AU119" s="11">
        <v>-24113.63</v>
      </c>
      <c r="AV119" s="11">
        <v>-30906.75</v>
      </c>
      <c r="AW119" s="11">
        <v>-39918.800000000003</v>
      </c>
      <c r="AX119" s="11">
        <v>-39571.93</v>
      </c>
      <c r="AY119" s="11">
        <v>-30906.75</v>
      </c>
      <c r="AZ119" s="11">
        <v>0</v>
      </c>
      <c r="BA119" s="11">
        <v>1050</v>
      </c>
      <c r="BB119" s="11">
        <v>1050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>
        <v>0</v>
      </c>
      <c r="BS119" s="11">
        <v>0</v>
      </c>
      <c r="BT119" s="11">
        <v>0</v>
      </c>
      <c r="BU119" s="11">
        <v>0</v>
      </c>
      <c r="BV119" s="11">
        <v>0</v>
      </c>
      <c r="BW119" s="11">
        <v>0</v>
      </c>
      <c r="BX119" s="11">
        <v>0</v>
      </c>
      <c r="BY119" s="11">
        <v>0</v>
      </c>
      <c r="BZ119" s="11">
        <v>0</v>
      </c>
      <c r="CA119" s="11">
        <v>0</v>
      </c>
      <c r="CB119" s="11">
        <v>-411</v>
      </c>
      <c r="CC119" s="11">
        <v>0</v>
      </c>
      <c r="CD119" s="11">
        <v>58.14</v>
      </c>
      <c r="CE119" s="11">
        <v>0</v>
      </c>
      <c r="CF119" s="11">
        <v>0</v>
      </c>
      <c r="CG119" s="11">
        <v>0</v>
      </c>
      <c r="CH119" s="11">
        <v>0</v>
      </c>
    </row>
    <row r="120" spans="1:86" x14ac:dyDescent="0.2">
      <c r="A120" s="25" t="s">
        <v>199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1148.43</v>
      </c>
      <c r="AC120" s="11">
        <v>0</v>
      </c>
      <c r="AD120" s="11">
        <v>0</v>
      </c>
      <c r="AE120" s="11">
        <v>18308.150000000001</v>
      </c>
      <c r="AF120" s="11">
        <v>0</v>
      </c>
      <c r="AG120" s="11">
        <v>8647.75</v>
      </c>
      <c r="AH120" s="11">
        <v>0</v>
      </c>
      <c r="AI120" s="11">
        <v>0</v>
      </c>
      <c r="AJ120" s="11">
        <v>8647.75</v>
      </c>
      <c r="AK120" s="11">
        <v>535.92000000000007</v>
      </c>
      <c r="AL120" s="11">
        <v>1.1368683772161603E-13</v>
      </c>
      <c r="AM120" s="11">
        <v>8647.75</v>
      </c>
      <c r="AN120" s="11">
        <v>8647.75</v>
      </c>
      <c r="AO120" s="11">
        <v>0</v>
      </c>
      <c r="AP120" s="11">
        <v>8647.75</v>
      </c>
      <c r="AQ120" s="11">
        <v>0</v>
      </c>
      <c r="AR120" s="11">
        <v>0</v>
      </c>
      <c r="AS120" s="11">
        <v>8647.75</v>
      </c>
      <c r="AT120" s="11">
        <v>8647.75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1050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>
        <v>0</v>
      </c>
      <c r="BN120" s="11">
        <v>0</v>
      </c>
      <c r="BO120" s="11">
        <v>0</v>
      </c>
      <c r="BP120" s="11">
        <v>0</v>
      </c>
      <c r="BQ120" s="11">
        <v>0</v>
      </c>
      <c r="BR120" s="11">
        <v>0</v>
      </c>
      <c r="BS120" s="11">
        <v>0</v>
      </c>
      <c r="BT120" s="11">
        <v>0</v>
      </c>
      <c r="BU120" s="11">
        <v>0</v>
      </c>
      <c r="BV120" s="11">
        <v>0</v>
      </c>
      <c r="BW120" s="11">
        <v>0</v>
      </c>
      <c r="BX120" s="11">
        <v>0</v>
      </c>
      <c r="BY120" s="11">
        <v>0</v>
      </c>
      <c r="BZ120" s="11">
        <v>689</v>
      </c>
      <c r="CA120" s="11">
        <v>0</v>
      </c>
      <c r="CB120" s="11">
        <v>0</v>
      </c>
      <c r="CC120" s="11">
        <v>0</v>
      </c>
      <c r="CD120" s="11">
        <v>0</v>
      </c>
      <c r="CE120" s="11">
        <v>0</v>
      </c>
      <c r="CF120" s="11">
        <v>0</v>
      </c>
      <c r="CG120" s="11">
        <v>0</v>
      </c>
      <c r="CH120" s="11">
        <v>0</v>
      </c>
    </row>
    <row r="121" spans="1:86" x14ac:dyDescent="0.2">
      <c r="A121" s="25" t="s">
        <v>200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1148.43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  <c r="BQ121" s="11">
        <v>0</v>
      </c>
      <c r="BR121" s="11">
        <v>0</v>
      </c>
      <c r="BS121" s="11">
        <v>0</v>
      </c>
      <c r="BT121" s="11">
        <v>0</v>
      </c>
      <c r="BU121" s="11">
        <v>0</v>
      </c>
      <c r="BV121" s="11">
        <v>0</v>
      </c>
      <c r="BW121" s="11">
        <v>0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0</v>
      </c>
      <c r="CE121" s="11">
        <v>0</v>
      </c>
      <c r="CF121" s="11">
        <v>0</v>
      </c>
      <c r="CG121" s="11">
        <v>0</v>
      </c>
      <c r="CH121" s="11">
        <v>0</v>
      </c>
    </row>
    <row r="122" spans="1:86" x14ac:dyDescent="0.2">
      <c r="A122" s="25" t="s">
        <v>201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8119.6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15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830.33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1354.3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  <c r="BR122" s="11">
        <v>0</v>
      </c>
      <c r="BS122" s="11">
        <v>0</v>
      </c>
      <c r="BT122" s="11">
        <v>0</v>
      </c>
      <c r="BU122" s="11">
        <v>0</v>
      </c>
      <c r="BV122" s="11">
        <v>0</v>
      </c>
      <c r="BW122" s="11">
        <v>0</v>
      </c>
      <c r="BX122" s="11">
        <v>0</v>
      </c>
      <c r="BY122" s="11">
        <v>0</v>
      </c>
      <c r="BZ122" s="11">
        <v>0</v>
      </c>
      <c r="CA122" s="11">
        <v>0</v>
      </c>
      <c r="CB122" s="11">
        <v>0</v>
      </c>
      <c r="CC122" s="11">
        <v>0</v>
      </c>
      <c r="CD122" s="11">
        <v>0</v>
      </c>
      <c r="CE122" s="11">
        <v>0</v>
      </c>
      <c r="CF122" s="11">
        <v>0</v>
      </c>
      <c r="CG122" s="11">
        <v>0</v>
      </c>
      <c r="CH122" s="11">
        <v>0</v>
      </c>
    </row>
    <row r="123" spans="1:86" x14ac:dyDescent="0.2">
      <c r="A123" s="25" t="s">
        <v>202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1552</v>
      </c>
      <c r="AW123" s="11">
        <v>3104</v>
      </c>
      <c r="AX123" s="11">
        <v>4656</v>
      </c>
      <c r="AY123" s="11">
        <v>8760</v>
      </c>
      <c r="AZ123" s="11">
        <v>10312</v>
      </c>
      <c r="BA123" s="11">
        <v>12081.2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  <c r="BR123" s="11">
        <v>0</v>
      </c>
      <c r="BS123" s="11">
        <v>0</v>
      </c>
      <c r="BT123" s="11">
        <v>0</v>
      </c>
      <c r="BU123" s="11">
        <v>0</v>
      </c>
      <c r="BV123" s="11">
        <v>0</v>
      </c>
      <c r="BW123" s="11">
        <v>0</v>
      </c>
      <c r="BX123" s="11">
        <v>0</v>
      </c>
      <c r="BY123" s="11">
        <v>0</v>
      </c>
      <c r="BZ123" s="11">
        <v>0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1">
        <v>0</v>
      </c>
      <c r="CG123" s="11">
        <v>0</v>
      </c>
      <c r="CH123" s="11">
        <v>0</v>
      </c>
    </row>
    <row r="124" spans="1:86" x14ac:dyDescent="0.2">
      <c r="A124" s="25" t="s">
        <v>203</v>
      </c>
      <c r="B124" s="11">
        <v>24281</v>
      </c>
      <c r="C124" s="11">
        <v>0</v>
      </c>
      <c r="D124" s="11">
        <v>1539</v>
      </c>
      <c r="E124" s="11">
        <v>3401</v>
      </c>
      <c r="F124" s="11">
        <v>6205.63</v>
      </c>
      <c r="G124" s="11">
        <v>8067.63</v>
      </c>
      <c r="H124" s="11">
        <v>9929.630000000001</v>
      </c>
      <c r="I124" s="11">
        <v>12060.460000000001</v>
      </c>
      <c r="J124" s="11">
        <v>13922.460000000001</v>
      </c>
      <c r="K124" s="11">
        <v>15784.460000000001</v>
      </c>
      <c r="L124" s="11">
        <v>17811.030000000002</v>
      </c>
      <c r="M124" s="11">
        <v>24689.030000000002</v>
      </c>
      <c r="N124" s="11">
        <v>26551.030000000002</v>
      </c>
      <c r="O124" s="11">
        <v>28599.99</v>
      </c>
      <c r="P124" s="11">
        <v>0</v>
      </c>
      <c r="Q124" s="11">
        <v>2280</v>
      </c>
      <c r="R124" s="11">
        <v>4560</v>
      </c>
      <c r="S124" s="11">
        <v>7285.17</v>
      </c>
      <c r="T124" s="11">
        <v>9565.17</v>
      </c>
      <c r="U124" s="11">
        <v>11845.17</v>
      </c>
      <c r="V124" s="11">
        <v>14316.14</v>
      </c>
      <c r="W124" s="11">
        <v>16596.14</v>
      </c>
      <c r="X124" s="11">
        <v>18876.14</v>
      </c>
      <c r="Y124" s="11">
        <v>21454.059999999998</v>
      </c>
      <c r="Z124" s="11">
        <v>23734.059999999998</v>
      </c>
      <c r="AA124" s="11">
        <v>27657.089999999997</v>
      </c>
      <c r="AB124" s="11">
        <v>29937.089999999997</v>
      </c>
      <c r="AC124" s="11">
        <v>-3.637978807091713E-12</v>
      </c>
      <c r="AD124" s="11">
        <v>2279.9999999999964</v>
      </c>
      <c r="AE124" s="11">
        <v>4559.9999999999964</v>
      </c>
      <c r="AF124" s="11">
        <v>7370.1199999999963</v>
      </c>
      <c r="AG124" s="11">
        <v>9650.1199999999953</v>
      </c>
      <c r="AH124" s="11">
        <v>11930.119999999995</v>
      </c>
      <c r="AI124" s="11">
        <v>14210.119999999995</v>
      </c>
      <c r="AJ124" s="11">
        <v>16490.119999999995</v>
      </c>
      <c r="AK124" s="11">
        <v>18770.119999999995</v>
      </c>
      <c r="AL124" s="11">
        <v>21050.119999999995</v>
      </c>
      <c r="AM124" s="11">
        <v>23330.119999999995</v>
      </c>
      <c r="AN124" s="11">
        <v>25610.119999999995</v>
      </c>
      <c r="AO124" s="11">
        <v>-3.637978807091713E-12</v>
      </c>
      <c r="AP124" s="11">
        <v>1842.9999999999964</v>
      </c>
      <c r="AQ124" s="11">
        <v>3685.9999999999964</v>
      </c>
      <c r="AR124" s="11">
        <v>5528.9999999999964</v>
      </c>
      <c r="AS124" s="11">
        <v>7371.9999999999964</v>
      </c>
      <c r="AT124" s="11">
        <v>9214.9999999999964</v>
      </c>
      <c r="AU124" s="11">
        <v>11777.079999999996</v>
      </c>
      <c r="AV124" s="11">
        <v>11777.079999999996</v>
      </c>
      <c r="AW124" s="11">
        <v>11777.079999999996</v>
      </c>
      <c r="AX124" s="11">
        <v>11777.079999999996</v>
      </c>
      <c r="AY124" s="11">
        <v>11777.079999999996</v>
      </c>
      <c r="AZ124" s="11">
        <v>11777.079999999996</v>
      </c>
      <c r="BA124" s="11">
        <v>11777.079999999996</v>
      </c>
      <c r="BB124" s="11">
        <v>-3.637978807091713E-12</v>
      </c>
      <c r="BC124" s="11">
        <v>1842.9999999999964</v>
      </c>
      <c r="BD124" s="11">
        <v>3685.9999999999964</v>
      </c>
      <c r="BE124" s="11">
        <v>6334.8599999999969</v>
      </c>
      <c r="BF124" s="11">
        <v>9336.8599999999969</v>
      </c>
      <c r="BG124" s="11">
        <v>12338.859999999997</v>
      </c>
      <c r="BH124" s="11">
        <v>14773.469999999998</v>
      </c>
      <c r="BI124" s="11">
        <v>16825.469999999998</v>
      </c>
      <c r="BJ124" s="11">
        <v>18877.469999999998</v>
      </c>
      <c r="BK124" s="11">
        <v>19029.469999999998</v>
      </c>
      <c r="BL124" s="11">
        <v>19181.469999999998</v>
      </c>
      <c r="BM124" s="11">
        <v>19333.469999999998</v>
      </c>
      <c r="BN124" s="11">
        <v>-3.637978807091713E-12</v>
      </c>
      <c r="BO124" s="11">
        <v>1524.7499999999964</v>
      </c>
      <c r="BP124" s="11">
        <v>3049.4999999999964</v>
      </c>
      <c r="BQ124" s="11">
        <v>5468.4599999999964</v>
      </c>
      <c r="BR124" s="11">
        <v>6993.2099999999964</v>
      </c>
      <c r="BS124" s="11">
        <v>8517.9599999999955</v>
      </c>
      <c r="BT124" s="11">
        <v>10042.709999999995</v>
      </c>
      <c r="BU124" s="11">
        <v>11567.459999999995</v>
      </c>
      <c r="BV124" s="11">
        <v>13092.209999999995</v>
      </c>
      <c r="BW124" s="11">
        <v>15908.389999999996</v>
      </c>
      <c r="BX124" s="11">
        <v>18416.389999999996</v>
      </c>
      <c r="BY124" s="11">
        <v>20924.389999999996</v>
      </c>
      <c r="BZ124" s="11">
        <v>-3.637978807091713E-12</v>
      </c>
      <c r="CA124" s="11">
        <v>2507.9999999999964</v>
      </c>
      <c r="CB124" s="11">
        <v>5015.9999999999964</v>
      </c>
      <c r="CC124" s="11">
        <v>8177.0999999999967</v>
      </c>
      <c r="CD124" s="11">
        <v>10979.599999999997</v>
      </c>
      <c r="CE124" s="11">
        <v>13487.599999999997</v>
      </c>
      <c r="CF124" s="11">
        <v>16281.399999999998</v>
      </c>
      <c r="CG124" s="11">
        <v>18789.399999999998</v>
      </c>
      <c r="CH124" s="11">
        <v>18789.399999999998</v>
      </c>
    </row>
    <row r="125" spans="1:86" x14ac:dyDescent="0.2">
      <c r="A125" s="25" t="s">
        <v>204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152.15</v>
      </c>
      <c r="AW125" s="11">
        <v>304.3</v>
      </c>
      <c r="AX125" s="11">
        <v>456.45000000000005</v>
      </c>
      <c r="AY125" s="11">
        <v>605.28000000000009</v>
      </c>
      <c r="AZ125" s="11">
        <v>931.48</v>
      </c>
      <c r="BA125" s="11">
        <v>1080.03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0</v>
      </c>
      <c r="BU125" s="11">
        <v>0</v>
      </c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  <c r="CF125" s="11">
        <v>0</v>
      </c>
      <c r="CG125" s="11">
        <v>0</v>
      </c>
      <c r="CH125" s="11">
        <v>0</v>
      </c>
    </row>
    <row r="126" spans="1:86" x14ac:dyDescent="0.2">
      <c r="A126" s="25" t="s">
        <v>205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156.1</v>
      </c>
      <c r="BF126" s="11">
        <v>156.1</v>
      </c>
      <c r="BG126" s="11">
        <v>156.1</v>
      </c>
      <c r="BH126" s="11">
        <v>156.1</v>
      </c>
      <c r="BI126" s="11">
        <v>156.1</v>
      </c>
      <c r="BJ126" s="11">
        <v>156.1</v>
      </c>
      <c r="BK126" s="11">
        <v>156.1</v>
      </c>
      <c r="BL126" s="11">
        <v>156.1</v>
      </c>
      <c r="BM126" s="11">
        <v>156.1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0</v>
      </c>
      <c r="BU126" s="11">
        <v>0</v>
      </c>
      <c r="BV126" s="11">
        <v>0</v>
      </c>
      <c r="BW126" s="11">
        <v>0</v>
      </c>
      <c r="BX126" s="11">
        <v>0</v>
      </c>
      <c r="BY126" s="11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  <c r="CF126" s="11">
        <v>0</v>
      </c>
      <c r="CG126" s="11">
        <v>0</v>
      </c>
      <c r="CH126" s="11">
        <v>0</v>
      </c>
    </row>
    <row r="127" spans="1:86" x14ac:dyDescent="0.2">
      <c r="A127" s="25" t="s">
        <v>206</v>
      </c>
      <c r="B127" s="11">
        <v>-15435.75</v>
      </c>
      <c r="C127" s="11">
        <v>0</v>
      </c>
      <c r="D127" s="11">
        <v>0</v>
      </c>
      <c r="E127" s="11">
        <v>0</v>
      </c>
      <c r="F127" s="11">
        <v>0</v>
      </c>
      <c r="G127" s="11">
        <v>-5265.59</v>
      </c>
      <c r="H127" s="11">
        <v>-1912.13</v>
      </c>
      <c r="I127" s="11">
        <v>-2995.95</v>
      </c>
      <c r="J127" s="11">
        <v>17.7800000000002</v>
      </c>
      <c r="K127" s="11">
        <v>-1654.0699999999997</v>
      </c>
      <c r="L127" s="11">
        <v>-2355.5899999999997</v>
      </c>
      <c r="M127" s="11">
        <v>-3537.95</v>
      </c>
      <c r="N127" s="11">
        <v>-10180.09</v>
      </c>
      <c r="O127" s="11">
        <v>-8977.06</v>
      </c>
      <c r="P127" s="11">
        <v>0</v>
      </c>
      <c r="Q127" s="11">
        <v>0</v>
      </c>
      <c r="R127" s="11">
        <v>-2045.58</v>
      </c>
      <c r="S127" s="11">
        <v>-4159.68</v>
      </c>
      <c r="T127" s="11">
        <v>-6646.1900000000005</v>
      </c>
      <c r="U127" s="11">
        <v>-7776.55</v>
      </c>
      <c r="V127" s="11">
        <v>-9729.07</v>
      </c>
      <c r="W127" s="11">
        <v>-12032.039999999999</v>
      </c>
      <c r="X127" s="11">
        <v>-14101.849999999999</v>
      </c>
      <c r="Y127" s="11">
        <v>-16227.599999999999</v>
      </c>
      <c r="Z127" s="11">
        <v>-18431.03</v>
      </c>
      <c r="AA127" s="11">
        <v>-20533.849999999999</v>
      </c>
      <c r="AB127" s="11">
        <v>-22153.17</v>
      </c>
      <c r="AC127" s="11">
        <v>0</v>
      </c>
      <c r="AD127" s="11">
        <v>0</v>
      </c>
      <c r="AE127" s="11">
        <v>-1633.24</v>
      </c>
      <c r="AF127" s="11">
        <v>-818.63</v>
      </c>
      <c r="AG127" s="11">
        <v>-3255.6600000000003</v>
      </c>
      <c r="AH127" s="11">
        <v>-5155.7000000000007</v>
      </c>
      <c r="AI127" s="11">
        <v>-6187.630000000001</v>
      </c>
      <c r="AJ127" s="11">
        <v>-8068.5900000000011</v>
      </c>
      <c r="AK127" s="11">
        <v>-10175.19</v>
      </c>
      <c r="AL127" s="11">
        <v>-12010.41</v>
      </c>
      <c r="AM127" s="11">
        <v>-14039.24</v>
      </c>
      <c r="AN127" s="11">
        <v>-12182.64</v>
      </c>
      <c r="AO127" s="11">
        <v>0</v>
      </c>
      <c r="AP127" s="11">
        <v>0</v>
      </c>
      <c r="AQ127" s="11">
        <v>-1646.65</v>
      </c>
      <c r="AR127" s="11">
        <v>-2991.11</v>
      </c>
      <c r="AS127" s="11">
        <v>-4409.47</v>
      </c>
      <c r="AT127" s="11">
        <v>-5996.8700000000008</v>
      </c>
      <c r="AU127" s="11">
        <v>-7618.9800000000005</v>
      </c>
      <c r="AV127" s="11">
        <v>-7298.88</v>
      </c>
      <c r="AW127" s="11">
        <v>-7298.88</v>
      </c>
      <c r="AX127" s="11">
        <v>-9960.369999999999</v>
      </c>
      <c r="AY127" s="11">
        <v>-11177.289999999999</v>
      </c>
      <c r="AZ127" s="11">
        <v>-10055.349999999999</v>
      </c>
      <c r="BA127" s="11">
        <v>-12839.88</v>
      </c>
      <c r="BB127" s="11">
        <v>0.12000000000080036</v>
      </c>
      <c r="BC127" s="11">
        <v>0.12000000000080036</v>
      </c>
      <c r="BD127" s="11">
        <v>-1612.4499999999991</v>
      </c>
      <c r="BE127" s="11">
        <v>-101.55999999999904</v>
      </c>
      <c r="BF127" s="11">
        <v>-2467.3599999999992</v>
      </c>
      <c r="BG127" s="11">
        <v>-5258.9699999999993</v>
      </c>
      <c r="BH127" s="11">
        <v>-8050.619999999999</v>
      </c>
      <c r="BI127" s="11">
        <v>-10275.279999999999</v>
      </c>
      <c r="BJ127" s="11">
        <v>-12116.749999999998</v>
      </c>
      <c r="BK127" s="11">
        <v>-13043.119999999999</v>
      </c>
      <c r="BL127" s="11">
        <v>-12951.74</v>
      </c>
      <c r="BM127" s="11">
        <v>-12217.84</v>
      </c>
      <c r="BN127" s="11">
        <v>0</v>
      </c>
      <c r="BO127" s="11">
        <v>0</v>
      </c>
      <c r="BP127" s="11">
        <v>-1232.21</v>
      </c>
      <c r="BQ127" s="11">
        <v>-2585.17</v>
      </c>
      <c r="BR127" s="11">
        <v>-4791.8</v>
      </c>
      <c r="BS127" s="11">
        <v>-2130.6400000000003</v>
      </c>
      <c r="BT127" s="11">
        <v>-2803.34</v>
      </c>
      <c r="BU127" s="11">
        <v>-4117.0600000000004</v>
      </c>
      <c r="BV127" s="11">
        <v>-1131.8200000000006</v>
      </c>
      <c r="BW127" s="11">
        <v>-2445.2200000000007</v>
      </c>
      <c r="BX127" s="11">
        <v>-4878.6600000000008</v>
      </c>
      <c r="BY127" s="11">
        <v>-6884.5400000000009</v>
      </c>
      <c r="BZ127" s="11">
        <v>0.20999999999912689</v>
      </c>
      <c r="CA127" s="11">
        <v>0.20999999999912689</v>
      </c>
      <c r="CB127" s="11">
        <v>5881.1799999999994</v>
      </c>
      <c r="CC127" s="11">
        <v>4219.0399999999991</v>
      </c>
      <c r="CD127" s="11">
        <v>3169.4199999999992</v>
      </c>
      <c r="CE127" s="11">
        <v>6175.1999999999989</v>
      </c>
      <c r="CF127" s="11">
        <v>3938.9999999999991</v>
      </c>
      <c r="CG127" s="11">
        <v>1905.079999999999</v>
      </c>
      <c r="CH127" s="11">
        <v>1905.079999999999</v>
      </c>
    </row>
    <row r="128" spans="1:86" x14ac:dyDescent="0.2">
      <c r="A128" s="25" t="s">
        <v>207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962.62</v>
      </c>
      <c r="Z128" s="11">
        <v>962.62</v>
      </c>
      <c r="AA128" s="11">
        <v>962.62</v>
      </c>
      <c r="AB128" s="11">
        <v>962.62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1727.71</v>
      </c>
      <c r="AW128" s="11">
        <v>1727.71</v>
      </c>
      <c r="AX128" s="11">
        <v>1727.71</v>
      </c>
      <c r="AY128" s="11">
        <v>3455.42</v>
      </c>
      <c r="AZ128" s="11">
        <v>3455.42</v>
      </c>
      <c r="BA128" s="11">
        <v>4246.55</v>
      </c>
      <c r="BB128" s="11">
        <v>0</v>
      </c>
      <c r="BC128" s="11">
        <v>1727.71</v>
      </c>
      <c r="BD128" s="11">
        <v>1727.71</v>
      </c>
      <c r="BE128" s="11">
        <v>1727.71</v>
      </c>
      <c r="BF128" s="11">
        <v>3455.4300000000003</v>
      </c>
      <c r="BG128" s="11">
        <v>3455.4300000000003</v>
      </c>
      <c r="BH128" s="11">
        <v>3455.4300000000003</v>
      </c>
      <c r="BI128" s="11">
        <v>5183.1500000000005</v>
      </c>
      <c r="BJ128" s="11">
        <v>5183.1500000000005</v>
      </c>
      <c r="BK128" s="11">
        <v>5183.1500000000005</v>
      </c>
      <c r="BL128" s="11">
        <v>6910.8700000000008</v>
      </c>
      <c r="BM128" s="11">
        <v>6910.8700000000008</v>
      </c>
      <c r="BN128" s="11">
        <v>9.0949470177292824E-13</v>
      </c>
      <c r="BO128" s="11">
        <v>1727.7200000000009</v>
      </c>
      <c r="BP128" s="11">
        <v>1727.7200000000009</v>
      </c>
      <c r="BQ128" s="11">
        <v>1727.7200000000009</v>
      </c>
      <c r="BR128" s="11">
        <v>3916.2900000000009</v>
      </c>
      <c r="BS128" s="11">
        <v>3916.2900000000009</v>
      </c>
      <c r="BT128" s="11">
        <v>3916.2900000000009</v>
      </c>
      <c r="BU128" s="11">
        <v>6152.5700000000015</v>
      </c>
      <c r="BV128" s="11">
        <v>6152.5700000000015</v>
      </c>
      <c r="BW128" s="11">
        <v>6152.5700000000015</v>
      </c>
      <c r="BX128" s="11">
        <v>8388.8500000000022</v>
      </c>
      <c r="BY128" s="11">
        <v>8388.8500000000022</v>
      </c>
      <c r="BZ128" s="11">
        <v>1.8189894035458565E-12</v>
      </c>
      <c r="CA128" s="11">
        <v>2236.280000000002</v>
      </c>
      <c r="CB128" s="11">
        <v>2236.280000000002</v>
      </c>
      <c r="CC128" s="11">
        <v>2236.280000000002</v>
      </c>
      <c r="CD128" s="11">
        <v>4472.5600000000022</v>
      </c>
      <c r="CE128" s="11">
        <v>4472.5600000000022</v>
      </c>
      <c r="CF128" s="11">
        <v>4472.5600000000022</v>
      </c>
      <c r="CG128" s="11">
        <v>6661.1300000000028</v>
      </c>
      <c r="CH128" s="11">
        <v>6661.1300000000028</v>
      </c>
    </row>
    <row r="129" spans="1:86" x14ac:dyDescent="0.2">
      <c r="A129" s="25" t="s">
        <v>208</v>
      </c>
      <c r="B129" s="11">
        <v>924.02</v>
      </c>
      <c r="C129" s="11">
        <v>0</v>
      </c>
      <c r="D129" s="11">
        <v>78.53</v>
      </c>
      <c r="E129" s="11">
        <v>157.07999999999998</v>
      </c>
      <c r="F129" s="11">
        <v>236.67</v>
      </c>
      <c r="G129" s="11">
        <v>320.91999999999996</v>
      </c>
      <c r="H129" s="11">
        <v>406.46</v>
      </c>
      <c r="I129" s="11">
        <v>492.96999999999997</v>
      </c>
      <c r="J129" s="11">
        <v>581.32999999999993</v>
      </c>
      <c r="K129" s="11">
        <v>671.26</v>
      </c>
      <c r="L129" s="11">
        <v>761.19</v>
      </c>
      <c r="M129" s="11">
        <v>851.47</v>
      </c>
      <c r="N129" s="11">
        <v>945.84</v>
      </c>
      <c r="O129" s="11">
        <v>1040.53</v>
      </c>
      <c r="P129" s="11">
        <v>0</v>
      </c>
      <c r="Q129" s="11">
        <v>96.9</v>
      </c>
      <c r="R129" s="11">
        <v>193.8</v>
      </c>
      <c r="S129" s="11">
        <v>290.70000000000005</v>
      </c>
      <c r="T129" s="11">
        <v>388.36</v>
      </c>
      <c r="U129" s="11">
        <v>486.53000000000003</v>
      </c>
      <c r="V129" s="11">
        <v>584.70000000000005</v>
      </c>
      <c r="W129" s="11">
        <v>682.87</v>
      </c>
      <c r="X129" s="11">
        <v>781.04</v>
      </c>
      <c r="Y129" s="11">
        <v>879.20999999999992</v>
      </c>
      <c r="Z129" s="11">
        <v>974.71999999999991</v>
      </c>
      <c r="AA129" s="11">
        <v>1065.9199999999998</v>
      </c>
      <c r="AB129" s="11">
        <v>2980.6899999999996</v>
      </c>
      <c r="AC129" s="11">
        <v>-4.5474735088646412E-13</v>
      </c>
      <c r="AD129" s="11">
        <v>91.23999999999954</v>
      </c>
      <c r="AE129" s="11">
        <v>183.11999999999955</v>
      </c>
      <c r="AF129" s="11">
        <v>275.70999999999958</v>
      </c>
      <c r="AG129" s="11">
        <v>369.4399999999996</v>
      </c>
      <c r="AH129" s="11">
        <v>463.16999999999962</v>
      </c>
      <c r="AI129" s="11">
        <v>556.89999999999964</v>
      </c>
      <c r="AJ129" s="11">
        <v>650.62999999999965</v>
      </c>
      <c r="AK129" s="11">
        <v>744.96999999999969</v>
      </c>
      <c r="AL129" s="11">
        <v>842.79999999999973</v>
      </c>
      <c r="AM129" s="11">
        <v>960.11999999999966</v>
      </c>
      <c r="AN129" s="11">
        <v>1292.7699999999995</v>
      </c>
      <c r="AO129" s="11">
        <v>-4.5474735088646412E-13</v>
      </c>
      <c r="AP129" s="11">
        <v>152.14999999999955</v>
      </c>
      <c r="AQ129" s="11">
        <v>304.29999999999956</v>
      </c>
      <c r="AR129" s="11">
        <v>456.44999999999959</v>
      </c>
      <c r="AS129" s="11">
        <v>608.59999999999957</v>
      </c>
      <c r="AT129" s="11">
        <v>760.74999999999955</v>
      </c>
      <c r="AU129" s="11">
        <v>960.39999999999952</v>
      </c>
      <c r="AV129" s="11">
        <v>960.39999999999952</v>
      </c>
      <c r="AW129" s="11">
        <v>960.39999999999952</v>
      </c>
      <c r="AX129" s="11">
        <v>960.39999999999952</v>
      </c>
      <c r="AY129" s="11">
        <v>960.39999999999952</v>
      </c>
      <c r="AZ129" s="11">
        <v>960.39999999999952</v>
      </c>
      <c r="BA129" s="11">
        <v>2739.3099999999995</v>
      </c>
      <c r="BB129" s="11">
        <v>-4.5474735088646412E-13</v>
      </c>
      <c r="BC129" s="11">
        <v>150.83999999999955</v>
      </c>
      <c r="BD129" s="11">
        <v>504.24999999999955</v>
      </c>
      <c r="BE129" s="11">
        <v>504.24999999999955</v>
      </c>
      <c r="BF129" s="11">
        <v>660.34999999999957</v>
      </c>
      <c r="BG129" s="11">
        <v>816.44999999999959</v>
      </c>
      <c r="BH129" s="11">
        <v>972.54999999999961</v>
      </c>
      <c r="BI129" s="11">
        <v>1128.6499999999996</v>
      </c>
      <c r="BJ129" s="11">
        <v>1284.7499999999995</v>
      </c>
      <c r="BK129" s="11">
        <v>1440.8499999999995</v>
      </c>
      <c r="BL129" s="11">
        <v>1596.6299999999994</v>
      </c>
      <c r="BM129" s="11">
        <v>1934.2199999999993</v>
      </c>
      <c r="BN129" s="11">
        <v>-6.8212102632969618E-13</v>
      </c>
      <c r="BO129" s="11">
        <v>157.48999999999933</v>
      </c>
      <c r="BP129" s="11">
        <v>315.1499999999993</v>
      </c>
      <c r="BQ129" s="11">
        <v>577.32999999999925</v>
      </c>
      <c r="BR129" s="11">
        <v>763.75999999999931</v>
      </c>
      <c r="BS129" s="11">
        <v>953.22999999999934</v>
      </c>
      <c r="BT129" s="11">
        <v>1145.3199999999993</v>
      </c>
      <c r="BU129" s="11">
        <v>1339.4099999999992</v>
      </c>
      <c r="BV129" s="11">
        <v>1564.6099999999992</v>
      </c>
      <c r="BW129" s="11">
        <v>1786.8299999999992</v>
      </c>
      <c r="BX129" s="11">
        <v>2029.0299999999993</v>
      </c>
      <c r="BY129" s="11">
        <v>2464.3499999999995</v>
      </c>
      <c r="BZ129" s="11">
        <v>-4.5474735088646412E-13</v>
      </c>
      <c r="CA129" s="11">
        <v>253.13999999999953</v>
      </c>
      <c r="CB129" s="11">
        <v>426.71999999999957</v>
      </c>
      <c r="CC129" s="11">
        <v>605.75999999999954</v>
      </c>
      <c r="CD129" s="11">
        <v>788.88999999999953</v>
      </c>
      <c r="CE129" s="11">
        <v>1044.4999999999995</v>
      </c>
      <c r="CF129" s="11">
        <v>1160.5299999999995</v>
      </c>
      <c r="CG129" s="11">
        <v>1160.5299999999995</v>
      </c>
      <c r="CH129" s="11">
        <v>1160.5299999999995</v>
      </c>
    </row>
    <row r="130" spans="1:86" x14ac:dyDescent="0.2">
      <c r="A130" s="25" t="s">
        <v>209</v>
      </c>
      <c r="B130" s="11">
        <v>0</v>
      </c>
      <c r="C130" s="11">
        <v>0.14000000000000001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1707.75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0</v>
      </c>
      <c r="BQ130" s="11">
        <v>0</v>
      </c>
      <c r="BR130" s="11">
        <v>0</v>
      </c>
      <c r="BS130" s="11">
        <v>0</v>
      </c>
      <c r="BT130" s="11">
        <v>0</v>
      </c>
      <c r="BU130" s="11">
        <v>0</v>
      </c>
      <c r="BV130" s="11">
        <v>0</v>
      </c>
      <c r="BW130" s="11">
        <v>0</v>
      </c>
      <c r="BX130" s="11">
        <v>0</v>
      </c>
      <c r="BY130" s="11">
        <v>0</v>
      </c>
      <c r="BZ130" s="11">
        <v>0</v>
      </c>
      <c r="CA130" s="11">
        <v>0</v>
      </c>
      <c r="CB130" s="11">
        <v>0</v>
      </c>
      <c r="CC130" s="11">
        <v>0</v>
      </c>
      <c r="CD130" s="11">
        <v>0</v>
      </c>
      <c r="CE130" s="11">
        <v>0</v>
      </c>
      <c r="CF130" s="11">
        <v>0</v>
      </c>
      <c r="CG130" s="11">
        <v>0</v>
      </c>
      <c r="CH130" s="11">
        <v>0</v>
      </c>
    </row>
    <row r="131" spans="1:86" x14ac:dyDescent="0.2">
      <c r="A131" s="25" t="s">
        <v>210</v>
      </c>
      <c r="B131" s="11">
        <v>7270.89</v>
      </c>
      <c r="C131" s="11">
        <v>7270.89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1581.85</v>
      </c>
      <c r="BB131" s="11">
        <v>1581.85</v>
      </c>
      <c r="BC131" s="11">
        <v>0</v>
      </c>
      <c r="BD131" s="11">
        <v>0</v>
      </c>
      <c r="BE131" s="11">
        <v>0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  <c r="BP131" s="11">
        <v>0</v>
      </c>
      <c r="BQ131" s="11">
        <v>0</v>
      </c>
      <c r="BR131" s="11">
        <v>0</v>
      </c>
      <c r="BS131" s="11">
        <v>0</v>
      </c>
      <c r="BT131" s="11">
        <v>0</v>
      </c>
      <c r="BU131" s="11">
        <v>0</v>
      </c>
      <c r="BV131" s="11">
        <v>0</v>
      </c>
      <c r="BW131" s="11">
        <v>0</v>
      </c>
      <c r="BX131" s="11">
        <v>0</v>
      </c>
      <c r="BY131" s="11">
        <v>0</v>
      </c>
      <c r="BZ131" s="11">
        <v>2403.29</v>
      </c>
      <c r="CA131" s="11">
        <v>0</v>
      </c>
      <c r="CB131" s="11">
        <v>0</v>
      </c>
      <c r="CC131" s="11">
        <v>0</v>
      </c>
      <c r="CD131" s="11">
        <v>0</v>
      </c>
      <c r="CE131" s="11">
        <v>0</v>
      </c>
      <c r="CF131" s="11">
        <v>0</v>
      </c>
      <c r="CG131" s="11">
        <v>0</v>
      </c>
      <c r="CH131" s="11">
        <v>0</v>
      </c>
    </row>
    <row r="132" spans="1:86" x14ac:dyDescent="0.2">
      <c r="A132" s="14" t="s">
        <v>211</v>
      </c>
      <c r="B132" s="15">
        <f t="shared" ref="B132:AG132" si="81">SUM(B113:B131)</f>
        <v>7271.0299999999988</v>
      </c>
      <c r="C132" s="15">
        <f t="shared" si="81"/>
        <v>7271.0300000000007</v>
      </c>
      <c r="D132" s="15">
        <f t="shared" si="81"/>
        <v>1345.22</v>
      </c>
      <c r="E132" s="15">
        <f t="shared" si="81"/>
        <v>3039.3599999999997</v>
      </c>
      <c r="F132" s="15">
        <f t="shared" si="81"/>
        <v>5265.63</v>
      </c>
      <c r="G132" s="15">
        <f t="shared" si="81"/>
        <v>-3353.42</v>
      </c>
      <c r="H132" s="15">
        <f t="shared" si="81"/>
        <v>1083.8600000000006</v>
      </c>
      <c r="I132" s="15">
        <f t="shared" si="81"/>
        <v>-3013.5199999999991</v>
      </c>
      <c r="J132" s="15">
        <f t="shared" si="81"/>
        <v>1672.0600000000009</v>
      </c>
      <c r="K132" s="15">
        <f t="shared" si="81"/>
        <v>701.73000000000116</v>
      </c>
      <c r="L132" s="15">
        <f t="shared" si="81"/>
        <v>9302.2000000000025</v>
      </c>
      <c r="M132" s="15">
        <f t="shared" si="81"/>
        <v>6642.3800000000028</v>
      </c>
      <c r="N132" s="15">
        <f t="shared" si="81"/>
        <v>1352.1000000000022</v>
      </c>
      <c r="O132" s="15">
        <f t="shared" si="81"/>
        <v>-13.659999999996899</v>
      </c>
      <c r="P132" s="15">
        <f t="shared" si="81"/>
        <v>0</v>
      </c>
      <c r="Q132" s="15">
        <f t="shared" si="81"/>
        <v>2045.5800000000002</v>
      </c>
      <c r="R132" s="15">
        <f t="shared" si="81"/>
        <v>2114.1000000000004</v>
      </c>
      <c r="S132" s="15">
        <f t="shared" si="81"/>
        <v>-3662.1000000000004</v>
      </c>
      <c r="T132" s="15">
        <f t="shared" si="81"/>
        <v>1130.3600000000001</v>
      </c>
      <c r="U132" s="15">
        <f t="shared" si="81"/>
        <v>1952.5199999999988</v>
      </c>
      <c r="V132" s="15">
        <f t="shared" si="81"/>
        <v>2350.9899999999989</v>
      </c>
      <c r="W132" s="15">
        <f t="shared" si="81"/>
        <v>2069.8300000000008</v>
      </c>
      <c r="X132" s="15">
        <f t="shared" si="81"/>
        <v>2125.7699999999995</v>
      </c>
      <c r="Y132" s="15">
        <f t="shared" si="81"/>
        <v>2218.4499999999989</v>
      </c>
      <c r="Z132" s="15">
        <f t="shared" si="81"/>
        <v>2102.8399999999997</v>
      </c>
      <c r="AA132" s="15">
        <f t="shared" si="81"/>
        <v>12388.73</v>
      </c>
      <c r="AB132" s="15">
        <f t="shared" si="81"/>
        <v>1148.4299999999985</v>
      </c>
      <c r="AC132" s="15">
        <f t="shared" si="81"/>
        <v>1148.429999999996</v>
      </c>
      <c r="AD132" s="15">
        <f t="shared" si="81"/>
        <v>13125.989999999996</v>
      </c>
      <c r="AE132" s="15">
        <f t="shared" si="81"/>
        <v>17493.539999999994</v>
      </c>
      <c r="AF132" s="15">
        <f t="shared" si="81"/>
        <v>2437.0499999999961</v>
      </c>
      <c r="AG132" s="15">
        <f t="shared" si="81"/>
        <v>10547.809999999994</v>
      </c>
      <c r="AH132" s="15">
        <f t="shared" ref="AH132:BM132" si="82">SUM(AH113:AH131)</f>
        <v>1862.2799999999947</v>
      </c>
      <c r="AI132" s="15">
        <f t="shared" si="82"/>
        <v>1928.9799999999941</v>
      </c>
      <c r="AJ132" s="15">
        <f t="shared" si="82"/>
        <v>10754.369999999994</v>
      </c>
      <c r="AK132" s="15">
        <f t="shared" si="82"/>
        <v>2371.1599999999967</v>
      </c>
      <c r="AL132" s="15">
        <f t="shared" si="82"/>
        <v>2028.8499999999954</v>
      </c>
      <c r="AM132" s="15">
        <f t="shared" si="82"/>
        <v>6899.0899999999956</v>
      </c>
      <c r="AN132" s="15">
        <f t="shared" si="82"/>
        <v>2783.859999999996</v>
      </c>
      <c r="AO132" s="15">
        <f t="shared" si="82"/>
        <v>1707.7499999999959</v>
      </c>
      <c r="AP132" s="15">
        <f t="shared" si="82"/>
        <v>10294.399999999996</v>
      </c>
      <c r="AQ132" s="15">
        <f t="shared" si="82"/>
        <v>10314.269999999995</v>
      </c>
      <c r="AR132" s="15">
        <f t="shared" si="82"/>
        <v>1637.3599999999963</v>
      </c>
      <c r="AS132" s="15">
        <f t="shared" si="82"/>
        <v>10235.149999999996</v>
      </c>
      <c r="AT132" s="15">
        <f t="shared" si="82"/>
        <v>10269.859999999995</v>
      </c>
      <c r="AU132" s="15">
        <f t="shared" si="82"/>
        <v>-24433.610000000008</v>
      </c>
      <c r="AV132" s="15">
        <f t="shared" si="82"/>
        <v>-29545.150000000009</v>
      </c>
      <c r="AW132" s="15">
        <f t="shared" si="82"/>
        <v>-37257.19000000001</v>
      </c>
      <c r="AX132" s="15">
        <f t="shared" si="82"/>
        <v>-38354.890000000007</v>
      </c>
      <c r="AY132" s="15">
        <f t="shared" si="82"/>
        <v>-32028.570000000018</v>
      </c>
      <c r="AZ132" s="15">
        <f t="shared" si="82"/>
        <v>1202.7999999999938</v>
      </c>
      <c r="BA132" s="15">
        <f t="shared" si="82"/>
        <v>2631.9699999999989</v>
      </c>
      <c r="BB132" s="15">
        <f t="shared" si="82"/>
        <v>2631.9699999999957</v>
      </c>
      <c r="BC132" s="15">
        <f t="shared" si="82"/>
        <v>1612.6899999999957</v>
      </c>
      <c r="BD132" s="15">
        <f t="shared" si="82"/>
        <v>-460.77000000000362</v>
      </c>
      <c r="BE132" s="15">
        <f t="shared" si="82"/>
        <v>2365.9899999999966</v>
      </c>
      <c r="BF132" s="15">
        <f t="shared" si="82"/>
        <v>2791.7999999999956</v>
      </c>
      <c r="BG132" s="15">
        <f t="shared" si="82"/>
        <v>2791.8399999999965</v>
      </c>
      <c r="BH132" s="15">
        <f t="shared" si="82"/>
        <v>2224.7999999999979</v>
      </c>
      <c r="BI132" s="15">
        <f t="shared" si="82"/>
        <v>1841.6099999999997</v>
      </c>
      <c r="BJ132" s="15">
        <f t="shared" si="82"/>
        <v>2280.81</v>
      </c>
      <c r="BK132" s="15">
        <f t="shared" si="82"/>
        <v>-91.240000000001601</v>
      </c>
      <c r="BL132" s="15">
        <f t="shared" si="82"/>
        <v>-733.76000000000181</v>
      </c>
      <c r="BM132" s="15">
        <f t="shared" si="82"/>
        <v>-66.110000000002401</v>
      </c>
      <c r="BN132" s="15">
        <f t="shared" ref="BN132:CS132" si="83">SUM(BN113:BN131)</f>
        <v>-3.865352482534945E-12</v>
      </c>
      <c r="BO132" s="15">
        <f t="shared" si="83"/>
        <v>1232.2099999999962</v>
      </c>
      <c r="BP132" s="15">
        <f t="shared" si="83"/>
        <v>1352.9599999999959</v>
      </c>
      <c r="BQ132" s="15">
        <f t="shared" si="83"/>
        <v>2206.6999999999962</v>
      </c>
      <c r="BR132" s="15">
        <f t="shared" si="83"/>
        <v>-2661.0900000000029</v>
      </c>
      <c r="BS132" s="15">
        <f t="shared" si="83"/>
        <v>672.76999999999566</v>
      </c>
      <c r="BT132" s="15">
        <f t="shared" si="83"/>
        <v>1313.789999999995</v>
      </c>
      <c r="BU132" s="15">
        <f t="shared" si="83"/>
        <v>-2985.1700000000083</v>
      </c>
      <c r="BV132" s="15">
        <f t="shared" si="83"/>
        <v>1313.4699999999934</v>
      </c>
      <c r="BW132" s="15">
        <f t="shared" si="83"/>
        <v>2433.5099999999939</v>
      </c>
      <c r="BX132" s="15">
        <f t="shared" si="83"/>
        <v>2005.9499999999939</v>
      </c>
      <c r="BY132" s="15">
        <f t="shared" si="83"/>
        <v>1173.7999999999929</v>
      </c>
      <c r="BZ132" s="15">
        <f t="shared" si="83"/>
        <v>3092.4999999999927</v>
      </c>
      <c r="CA132" s="15">
        <f t="shared" si="83"/>
        <v>-5880.7600000000057</v>
      </c>
      <c r="CB132" s="15">
        <f t="shared" si="83"/>
        <v>1251.3499999999938</v>
      </c>
      <c r="CC132" s="15">
        <f t="shared" si="83"/>
        <v>1086.3399999999917</v>
      </c>
      <c r="CD132" s="15">
        <f t="shared" si="83"/>
        <v>-2910.9200000000055</v>
      </c>
      <c r="CE132" s="15">
        <f t="shared" si="83"/>
        <v>2272.9199999999951</v>
      </c>
      <c r="CF132" s="15">
        <f t="shared" si="83"/>
        <v>2070.6799999999976</v>
      </c>
      <c r="CG132" s="15">
        <f t="shared" si="83"/>
        <v>2050.0999999999985</v>
      </c>
      <c r="CH132" s="15">
        <f t="shared" si="83"/>
        <v>2050.0999999999985</v>
      </c>
    </row>
    <row r="133" spans="1:86" x14ac:dyDescent="0.2">
      <c r="A133" s="17" t="s">
        <v>212</v>
      </c>
      <c r="B133" s="18">
        <f t="shared" ref="B133:AG133" si="84">0+0+0+B107+0+B111+0+B132</f>
        <v>12005.769999999999</v>
      </c>
      <c r="C133" s="18">
        <f t="shared" si="84"/>
        <v>12005.77</v>
      </c>
      <c r="D133" s="18">
        <f t="shared" si="84"/>
        <v>1789.4899999999996</v>
      </c>
      <c r="E133" s="18">
        <f t="shared" si="84"/>
        <v>3452.7999999999993</v>
      </c>
      <c r="F133" s="18">
        <f t="shared" si="84"/>
        <v>5684.54</v>
      </c>
      <c r="G133" s="18">
        <f t="shared" si="84"/>
        <v>-2059.13</v>
      </c>
      <c r="H133" s="18">
        <f t="shared" si="84"/>
        <v>1534.0600000000004</v>
      </c>
      <c r="I133" s="18">
        <f t="shared" si="84"/>
        <v>28694.069999999996</v>
      </c>
      <c r="J133" s="18">
        <f t="shared" si="84"/>
        <v>2272.7399999999993</v>
      </c>
      <c r="K133" s="18">
        <f t="shared" si="84"/>
        <v>6118.97</v>
      </c>
      <c r="L133" s="18">
        <f t="shared" si="84"/>
        <v>9775.5300000000025</v>
      </c>
      <c r="M133" s="18">
        <f t="shared" si="84"/>
        <v>7254.6200000000017</v>
      </c>
      <c r="N133" s="18">
        <f t="shared" si="84"/>
        <v>1848.7600000000011</v>
      </c>
      <c r="O133" s="18">
        <f t="shared" si="84"/>
        <v>484.7200000000023</v>
      </c>
      <c r="P133" s="18">
        <f t="shared" si="84"/>
        <v>498.3799999999992</v>
      </c>
      <c r="Q133" s="18">
        <f t="shared" si="84"/>
        <v>2839.6999999999994</v>
      </c>
      <c r="R133" s="18">
        <f t="shared" si="84"/>
        <v>2624.0999999999995</v>
      </c>
      <c r="S133" s="18">
        <f t="shared" si="84"/>
        <v>-3152.1000000000013</v>
      </c>
      <c r="T133" s="18">
        <f t="shared" si="84"/>
        <v>1644.3599999999992</v>
      </c>
      <c r="U133" s="18">
        <f t="shared" si="84"/>
        <v>2469.179999999998</v>
      </c>
      <c r="V133" s="18">
        <f t="shared" si="84"/>
        <v>2867.6499999999978</v>
      </c>
      <c r="W133" s="18">
        <f t="shared" si="84"/>
        <v>2850.45</v>
      </c>
      <c r="X133" s="18">
        <f t="shared" si="84"/>
        <v>2642.4299999999985</v>
      </c>
      <c r="Y133" s="18">
        <f t="shared" si="84"/>
        <v>8040.3499999999976</v>
      </c>
      <c r="Z133" s="18">
        <f t="shared" si="84"/>
        <v>11278.16</v>
      </c>
      <c r="AA133" s="18">
        <f t="shared" si="84"/>
        <v>12868.73</v>
      </c>
      <c r="AB133" s="18">
        <f t="shared" si="84"/>
        <v>26209.589999999997</v>
      </c>
      <c r="AC133" s="18">
        <f t="shared" si="84"/>
        <v>26209.589999999997</v>
      </c>
      <c r="AD133" s="18">
        <f t="shared" si="84"/>
        <v>13606.199999999995</v>
      </c>
      <c r="AE133" s="18">
        <f t="shared" si="84"/>
        <v>17977.099999999991</v>
      </c>
      <c r="AF133" s="18">
        <f t="shared" si="84"/>
        <v>4254.3499999999949</v>
      </c>
      <c r="AG133" s="18">
        <f t="shared" si="84"/>
        <v>11481.439999999995</v>
      </c>
      <c r="AH133" s="18">
        <f t="shared" ref="AH133:BM133" si="85">0+0+0+AH107+0+AH111+0+AH132</f>
        <v>9098.2699999999968</v>
      </c>
      <c r="AI133" s="18">
        <f t="shared" si="85"/>
        <v>3143.139999999994</v>
      </c>
      <c r="AJ133" s="18">
        <f t="shared" si="85"/>
        <v>11259.559999999992</v>
      </c>
      <c r="AK133" s="18">
        <f t="shared" si="85"/>
        <v>2867.7099999999959</v>
      </c>
      <c r="AL133" s="18">
        <f t="shared" si="85"/>
        <v>2543.7299999999964</v>
      </c>
      <c r="AM133" s="18">
        <f t="shared" si="85"/>
        <v>7516.5699999999952</v>
      </c>
      <c r="AN133" s="18">
        <f t="shared" si="85"/>
        <v>35461.649999999994</v>
      </c>
      <c r="AO133" s="18">
        <f t="shared" si="85"/>
        <v>202508.55</v>
      </c>
      <c r="AP133" s="18">
        <f t="shared" si="85"/>
        <v>211095.19999999998</v>
      </c>
      <c r="AQ133" s="18">
        <f t="shared" si="85"/>
        <v>212327.56999999998</v>
      </c>
      <c r="AR133" s="18">
        <f t="shared" si="85"/>
        <v>202438.15999999997</v>
      </c>
      <c r="AS133" s="18">
        <f t="shared" si="85"/>
        <v>211035.94999999998</v>
      </c>
      <c r="AT133" s="18">
        <f t="shared" si="85"/>
        <v>211070.65999999997</v>
      </c>
      <c r="AU133" s="18">
        <f t="shared" si="85"/>
        <v>176617.18999999997</v>
      </c>
      <c r="AV133" s="18">
        <f t="shared" si="85"/>
        <v>171504.06</v>
      </c>
      <c r="AW133" s="18">
        <f t="shared" si="85"/>
        <v>163543.61000000002</v>
      </c>
      <c r="AX133" s="18">
        <f t="shared" si="85"/>
        <v>163144.31999999998</v>
      </c>
      <c r="AY133" s="18">
        <f t="shared" si="85"/>
        <v>168785.19999999998</v>
      </c>
      <c r="AZ133" s="18">
        <f t="shared" si="85"/>
        <v>203155.13999999998</v>
      </c>
      <c r="BA133" s="18">
        <f t="shared" si="85"/>
        <v>203413.81</v>
      </c>
      <c r="BB133" s="18">
        <f t="shared" si="85"/>
        <v>203413.81</v>
      </c>
      <c r="BC133" s="18">
        <f t="shared" si="85"/>
        <v>211507.59</v>
      </c>
      <c r="BD133" s="18">
        <f t="shared" si="85"/>
        <v>220045.58000000002</v>
      </c>
      <c r="BE133" s="18">
        <f t="shared" si="85"/>
        <v>203208.59999999998</v>
      </c>
      <c r="BF133" s="18">
        <f t="shared" si="85"/>
        <v>203621.12999999998</v>
      </c>
      <c r="BG133" s="18">
        <f t="shared" si="85"/>
        <v>203613.44</v>
      </c>
      <c r="BH133" s="18">
        <f t="shared" si="85"/>
        <v>203054.12999999998</v>
      </c>
      <c r="BI133" s="18">
        <f t="shared" si="85"/>
        <v>211764.18999999997</v>
      </c>
      <c r="BJ133" s="18">
        <f t="shared" si="85"/>
        <v>206604.75</v>
      </c>
      <c r="BK133" s="18">
        <f t="shared" si="85"/>
        <v>200953.01</v>
      </c>
      <c r="BL133" s="18">
        <f t="shared" si="85"/>
        <v>212163.47</v>
      </c>
      <c r="BM133" s="18">
        <f t="shared" si="85"/>
        <v>201710.68999999997</v>
      </c>
      <c r="BN133" s="18">
        <f t="shared" ref="BN133:CS133" si="86">0+0+0+BN107+0+BN111+0+BN132</f>
        <v>200826.8</v>
      </c>
      <c r="BO133" s="18">
        <f t="shared" si="86"/>
        <v>212361.12</v>
      </c>
      <c r="BP133" s="18">
        <f t="shared" si="86"/>
        <v>202182.75999999998</v>
      </c>
      <c r="BQ133" s="18">
        <f t="shared" si="86"/>
        <v>203056.02999999997</v>
      </c>
      <c r="BR133" s="18">
        <f t="shared" si="86"/>
        <v>233957.38</v>
      </c>
      <c r="BS133" s="18">
        <f t="shared" si="86"/>
        <v>202474.43999999997</v>
      </c>
      <c r="BT133" s="18">
        <f t="shared" si="86"/>
        <v>202177.79</v>
      </c>
      <c r="BU133" s="18">
        <f t="shared" si="86"/>
        <v>212863.23</v>
      </c>
      <c r="BV133" s="18">
        <f t="shared" si="86"/>
        <v>2191.5499999999915</v>
      </c>
      <c r="BW133" s="18">
        <f t="shared" si="86"/>
        <v>3980.1099999999919</v>
      </c>
      <c r="BX133" s="18">
        <f t="shared" si="86"/>
        <v>14686.589999999993</v>
      </c>
      <c r="BY133" s="18">
        <f t="shared" si="86"/>
        <v>10928.019999999993</v>
      </c>
      <c r="BZ133" s="18">
        <f t="shared" si="86"/>
        <v>4003.299999999992</v>
      </c>
      <c r="CA133" s="18">
        <f t="shared" si="86"/>
        <v>55637.489999999991</v>
      </c>
      <c r="CB133" s="18">
        <f t="shared" si="86"/>
        <v>2164.9299999999957</v>
      </c>
      <c r="CC133" s="18">
        <f t="shared" si="86"/>
        <v>2233.3299999999936</v>
      </c>
      <c r="CD133" s="18">
        <f t="shared" si="86"/>
        <v>44116.35</v>
      </c>
      <c r="CE133" s="18">
        <f t="shared" si="86"/>
        <v>3618.2599999999989</v>
      </c>
      <c r="CF133" s="18">
        <f t="shared" si="86"/>
        <v>3056.3600000000015</v>
      </c>
      <c r="CG133" s="18">
        <f t="shared" si="86"/>
        <v>15222.950000000003</v>
      </c>
      <c r="CH133" s="18">
        <f t="shared" si="86"/>
        <v>2050.1000000000022</v>
      </c>
    </row>
    <row r="134" spans="1:86" x14ac:dyDescent="0.2">
      <c r="A134" s="19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</row>
    <row r="135" spans="1:86" ht="12" thickBot="1" x14ac:dyDescent="0.25">
      <c r="A135" s="19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</row>
    <row r="136" spans="1:86" ht="12.75" thickTop="1" x14ac:dyDescent="0.2">
      <c r="A136" s="22" t="s">
        <v>213</v>
      </c>
      <c r="B136" s="23">
        <f t="shared" ref="B136:AG136" si="87">B88+B89+B101+B102+B133+B134+0+B135+0</f>
        <v>453689.929999999</v>
      </c>
      <c r="C136" s="23">
        <f t="shared" si="87"/>
        <v>453689.929999999</v>
      </c>
      <c r="D136" s="23">
        <f t="shared" si="87"/>
        <v>447681.53</v>
      </c>
      <c r="E136" s="23">
        <f t="shared" si="87"/>
        <v>454624.45</v>
      </c>
      <c r="F136" s="23">
        <f t="shared" si="87"/>
        <v>466544.43</v>
      </c>
      <c r="G136" s="23">
        <f t="shared" si="87"/>
        <v>463345.09999999899</v>
      </c>
      <c r="H136" s="23">
        <f t="shared" si="87"/>
        <v>470343.14999999903</v>
      </c>
      <c r="I136" s="23">
        <f t="shared" si="87"/>
        <v>499991.44999999902</v>
      </c>
      <c r="J136" s="23">
        <f t="shared" si="87"/>
        <v>476281.00999999902</v>
      </c>
      <c r="K136" s="23">
        <f t="shared" si="87"/>
        <v>479376.51999999897</v>
      </c>
      <c r="L136" s="23">
        <f t="shared" si="87"/>
        <v>476428.72999999905</v>
      </c>
      <c r="M136" s="23">
        <f t="shared" si="87"/>
        <v>502325.57999999897</v>
      </c>
      <c r="N136" s="23">
        <f t="shared" si="87"/>
        <v>490039.20999999903</v>
      </c>
      <c r="O136" s="23">
        <f t="shared" si="87"/>
        <v>479843.79999999906</v>
      </c>
      <c r="P136" s="23">
        <f t="shared" si="87"/>
        <v>479857.45999999903</v>
      </c>
      <c r="Q136" s="23">
        <f t="shared" si="87"/>
        <v>489489.81999999902</v>
      </c>
      <c r="R136" s="23">
        <f t="shared" si="87"/>
        <v>495098.26999999996</v>
      </c>
      <c r="S136" s="23">
        <f t="shared" si="87"/>
        <v>495766.91000000003</v>
      </c>
      <c r="T136" s="23">
        <f t="shared" si="87"/>
        <v>508554.89999999997</v>
      </c>
      <c r="U136" s="23">
        <f t="shared" si="87"/>
        <v>515304.17</v>
      </c>
      <c r="V136" s="23">
        <f t="shared" si="87"/>
        <v>522095.02999999904</v>
      </c>
      <c r="W136" s="23">
        <f t="shared" si="87"/>
        <v>529819.03</v>
      </c>
      <c r="X136" s="23">
        <f t="shared" si="87"/>
        <v>535606.28999999899</v>
      </c>
      <c r="Y136" s="23">
        <f t="shared" si="87"/>
        <v>541837.429999999</v>
      </c>
      <c r="Z136" s="23">
        <f t="shared" si="87"/>
        <v>544354.80999999901</v>
      </c>
      <c r="AA136" s="23">
        <f t="shared" si="87"/>
        <v>560495.88</v>
      </c>
      <c r="AB136" s="23">
        <f t="shared" si="87"/>
        <v>556625.21999999892</v>
      </c>
      <c r="AC136" s="23">
        <f t="shared" si="87"/>
        <v>556625.21999999892</v>
      </c>
      <c r="AD136" s="23">
        <f t="shared" si="87"/>
        <v>543493.25999999896</v>
      </c>
      <c r="AE136" s="23">
        <f t="shared" si="87"/>
        <v>553763.46</v>
      </c>
      <c r="AF136" s="23">
        <f t="shared" si="87"/>
        <v>547471.14999999898</v>
      </c>
      <c r="AG136" s="23">
        <f t="shared" si="87"/>
        <v>553609.63999999885</v>
      </c>
      <c r="AH136" s="23">
        <f t="shared" ref="AH136:BM136" si="88">AH88+AH89+AH101+AH102+AH133+AH134+0+AH135+0</f>
        <v>554896.57999999903</v>
      </c>
      <c r="AI136" s="23">
        <f t="shared" si="88"/>
        <v>553569.33999999904</v>
      </c>
      <c r="AJ136" s="23">
        <f t="shared" si="88"/>
        <v>560063.50999999896</v>
      </c>
      <c r="AK136" s="23">
        <f t="shared" si="88"/>
        <v>556478.40999999898</v>
      </c>
      <c r="AL136" s="23">
        <f t="shared" si="88"/>
        <v>560295.97999999893</v>
      </c>
      <c r="AM136" s="23">
        <f t="shared" si="88"/>
        <v>560644.36999999895</v>
      </c>
      <c r="AN136" s="23">
        <f t="shared" si="88"/>
        <v>548449.41</v>
      </c>
      <c r="AO136" s="23">
        <f t="shared" si="88"/>
        <v>733361.15999999898</v>
      </c>
      <c r="AP136" s="23">
        <f t="shared" si="88"/>
        <v>738524.78999999887</v>
      </c>
      <c r="AQ136" s="23">
        <f t="shared" si="88"/>
        <v>742351.08999999892</v>
      </c>
      <c r="AR136" s="23">
        <f t="shared" si="88"/>
        <v>734433.40999999898</v>
      </c>
      <c r="AS136" s="23">
        <f t="shared" si="88"/>
        <v>739820.73999999894</v>
      </c>
      <c r="AT136" s="23">
        <f t="shared" si="88"/>
        <v>742938.20999999903</v>
      </c>
      <c r="AU136" s="23">
        <f t="shared" si="88"/>
        <v>713959.41999999899</v>
      </c>
      <c r="AV136" s="23">
        <f t="shared" si="88"/>
        <v>703909.429999999</v>
      </c>
      <c r="AW136" s="23">
        <f t="shared" si="88"/>
        <v>699716.89999999898</v>
      </c>
      <c r="AX136" s="23">
        <f t="shared" si="88"/>
        <v>717257.58999999892</v>
      </c>
      <c r="AY136" s="23">
        <f t="shared" si="88"/>
        <v>702567.5699999989</v>
      </c>
      <c r="AZ136" s="23">
        <f t="shared" si="88"/>
        <v>738856.00999999896</v>
      </c>
      <c r="BA136" s="23">
        <f t="shared" si="88"/>
        <v>745135.13999999897</v>
      </c>
      <c r="BB136" s="23">
        <f t="shared" si="88"/>
        <v>745135.13999999897</v>
      </c>
      <c r="BC136" s="23">
        <f t="shared" si="88"/>
        <v>750285.74999999895</v>
      </c>
      <c r="BD136" s="23">
        <f t="shared" si="88"/>
        <v>762182.19999999902</v>
      </c>
      <c r="BE136" s="23">
        <f t="shared" si="88"/>
        <v>754765.61</v>
      </c>
      <c r="BF136" s="23">
        <f t="shared" si="88"/>
        <v>764379.88</v>
      </c>
      <c r="BG136" s="23">
        <f t="shared" si="88"/>
        <v>773414.01</v>
      </c>
      <c r="BH136" s="23">
        <f t="shared" si="88"/>
        <v>777194.32999999903</v>
      </c>
      <c r="BI136" s="23">
        <f t="shared" si="88"/>
        <v>790012.79999999993</v>
      </c>
      <c r="BJ136" s="23">
        <f t="shared" si="88"/>
        <v>785374.66999999899</v>
      </c>
      <c r="BK136" s="23">
        <f t="shared" si="88"/>
        <v>770144</v>
      </c>
      <c r="BL136" s="23">
        <f t="shared" si="88"/>
        <v>771956.10999999894</v>
      </c>
      <c r="BM136" s="23">
        <f t="shared" si="88"/>
        <v>754210.3199999989</v>
      </c>
      <c r="BN136" s="23">
        <f t="shared" ref="BN136:CS136" si="89">BN88+BN89+BN101+BN102+BN133+BN134+0+BN135+0</f>
        <v>745376.85999999894</v>
      </c>
      <c r="BO136" s="23">
        <f t="shared" si="89"/>
        <v>757212.65</v>
      </c>
      <c r="BP136" s="23">
        <f t="shared" si="89"/>
        <v>748568.83999999904</v>
      </c>
      <c r="BQ136" s="23">
        <f t="shared" si="89"/>
        <v>754296.37999999896</v>
      </c>
      <c r="BR136" s="23">
        <f t="shared" si="89"/>
        <v>783824.36999999906</v>
      </c>
      <c r="BS136" s="23">
        <f t="shared" si="89"/>
        <v>748465.48999999894</v>
      </c>
      <c r="BT136" s="23">
        <f t="shared" si="89"/>
        <v>746278.31</v>
      </c>
      <c r="BU136" s="23">
        <f t="shared" si="89"/>
        <v>755337.44999999902</v>
      </c>
      <c r="BV136" s="23">
        <f t="shared" si="89"/>
        <v>543371.13999999897</v>
      </c>
      <c r="BW136" s="23">
        <f t="shared" si="89"/>
        <v>550671.36999999895</v>
      </c>
      <c r="BX136" s="23">
        <f t="shared" si="89"/>
        <v>564276.73999999894</v>
      </c>
      <c r="BY136" s="23">
        <f t="shared" si="89"/>
        <v>559246.06999999902</v>
      </c>
      <c r="BZ136" s="23">
        <f t="shared" si="89"/>
        <v>557306.84999999905</v>
      </c>
      <c r="CA136" s="23">
        <f t="shared" si="89"/>
        <v>610147.46999999904</v>
      </c>
      <c r="CB136" s="23">
        <f t="shared" si="89"/>
        <v>559611.72999999905</v>
      </c>
      <c r="CC136" s="23">
        <f t="shared" si="89"/>
        <v>556558.66999999993</v>
      </c>
      <c r="CD136" s="23">
        <f t="shared" si="89"/>
        <v>599852.11</v>
      </c>
      <c r="CE136" s="23">
        <f t="shared" si="89"/>
        <v>561289.70999999903</v>
      </c>
      <c r="CF136" s="23">
        <f t="shared" si="89"/>
        <v>563759.26999999897</v>
      </c>
      <c r="CG136" s="23">
        <f t="shared" si="89"/>
        <v>582275.47999999893</v>
      </c>
      <c r="CH136" s="23">
        <f t="shared" si="89"/>
        <v>569102.62999999896</v>
      </c>
    </row>
  </sheetData>
  <mergeCells count="3">
    <mergeCell ref="A1:CH1"/>
    <mergeCell ref="A2:CH2"/>
    <mergeCell ref="A3:CH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2023-08-08T19:11:54Z</dcterms:created>
  <dcterms:modified xsi:type="dcterms:W3CDTF">2023-08-08T19:14:39Z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