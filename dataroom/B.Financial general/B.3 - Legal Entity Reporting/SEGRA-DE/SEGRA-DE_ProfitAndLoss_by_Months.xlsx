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SEGRA-DE\"/>
    </mc:Choice>
  </mc:AlternateContent>
  <xr:revisionPtr revIDLastSave="0" documentId="13_ncr:40009_{D42545D6-36C8-45AB-8D79-AFE32BB19442}" xr6:coauthVersionLast="47" xr6:coauthVersionMax="47" xr10:uidLastSave="{00000000-0000-0000-0000-000000000000}"/>
  <bookViews>
    <workbookView xWindow="-120" yWindow="-120" windowWidth="29040" windowHeight="15840"/>
  </bookViews>
  <sheets>
    <sheet name="PGPLbyEntityandMonthQu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71" i="1" l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T70" i="1"/>
  <c r="AT69" i="1"/>
  <c r="AT68" i="1"/>
  <c r="AT67" i="1"/>
  <c r="AT66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T62" i="1"/>
  <c r="AT61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T58" i="1"/>
  <c r="AT59" i="1" s="1"/>
  <c r="AS56" i="1"/>
  <c r="AR56" i="1"/>
  <c r="AR64" i="1" s="1"/>
  <c r="AQ56" i="1"/>
  <c r="AP56" i="1"/>
  <c r="AO56" i="1"/>
  <c r="AN56" i="1"/>
  <c r="AN64" i="1" s="1"/>
  <c r="AM56" i="1"/>
  <c r="AL56" i="1"/>
  <c r="AL64" i="1" s="1"/>
  <c r="AK56" i="1"/>
  <c r="AJ56" i="1"/>
  <c r="AJ64" i="1" s="1"/>
  <c r="AI56" i="1"/>
  <c r="AH56" i="1"/>
  <c r="AG56" i="1"/>
  <c r="AF56" i="1"/>
  <c r="AF64" i="1" s="1"/>
  <c r="AE56" i="1"/>
  <c r="AD56" i="1"/>
  <c r="AD64" i="1" s="1"/>
  <c r="AC56" i="1"/>
  <c r="AB56" i="1"/>
  <c r="AB64" i="1" s="1"/>
  <c r="AA56" i="1"/>
  <c r="Z56" i="1"/>
  <c r="Y56" i="1"/>
  <c r="X56" i="1"/>
  <c r="X64" i="1" s="1"/>
  <c r="W56" i="1"/>
  <c r="V56" i="1"/>
  <c r="V64" i="1" s="1"/>
  <c r="U56" i="1"/>
  <c r="T56" i="1"/>
  <c r="T64" i="1" s="1"/>
  <c r="S56" i="1"/>
  <c r="R56" i="1"/>
  <c r="Q56" i="1"/>
  <c r="P56" i="1"/>
  <c r="P64" i="1" s="1"/>
  <c r="O56" i="1"/>
  <c r="N56" i="1"/>
  <c r="N64" i="1" s="1"/>
  <c r="M56" i="1"/>
  <c r="L56" i="1"/>
  <c r="L64" i="1" s="1"/>
  <c r="K56" i="1"/>
  <c r="J56" i="1"/>
  <c r="I56" i="1"/>
  <c r="H56" i="1"/>
  <c r="H64" i="1" s="1"/>
  <c r="G56" i="1"/>
  <c r="F56" i="1"/>
  <c r="F64" i="1" s="1"/>
  <c r="E56" i="1"/>
  <c r="D56" i="1"/>
  <c r="D64" i="1" s="1"/>
  <c r="C56" i="1"/>
  <c r="C64" i="1" s="1"/>
  <c r="B56" i="1"/>
  <c r="AT55" i="1"/>
  <c r="AT56" i="1" s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T49" i="1"/>
  <c r="AT48" i="1"/>
  <c r="AT47" i="1"/>
  <c r="AT46" i="1"/>
  <c r="AT45" i="1"/>
  <c r="AT44" i="1"/>
  <c r="AT43" i="1"/>
  <c r="AT42" i="1"/>
  <c r="AT41" i="1"/>
  <c r="AS38" i="1"/>
  <c r="AS39" i="1" s="1"/>
  <c r="AS51" i="1" s="1"/>
  <c r="AR38" i="1"/>
  <c r="AR39" i="1" s="1"/>
  <c r="AR51" i="1" s="1"/>
  <c r="AQ38" i="1"/>
  <c r="AQ39" i="1" s="1"/>
  <c r="AQ51" i="1" s="1"/>
  <c r="AP38" i="1"/>
  <c r="AP39" i="1" s="1"/>
  <c r="AP51" i="1" s="1"/>
  <c r="AO38" i="1"/>
  <c r="AO39" i="1" s="1"/>
  <c r="AO51" i="1" s="1"/>
  <c r="AN38" i="1"/>
  <c r="AN39" i="1" s="1"/>
  <c r="AN51" i="1" s="1"/>
  <c r="AM38" i="1"/>
  <c r="AM39" i="1" s="1"/>
  <c r="AL38" i="1"/>
  <c r="AL39" i="1" s="1"/>
  <c r="AL51" i="1" s="1"/>
  <c r="AK38" i="1"/>
  <c r="AK39" i="1" s="1"/>
  <c r="AK51" i="1" s="1"/>
  <c r="AJ38" i="1"/>
  <c r="AJ39" i="1" s="1"/>
  <c r="AI38" i="1"/>
  <c r="AI39" i="1" s="1"/>
  <c r="AI51" i="1" s="1"/>
  <c r="AH38" i="1"/>
  <c r="AH39" i="1" s="1"/>
  <c r="AH51" i="1" s="1"/>
  <c r="AG38" i="1"/>
  <c r="AG39" i="1" s="1"/>
  <c r="AG51" i="1" s="1"/>
  <c r="AF38" i="1"/>
  <c r="AF39" i="1" s="1"/>
  <c r="AF51" i="1" s="1"/>
  <c r="AE38" i="1"/>
  <c r="AE39" i="1" s="1"/>
  <c r="AD38" i="1"/>
  <c r="AD39" i="1" s="1"/>
  <c r="AD51" i="1" s="1"/>
  <c r="AC38" i="1"/>
  <c r="AC39" i="1" s="1"/>
  <c r="AC51" i="1" s="1"/>
  <c r="AB38" i="1"/>
  <c r="AB39" i="1" s="1"/>
  <c r="AB51" i="1" s="1"/>
  <c r="AA38" i="1"/>
  <c r="AA39" i="1" s="1"/>
  <c r="AA51" i="1" s="1"/>
  <c r="Z38" i="1"/>
  <c r="Z39" i="1" s="1"/>
  <c r="Z51" i="1" s="1"/>
  <c r="Y38" i="1"/>
  <c r="Y39" i="1" s="1"/>
  <c r="Y51" i="1" s="1"/>
  <c r="X38" i="1"/>
  <c r="X39" i="1" s="1"/>
  <c r="X51" i="1" s="1"/>
  <c r="W38" i="1"/>
  <c r="W39" i="1" s="1"/>
  <c r="V38" i="1"/>
  <c r="V39" i="1" s="1"/>
  <c r="V51" i="1" s="1"/>
  <c r="U38" i="1"/>
  <c r="U39" i="1" s="1"/>
  <c r="U51" i="1" s="1"/>
  <c r="T38" i="1"/>
  <c r="T39" i="1" s="1"/>
  <c r="S38" i="1"/>
  <c r="S39" i="1" s="1"/>
  <c r="S51" i="1" s="1"/>
  <c r="R38" i="1"/>
  <c r="R39" i="1" s="1"/>
  <c r="R51" i="1" s="1"/>
  <c r="Q38" i="1"/>
  <c r="Q39" i="1" s="1"/>
  <c r="Q51" i="1" s="1"/>
  <c r="P38" i="1"/>
  <c r="P39" i="1" s="1"/>
  <c r="P51" i="1" s="1"/>
  <c r="O38" i="1"/>
  <c r="O39" i="1" s="1"/>
  <c r="N38" i="1"/>
  <c r="N39" i="1" s="1"/>
  <c r="N51" i="1" s="1"/>
  <c r="M38" i="1"/>
  <c r="M39" i="1" s="1"/>
  <c r="M51" i="1" s="1"/>
  <c r="L38" i="1"/>
  <c r="L39" i="1" s="1"/>
  <c r="L51" i="1" s="1"/>
  <c r="K38" i="1"/>
  <c r="K39" i="1" s="1"/>
  <c r="K51" i="1" s="1"/>
  <c r="J38" i="1"/>
  <c r="J39" i="1" s="1"/>
  <c r="J51" i="1" s="1"/>
  <c r="I38" i="1"/>
  <c r="I39" i="1" s="1"/>
  <c r="I51" i="1" s="1"/>
  <c r="H38" i="1"/>
  <c r="H39" i="1" s="1"/>
  <c r="H51" i="1" s="1"/>
  <c r="G38" i="1"/>
  <c r="G39" i="1" s="1"/>
  <c r="F38" i="1"/>
  <c r="F39" i="1" s="1"/>
  <c r="F51" i="1" s="1"/>
  <c r="E38" i="1"/>
  <c r="E39" i="1" s="1"/>
  <c r="E51" i="1" s="1"/>
  <c r="D38" i="1"/>
  <c r="D39" i="1" s="1"/>
  <c r="C38" i="1"/>
  <c r="C39" i="1" s="1"/>
  <c r="C51" i="1" s="1"/>
  <c r="B38" i="1"/>
  <c r="B39" i="1" s="1"/>
  <c r="B51" i="1" s="1"/>
  <c r="AT37" i="1"/>
  <c r="AT36" i="1"/>
  <c r="AT38" i="1" s="1"/>
  <c r="AT39" i="1" s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T29" i="1"/>
  <c r="AT28" i="1"/>
  <c r="AT27" i="1"/>
  <c r="AT26" i="1"/>
  <c r="AT25" i="1"/>
  <c r="AS23" i="1"/>
  <c r="AR23" i="1"/>
  <c r="AR31" i="1" s="1"/>
  <c r="AQ23" i="1"/>
  <c r="AP23" i="1"/>
  <c r="AP31" i="1" s="1"/>
  <c r="AO23" i="1"/>
  <c r="AN23" i="1"/>
  <c r="AN31" i="1" s="1"/>
  <c r="AM23" i="1"/>
  <c r="AM31" i="1" s="1"/>
  <c r="AL23" i="1"/>
  <c r="AK23" i="1"/>
  <c r="AJ23" i="1"/>
  <c r="AJ31" i="1" s="1"/>
  <c r="AI23" i="1"/>
  <c r="AH23" i="1"/>
  <c r="AH31" i="1" s="1"/>
  <c r="AG23" i="1"/>
  <c r="AF23" i="1"/>
  <c r="AF31" i="1" s="1"/>
  <c r="AE23" i="1"/>
  <c r="AE31" i="1" s="1"/>
  <c r="AD23" i="1"/>
  <c r="AD31" i="1" s="1"/>
  <c r="AC23" i="1"/>
  <c r="AC31" i="1" s="1"/>
  <c r="AB23" i="1"/>
  <c r="AB31" i="1" s="1"/>
  <c r="AA23" i="1"/>
  <c r="Z23" i="1"/>
  <c r="Z31" i="1" s="1"/>
  <c r="Y23" i="1"/>
  <c r="X23" i="1"/>
  <c r="X31" i="1" s="1"/>
  <c r="W23" i="1"/>
  <c r="W31" i="1" s="1"/>
  <c r="V23" i="1"/>
  <c r="U23" i="1"/>
  <c r="T23" i="1"/>
  <c r="T31" i="1" s="1"/>
  <c r="S23" i="1"/>
  <c r="R23" i="1"/>
  <c r="R31" i="1" s="1"/>
  <c r="Q23" i="1"/>
  <c r="P23" i="1"/>
  <c r="P31" i="1" s="1"/>
  <c r="O23" i="1"/>
  <c r="O31" i="1" s="1"/>
  <c r="N23" i="1"/>
  <c r="N31" i="1" s="1"/>
  <c r="M23" i="1"/>
  <c r="L23" i="1"/>
  <c r="L31" i="1" s="1"/>
  <c r="K23" i="1"/>
  <c r="J23" i="1"/>
  <c r="J31" i="1" s="1"/>
  <c r="I23" i="1"/>
  <c r="H23" i="1"/>
  <c r="H31" i="1" s="1"/>
  <c r="G23" i="1"/>
  <c r="G31" i="1" s="1"/>
  <c r="F23" i="1"/>
  <c r="E23" i="1"/>
  <c r="D23" i="1"/>
  <c r="D31" i="1" s="1"/>
  <c r="C23" i="1"/>
  <c r="B23" i="1"/>
  <c r="B31" i="1" s="1"/>
  <c r="AT22" i="1"/>
  <c r="AT21" i="1"/>
  <c r="AT20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T15" i="1"/>
  <c r="AT14" i="1"/>
  <c r="AS12" i="1"/>
  <c r="AR12" i="1"/>
  <c r="AR17" i="1" s="1"/>
  <c r="AQ12" i="1"/>
  <c r="AP12" i="1"/>
  <c r="AP17" i="1" s="1"/>
  <c r="AO12" i="1"/>
  <c r="AN12" i="1"/>
  <c r="AN17" i="1" s="1"/>
  <c r="AM12" i="1"/>
  <c r="AL12" i="1"/>
  <c r="AL17" i="1" s="1"/>
  <c r="AK12" i="1"/>
  <c r="AJ12" i="1"/>
  <c r="AJ17" i="1" s="1"/>
  <c r="AI12" i="1"/>
  <c r="AH12" i="1"/>
  <c r="AH17" i="1" s="1"/>
  <c r="AG12" i="1"/>
  <c r="AF12" i="1"/>
  <c r="AF17" i="1" s="1"/>
  <c r="AE12" i="1"/>
  <c r="AD12" i="1"/>
  <c r="AD17" i="1" s="1"/>
  <c r="AC12" i="1"/>
  <c r="AB12" i="1"/>
  <c r="AB17" i="1" s="1"/>
  <c r="AA12" i="1"/>
  <c r="Z12" i="1"/>
  <c r="Z17" i="1" s="1"/>
  <c r="Y12" i="1"/>
  <c r="X12" i="1"/>
  <c r="X17" i="1" s="1"/>
  <c r="W12" i="1"/>
  <c r="V12" i="1"/>
  <c r="V17" i="1" s="1"/>
  <c r="U12" i="1"/>
  <c r="T12" i="1"/>
  <c r="T17" i="1" s="1"/>
  <c r="S12" i="1"/>
  <c r="R12" i="1"/>
  <c r="R17" i="1" s="1"/>
  <c r="Q12" i="1"/>
  <c r="P12" i="1"/>
  <c r="P17" i="1" s="1"/>
  <c r="O12" i="1"/>
  <c r="N12" i="1"/>
  <c r="N17" i="1" s="1"/>
  <c r="M12" i="1"/>
  <c r="L12" i="1"/>
  <c r="L17" i="1" s="1"/>
  <c r="K12" i="1"/>
  <c r="J12" i="1"/>
  <c r="J17" i="1" s="1"/>
  <c r="I12" i="1"/>
  <c r="H12" i="1"/>
  <c r="H17" i="1" s="1"/>
  <c r="G12" i="1"/>
  <c r="F12" i="1"/>
  <c r="F17" i="1" s="1"/>
  <c r="E12" i="1"/>
  <c r="D12" i="1"/>
  <c r="D17" i="1" s="1"/>
  <c r="C12" i="1"/>
  <c r="B12" i="1"/>
  <c r="B17" i="1" s="1"/>
  <c r="AT11" i="1"/>
  <c r="AT12" i="1" s="1"/>
  <c r="AO17" i="1" l="1"/>
  <c r="AO32" i="1" s="1"/>
  <c r="AO52" i="1" s="1"/>
  <c r="AO72" i="1" s="1"/>
  <c r="Q17" i="1"/>
  <c r="Q32" i="1" s="1"/>
  <c r="Q52" i="1" s="1"/>
  <c r="Q72" i="1" s="1"/>
  <c r="C17" i="1"/>
  <c r="K17" i="1"/>
  <c r="S17" i="1"/>
  <c r="AA17" i="1"/>
  <c r="AA32" i="1" s="1"/>
  <c r="AA52" i="1" s="1"/>
  <c r="AA72" i="1" s="1"/>
  <c r="AI17" i="1"/>
  <c r="AQ17" i="1"/>
  <c r="G51" i="1"/>
  <c r="O51" i="1"/>
  <c r="W51" i="1"/>
  <c r="AE51" i="1"/>
  <c r="AM51" i="1"/>
  <c r="Y17" i="1"/>
  <c r="E64" i="1"/>
  <c r="M64" i="1"/>
  <c r="U64" i="1"/>
  <c r="AC64" i="1"/>
  <c r="AK64" i="1"/>
  <c r="AS64" i="1"/>
  <c r="I17" i="1"/>
  <c r="AG17" i="1"/>
  <c r="AT16" i="1"/>
  <c r="I31" i="1"/>
  <c r="I32" i="1" s="1"/>
  <c r="I52" i="1" s="1"/>
  <c r="Q31" i="1"/>
  <c r="Y31" i="1"/>
  <c r="Y32" i="1" s="1"/>
  <c r="Y52" i="1" s="1"/>
  <c r="AG31" i="1"/>
  <c r="AO31" i="1"/>
  <c r="AB32" i="1"/>
  <c r="AB52" i="1" s="1"/>
  <c r="AB72" i="1" s="1"/>
  <c r="AR32" i="1"/>
  <c r="AR52" i="1" s="1"/>
  <c r="AR72" i="1" s="1"/>
  <c r="E17" i="1"/>
  <c r="M17" i="1"/>
  <c r="U17" i="1"/>
  <c r="AC17" i="1"/>
  <c r="AC32" i="1" s="1"/>
  <c r="AC52" i="1" s="1"/>
  <c r="AC72" i="1" s="1"/>
  <c r="AK17" i="1"/>
  <c r="AS17" i="1"/>
  <c r="AT30" i="1"/>
  <c r="G64" i="1"/>
  <c r="O64" i="1"/>
  <c r="W64" i="1"/>
  <c r="AE64" i="1"/>
  <c r="AM64" i="1"/>
  <c r="K64" i="1"/>
  <c r="S64" i="1"/>
  <c r="AA64" i="1"/>
  <c r="AI64" i="1"/>
  <c r="AQ64" i="1"/>
  <c r="AL32" i="1"/>
  <c r="AL52" i="1" s="1"/>
  <c r="AL72" i="1" s="1"/>
  <c r="AT23" i="1"/>
  <c r="AT31" i="1" s="1"/>
  <c r="F31" i="1"/>
  <c r="F32" i="1" s="1"/>
  <c r="F52" i="1" s="1"/>
  <c r="F72" i="1" s="1"/>
  <c r="V31" i="1"/>
  <c r="V32" i="1" s="1"/>
  <c r="V52" i="1" s="1"/>
  <c r="V72" i="1" s="1"/>
  <c r="AL31" i="1"/>
  <c r="D32" i="1"/>
  <c r="B32" i="1"/>
  <c r="B52" i="1" s="1"/>
  <c r="J32" i="1"/>
  <c r="J52" i="1" s="1"/>
  <c r="J72" i="1" s="1"/>
  <c r="R32" i="1"/>
  <c r="R52" i="1" s="1"/>
  <c r="R72" i="1" s="1"/>
  <c r="Z32" i="1"/>
  <c r="Z52" i="1" s="1"/>
  <c r="AH32" i="1"/>
  <c r="AH52" i="1" s="1"/>
  <c r="AP32" i="1"/>
  <c r="AP52" i="1" s="1"/>
  <c r="AT63" i="1"/>
  <c r="AT64" i="1" s="1"/>
  <c r="L32" i="1"/>
  <c r="L52" i="1" s="1"/>
  <c r="L72" i="1" s="1"/>
  <c r="T32" i="1"/>
  <c r="AJ32" i="1"/>
  <c r="N32" i="1"/>
  <c r="N52" i="1" s="1"/>
  <c r="N72" i="1" s="1"/>
  <c r="I64" i="1"/>
  <c r="Q64" i="1"/>
  <c r="Y64" i="1"/>
  <c r="AG64" i="1"/>
  <c r="AO64" i="1"/>
  <c r="G17" i="1"/>
  <c r="G32" i="1" s="1"/>
  <c r="G52" i="1" s="1"/>
  <c r="G72" i="1" s="1"/>
  <c r="O17" i="1"/>
  <c r="O32" i="1" s="1"/>
  <c r="O52" i="1" s="1"/>
  <c r="O72" i="1" s="1"/>
  <c r="W17" i="1"/>
  <c r="W32" i="1" s="1"/>
  <c r="W52" i="1" s="1"/>
  <c r="W72" i="1" s="1"/>
  <c r="AE17" i="1"/>
  <c r="AE32" i="1" s="1"/>
  <c r="AE52" i="1" s="1"/>
  <c r="AM17" i="1"/>
  <c r="AM32" i="1" s="1"/>
  <c r="AM52" i="1" s="1"/>
  <c r="C31" i="1"/>
  <c r="C32" i="1" s="1"/>
  <c r="C52" i="1" s="1"/>
  <c r="C72" i="1" s="1"/>
  <c r="K31" i="1"/>
  <c r="K32" i="1" s="1"/>
  <c r="K52" i="1" s="1"/>
  <c r="S31" i="1"/>
  <c r="S32" i="1" s="1"/>
  <c r="S52" i="1" s="1"/>
  <c r="AA31" i="1"/>
  <c r="AI31" i="1"/>
  <c r="AI32" i="1" s="1"/>
  <c r="AI52" i="1" s="1"/>
  <c r="AI72" i="1" s="1"/>
  <c r="AQ31" i="1"/>
  <c r="AQ32" i="1" s="1"/>
  <c r="AQ52" i="1" s="1"/>
  <c r="AQ72" i="1" s="1"/>
  <c r="B64" i="1"/>
  <c r="B72" i="1" s="1"/>
  <c r="J64" i="1"/>
  <c r="R64" i="1"/>
  <c r="Z64" i="1"/>
  <c r="AH64" i="1"/>
  <c r="AP64" i="1"/>
  <c r="AD32" i="1"/>
  <c r="AD52" i="1" s="1"/>
  <c r="AD72" i="1" s="1"/>
  <c r="AT50" i="1"/>
  <c r="AT51" i="1" s="1"/>
  <c r="M31" i="1"/>
  <c r="U31" i="1"/>
  <c r="AK31" i="1"/>
  <c r="AK32" i="1" s="1"/>
  <c r="AK52" i="1" s="1"/>
  <c r="AK72" i="1" s="1"/>
  <c r="AS31" i="1"/>
  <c r="E31" i="1"/>
  <c r="E32" i="1" s="1"/>
  <c r="E52" i="1" s="1"/>
  <c r="E72" i="1" s="1"/>
  <c r="AP72" i="1"/>
  <c r="D51" i="1"/>
  <c r="T51" i="1"/>
  <c r="AJ51" i="1"/>
  <c r="AT71" i="1"/>
  <c r="H32" i="1"/>
  <c r="H52" i="1" s="1"/>
  <c r="H72" i="1" s="1"/>
  <c r="P32" i="1"/>
  <c r="P52" i="1" s="1"/>
  <c r="P72" i="1" s="1"/>
  <c r="X32" i="1"/>
  <c r="X52" i="1" s="1"/>
  <c r="X72" i="1" s="1"/>
  <c r="AF32" i="1"/>
  <c r="AF52" i="1" s="1"/>
  <c r="AF72" i="1" s="1"/>
  <c r="AN32" i="1"/>
  <c r="AN52" i="1" s="1"/>
  <c r="AN72" i="1" s="1"/>
  <c r="AT17" i="1"/>
  <c r="AG32" i="1"/>
  <c r="AG52" i="1" s="1"/>
  <c r="D52" i="1" l="1"/>
  <c r="D72" i="1" s="1"/>
  <c r="U32" i="1"/>
  <c r="U52" i="1" s="1"/>
  <c r="U72" i="1" s="1"/>
  <c r="AM72" i="1"/>
  <c r="M32" i="1"/>
  <c r="M52" i="1" s="1"/>
  <c r="M72" i="1" s="1"/>
  <c r="AE72" i="1"/>
  <c r="K72" i="1"/>
  <c r="AH72" i="1"/>
  <c r="S72" i="1"/>
  <c r="Y72" i="1"/>
  <c r="AS32" i="1"/>
  <c r="AS52" i="1" s="1"/>
  <c r="AS72" i="1" s="1"/>
  <c r="Z72" i="1"/>
  <c r="AG72" i="1"/>
  <c r="AJ52" i="1"/>
  <c r="AJ72" i="1" s="1"/>
  <c r="T52" i="1"/>
  <c r="T72" i="1" s="1"/>
  <c r="I72" i="1"/>
  <c r="AT32" i="1"/>
  <c r="AT52" i="1" s="1"/>
  <c r="AT72" i="1" s="1"/>
</calcChain>
</file>

<file path=xl/sharedStrings.xml><?xml version="1.0" encoding="utf-8"?>
<sst xmlns="http://schemas.openxmlformats.org/spreadsheetml/2006/main" count="162" uniqueCount="117">
  <si>
    <t>Firma : SEGRA GmbH</t>
  </si>
  <si>
    <t>PG P+L by Entity and Month/Quarter/Year</t>
  </si>
  <si>
    <t>From Jan 2020 to Dez 2023</t>
  </si>
  <si>
    <t> 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</si>
  <si>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</si>
  <si>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</si>
  <si>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</si>
  <si>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</si>
  <si>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</si>
  <si>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</si>
  <si>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</si>
  <si>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</si>
  <si>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</si>
  <si>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</si>
  <si>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</si>
  <si>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</si>
  <si>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 xml:space="preserve">Adjust 2020 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</si>
  <si>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</si>
  <si>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</si>
  <si>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</si>
  <si>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</si>
  <si>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</si>
  <si>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</si>
  <si>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</si>
  <si>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</si>
  <si>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</si>
  <si>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</si>
  <si>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</si>
  <si>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</si>
  <si>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</si>
  <si>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</si>
  <si>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</si>
  <si>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</si>
  <si>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</si>
  <si>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</si>
  <si>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</si>
  <si>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</si>
  <si>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</si>
  <si>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</si>
  <si>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</si>
  <si>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</si>
  <si>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</si>
  <si>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</si>
  <si>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Mrz 2023</t>
  </si>
  <si>
    <t>Apr 2023</t>
  </si>
  <si>
    <t>Mai 2023</t>
  </si>
  <si>
    <t>Jun 2023</t>
  </si>
  <si>
    <t>Jul 2023</t>
  </si>
  <si>
    <t>Total</t>
  </si>
  <si>
    <t>Saldo</t>
  </si>
  <si>
    <t>Net profit/loss for the year</t>
  </si>
  <si>
    <t>EBIT</t>
  </si>
  <si>
    <t>Gross profit</t>
  </si>
  <si>
    <t>Operating income</t>
  </si>
  <si>
    <t>1. Revenue</t>
  </si>
  <si>
    <t>440000 - Revenue Services- standard VAT</t>
  </si>
  <si>
    <t>Total Revenue</t>
  </si>
  <si>
    <t>4. Other operating income</t>
  </si>
  <si>
    <t>490000 - Income from disposal of fixed assets</t>
  </si>
  <si>
    <t>493000 - Income from reversal of provisions</t>
  </si>
  <si>
    <t>Total Other operating income</t>
  </si>
  <si>
    <t>Total Operating income</t>
  </si>
  <si>
    <t>5. Cost of materials</t>
  </si>
  <si>
    <t>a) Cost of raw materials, consum, supplies and purchased merch.</t>
  </si>
  <si>
    <t>573000 - Cash discounts received</t>
  </si>
  <si>
    <t>580010 - Invoice PO price variance standard rate</t>
  </si>
  <si>
    <t>581300 - Invoice PO price variance goods third country</t>
  </si>
  <si>
    <t>Total Cost of raw materials, consum, supplies and purchased merch.</t>
  </si>
  <si>
    <t>b) Cost of purchased services</t>
  </si>
  <si>
    <t>590000 - Purchased services standard input tax</t>
  </si>
  <si>
    <t>590100 - Third Party Services §13b EU-Country - Service</t>
  </si>
  <si>
    <t>590600 - Purchased services, Standard input tax</t>
  </si>
  <si>
    <t>592300 - Other serv. supplied by contr. anoth EU cntry, Std input tax</t>
  </si>
  <si>
    <t>592500 - Serv.s supplied by foreign contractor, Std input tax</t>
  </si>
  <si>
    <t>Total Cost of purchased services</t>
  </si>
  <si>
    <t>Total Cost of materials</t>
  </si>
  <si>
    <t>Total Gross profit</t>
  </si>
  <si>
    <t>Operating expenses (except cost of materials)</t>
  </si>
  <si>
    <t>7. Depreciation and amortisation</t>
  </si>
  <si>
    <t>a) Amortisation of intangible assets and depr. of tangbl assets</t>
  </si>
  <si>
    <t>622000 - Depr. of tangible fixed assets (excl. Depr. of vehicles)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</si>
  <si>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</si>
  <si>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</si>
  <si>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</si>
  <si>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</si>
  <si>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642000 - Contributions</t>
  </si>
  <si>
    <t>649500 - Hardware and software maintenance expenses</t>
  </si>
  <si>
    <t>678000 - Third-party services (distribution)</t>
  </si>
  <si>
    <t>681500 - Office supplies</t>
  </si>
  <si>
    <t>681600 - data processing demand</t>
  </si>
  <si>
    <t>682500 - Legal and consulting costs</t>
  </si>
  <si>
    <t>682700 - Period-end closing and audit costs</t>
  </si>
  <si>
    <t>683000 - Bookkeeping costs</t>
  </si>
  <si>
    <t>685500 - Incidental monetary transaction costs</t>
  </si>
  <si>
    <t>Total Other operating expenses</t>
  </si>
  <si>
    <t>Total Operating expenses (except cost of materials)</t>
  </si>
  <si>
    <t>Total EBIT</t>
  </si>
  <si>
    <t>Financial result</t>
  </si>
  <si>
    <t>10. Income from other securities and long-term loans</t>
  </si>
  <si>
    <t>701100 - Income from long-term loans</t>
  </si>
  <si>
    <t>Total Income from other securities and long-term loans</t>
  </si>
  <si>
    <t>11. Other interest and similar income</t>
  </si>
  <si>
    <t>710000 - Other interest and similar income</t>
  </si>
  <si>
    <t>Total Other interest and similar income</t>
  </si>
  <si>
    <t>13. Interest and similar expenses</t>
  </si>
  <si>
    <t>731100 - Interest expense §§ 234 to 237 AO deductible</t>
  </si>
  <si>
    <t>732900 - Interest expenses on long-term liabilities to affiliated co.</t>
  </si>
  <si>
    <t>Total Interest and similar expenses</t>
  </si>
  <si>
    <t>Total Financial result</t>
  </si>
  <si>
    <t>14. Taxes on income</t>
  </si>
  <si>
    <t>760000 - Corporate income tax</t>
  </si>
  <si>
    <t>760800 - Solidarity surcharge</t>
  </si>
  <si>
    <t>761000 - Trade tax</t>
  </si>
  <si>
    <t>763000 - Withholding tax on investment income, 25%</t>
  </si>
  <si>
    <t>763300 - Allow. solidarity surcharge on w/h tax invest. income, 25%</t>
  </si>
  <si>
    <t>Total Taxes on income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</si>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</sst>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4"/>
    </xf>
    <xf numFmtId="168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3"/>
    </xf>
    <xf numFmtId="0" fontId="21" fillId="0" borderId="11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1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1" xfId="0" applyFont="1" applyBorder="1" applyAlignment="1">
      <alignment horizontal="left" vertic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2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12.1640625" defaultRowHeight="11.25" x14ac:dyDescent="0.2"/>
  <cols>
    <col min="1" max="1" width="72.5" bestFit="1" customWidth="1"/>
    <col min="2" max="6" width="9.83203125" bestFit="1" customWidth="1"/>
    <col min="7" max="7" width="10.1640625" bestFit="1" customWidth="1"/>
    <col min="8" max="8" width="10.83203125" bestFit="1" customWidth="1"/>
    <col min="9" max="10" width="9.83203125" bestFit="1" customWidth="1"/>
    <col min="11" max="11" width="10.83203125" bestFit="1" customWidth="1"/>
    <col min="12" max="12" width="9.83203125" bestFit="1" customWidth="1"/>
    <col min="13" max="13" width="10.83203125" bestFit="1" customWidth="1"/>
    <col min="14" max="14" width="12" bestFit="1" customWidth="1"/>
    <col min="15" max="15" width="10.83203125" bestFit="1" customWidth="1"/>
    <col min="16" max="16" width="9.83203125" bestFit="1" customWidth="1"/>
    <col min="17" max="22" width="10.1640625" bestFit="1" customWidth="1"/>
    <col min="23" max="28" width="9.83203125" bestFit="1" customWidth="1"/>
    <col min="29" max="29" width="10.1640625" bestFit="1" customWidth="1"/>
    <col min="30" max="34" width="9.83203125" bestFit="1" customWidth="1"/>
    <col min="35" max="40" width="10.1640625" bestFit="1" customWidth="1"/>
    <col min="41" max="41" width="10.83203125" bestFit="1" customWidth="1"/>
    <col min="42" max="45" width="10.1640625" bestFit="1" customWidth="1"/>
    <col min="46" max="46" width="11.83203125" bestFit="1" customWidth="1"/>
  </cols>
  <sheetData>
    <row r="1" spans="1:46" s="23" customFormat="1" ht="15.75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</row>
    <row r="2" spans="1:46" s="23" customFormat="1" ht="18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</row>
    <row r="3" spans="1:46" s="23" customFormat="1" ht="18" x14ac:dyDescent="0.2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</row>
    <row r="4" spans="1:46" x14ac:dyDescent="0.2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</row>
    <row r="5" spans="1:46" x14ac:dyDescent="0.2">
      <c r="A5" s="1" t="s">
        <v>3</v>
      </c>
      <c r="B5" s="2" t="s">
        <v>49</v>
      </c>
      <c r="C5" s="2" t="s">
        <v>49</v>
      </c>
      <c r="D5" s="2" t="s">
        <v>49</v>
      </c>
      <c r="E5" s="2" t="s">
        <v>49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49</v>
      </c>
      <c r="N5" s="2" t="s">
        <v>49</v>
      </c>
      <c r="O5" s="2" t="s">
        <v>49</v>
      </c>
      <c r="P5" s="2" t="s">
        <v>49</v>
      </c>
      <c r="Q5" s="2" t="s">
        <v>49</v>
      </c>
      <c r="R5" s="2" t="s">
        <v>49</v>
      </c>
      <c r="S5" s="2" t="s">
        <v>49</v>
      </c>
      <c r="T5" s="2" t="s">
        <v>49</v>
      </c>
      <c r="U5" s="2" t="s">
        <v>49</v>
      </c>
      <c r="V5" s="2" t="s">
        <v>49</v>
      </c>
      <c r="W5" s="2" t="s">
        <v>49</v>
      </c>
      <c r="X5" s="2" t="s">
        <v>49</v>
      </c>
      <c r="Y5" s="2" t="s">
        <v>49</v>
      </c>
      <c r="Z5" s="2" t="s">
        <v>49</v>
      </c>
      <c r="AA5" s="2" t="s">
        <v>49</v>
      </c>
      <c r="AB5" s="2" t="s">
        <v>49</v>
      </c>
      <c r="AC5" s="2" t="s">
        <v>49</v>
      </c>
      <c r="AD5" s="2" t="s">
        <v>49</v>
      </c>
      <c r="AE5" s="2" t="s">
        <v>49</v>
      </c>
      <c r="AF5" s="2" t="s">
        <v>49</v>
      </c>
      <c r="AG5" s="2" t="s">
        <v>49</v>
      </c>
      <c r="AH5" s="2" t="s">
        <v>49</v>
      </c>
      <c r="AI5" s="2" t="s">
        <v>49</v>
      </c>
      <c r="AJ5" s="2" t="s">
        <v>49</v>
      </c>
      <c r="AK5" s="2" t="s">
        <v>49</v>
      </c>
      <c r="AL5" s="2" t="s">
        <v>49</v>
      </c>
      <c r="AM5" s="2" t="s">
        <v>49</v>
      </c>
      <c r="AN5" s="2" t="s">
        <v>49</v>
      </c>
      <c r="AO5" s="2" t="s">
        <v>49</v>
      </c>
      <c r="AP5" s="2" t="s">
        <v>49</v>
      </c>
      <c r="AQ5" s="2" t="s">
        <v>49</v>
      </c>
      <c r="AR5" s="2" t="s">
        <v>49</v>
      </c>
      <c r="AS5" s="2" t="s">
        <v>49</v>
      </c>
      <c r="AT5" s="2" t="s">
        <v>49</v>
      </c>
    </row>
    <row r="6" spans="1:46" x14ac:dyDescent="0.2">
      <c r="A6" s="3" t="s">
        <v>50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spans="1:46" x14ac:dyDescent="0.2">
      <c r="A7" s="5" t="s">
        <v>51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spans="1:46" x14ac:dyDescent="0.2">
      <c r="A8" s="6" t="s">
        <v>52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1:46" x14ac:dyDescent="0.2">
      <c r="A9" s="7" t="s">
        <v>53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1:46" x14ac:dyDescent="0.2">
      <c r="A10" s="8" t="s">
        <v>54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spans="1:46" x14ac:dyDescent="0.2">
      <c r="A11" s="9" t="s">
        <v>55</v>
      </c>
      <c r="B11" s="10">
        <v>9700</v>
      </c>
      <c r="C11" s="10">
        <v>9700</v>
      </c>
      <c r="D11" s="10">
        <v>9700</v>
      </c>
      <c r="E11" s="10">
        <v>9700</v>
      </c>
      <c r="F11" s="10">
        <v>9700</v>
      </c>
      <c r="G11" s="10">
        <v>13484.61</v>
      </c>
      <c r="H11" s="10">
        <v>9700</v>
      </c>
      <c r="I11" s="10">
        <v>9700</v>
      </c>
      <c r="J11" s="10">
        <v>9700</v>
      </c>
      <c r="K11" s="10">
        <v>25650</v>
      </c>
      <c r="L11" s="10">
        <v>9700</v>
      </c>
      <c r="M11" s="10">
        <v>11057.5</v>
      </c>
      <c r="N11" s="10">
        <v>0</v>
      </c>
      <c r="O11" s="10">
        <v>9700</v>
      </c>
      <c r="P11" s="10">
        <v>9700</v>
      </c>
      <c r="Q11" s="10">
        <v>13941.36</v>
      </c>
      <c r="R11" s="10">
        <v>15800</v>
      </c>
      <c r="S11" s="10">
        <v>15800</v>
      </c>
      <c r="T11" s="10">
        <v>12813.75</v>
      </c>
      <c r="U11" s="10">
        <v>10800</v>
      </c>
      <c r="V11" s="10">
        <v>10800</v>
      </c>
      <c r="W11" s="10">
        <v>800</v>
      </c>
      <c r="X11" s="10">
        <v>800</v>
      </c>
      <c r="Y11" s="10">
        <v>800</v>
      </c>
      <c r="Z11" s="10">
        <v>2372.38</v>
      </c>
      <c r="AA11" s="10">
        <v>8025</v>
      </c>
      <c r="AB11" s="10">
        <v>8025</v>
      </c>
      <c r="AC11" s="10">
        <v>12731.36</v>
      </c>
      <c r="AD11" s="10">
        <v>8025</v>
      </c>
      <c r="AE11" s="10">
        <v>8025</v>
      </c>
      <c r="AF11" s="10">
        <v>8025</v>
      </c>
      <c r="AG11" s="10">
        <v>8025</v>
      </c>
      <c r="AH11" s="10">
        <v>8025</v>
      </c>
      <c r="AI11" s="10">
        <v>14822</v>
      </c>
      <c r="AJ11" s="10">
        <v>13200</v>
      </c>
      <c r="AK11" s="10">
        <v>13200</v>
      </c>
      <c r="AL11" s="10">
        <v>14667.76</v>
      </c>
      <c r="AM11" s="10">
        <v>13200</v>
      </c>
      <c r="AN11" s="10">
        <v>13200</v>
      </c>
      <c r="AO11" s="10">
        <v>16637.36</v>
      </c>
      <c r="AP11" s="10">
        <v>14750</v>
      </c>
      <c r="AQ11" s="10">
        <v>13200</v>
      </c>
      <c r="AR11" s="10">
        <v>14704.2</v>
      </c>
      <c r="AS11" s="10">
        <v>13200</v>
      </c>
      <c r="AT11" s="10">
        <f>SUM(B11:AS11)</f>
        <v>465307.27999999997</v>
      </c>
    </row>
    <row r="12" spans="1:46" x14ac:dyDescent="0.2">
      <c r="A12" s="11" t="s">
        <v>56</v>
      </c>
      <c r="B12" s="12">
        <f t="shared" ref="B12:AT12" si="0">SUM(B11)</f>
        <v>9700</v>
      </c>
      <c r="C12" s="12">
        <f t="shared" si="0"/>
        <v>9700</v>
      </c>
      <c r="D12" s="12">
        <f t="shared" si="0"/>
        <v>9700</v>
      </c>
      <c r="E12" s="12">
        <f t="shared" si="0"/>
        <v>9700</v>
      </c>
      <c r="F12" s="12">
        <f t="shared" si="0"/>
        <v>9700</v>
      </c>
      <c r="G12" s="12">
        <f t="shared" si="0"/>
        <v>13484.61</v>
      </c>
      <c r="H12" s="12">
        <f t="shared" si="0"/>
        <v>9700</v>
      </c>
      <c r="I12" s="12">
        <f t="shared" si="0"/>
        <v>9700</v>
      </c>
      <c r="J12" s="12">
        <f t="shared" si="0"/>
        <v>9700</v>
      </c>
      <c r="K12" s="12">
        <f t="shared" si="0"/>
        <v>25650</v>
      </c>
      <c r="L12" s="12">
        <f t="shared" si="0"/>
        <v>9700</v>
      </c>
      <c r="M12" s="12">
        <f t="shared" si="0"/>
        <v>11057.5</v>
      </c>
      <c r="N12" s="12">
        <f t="shared" si="0"/>
        <v>0</v>
      </c>
      <c r="O12" s="12">
        <f t="shared" si="0"/>
        <v>9700</v>
      </c>
      <c r="P12" s="12">
        <f t="shared" si="0"/>
        <v>9700</v>
      </c>
      <c r="Q12" s="12">
        <f t="shared" si="0"/>
        <v>13941.36</v>
      </c>
      <c r="R12" s="12">
        <f t="shared" si="0"/>
        <v>15800</v>
      </c>
      <c r="S12" s="12">
        <f t="shared" si="0"/>
        <v>15800</v>
      </c>
      <c r="T12" s="12">
        <f t="shared" si="0"/>
        <v>12813.75</v>
      </c>
      <c r="U12" s="12">
        <f t="shared" si="0"/>
        <v>10800</v>
      </c>
      <c r="V12" s="12">
        <f t="shared" si="0"/>
        <v>10800</v>
      </c>
      <c r="W12" s="12">
        <f t="shared" si="0"/>
        <v>800</v>
      </c>
      <c r="X12" s="12">
        <f t="shared" si="0"/>
        <v>800</v>
      </c>
      <c r="Y12" s="12">
        <f t="shared" si="0"/>
        <v>800</v>
      </c>
      <c r="Z12" s="12">
        <f t="shared" si="0"/>
        <v>2372.38</v>
      </c>
      <c r="AA12" s="12">
        <f t="shared" si="0"/>
        <v>8025</v>
      </c>
      <c r="AB12" s="12">
        <f t="shared" si="0"/>
        <v>8025</v>
      </c>
      <c r="AC12" s="12">
        <f t="shared" si="0"/>
        <v>12731.36</v>
      </c>
      <c r="AD12" s="12">
        <f t="shared" si="0"/>
        <v>8025</v>
      </c>
      <c r="AE12" s="12">
        <f t="shared" si="0"/>
        <v>8025</v>
      </c>
      <c r="AF12" s="12">
        <f t="shared" si="0"/>
        <v>8025</v>
      </c>
      <c r="AG12" s="12">
        <f t="shared" si="0"/>
        <v>8025</v>
      </c>
      <c r="AH12" s="12">
        <f t="shared" si="0"/>
        <v>8025</v>
      </c>
      <c r="AI12" s="12">
        <f t="shared" si="0"/>
        <v>14822</v>
      </c>
      <c r="AJ12" s="12">
        <f t="shared" si="0"/>
        <v>13200</v>
      </c>
      <c r="AK12" s="12">
        <f t="shared" si="0"/>
        <v>13200</v>
      </c>
      <c r="AL12" s="12">
        <f t="shared" si="0"/>
        <v>14667.76</v>
      </c>
      <c r="AM12" s="12">
        <f t="shared" si="0"/>
        <v>13200</v>
      </c>
      <c r="AN12" s="12">
        <f t="shared" si="0"/>
        <v>13200</v>
      </c>
      <c r="AO12" s="12">
        <f t="shared" si="0"/>
        <v>16637.36</v>
      </c>
      <c r="AP12" s="12">
        <f t="shared" si="0"/>
        <v>14750</v>
      </c>
      <c r="AQ12" s="12">
        <f t="shared" si="0"/>
        <v>13200</v>
      </c>
      <c r="AR12" s="12">
        <f t="shared" si="0"/>
        <v>14704.2</v>
      </c>
      <c r="AS12" s="12">
        <f t="shared" si="0"/>
        <v>13200</v>
      </c>
      <c r="AT12" s="12">
        <f t="shared" si="0"/>
        <v>465307.27999999997</v>
      </c>
    </row>
    <row r="13" spans="1:46" x14ac:dyDescent="0.2">
      <c r="A13" s="8" t="s">
        <v>57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spans="1:46" x14ac:dyDescent="0.2">
      <c r="A14" s="9" t="s">
        <v>58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383.7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f>SUM(B14:AS14)</f>
        <v>383.7</v>
      </c>
    </row>
    <row r="15" spans="1:46" x14ac:dyDescent="0.2">
      <c r="A15" s="9" t="s">
        <v>59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28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f>SUM(B15:AS15)</f>
        <v>28</v>
      </c>
    </row>
    <row r="16" spans="1:46" x14ac:dyDescent="0.2">
      <c r="A16" s="13" t="s">
        <v>60</v>
      </c>
      <c r="B16" s="14">
        <f t="shared" ref="B16:AT16" si="1">SUM(B14:B15)</f>
        <v>0</v>
      </c>
      <c r="C16" s="14">
        <f t="shared" si="1"/>
        <v>0</v>
      </c>
      <c r="D16" s="14">
        <f t="shared" si="1"/>
        <v>0</v>
      </c>
      <c r="E16" s="14">
        <f t="shared" si="1"/>
        <v>0</v>
      </c>
      <c r="F16" s="14">
        <f t="shared" si="1"/>
        <v>0</v>
      </c>
      <c r="G16" s="14">
        <f t="shared" si="1"/>
        <v>0</v>
      </c>
      <c r="H16" s="14">
        <f t="shared" si="1"/>
        <v>0</v>
      </c>
      <c r="I16" s="14">
        <f t="shared" si="1"/>
        <v>0</v>
      </c>
      <c r="J16" s="14">
        <f t="shared" si="1"/>
        <v>0</v>
      </c>
      <c r="K16" s="14">
        <f t="shared" si="1"/>
        <v>0</v>
      </c>
      <c r="L16" s="14">
        <f t="shared" si="1"/>
        <v>0</v>
      </c>
      <c r="M16" s="14">
        <f t="shared" si="1"/>
        <v>0</v>
      </c>
      <c r="N16" s="14">
        <f t="shared" si="1"/>
        <v>0</v>
      </c>
      <c r="O16" s="14">
        <f t="shared" si="1"/>
        <v>0</v>
      </c>
      <c r="P16" s="14">
        <f t="shared" si="1"/>
        <v>0</v>
      </c>
      <c r="Q16" s="14">
        <f t="shared" si="1"/>
        <v>0</v>
      </c>
      <c r="R16" s="14">
        <f t="shared" si="1"/>
        <v>0</v>
      </c>
      <c r="S16" s="14">
        <f t="shared" si="1"/>
        <v>0</v>
      </c>
      <c r="T16" s="14">
        <f t="shared" si="1"/>
        <v>0</v>
      </c>
      <c r="U16" s="14">
        <f t="shared" si="1"/>
        <v>0</v>
      </c>
      <c r="V16" s="14">
        <f t="shared" si="1"/>
        <v>28</v>
      </c>
      <c r="W16" s="14">
        <f t="shared" si="1"/>
        <v>0</v>
      </c>
      <c r="X16" s="14">
        <f t="shared" si="1"/>
        <v>0</v>
      </c>
      <c r="Y16" s="14">
        <f t="shared" si="1"/>
        <v>0</v>
      </c>
      <c r="Z16" s="14">
        <f t="shared" si="1"/>
        <v>0</v>
      </c>
      <c r="AA16" s="14">
        <f t="shared" si="1"/>
        <v>0</v>
      </c>
      <c r="AB16" s="14">
        <f t="shared" si="1"/>
        <v>383.7</v>
      </c>
      <c r="AC16" s="14">
        <f t="shared" si="1"/>
        <v>0</v>
      </c>
      <c r="AD16" s="14">
        <f t="shared" si="1"/>
        <v>0</v>
      </c>
      <c r="AE16" s="14">
        <f t="shared" si="1"/>
        <v>0</v>
      </c>
      <c r="AF16" s="14">
        <f t="shared" si="1"/>
        <v>0</v>
      </c>
      <c r="AG16" s="14">
        <f t="shared" si="1"/>
        <v>0</v>
      </c>
      <c r="AH16" s="14">
        <f t="shared" si="1"/>
        <v>0</v>
      </c>
      <c r="AI16" s="14">
        <f t="shared" si="1"/>
        <v>0</v>
      </c>
      <c r="AJ16" s="14">
        <f t="shared" si="1"/>
        <v>0</v>
      </c>
      <c r="AK16" s="14">
        <f t="shared" si="1"/>
        <v>0</v>
      </c>
      <c r="AL16" s="14">
        <f t="shared" si="1"/>
        <v>0</v>
      </c>
      <c r="AM16" s="14">
        <f t="shared" si="1"/>
        <v>0</v>
      </c>
      <c r="AN16" s="14">
        <f t="shared" si="1"/>
        <v>0</v>
      </c>
      <c r="AO16" s="14">
        <f t="shared" si="1"/>
        <v>0</v>
      </c>
      <c r="AP16" s="14">
        <f t="shared" si="1"/>
        <v>0</v>
      </c>
      <c r="AQ16" s="14">
        <f t="shared" si="1"/>
        <v>0</v>
      </c>
      <c r="AR16" s="14">
        <f t="shared" si="1"/>
        <v>0</v>
      </c>
      <c r="AS16" s="14">
        <f t="shared" si="1"/>
        <v>0</v>
      </c>
      <c r="AT16" s="14">
        <f t="shared" si="1"/>
        <v>411.7</v>
      </c>
    </row>
    <row r="17" spans="1:46" x14ac:dyDescent="0.2">
      <c r="A17" s="15" t="s">
        <v>61</v>
      </c>
      <c r="B17" s="14">
        <f t="shared" ref="B17:AT17" si="2">B12+0+0+B16</f>
        <v>9700</v>
      </c>
      <c r="C17" s="14">
        <f t="shared" si="2"/>
        <v>9700</v>
      </c>
      <c r="D17" s="14">
        <f t="shared" si="2"/>
        <v>9700</v>
      </c>
      <c r="E17" s="14">
        <f t="shared" si="2"/>
        <v>9700</v>
      </c>
      <c r="F17" s="14">
        <f t="shared" si="2"/>
        <v>9700</v>
      </c>
      <c r="G17" s="14">
        <f t="shared" si="2"/>
        <v>13484.61</v>
      </c>
      <c r="H17" s="14">
        <f t="shared" si="2"/>
        <v>9700</v>
      </c>
      <c r="I17" s="14">
        <f t="shared" si="2"/>
        <v>9700</v>
      </c>
      <c r="J17" s="14">
        <f t="shared" si="2"/>
        <v>9700</v>
      </c>
      <c r="K17" s="14">
        <f t="shared" si="2"/>
        <v>25650</v>
      </c>
      <c r="L17" s="14">
        <f t="shared" si="2"/>
        <v>9700</v>
      </c>
      <c r="M17" s="14">
        <f t="shared" si="2"/>
        <v>11057.5</v>
      </c>
      <c r="N17" s="14">
        <f t="shared" si="2"/>
        <v>0</v>
      </c>
      <c r="O17" s="14">
        <f t="shared" si="2"/>
        <v>9700</v>
      </c>
      <c r="P17" s="14">
        <f t="shared" si="2"/>
        <v>9700</v>
      </c>
      <c r="Q17" s="14">
        <f t="shared" si="2"/>
        <v>13941.36</v>
      </c>
      <c r="R17" s="14">
        <f t="shared" si="2"/>
        <v>15800</v>
      </c>
      <c r="S17" s="14">
        <f t="shared" si="2"/>
        <v>15800</v>
      </c>
      <c r="T17" s="14">
        <f t="shared" si="2"/>
        <v>12813.75</v>
      </c>
      <c r="U17" s="14">
        <f t="shared" si="2"/>
        <v>10800</v>
      </c>
      <c r="V17" s="14">
        <f t="shared" si="2"/>
        <v>10828</v>
      </c>
      <c r="W17" s="14">
        <f t="shared" si="2"/>
        <v>800</v>
      </c>
      <c r="X17" s="14">
        <f t="shared" si="2"/>
        <v>800</v>
      </c>
      <c r="Y17" s="14">
        <f t="shared" si="2"/>
        <v>800</v>
      </c>
      <c r="Z17" s="14">
        <f t="shared" si="2"/>
        <v>2372.38</v>
      </c>
      <c r="AA17" s="14">
        <f t="shared" si="2"/>
        <v>8025</v>
      </c>
      <c r="AB17" s="14">
        <f t="shared" si="2"/>
        <v>8408.7000000000007</v>
      </c>
      <c r="AC17" s="14">
        <f t="shared" si="2"/>
        <v>12731.36</v>
      </c>
      <c r="AD17" s="14">
        <f t="shared" si="2"/>
        <v>8025</v>
      </c>
      <c r="AE17" s="14">
        <f t="shared" si="2"/>
        <v>8025</v>
      </c>
      <c r="AF17" s="14">
        <f t="shared" si="2"/>
        <v>8025</v>
      </c>
      <c r="AG17" s="14">
        <f t="shared" si="2"/>
        <v>8025</v>
      </c>
      <c r="AH17" s="14">
        <f t="shared" si="2"/>
        <v>8025</v>
      </c>
      <c r="AI17" s="14">
        <f t="shared" si="2"/>
        <v>14822</v>
      </c>
      <c r="AJ17" s="14">
        <f t="shared" si="2"/>
        <v>13200</v>
      </c>
      <c r="AK17" s="14">
        <f t="shared" si="2"/>
        <v>13200</v>
      </c>
      <c r="AL17" s="14">
        <f t="shared" si="2"/>
        <v>14667.76</v>
      </c>
      <c r="AM17" s="14">
        <f t="shared" si="2"/>
        <v>13200</v>
      </c>
      <c r="AN17" s="14">
        <f t="shared" si="2"/>
        <v>13200</v>
      </c>
      <c r="AO17" s="14">
        <f t="shared" si="2"/>
        <v>16637.36</v>
      </c>
      <c r="AP17" s="14">
        <f t="shared" si="2"/>
        <v>14750</v>
      </c>
      <c r="AQ17" s="14">
        <f t="shared" si="2"/>
        <v>13200</v>
      </c>
      <c r="AR17" s="14">
        <f t="shared" si="2"/>
        <v>14704.2</v>
      </c>
      <c r="AS17" s="14">
        <f t="shared" si="2"/>
        <v>13200</v>
      </c>
      <c r="AT17" s="14">
        <f t="shared" si="2"/>
        <v>465718.98</v>
      </c>
    </row>
    <row r="18" spans="1:46" x14ac:dyDescent="0.2">
      <c r="A18" s="7" t="s">
        <v>62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x14ac:dyDescent="0.2">
      <c r="A19" s="8" t="s">
        <v>63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x14ac:dyDescent="0.2">
      <c r="A20" s="9" t="s">
        <v>64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4.2</v>
      </c>
      <c r="AM20" s="10">
        <v>0</v>
      </c>
      <c r="AN20" s="10">
        <v>0</v>
      </c>
      <c r="AO20" s="10">
        <v>191.8</v>
      </c>
      <c r="AP20" s="10">
        <v>0</v>
      </c>
      <c r="AQ20" s="10">
        <v>0</v>
      </c>
      <c r="AR20" s="10">
        <v>0</v>
      </c>
      <c r="AS20" s="10">
        <v>0</v>
      </c>
      <c r="AT20" s="10">
        <f>SUM(B20:AS20)</f>
        <v>196</v>
      </c>
    </row>
    <row r="21" spans="1:46" x14ac:dyDescent="0.2">
      <c r="A21" s="9" t="s">
        <v>65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0.01</v>
      </c>
      <c r="M21" s="10">
        <v>-0.01</v>
      </c>
      <c r="N21" s="10">
        <v>0</v>
      </c>
      <c r="O21" s="10">
        <v>0.01</v>
      </c>
      <c r="P21" s="10">
        <v>-0.01</v>
      </c>
      <c r="Q21" s="10">
        <v>-0.01</v>
      </c>
      <c r="R21" s="10">
        <v>-0.01</v>
      </c>
      <c r="S21" s="10">
        <v>-0.01</v>
      </c>
      <c r="T21" s="10">
        <v>-0.01</v>
      </c>
      <c r="U21" s="10">
        <v>-0.01</v>
      </c>
      <c r="V21" s="10">
        <v>0.01</v>
      </c>
      <c r="W21" s="10">
        <v>0</v>
      </c>
      <c r="X21" s="10">
        <v>-0.01</v>
      </c>
      <c r="Y21" s="10">
        <v>-0.01</v>
      </c>
      <c r="Z21" s="10">
        <v>0</v>
      </c>
      <c r="AA21" s="10">
        <v>-0.02</v>
      </c>
      <c r="AB21" s="10">
        <v>0</v>
      </c>
      <c r="AC21" s="10">
        <v>0</v>
      </c>
      <c r="AD21" s="10">
        <v>0</v>
      </c>
      <c r="AE21" s="10">
        <v>0</v>
      </c>
      <c r="AF21" s="10">
        <v>0.02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-0.01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f>SUM(B21:AS21)</f>
        <v>-6.9999999999999993E-2</v>
      </c>
    </row>
    <row r="22" spans="1:46" x14ac:dyDescent="0.2">
      <c r="A22" s="9" t="s">
        <v>66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0.01</v>
      </c>
      <c r="AK22" s="10">
        <v>0</v>
      </c>
      <c r="AL22" s="10">
        <v>-0.01</v>
      </c>
      <c r="AM22" s="10">
        <v>-0.01</v>
      </c>
      <c r="AN22" s="10">
        <v>0</v>
      </c>
      <c r="AO22" s="10">
        <v>0.01</v>
      </c>
      <c r="AP22" s="10">
        <v>0</v>
      </c>
      <c r="AQ22" s="10">
        <v>0</v>
      </c>
      <c r="AR22" s="10">
        <v>0</v>
      </c>
      <c r="AS22" s="10">
        <v>-0.01</v>
      </c>
      <c r="AT22" s="10">
        <f>SUM(B22:AS22)</f>
        <v>-0.01</v>
      </c>
    </row>
    <row r="23" spans="1:46" x14ac:dyDescent="0.2">
      <c r="A23" s="11" t="s">
        <v>67</v>
      </c>
      <c r="B23" s="12">
        <f t="shared" ref="B23:AT23" si="3">SUM(B20:B22)</f>
        <v>0</v>
      </c>
      <c r="C23" s="12">
        <f t="shared" si="3"/>
        <v>0</v>
      </c>
      <c r="D23" s="12">
        <f t="shared" si="3"/>
        <v>0</v>
      </c>
      <c r="E23" s="12">
        <f t="shared" si="3"/>
        <v>0</v>
      </c>
      <c r="F23" s="12">
        <f t="shared" si="3"/>
        <v>0</v>
      </c>
      <c r="G23" s="12">
        <f t="shared" si="3"/>
        <v>0</v>
      </c>
      <c r="H23" s="12">
        <f t="shared" si="3"/>
        <v>0</v>
      </c>
      <c r="I23" s="12">
        <f t="shared" si="3"/>
        <v>0</v>
      </c>
      <c r="J23" s="12">
        <f t="shared" si="3"/>
        <v>0</v>
      </c>
      <c r="K23" s="12">
        <f t="shared" si="3"/>
        <v>0</v>
      </c>
      <c r="L23" s="12">
        <f t="shared" si="3"/>
        <v>0.01</v>
      </c>
      <c r="M23" s="12">
        <f t="shared" si="3"/>
        <v>-0.01</v>
      </c>
      <c r="N23" s="12">
        <f t="shared" si="3"/>
        <v>0</v>
      </c>
      <c r="O23" s="12">
        <f t="shared" si="3"/>
        <v>0.01</v>
      </c>
      <c r="P23" s="12">
        <f t="shared" si="3"/>
        <v>-0.01</v>
      </c>
      <c r="Q23" s="12">
        <f t="shared" si="3"/>
        <v>-0.01</v>
      </c>
      <c r="R23" s="12">
        <f t="shared" si="3"/>
        <v>-0.01</v>
      </c>
      <c r="S23" s="12">
        <f t="shared" si="3"/>
        <v>-0.01</v>
      </c>
      <c r="T23" s="12">
        <f t="shared" si="3"/>
        <v>-0.01</v>
      </c>
      <c r="U23" s="12">
        <f t="shared" si="3"/>
        <v>-0.01</v>
      </c>
      <c r="V23" s="12">
        <f t="shared" si="3"/>
        <v>0.01</v>
      </c>
      <c r="W23" s="12">
        <f t="shared" si="3"/>
        <v>0</v>
      </c>
      <c r="X23" s="12">
        <f t="shared" si="3"/>
        <v>-0.01</v>
      </c>
      <c r="Y23" s="12">
        <f t="shared" si="3"/>
        <v>-0.01</v>
      </c>
      <c r="Z23" s="12">
        <f t="shared" si="3"/>
        <v>0</v>
      </c>
      <c r="AA23" s="12">
        <f t="shared" si="3"/>
        <v>-0.02</v>
      </c>
      <c r="AB23" s="12">
        <f t="shared" si="3"/>
        <v>0</v>
      </c>
      <c r="AC23" s="12">
        <f t="shared" si="3"/>
        <v>0</v>
      </c>
      <c r="AD23" s="12">
        <f t="shared" si="3"/>
        <v>0</v>
      </c>
      <c r="AE23" s="12">
        <f t="shared" si="3"/>
        <v>0</v>
      </c>
      <c r="AF23" s="12">
        <f t="shared" si="3"/>
        <v>0.02</v>
      </c>
      <c r="AG23" s="12">
        <f t="shared" si="3"/>
        <v>0</v>
      </c>
      <c r="AH23" s="12">
        <f t="shared" si="3"/>
        <v>0</v>
      </c>
      <c r="AI23" s="12">
        <f t="shared" si="3"/>
        <v>0</v>
      </c>
      <c r="AJ23" s="12">
        <f t="shared" si="3"/>
        <v>0.01</v>
      </c>
      <c r="AK23" s="12">
        <f t="shared" si="3"/>
        <v>0</v>
      </c>
      <c r="AL23" s="12">
        <f t="shared" si="3"/>
        <v>4.1900000000000004</v>
      </c>
      <c r="AM23" s="12">
        <f t="shared" si="3"/>
        <v>-0.02</v>
      </c>
      <c r="AN23" s="12">
        <f t="shared" si="3"/>
        <v>0</v>
      </c>
      <c r="AO23" s="12">
        <f t="shared" si="3"/>
        <v>191.81</v>
      </c>
      <c r="AP23" s="12">
        <f t="shared" si="3"/>
        <v>0</v>
      </c>
      <c r="AQ23" s="12">
        <f t="shared" si="3"/>
        <v>0</v>
      </c>
      <c r="AR23" s="12">
        <f t="shared" si="3"/>
        <v>0</v>
      </c>
      <c r="AS23" s="12">
        <f t="shared" si="3"/>
        <v>-0.01</v>
      </c>
      <c r="AT23" s="12">
        <f t="shared" si="3"/>
        <v>195.92000000000002</v>
      </c>
    </row>
    <row r="24" spans="1:46" x14ac:dyDescent="0.2">
      <c r="A24" s="8" t="s">
        <v>68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spans="1:46" x14ac:dyDescent="0.2">
      <c r="A25" s="9" t="s">
        <v>69</v>
      </c>
      <c r="B25" s="10">
        <v>-8647.75</v>
      </c>
      <c r="C25" s="10">
        <v>0</v>
      </c>
      <c r="D25" s="10">
        <v>0</v>
      </c>
      <c r="E25" s="10">
        <v>-8647.75</v>
      </c>
      <c r="F25" s="10">
        <v>0</v>
      </c>
      <c r="G25" s="10">
        <v>0</v>
      </c>
      <c r="H25" s="10">
        <v>-10251.81</v>
      </c>
      <c r="I25" s="10">
        <v>-963.64</v>
      </c>
      <c r="J25" s="10">
        <v>-1274.45</v>
      </c>
      <c r="K25" s="10">
        <v>-10399.799999999999</v>
      </c>
      <c r="L25" s="10">
        <v>-2061.54</v>
      </c>
      <c r="M25" s="10">
        <v>31196.880000000001</v>
      </c>
      <c r="N25" s="10">
        <v>11049.86</v>
      </c>
      <c r="O25" s="10">
        <v>-9093.25</v>
      </c>
      <c r="P25" s="10">
        <v>0</v>
      </c>
      <c r="Q25" s="10">
        <v>0</v>
      </c>
      <c r="R25" s="10">
        <v>-2997.78</v>
      </c>
      <c r="S25" s="10">
        <v>-3097.7</v>
      </c>
      <c r="T25" s="10">
        <v>-2997.77</v>
      </c>
      <c r="U25" s="10">
        <v>-3064.03</v>
      </c>
      <c r="V25" s="10">
        <v>-3064.03</v>
      </c>
      <c r="W25" s="10">
        <v>-2958.7</v>
      </c>
      <c r="X25" s="10">
        <v>-3064.03</v>
      </c>
      <c r="Y25" s="10">
        <v>-2015.19</v>
      </c>
      <c r="Z25" s="10">
        <v>-3064.03</v>
      </c>
      <c r="AA25" s="10">
        <v>-3132.12</v>
      </c>
      <c r="AB25" s="10">
        <v>-2829.01</v>
      </c>
      <c r="AC25" s="10">
        <v>-3132.12</v>
      </c>
      <c r="AD25" s="10">
        <v>-2200.4299999999998</v>
      </c>
      <c r="AE25" s="10">
        <v>-3932.06</v>
      </c>
      <c r="AF25" s="10">
        <v>-311.08</v>
      </c>
      <c r="AG25" s="10">
        <v>-2713.58</v>
      </c>
      <c r="AH25" s="10">
        <v>-4506.9399999999996</v>
      </c>
      <c r="AI25" s="10">
        <v>-4175.8500000000004</v>
      </c>
      <c r="AJ25" s="10">
        <v>-4467.34</v>
      </c>
      <c r="AK25" s="10">
        <v>-4317.55</v>
      </c>
      <c r="AL25" s="10">
        <v>-6105.98</v>
      </c>
      <c r="AM25" s="10">
        <v>-4550.87</v>
      </c>
      <c r="AN25" s="10">
        <v>-4154.18</v>
      </c>
      <c r="AO25" s="10">
        <v>-4567.43</v>
      </c>
      <c r="AP25" s="10">
        <v>-4631.57</v>
      </c>
      <c r="AQ25" s="10">
        <v>-4649.84</v>
      </c>
      <c r="AR25" s="10">
        <v>-5301.51</v>
      </c>
      <c r="AS25" s="10">
        <v>672.19</v>
      </c>
      <c r="AT25" s="10">
        <f>SUM(B25:AS25)</f>
        <v>-104423.77999999998</v>
      </c>
    </row>
    <row r="26" spans="1:46" x14ac:dyDescent="0.2">
      <c r="A26" s="9" t="s">
        <v>70</v>
      </c>
      <c r="B26" s="10">
        <v>-800.8</v>
      </c>
      <c r="C26" s="10">
        <v>-800.8</v>
      </c>
      <c r="D26" s="10">
        <v>-800.8</v>
      </c>
      <c r="E26" s="10">
        <v>-800.8</v>
      </c>
      <c r="F26" s="10">
        <v>-800.8</v>
      </c>
      <c r="G26" s="10">
        <v>-1050.8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5054.8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f>SUM(B26:AS26)</f>
        <v>0</v>
      </c>
    </row>
    <row r="27" spans="1:46" x14ac:dyDescent="0.2">
      <c r="A27" s="9" t="s">
        <v>71</v>
      </c>
      <c r="B27" s="10">
        <v>-223.36</v>
      </c>
      <c r="C27" s="10">
        <v>-523.11</v>
      </c>
      <c r="D27" s="10">
        <v>-313.86</v>
      </c>
      <c r="E27" s="10">
        <v>-391.86</v>
      </c>
      <c r="F27" s="10">
        <v>-352.86</v>
      </c>
      <c r="G27" s="10">
        <v>-884.11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0.02</v>
      </c>
      <c r="N27" s="10">
        <v>-2210.67</v>
      </c>
      <c r="O27" s="10">
        <v>-407.46</v>
      </c>
      <c r="P27" s="10">
        <v>-294.64</v>
      </c>
      <c r="Q27" s="10">
        <v>-294.64</v>
      </c>
      <c r="R27" s="10">
        <v>-294.64</v>
      </c>
      <c r="S27" s="10">
        <v>-294.64</v>
      </c>
      <c r="T27" s="10">
        <v>-294.64</v>
      </c>
      <c r="U27" s="10">
        <v>-294.64</v>
      </c>
      <c r="V27" s="10">
        <v>-301.14</v>
      </c>
      <c r="W27" s="10">
        <v>-475.25</v>
      </c>
      <c r="X27" s="10">
        <v>-315.56</v>
      </c>
      <c r="Y27" s="10">
        <v>-334.79</v>
      </c>
      <c r="Z27" s="10">
        <v>-350.97</v>
      </c>
      <c r="AA27" s="10">
        <v>-410.44</v>
      </c>
      <c r="AB27" s="10">
        <v>-301.08</v>
      </c>
      <c r="AC27" s="10">
        <v>-319.89999999999998</v>
      </c>
      <c r="AD27" s="10">
        <v>-311.08</v>
      </c>
      <c r="AE27" s="10">
        <v>-303.49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1645.99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f>SUM(B27:AS27)</f>
        <v>-8852.8200000000033</v>
      </c>
    </row>
    <row r="28" spans="1:46" x14ac:dyDescent="0.2">
      <c r="A28" s="9" t="s">
        <v>72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3154.8</v>
      </c>
      <c r="N28" s="10">
        <v>-13893.99</v>
      </c>
      <c r="O28" s="10">
        <v>-793.92</v>
      </c>
      <c r="P28" s="10">
        <v>-810.07</v>
      </c>
      <c r="Q28" s="10">
        <v>-821.6</v>
      </c>
      <c r="R28" s="10">
        <v>-821.6</v>
      </c>
      <c r="S28" s="10">
        <v>-821.6</v>
      </c>
      <c r="T28" s="10">
        <v>-821.6</v>
      </c>
      <c r="U28" s="10">
        <v>-821.6</v>
      </c>
      <c r="V28" s="10">
        <v>-821.6</v>
      </c>
      <c r="W28" s="10">
        <v>-821.6</v>
      </c>
      <c r="X28" s="10">
        <v>-819.91</v>
      </c>
      <c r="Y28" s="10">
        <v>-1776.8</v>
      </c>
      <c r="Z28" s="10">
        <v>-907.48</v>
      </c>
      <c r="AA28" s="10">
        <v>-909.6</v>
      </c>
      <c r="AB28" s="10">
        <v>-902.68</v>
      </c>
      <c r="AC28" s="10">
        <v>-1057.48</v>
      </c>
      <c r="AD28" s="10">
        <v>-1059.28</v>
      </c>
      <c r="AE28" s="10">
        <v>-1077.9100000000001</v>
      </c>
      <c r="AF28" s="10">
        <v>-1089.08</v>
      </c>
      <c r="AG28" s="10">
        <v>-1102.18</v>
      </c>
      <c r="AH28" s="10">
        <v>-1185.18</v>
      </c>
      <c r="AI28" s="10">
        <v>-1169.51</v>
      </c>
      <c r="AJ28" s="10">
        <v>-1274.67</v>
      </c>
      <c r="AK28" s="10">
        <v>-1341.1</v>
      </c>
      <c r="AL28" s="10">
        <v>-1352.17</v>
      </c>
      <c r="AM28" s="10">
        <v>-1332.3</v>
      </c>
      <c r="AN28" s="10">
        <v>-913.58</v>
      </c>
      <c r="AO28" s="10">
        <v>-942.32</v>
      </c>
      <c r="AP28" s="10">
        <v>-963.84</v>
      </c>
      <c r="AQ28" s="10">
        <v>-970.34</v>
      </c>
      <c r="AR28" s="10">
        <v>0</v>
      </c>
      <c r="AS28" s="10">
        <v>-985.68</v>
      </c>
      <c r="AT28" s="10">
        <f>SUM(B28:AS28)</f>
        <v>-41227.469999999987</v>
      </c>
    </row>
    <row r="29" spans="1:46" x14ac:dyDescent="0.2">
      <c r="A29" s="9" t="s">
        <v>73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-35482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-3797.4</v>
      </c>
      <c r="AG29" s="10">
        <v>-1596.95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f>SUM(B29:AS29)</f>
        <v>-40876.35</v>
      </c>
    </row>
    <row r="30" spans="1:46" x14ac:dyDescent="0.2">
      <c r="A30" s="13" t="s">
        <v>74</v>
      </c>
      <c r="B30" s="14">
        <f t="shared" ref="B30:AT30" si="4">SUM(B25:B29)</f>
        <v>-9671.91</v>
      </c>
      <c r="C30" s="14">
        <f t="shared" si="4"/>
        <v>-1323.9099999999999</v>
      </c>
      <c r="D30" s="14">
        <f t="shared" si="4"/>
        <v>-1114.6599999999999</v>
      </c>
      <c r="E30" s="14">
        <f t="shared" si="4"/>
        <v>-9840.41</v>
      </c>
      <c r="F30" s="14">
        <f t="shared" si="4"/>
        <v>-1153.6599999999999</v>
      </c>
      <c r="G30" s="14">
        <f t="shared" si="4"/>
        <v>-1934.9099999999999</v>
      </c>
      <c r="H30" s="14">
        <f t="shared" si="4"/>
        <v>-10251.81</v>
      </c>
      <c r="I30" s="14">
        <f t="shared" si="4"/>
        <v>-963.64</v>
      </c>
      <c r="J30" s="14">
        <f t="shared" si="4"/>
        <v>-1274.45</v>
      </c>
      <c r="K30" s="14">
        <f t="shared" si="4"/>
        <v>-10399.799999999999</v>
      </c>
      <c r="L30" s="14">
        <f t="shared" si="4"/>
        <v>-2061.54</v>
      </c>
      <c r="M30" s="14">
        <f t="shared" si="4"/>
        <v>-1130.2999999999956</v>
      </c>
      <c r="N30" s="14">
        <f t="shared" si="4"/>
        <v>0</v>
      </c>
      <c r="O30" s="14">
        <f t="shared" si="4"/>
        <v>-10294.629999999999</v>
      </c>
      <c r="P30" s="14">
        <f t="shared" si="4"/>
        <v>-1104.71</v>
      </c>
      <c r="Q30" s="14">
        <f t="shared" si="4"/>
        <v>-1116.24</v>
      </c>
      <c r="R30" s="14">
        <f t="shared" si="4"/>
        <v>-4114.0200000000004</v>
      </c>
      <c r="S30" s="14">
        <f t="shared" si="4"/>
        <v>-4213.9399999999996</v>
      </c>
      <c r="T30" s="14">
        <f t="shared" si="4"/>
        <v>-4114.01</v>
      </c>
      <c r="U30" s="14">
        <f t="shared" si="4"/>
        <v>-4180.2700000000004</v>
      </c>
      <c r="V30" s="14">
        <f t="shared" si="4"/>
        <v>-4186.7700000000004</v>
      </c>
      <c r="W30" s="14">
        <f t="shared" si="4"/>
        <v>-4255.55</v>
      </c>
      <c r="X30" s="14">
        <f t="shared" si="4"/>
        <v>-4199.5</v>
      </c>
      <c r="Y30" s="14">
        <f t="shared" si="4"/>
        <v>-4126.78</v>
      </c>
      <c r="Z30" s="14">
        <f t="shared" si="4"/>
        <v>-4322.4799999999996</v>
      </c>
      <c r="AA30" s="14">
        <f t="shared" si="4"/>
        <v>-4452.16</v>
      </c>
      <c r="AB30" s="14">
        <f t="shared" si="4"/>
        <v>-4032.77</v>
      </c>
      <c r="AC30" s="14">
        <f t="shared" si="4"/>
        <v>-4509.5</v>
      </c>
      <c r="AD30" s="14">
        <f t="shared" si="4"/>
        <v>-3570.79</v>
      </c>
      <c r="AE30" s="14">
        <f t="shared" si="4"/>
        <v>-5313.46</v>
      </c>
      <c r="AF30" s="14">
        <f t="shared" si="4"/>
        <v>-5197.5599999999995</v>
      </c>
      <c r="AG30" s="14">
        <f t="shared" si="4"/>
        <v>-5412.71</v>
      </c>
      <c r="AH30" s="14">
        <f t="shared" si="4"/>
        <v>-5692.12</v>
      </c>
      <c r="AI30" s="14">
        <f t="shared" si="4"/>
        <v>-5345.3600000000006</v>
      </c>
      <c r="AJ30" s="14">
        <f t="shared" si="4"/>
        <v>-5742.01</v>
      </c>
      <c r="AK30" s="14">
        <f t="shared" si="4"/>
        <v>-5658.65</v>
      </c>
      <c r="AL30" s="14">
        <f t="shared" si="4"/>
        <v>-5812.16</v>
      </c>
      <c r="AM30" s="14">
        <f t="shared" si="4"/>
        <v>-5883.17</v>
      </c>
      <c r="AN30" s="14">
        <f t="shared" si="4"/>
        <v>-5067.76</v>
      </c>
      <c r="AO30" s="14">
        <f t="shared" si="4"/>
        <v>-5509.75</v>
      </c>
      <c r="AP30" s="14">
        <f t="shared" si="4"/>
        <v>-5595.41</v>
      </c>
      <c r="AQ30" s="14">
        <f t="shared" si="4"/>
        <v>-5620.18</v>
      </c>
      <c r="AR30" s="14">
        <f t="shared" si="4"/>
        <v>-5301.51</v>
      </c>
      <c r="AS30" s="14">
        <f t="shared" si="4"/>
        <v>-313.4899999999999</v>
      </c>
      <c r="AT30" s="14">
        <f t="shared" si="4"/>
        <v>-195380.41999999998</v>
      </c>
    </row>
    <row r="31" spans="1:46" x14ac:dyDescent="0.2">
      <c r="A31" s="15" t="s">
        <v>75</v>
      </c>
      <c r="B31" s="14">
        <f t="shared" ref="B31:AT31" si="5">B23+B30</f>
        <v>-9671.91</v>
      </c>
      <c r="C31" s="14">
        <f t="shared" si="5"/>
        <v>-1323.9099999999999</v>
      </c>
      <c r="D31" s="14">
        <f t="shared" si="5"/>
        <v>-1114.6599999999999</v>
      </c>
      <c r="E31" s="14">
        <f t="shared" si="5"/>
        <v>-9840.41</v>
      </c>
      <c r="F31" s="14">
        <f t="shared" si="5"/>
        <v>-1153.6599999999999</v>
      </c>
      <c r="G31" s="14">
        <f t="shared" si="5"/>
        <v>-1934.9099999999999</v>
      </c>
      <c r="H31" s="14">
        <f t="shared" si="5"/>
        <v>-10251.81</v>
      </c>
      <c r="I31" s="14">
        <f t="shared" si="5"/>
        <v>-963.64</v>
      </c>
      <c r="J31" s="14">
        <f t="shared" si="5"/>
        <v>-1274.45</v>
      </c>
      <c r="K31" s="14">
        <f t="shared" si="5"/>
        <v>-10399.799999999999</v>
      </c>
      <c r="L31" s="14">
        <f t="shared" si="5"/>
        <v>-2061.5299999999997</v>
      </c>
      <c r="M31" s="14">
        <f t="shared" si="5"/>
        <v>-1130.3099999999956</v>
      </c>
      <c r="N31" s="14">
        <f t="shared" si="5"/>
        <v>0</v>
      </c>
      <c r="O31" s="14">
        <f t="shared" si="5"/>
        <v>-10294.619999999999</v>
      </c>
      <c r="P31" s="14">
        <f t="shared" si="5"/>
        <v>-1104.72</v>
      </c>
      <c r="Q31" s="14">
        <f t="shared" si="5"/>
        <v>-1116.25</v>
      </c>
      <c r="R31" s="14">
        <f t="shared" si="5"/>
        <v>-4114.0300000000007</v>
      </c>
      <c r="S31" s="14">
        <f t="shared" si="5"/>
        <v>-4213.95</v>
      </c>
      <c r="T31" s="14">
        <f t="shared" si="5"/>
        <v>-4114.0200000000004</v>
      </c>
      <c r="U31" s="14">
        <f t="shared" si="5"/>
        <v>-4180.2800000000007</v>
      </c>
      <c r="V31" s="14">
        <f t="shared" si="5"/>
        <v>-4186.76</v>
      </c>
      <c r="W31" s="14">
        <f t="shared" si="5"/>
        <v>-4255.55</v>
      </c>
      <c r="X31" s="14">
        <f t="shared" si="5"/>
        <v>-4199.51</v>
      </c>
      <c r="Y31" s="14">
        <f t="shared" si="5"/>
        <v>-4126.79</v>
      </c>
      <c r="Z31" s="14">
        <f t="shared" si="5"/>
        <v>-4322.4799999999996</v>
      </c>
      <c r="AA31" s="14">
        <f t="shared" si="5"/>
        <v>-4452.18</v>
      </c>
      <c r="AB31" s="14">
        <f t="shared" si="5"/>
        <v>-4032.77</v>
      </c>
      <c r="AC31" s="14">
        <f t="shared" si="5"/>
        <v>-4509.5</v>
      </c>
      <c r="AD31" s="14">
        <f t="shared" si="5"/>
        <v>-3570.79</v>
      </c>
      <c r="AE31" s="14">
        <f t="shared" si="5"/>
        <v>-5313.46</v>
      </c>
      <c r="AF31" s="14">
        <f t="shared" si="5"/>
        <v>-5197.5399999999991</v>
      </c>
      <c r="AG31" s="14">
        <f t="shared" si="5"/>
        <v>-5412.71</v>
      </c>
      <c r="AH31" s="14">
        <f t="shared" si="5"/>
        <v>-5692.12</v>
      </c>
      <c r="AI31" s="14">
        <f t="shared" si="5"/>
        <v>-5345.3600000000006</v>
      </c>
      <c r="AJ31" s="14">
        <f t="shared" si="5"/>
        <v>-5742</v>
      </c>
      <c r="AK31" s="14">
        <f t="shared" si="5"/>
        <v>-5658.65</v>
      </c>
      <c r="AL31" s="14">
        <f t="shared" si="5"/>
        <v>-5807.97</v>
      </c>
      <c r="AM31" s="14">
        <f t="shared" si="5"/>
        <v>-5883.1900000000005</v>
      </c>
      <c r="AN31" s="14">
        <f t="shared" si="5"/>
        <v>-5067.76</v>
      </c>
      <c r="AO31" s="14">
        <f t="shared" si="5"/>
        <v>-5317.94</v>
      </c>
      <c r="AP31" s="14">
        <f t="shared" si="5"/>
        <v>-5595.41</v>
      </c>
      <c r="AQ31" s="14">
        <f t="shared" si="5"/>
        <v>-5620.18</v>
      </c>
      <c r="AR31" s="14">
        <f t="shared" si="5"/>
        <v>-5301.51</v>
      </c>
      <c r="AS31" s="14">
        <f t="shared" si="5"/>
        <v>-313.49999999999989</v>
      </c>
      <c r="AT31" s="14">
        <f t="shared" si="5"/>
        <v>-195184.49999999997</v>
      </c>
    </row>
    <row r="32" spans="1:46" x14ac:dyDescent="0.2">
      <c r="A32" s="16" t="s">
        <v>76</v>
      </c>
      <c r="B32" s="14">
        <f t="shared" ref="B32:AT32" si="6">B17+B31</f>
        <v>28.090000000000146</v>
      </c>
      <c r="C32" s="14">
        <f t="shared" si="6"/>
        <v>8376.09</v>
      </c>
      <c r="D32" s="14">
        <f t="shared" si="6"/>
        <v>8585.34</v>
      </c>
      <c r="E32" s="14">
        <f t="shared" si="6"/>
        <v>-140.40999999999985</v>
      </c>
      <c r="F32" s="14">
        <f t="shared" si="6"/>
        <v>8546.34</v>
      </c>
      <c r="G32" s="14">
        <f t="shared" si="6"/>
        <v>11549.7</v>
      </c>
      <c r="H32" s="14">
        <f t="shared" si="6"/>
        <v>-551.80999999999949</v>
      </c>
      <c r="I32" s="14">
        <f t="shared" si="6"/>
        <v>8736.36</v>
      </c>
      <c r="J32" s="14">
        <f t="shared" si="6"/>
        <v>8425.5499999999993</v>
      </c>
      <c r="K32" s="14">
        <f t="shared" si="6"/>
        <v>15250.2</v>
      </c>
      <c r="L32" s="14">
        <f t="shared" si="6"/>
        <v>7638.47</v>
      </c>
      <c r="M32" s="14">
        <f t="shared" si="6"/>
        <v>9927.1900000000041</v>
      </c>
      <c r="N32" s="14">
        <f t="shared" si="6"/>
        <v>0</v>
      </c>
      <c r="O32" s="14">
        <f t="shared" si="6"/>
        <v>-594.61999999999898</v>
      </c>
      <c r="P32" s="14">
        <f t="shared" si="6"/>
        <v>8595.2800000000007</v>
      </c>
      <c r="Q32" s="14">
        <f t="shared" si="6"/>
        <v>12825.11</v>
      </c>
      <c r="R32" s="14">
        <f t="shared" si="6"/>
        <v>11685.97</v>
      </c>
      <c r="S32" s="14">
        <f t="shared" si="6"/>
        <v>11586.05</v>
      </c>
      <c r="T32" s="14">
        <f t="shared" si="6"/>
        <v>8699.73</v>
      </c>
      <c r="U32" s="14">
        <f t="shared" si="6"/>
        <v>6619.7199999999993</v>
      </c>
      <c r="V32" s="14">
        <f t="shared" si="6"/>
        <v>6641.24</v>
      </c>
      <c r="W32" s="14">
        <f t="shared" si="6"/>
        <v>-3455.55</v>
      </c>
      <c r="X32" s="14">
        <f t="shared" si="6"/>
        <v>-3399.51</v>
      </c>
      <c r="Y32" s="14">
        <f t="shared" si="6"/>
        <v>-3326.79</v>
      </c>
      <c r="Z32" s="14">
        <f t="shared" si="6"/>
        <v>-1950.0999999999995</v>
      </c>
      <c r="AA32" s="14">
        <f t="shared" si="6"/>
        <v>3572.8199999999997</v>
      </c>
      <c r="AB32" s="14">
        <f t="shared" si="6"/>
        <v>4375.93</v>
      </c>
      <c r="AC32" s="14">
        <f t="shared" si="6"/>
        <v>8221.86</v>
      </c>
      <c r="AD32" s="14">
        <f t="shared" si="6"/>
        <v>4454.21</v>
      </c>
      <c r="AE32" s="14">
        <f t="shared" si="6"/>
        <v>2711.54</v>
      </c>
      <c r="AF32" s="14">
        <f t="shared" si="6"/>
        <v>2827.4600000000009</v>
      </c>
      <c r="AG32" s="14">
        <f t="shared" si="6"/>
        <v>2612.29</v>
      </c>
      <c r="AH32" s="14">
        <f t="shared" si="6"/>
        <v>2332.88</v>
      </c>
      <c r="AI32" s="14">
        <f t="shared" si="6"/>
        <v>9476.64</v>
      </c>
      <c r="AJ32" s="14">
        <f t="shared" si="6"/>
        <v>7458</v>
      </c>
      <c r="AK32" s="14">
        <f t="shared" si="6"/>
        <v>7541.35</v>
      </c>
      <c r="AL32" s="14">
        <f t="shared" si="6"/>
        <v>8859.7900000000009</v>
      </c>
      <c r="AM32" s="14">
        <f t="shared" si="6"/>
        <v>7316.8099999999995</v>
      </c>
      <c r="AN32" s="14">
        <f t="shared" si="6"/>
        <v>8132.24</v>
      </c>
      <c r="AO32" s="14">
        <f t="shared" si="6"/>
        <v>11319.420000000002</v>
      </c>
      <c r="AP32" s="14">
        <f t="shared" si="6"/>
        <v>9154.59</v>
      </c>
      <c r="AQ32" s="14">
        <f t="shared" si="6"/>
        <v>7579.82</v>
      </c>
      <c r="AR32" s="14">
        <f t="shared" si="6"/>
        <v>9402.69</v>
      </c>
      <c r="AS32" s="14">
        <f t="shared" si="6"/>
        <v>12886.5</v>
      </c>
      <c r="AT32" s="14">
        <f t="shared" si="6"/>
        <v>270534.48</v>
      </c>
    </row>
    <row r="33" spans="1:46" x14ac:dyDescent="0.2">
      <c r="A33" s="6" t="s">
        <v>77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 spans="1:46" x14ac:dyDescent="0.2">
      <c r="A34" s="7" t="s">
        <v>78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 spans="1:46" x14ac:dyDescent="0.2">
      <c r="A35" s="8" t="s">
        <v>79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 spans="1:46" x14ac:dyDescent="0.2">
      <c r="A36" s="9" t="s">
        <v>80</v>
      </c>
      <c r="B36" s="10">
        <v>-2780.29</v>
      </c>
      <c r="C36" s="10">
        <v>-2780.37</v>
      </c>
      <c r="D36" s="10">
        <v>-2742.99</v>
      </c>
      <c r="E36" s="10">
        <v>-2369.67</v>
      </c>
      <c r="F36" s="10">
        <v>-2279.44</v>
      </c>
      <c r="G36" s="10">
        <v>-1777.01</v>
      </c>
      <c r="H36" s="10">
        <v>-1777.04</v>
      </c>
      <c r="I36" s="10">
        <v>-1759.59</v>
      </c>
      <c r="J36" s="10">
        <v>-2077.35</v>
      </c>
      <c r="K36" s="10">
        <v>-2077.35</v>
      </c>
      <c r="L36" s="10">
        <v>-2077.1999999999998</v>
      </c>
      <c r="M36" s="10">
        <v>-1537.62</v>
      </c>
      <c r="N36" s="10">
        <v>0</v>
      </c>
      <c r="O36" s="10">
        <v>-1537.61</v>
      </c>
      <c r="P36" s="10">
        <v>-1945.47</v>
      </c>
      <c r="Q36" s="10">
        <v>-1945.46</v>
      </c>
      <c r="R36" s="10">
        <v>-1802.09</v>
      </c>
      <c r="S36" s="10">
        <v>-1778.74</v>
      </c>
      <c r="T36" s="10">
        <v>-1778.84</v>
      </c>
      <c r="U36" s="10">
        <v>-1778.74</v>
      </c>
      <c r="V36" s="10">
        <v>-1778.84</v>
      </c>
      <c r="W36" s="10">
        <v>-1778.76</v>
      </c>
      <c r="X36" s="10">
        <v>-1778.84</v>
      </c>
      <c r="Y36" s="10">
        <v>-1778.76</v>
      </c>
      <c r="Z36" s="10">
        <v>-2925.97</v>
      </c>
      <c r="AA36" s="10">
        <v>-2142.38</v>
      </c>
      <c r="AB36" s="10">
        <v>-1715.46</v>
      </c>
      <c r="AC36" s="10">
        <v>-1715.48</v>
      </c>
      <c r="AD36" s="10">
        <v>-2215.41</v>
      </c>
      <c r="AE36" s="10">
        <v>-2082.5500000000002</v>
      </c>
      <c r="AF36" s="10">
        <v>-2082.65</v>
      </c>
      <c r="AG36" s="10">
        <v>-2611.7600000000002</v>
      </c>
      <c r="AH36" s="10">
        <v>-2611.85</v>
      </c>
      <c r="AI36" s="10">
        <v>-2611.75</v>
      </c>
      <c r="AJ36" s="10">
        <v>-2239.46</v>
      </c>
      <c r="AK36" s="10">
        <v>-2239.46</v>
      </c>
      <c r="AL36" s="10">
        <v>-2239.4499999999998</v>
      </c>
      <c r="AM36" s="10">
        <v>-3377.45</v>
      </c>
      <c r="AN36" s="10">
        <v>-3440.77</v>
      </c>
      <c r="AO36" s="10">
        <v>-3418.19</v>
      </c>
      <c r="AP36" s="10">
        <v>-4160.99</v>
      </c>
      <c r="AQ36" s="10">
        <v>-4160.99</v>
      </c>
      <c r="AR36" s="10">
        <v>-4198.88</v>
      </c>
      <c r="AS36" s="10">
        <v>-4198.88</v>
      </c>
      <c r="AT36" s="10">
        <f>SUM(B36:AS36)</f>
        <v>-102107.85000000003</v>
      </c>
    </row>
    <row r="37" spans="1:46" x14ac:dyDescent="0.2">
      <c r="A37" s="9" t="s">
        <v>81</v>
      </c>
      <c r="B37" s="10">
        <v>0</v>
      </c>
      <c r="C37" s="10">
        <v>-117.22</v>
      </c>
      <c r="D37" s="10">
        <v>-146.72</v>
      </c>
      <c r="E37" s="10">
        <v>-162.38999999999999</v>
      </c>
      <c r="F37" s="10">
        <v>-162.41</v>
      </c>
      <c r="G37" s="10">
        <v>-1931.92</v>
      </c>
      <c r="H37" s="10">
        <v>-1931.97</v>
      </c>
      <c r="I37" s="10">
        <v>-2461.91</v>
      </c>
      <c r="J37" s="10">
        <v>-2683.37</v>
      </c>
      <c r="K37" s="10">
        <v>-12393.3</v>
      </c>
      <c r="L37" s="10">
        <v>-2362.0100000000002</v>
      </c>
      <c r="M37" s="10">
        <v>-2953.9</v>
      </c>
      <c r="N37" s="10">
        <v>0</v>
      </c>
      <c r="O37" s="10">
        <v>0</v>
      </c>
      <c r="P37" s="10">
        <v>0</v>
      </c>
      <c r="Q37" s="10">
        <v>-382.35</v>
      </c>
      <c r="R37" s="10">
        <v>0</v>
      </c>
      <c r="S37" s="10">
        <v>0</v>
      </c>
      <c r="T37" s="10">
        <v>0</v>
      </c>
      <c r="U37" s="10">
        <v>0</v>
      </c>
      <c r="V37" s="10">
        <v>-738</v>
      </c>
      <c r="W37" s="10">
        <v>-2625.15</v>
      </c>
      <c r="X37" s="10">
        <v>-3238.2</v>
      </c>
      <c r="Y37" s="10">
        <v>0</v>
      </c>
      <c r="Z37" s="10">
        <v>-209.24</v>
      </c>
      <c r="AA37" s="10">
        <v>0</v>
      </c>
      <c r="AB37" s="10">
        <v>0</v>
      </c>
      <c r="AC37" s="10">
        <v>-403.11</v>
      </c>
      <c r="AD37" s="10">
        <v>-540</v>
      </c>
      <c r="AE37" s="10">
        <v>-2348.1999999999998</v>
      </c>
      <c r="AF37" s="10">
        <v>0</v>
      </c>
      <c r="AG37" s="10">
        <v>0</v>
      </c>
      <c r="AH37" s="10">
        <v>0</v>
      </c>
      <c r="AI37" s="10">
        <v>-1582.07</v>
      </c>
      <c r="AJ37" s="10">
        <v>-559.77</v>
      </c>
      <c r="AK37" s="10">
        <v>-4920</v>
      </c>
      <c r="AL37" s="10">
        <v>-933.03</v>
      </c>
      <c r="AM37" s="10">
        <v>-1760</v>
      </c>
      <c r="AN37" s="10">
        <v>-944</v>
      </c>
      <c r="AO37" s="10">
        <v>-8409.69</v>
      </c>
      <c r="AP37" s="10">
        <v>-2555</v>
      </c>
      <c r="AQ37" s="10">
        <v>0</v>
      </c>
      <c r="AR37" s="10">
        <v>-1407.6</v>
      </c>
      <c r="AS37" s="10">
        <v>-3058</v>
      </c>
      <c r="AT37" s="10">
        <f>SUM(B37:AS37)</f>
        <v>-63920.529999999992</v>
      </c>
    </row>
    <row r="38" spans="1:46" x14ac:dyDescent="0.2">
      <c r="A38" s="13" t="s">
        <v>82</v>
      </c>
      <c r="B38" s="14">
        <f t="shared" ref="B38:AT38" si="7">SUM(B36:B37)</f>
        <v>-2780.29</v>
      </c>
      <c r="C38" s="14">
        <f t="shared" si="7"/>
        <v>-2897.5899999999997</v>
      </c>
      <c r="D38" s="14">
        <f t="shared" si="7"/>
        <v>-2889.7099999999996</v>
      </c>
      <c r="E38" s="14">
        <f t="shared" si="7"/>
        <v>-2532.06</v>
      </c>
      <c r="F38" s="14">
        <f t="shared" si="7"/>
        <v>-2441.85</v>
      </c>
      <c r="G38" s="14">
        <f t="shared" si="7"/>
        <v>-3708.9300000000003</v>
      </c>
      <c r="H38" s="14">
        <f t="shared" si="7"/>
        <v>-3709.01</v>
      </c>
      <c r="I38" s="14">
        <f t="shared" si="7"/>
        <v>-4221.5</v>
      </c>
      <c r="J38" s="14">
        <f t="shared" si="7"/>
        <v>-4760.7199999999993</v>
      </c>
      <c r="K38" s="14">
        <f t="shared" si="7"/>
        <v>-14470.65</v>
      </c>
      <c r="L38" s="14">
        <f t="shared" si="7"/>
        <v>-4439.21</v>
      </c>
      <c r="M38" s="14">
        <f t="shared" si="7"/>
        <v>-4491.5200000000004</v>
      </c>
      <c r="N38" s="14">
        <f t="shared" si="7"/>
        <v>0</v>
      </c>
      <c r="O38" s="14">
        <f t="shared" si="7"/>
        <v>-1537.61</v>
      </c>
      <c r="P38" s="14">
        <f t="shared" si="7"/>
        <v>-1945.47</v>
      </c>
      <c r="Q38" s="14">
        <f t="shared" si="7"/>
        <v>-2327.81</v>
      </c>
      <c r="R38" s="14">
        <f t="shared" si="7"/>
        <v>-1802.09</v>
      </c>
      <c r="S38" s="14">
        <f t="shared" si="7"/>
        <v>-1778.74</v>
      </c>
      <c r="T38" s="14">
        <f t="shared" si="7"/>
        <v>-1778.84</v>
      </c>
      <c r="U38" s="14">
        <f t="shared" si="7"/>
        <v>-1778.74</v>
      </c>
      <c r="V38" s="14">
        <f t="shared" si="7"/>
        <v>-2516.84</v>
      </c>
      <c r="W38" s="14">
        <f t="shared" si="7"/>
        <v>-4403.91</v>
      </c>
      <c r="X38" s="14">
        <f t="shared" si="7"/>
        <v>-5017.04</v>
      </c>
      <c r="Y38" s="14">
        <f t="shared" si="7"/>
        <v>-1778.76</v>
      </c>
      <c r="Z38" s="14">
        <f t="shared" si="7"/>
        <v>-3135.21</v>
      </c>
      <c r="AA38" s="14">
        <f t="shared" si="7"/>
        <v>-2142.38</v>
      </c>
      <c r="AB38" s="14">
        <f t="shared" si="7"/>
        <v>-1715.46</v>
      </c>
      <c r="AC38" s="14">
        <f t="shared" si="7"/>
        <v>-2118.59</v>
      </c>
      <c r="AD38" s="14">
        <f t="shared" si="7"/>
        <v>-2755.41</v>
      </c>
      <c r="AE38" s="14">
        <f t="shared" si="7"/>
        <v>-4430.75</v>
      </c>
      <c r="AF38" s="14">
        <f t="shared" si="7"/>
        <v>-2082.65</v>
      </c>
      <c r="AG38" s="14">
        <f t="shared" si="7"/>
        <v>-2611.7600000000002</v>
      </c>
      <c r="AH38" s="14">
        <f t="shared" si="7"/>
        <v>-2611.85</v>
      </c>
      <c r="AI38" s="14">
        <f t="shared" si="7"/>
        <v>-4193.82</v>
      </c>
      <c r="AJ38" s="14">
        <f t="shared" si="7"/>
        <v>-2799.23</v>
      </c>
      <c r="AK38" s="14">
        <f t="shared" si="7"/>
        <v>-7159.46</v>
      </c>
      <c r="AL38" s="14">
        <f t="shared" si="7"/>
        <v>-3172.4799999999996</v>
      </c>
      <c r="AM38" s="14">
        <f t="shared" si="7"/>
        <v>-5137.45</v>
      </c>
      <c r="AN38" s="14">
        <f t="shared" si="7"/>
        <v>-4384.7700000000004</v>
      </c>
      <c r="AO38" s="14">
        <f t="shared" si="7"/>
        <v>-11827.880000000001</v>
      </c>
      <c r="AP38" s="14">
        <f t="shared" si="7"/>
        <v>-6715.99</v>
      </c>
      <c r="AQ38" s="14">
        <f t="shared" si="7"/>
        <v>-4160.99</v>
      </c>
      <c r="AR38" s="14">
        <f t="shared" si="7"/>
        <v>-5606.48</v>
      </c>
      <c r="AS38" s="14">
        <f t="shared" si="7"/>
        <v>-7256.88</v>
      </c>
      <c r="AT38" s="14">
        <f t="shared" si="7"/>
        <v>-166028.38000000003</v>
      </c>
    </row>
    <row r="39" spans="1:46" x14ac:dyDescent="0.2">
      <c r="A39" s="15" t="s">
        <v>83</v>
      </c>
      <c r="B39" s="14">
        <f t="shared" ref="B39:AT39" si="8">B38+0</f>
        <v>-2780.29</v>
      </c>
      <c r="C39" s="14">
        <f t="shared" si="8"/>
        <v>-2897.5899999999997</v>
      </c>
      <c r="D39" s="14">
        <f t="shared" si="8"/>
        <v>-2889.7099999999996</v>
      </c>
      <c r="E39" s="14">
        <f t="shared" si="8"/>
        <v>-2532.06</v>
      </c>
      <c r="F39" s="14">
        <f t="shared" si="8"/>
        <v>-2441.85</v>
      </c>
      <c r="G39" s="14">
        <f t="shared" si="8"/>
        <v>-3708.9300000000003</v>
      </c>
      <c r="H39" s="14">
        <f t="shared" si="8"/>
        <v>-3709.01</v>
      </c>
      <c r="I39" s="14">
        <f t="shared" si="8"/>
        <v>-4221.5</v>
      </c>
      <c r="J39" s="14">
        <f t="shared" si="8"/>
        <v>-4760.7199999999993</v>
      </c>
      <c r="K39" s="14">
        <f t="shared" si="8"/>
        <v>-14470.65</v>
      </c>
      <c r="L39" s="14">
        <f t="shared" si="8"/>
        <v>-4439.21</v>
      </c>
      <c r="M39" s="14">
        <f t="shared" si="8"/>
        <v>-4491.5200000000004</v>
      </c>
      <c r="N39" s="14">
        <f t="shared" si="8"/>
        <v>0</v>
      </c>
      <c r="O39" s="14">
        <f t="shared" si="8"/>
        <v>-1537.61</v>
      </c>
      <c r="P39" s="14">
        <f t="shared" si="8"/>
        <v>-1945.47</v>
      </c>
      <c r="Q39" s="14">
        <f t="shared" si="8"/>
        <v>-2327.81</v>
      </c>
      <c r="R39" s="14">
        <f t="shared" si="8"/>
        <v>-1802.09</v>
      </c>
      <c r="S39" s="14">
        <f t="shared" si="8"/>
        <v>-1778.74</v>
      </c>
      <c r="T39" s="14">
        <f t="shared" si="8"/>
        <v>-1778.84</v>
      </c>
      <c r="U39" s="14">
        <f t="shared" si="8"/>
        <v>-1778.74</v>
      </c>
      <c r="V39" s="14">
        <f t="shared" si="8"/>
        <v>-2516.84</v>
      </c>
      <c r="W39" s="14">
        <f t="shared" si="8"/>
        <v>-4403.91</v>
      </c>
      <c r="X39" s="14">
        <f t="shared" si="8"/>
        <v>-5017.04</v>
      </c>
      <c r="Y39" s="14">
        <f t="shared" si="8"/>
        <v>-1778.76</v>
      </c>
      <c r="Z39" s="14">
        <f t="shared" si="8"/>
        <v>-3135.21</v>
      </c>
      <c r="AA39" s="14">
        <f t="shared" si="8"/>
        <v>-2142.38</v>
      </c>
      <c r="AB39" s="14">
        <f t="shared" si="8"/>
        <v>-1715.46</v>
      </c>
      <c r="AC39" s="14">
        <f t="shared" si="8"/>
        <v>-2118.59</v>
      </c>
      <c r="AD39" s="14">
        <f t="shared" si="8"/>
        <v>-2755.41</v>
      </c>
      <c r="AE39" s="14">
        <f t="shared" si="8"/>
        <v>-4430.75</v>
      </c>
      <c r="AF39" s="14">
        <f t="shared" si="8"/>
        <v>-2082.65</v>
      </c>
      <c r="AG39" s="14">
        <f t="shared" si="8"/>
        <v>-2611.7600000000002</v>
      </c>
      <c r="AH39" s="14">
        <f t="shared" si="8"/>
        <v>-2611.85</v>
      </c>
      <c r="AI39" s="14">
        <f t="shared" si="8"/>
        <v>-4193.82</v>
      </c>
      <c r="AJ39" s="14">
        <f t="shared" si="8"/>
        <v>-2799.23</v>
      </c>
      <c r="AK39" s="14">
        <f t="shared" si="8"/>
        <v>-7159.46</v>
      </c>
      <c r="AL39" s="14">
        <f t="shared" si="8"/>
        <v>-3172.4799999999996</v>
      </c>
      <c r="AM39" s="14">
        <f t="shared" si="8"/>
        <v>-5137.45</v>
      </c>
      <c r="AN39" s="14">
        <f t="shared" si="8"/>
        <v>-4384.7700000000004</v>
      </c>
      <c r="AO39" s="14">
        <f t="shared" si="8"/>
        <v>-11827.880000000001</v>
      </c>
      <c r="AP39" s="14">
        <f t="shared" si="8"/>
        <v>-6715.99</v>
      </c>
      <c r="AQ39" s="14">
        <f t="shared" si="8"/>
        <v>-4160.99</v>
      </c>
      <c r="AR39" s="14">
        <f t="shared" si="8"/>
        <v>-5606.48</v>
      </c>
      <c r="AS39" s="14">
        <f t="shared" si="8"/>
        <v>-7256.88</v>
      </c>
      <c r="AT39" s="14">
        <f t="shared" si="8"/>
        <v>-166028.38000000003</v>
      </c>
    </row>
    <row r="40" spans="1:46" x14ac:dyDescent="0.2">
      <c r="A40" s="7" t="s">
        <v>84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</row>
    <row r="41" spans="1:46" x14ac:dyDescent="0.2">
      <c r="A41" s="17" t="s">
        <v>85</v>
      </c>
      <c r="B41" s="10">
        <v>0</v>
      </c>
      <c r="C41" s="10">
        <v>0</v>
      </c>
      <c r="D41" s="10">
        <v>-317.47000000000003</v>
      </c>
      <c r="E41" s="10">
        <v>0</v>
      </c>
      <c r="F41" s="10">
        <v>0</v>
      </c>
      <c r="G41" s="10">
        <v>0</v>
      </c>
      <c r="H41" s="10">
        <v>0</v>
      </c>
      <c r="I41" s="10">
        <v>-70</v>
      </c>
      <c r="J41" s="10">
        <v>0</v>
      </c>
      <c r="K41" s="10">
        <v>0</v>
      </c>
      <c r="L41" s="10">
        <v>0</v>
      </c>
      <c r="M41" s="10">
        <v>-1050</v>
      </c>
      <c r="N41" s="10">
        <v>0</v>
      </c>
      <c r="O41" s="10">
        <v>0</v>
      </c>
      <c r="P41" s="10">
        <v>-1050</v>
      </c>
      <c r="Q41" s="10">
        <v>-13.28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-43.49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-167.48</v>
      </c>
      <c r="AP41" s="10">
        <v>-58.14</v>
      </c>
      <c r="AQ41" s="10">
        <v>0</v>
      </c>
      <c r="AR41" s="10">
        <v>0</v>
      </c>
      <c r="AS41" s="10">
        <v>0</v>
      </c>
      <c r="AT41" s="10">
        <f t="shared" ref="AT41:AT49" si="9">SUM(B41:AS41)</f>
        <v>-2769.86</v>
      </c>
    </row>
    <row r="42" spans="1:46" x14ac:dyDescent="0.2">
      <c r="A42" s="17" t="s">
        <v>86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-1860</v>
      </c>
      <c r="L42" s="10">
        <v>0</v>
      </c>
      <c r="M42" s="10">
        <v>0</v>
      </c>
      <c r="N42" s="10">
        <v>0</v>
      </c>
      <c r="O42" s="10">
        <v>0</v>
      </c>
      <c r="P42" s="10">
        <v>-1860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-759.9</v>
      </c>
      <c r="AA42" s="10">
        <v>0</v>
      </c>
      <c r="AB42" s="10">
        <v>0</v>
      </c>
      <c r="AC42" s="10">
        <v>0</v>
      </c>
      <c r="AD42" s="10">
        <v>-1110</v>
      </c>
      <c r="AE42" s="10">
        <v>0</v>
      </c>
      <c r="AF42" s="10">
        <v>0</v>
      </c>
      <c r="AG42" s="10">
        <v>-885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-31.25</v>
      </c>
      <c r="AP42" s="10">
        <v>-217.5</v>
      </c>
      <c r="AQ42" s="10">
        <v>0</v>
      </c>
      <c r="AR42" s="10">
        <v>0</v>
      </c>
      <c r="AS42" s="10">
        <v>0</v>
      </c>
      <c r="AT42" s="10">
        <f t="shared" si="9"/>
        <v>-6723.65</v>
      </c>
    </row>
    <row r="43" spans="1:46" x14ac:dyDescent="0.2">
      <c r="A43" s="17" t="s">
        <v>87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-905</v>
      </c>
      <c r="AL43" s="10">
        <v>0</v>
      </c>
      <c r="AM43" s="10">
        <v>0</v>
      </c>
      <c r="AN43" s="10">
        <v>0</v>
      </c>
      <c r="AO43" s="10">
        <v>-1550</v>
      </c>
      <c r="AP43" s="10">
        <v>0</v>
      </c>
      <c r="AQ43" s="10">
        <v>-375</v>
      </c>
      <c r="AR43" s="10">
        <v>375</v>
      </c>
      <c r="AS43" s="10">
        <v>0</v>
      </c>
      <c r="AT43" s="10">
        <f t="shared" si="9"/>
        <v>-2455</v>
      </c>
    </row>
    <row r="44" spans="1:46" x14ac:dyDescent="0.2">
      <c r="A44" s="17" t="s">
        <v>88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-171.82</v>
      </c>
      <c r="H44" s="10">
        <v>0</v>
      </c>
      <c r="I44" s="10">
        <v>0</v>
      </c>
      <c r="J44" s="10">
        <v>-435</v>
      </c>
      <c r="K44" s="10">
        <v>-1283.8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-196.8</v>
      </c>
      <c r="AA44" s="10">
        <v>0</v>
      </c>
      <c r="AB44" s="10">
        <v>0</v>
      </c>
      <c r="AC44" s="10">
        <v>0</v>
      </c>
      <c r="AD44" s="10">
        <v>-295.2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f t="shared" si="9"/>
        <v>-2382.62</v>
      </c>
    </row>
    <row r="45" spans="1:46" x14ac:dyDescent="0.2">
      <c r="A45" s="17" t="s">
        <v>89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-825</v>
      </c>
      <c r="K45" s="10">
        <v>-1041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-563.5</v>
      </c>
      <c r="W45" s="10">
        <v>-159</v>
      </c>
      <c r="X45" s="10">
        <v>-138.57</v>
      </c>
      <c r="Y45" s="10">
        <v>0</v>
      </c>
      <c r="Z45" s="10">
        <v>-414.6</v>
      </c>
      <c r="AA45" s="10">
        <v>-319.27</v>
      </c>
      <c r="AB45" s="10">
        <v>0</v>
      </c>
      <c r="AC45" s="10">
        <v>0</v>
      </c>
      <c r="AD45" s="10">
        <v>-1091.9000000000001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90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f t="shared" si="9"/>
        <v>-4462.84</v>
      </c>
    </row>
    <row r="46" spans="1:46" x14ac:dyDescent="0.2">
      <c r="A46" s="17" t="s">
        <v>90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-135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f t="shared" si="9"/>
        <v>-135</v>
      </c>
    </row>
    <row r="47" spans="1:46" x14ac:dyDescent="0.2">
      <c r="A47" s="17" t="s">
        <v>91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-20.100000000000001</v>
      </c>
      <c r="H47" s="10">
        <v>0</v>
      </c>
      <c r="I47" s="10">
        <v>0</v>
      </c>
      <c r="J47" s="10">
        <v>-30.8</v>
      </c>
      <c r="K47" s="10">
        <v>0</v>
      </c>
      <c r="L47" s="10">
        <v>0</v>
      </c>
      <c r="M47" s="10">
        <v>-910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-917.47</v>
      </c>
      <c r="AA47" s="10">
        <v>0</v>
      </c>
      <c r="AB47" s="10">
        <v>0</v>
      </c>
      <c r="AC47" s="10">
        <v>0</v>
      </c>
      <c r="AD47" s="10">
        <v>0</v>
      </c>
      <c r="AE47" s="10">
        <v>-32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-47.8</v>
      </c>
      <c r="AL47" s="10">
        <v>-900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f t="shared" si="9"/>
        <v>-2858.17</v>
      </c>
    </row>
    <row r="48" spans="1:46" x14ac:dyDescent="0.2">
      <c r="A48" s="17" t="s">
        <v>92</v>
      </c>
      <c r="B48" s="10">
        <v>-800</v>
      </c>
      <c r="C48" s="10">
        <v>-800</v>
      </c>
      <c r="D48" s="10">
        <v>-800</v>
      </c>
      <c r="E48" s="10">
        <v>-800</v>
      </c>
      <c r="F48" s="10">
        <v>-800</v>
      </c>
      <c r="G48" s="10">
        <v>-800</v>
      </c>
      <c r="H48" s="10">
        <v>-800</v>
      </c>
      <c r="I48" s="10">
        <v>-800</v>
      </c>
      <c r="J48" s="10">
        <v>-800</v>
      </c>
      <c r="K48" s="10">
        <v>-800</v>
      </c>
      <c r="L48" s="10">
        <v>-800</v>
      </c>
      <c r="M48" s="10">
        <v>-800</v>
      </c>
      <c r="N48" s="10">
        <v>0</v>
      </c>
      <c r="O48" s="10">
        <v>-800</v>
      </c>
      <c r="P48" s="10">
        <v>-800</v>
      </c>
      <c r="Q48" s="10">
        <v>-800</v>
      </c>
      <c r="R48" s="10">
        <v>-800</v>
      </c>
      <c r="S48" s="10">
        <v>-800</v>
      </c>
      <c r="T48" s="10">
        <v>-800</v>
      </c>
      <c r="U48" s="10">
        <v>-800</v>
      </c>
      <c r="V48" s="10">
        <v>-800</v>
      </c>
      <c r="W48" s="10">
        <v>-800</v>
      </c>
      <c r="X48" s="10">
        <v>-800</v>
      </c>
      <c r="Y48" s="10">
        <v>-800</v>
      </c>
      <c r="Z48" s="10">
        <v>-800</v>
      </c>
      <c r="AA48" s="10">
        <v>-800</v>
      </c>
      <c r="AB48" s="10">
        <v>-800</v>
      </c>
      <c r="AC48" s="10">
        <v>-800</v>
      </c>
      <c r="AD48" s="10">
        <v>-800</v>
      </c>
      <c r="AE48" s="10">
        <v>-800</v>
      </c>
      <c r="AF48" s="10">
        <v>-800</v>
      </c>
      <c r="AG48" s="10">
        <v>-800</v>
      </c>
      <c r="AH48" s="10">
        <v>-800</v>
      </c>
      <c r="AI48" s="10">
        <v>-800</v>
      </c>
      <c r="AJ48" s="10">
        <v>-800</v>
      </c>
      <c r="AK48" s="10">
        <v>-800</v>
      </c>
      <c r="AL48" s="10">
        <v>-800</v>
      </c>
      <c r="AM48" s="10">
        <v>-800</v>
      </c>
      <c r="AN48" s="10">
        <v>-800</v>
      </c>
      <c r="AO48" s="10">
        <v>-800</v>
      </c>
      <c r="AP48" s="10">
        <v>-900</v>
      </c>
      <c r="AQ48" s="10">
        <v>-900</v>
      </c>
      <c r="AR48" s="10">
        <v>-900</v>
      </c>
      <c r="AS48" s="10">
        <v>-900</v>
      </c>
      <c r="AT48" s="10">
        <f t="shared" si="9"/>
        <v>-34800</v>
      </c>
    </row>
    <row r="49" spans="1:46" x14ac:dyDescent="0.2">
      <c r="A49" s="17" t="s">
        <v>93</v>
      </c>
      <c r="B49" s="10">
        <v>-10.039999999999999</v>
      </c>
      <c r="C49" s="10">
        <v>-11.22</v>
      </c>
      <c r="D49" s="10">
        <v>-12.06</v>
      </c>
      <c r="E49" s="10">
        <v>-12.42</v>
      </c>
      <c r="F49" s="10">
        <v>-9.73</v>
      </c>
      <c r="G49" s="10">
        <v>-64.05</v>
      </c>
      <c r="H49" s="10">
        <v>-11.82</v>
      </c>
      <c r="I49" s="10">
        <v>-12.14</v>
      </c>
      <c r="J49" s="10">
        <v>-13.67</v>
      </c>
      <c r="K49" s="10">
        <v>-14.7</v>
      </c>
      <c r="L49" s="10">
        <v>-14.23</v>
      </c>
      <c r="M49" s="10">
        <v>-13.01</v>
      </c>
      <c r="N49" s="10">
        <v>0</v>
      </c>
      <c r="O49" s="10">
        <v>-10.94</v>
      </c>
      <c r="P49" s="10">
        <v>-12.42</v>
      </c>
      <c r="Q49" s="10">
        <v>-12.42</v>
      </c>
      <c r="R49" s="10">
        <v>-12.7</v>
      </c>
      <c r="S49" s="10">
        <v>-12.46</v>
      </c>
      <c r="T49" s="10">
        <v>-10.62</v>
      </c>
      <c r="U49" s="10">
        <v>-61.37</v>
      </c>
      <c r="V49" s="10">
        <v>-14.8</v>
      </c>
      <c r="W49" s="10">
        <v>-12.14</v>
      </c>
      <c r="X49" s="10">
        <v>-11.26</v>
      </c>
      <c r="Y49" s="10">
        <v>-13.9</v>
      </c>
      <c r="Z49" s="10">
        <v>-15.01</v>
      </c>
      <c r="AA49" s="10">
        <v>-9.6999999999999993</v>
      </c>
      <c r="AB49" s="10">
        <v>-12.58</v>
      </c>
      <c r="AC49" s="10">
        <v>-12.63</v>
      </c>
      <c r="AD49" s="10">
        <v>-11.74</v>
      </c>
      <c r="AE49" s="10">
        <v>-14.02</v>
      </c>
      <c r="AF49" s="10">
        <v>-15.24</v>
      </c>
      <c r="AG49" s="10">
        <v>-60.34</v>
      </c>
      <c r="AH49" s="10">
        <v>-16.100000000000001</v>
      </c>
      <c r="AI49" s="10">
        <v>-14.14</v>
      </c>
      <c r="AJ49" s="10">
        <v>-12.94</v>
      </c>
      <c r="AK49" s="10">
        <v>-14.1</v>
      </c>
      <c r="AL49" s="10">
        <v>-14.65</v>
      </c>
      <c r="AM49" s="10">
        <v>-12.93</v>
      </c>
      <c r="AN49" s="10">
        <v>-14.34</v>
      </c>
      <c r="AO49" s="10">
        <v>-16.82</v>
      </c>
      <c r="AP49" s="10">
        <v>-12.54</v>
      </c>
      <c r="AQ49" s="10">
        <v>-13.14</v>
      </c>
      <c r="AR49" s="10">
        <v>-10.82</v>
      </c>
      <c r="AS49" s="10">
        <v>-48</v>
      </c>
      <c r="AT49" s="10">
        <f t="shared" si="9"/>
        <v>-735.9</v>
      </c>
    </row>
    <row r="50" spans="1:46" x14ac:dyDescent="0.2">
      <c r="A50" s="15" t="s">
        <v>94</v>
      </c>
      <c r="B50" s="14">
        <f t="shared" ref="B50:AT50" si="10">SUM(B41:B49)</f>
        <v>-810.04</v>
      </c>
      <c r="C50" s="14">
        <f t="shared" si="10"/>
        <v>-811.22</v>
      </c>
      <c r="D50" s="14">
        <f t="shared" si="10"/>
        <v>-1129.53</v>
      </c>
      <c r="E50" s="14">
        <f t="shared" si="10"/>
        <v>-812.42</v>
      </c>
      <c r="F50" s="14">
        <f t="shared" si="10"/>
        <v>-809.73</v>
      </c>
      <c r="G50" s="14">
        <f t="shared" si="10"/>
        <v>-1055.97</v>
      </c>
      <c r="H50" s="14">
        <f t="shared" si="10"/>
        <v>-811.82</v>
      </c>
      <c r="I50" s="14">
        <f t="shared" si="10"/>
        <v>-882.14</v>
      </c>
      <c r="J50" s="14">
        <f t="shared" si="10"/>
        <v>-2104.4700000000003</v>
      </c>
      <c r="K50" s="14">
        <f t="shared" si="10"/>
        <v>-4999.5</v>
      </c>
      <c r="L50" s="14">
        <f t="shared" si="10"/>
        <v>-814.23</v>
      </c>
      <c r="M50" s="14">
        <f t="shared" si="10"/>
        <v>-2773.01</v>
      </c>
      <c r="N50" s="14">
        <f t="shared" si="10"/>
        <v>0</v>
      </c>
      <c r="O50" s="14">
        <f t="shared" si="10"/>
        <v>-810.94</v>
      </c>
      <c r="P50" s="14">
        <f t="shared" si="10"/>
        <v>-3722.42</v>
      </c>
      <c r="Q50" s="14">
        <f t="shared" si="10"/>
        <v>-825.69999999999993</v>
      </c>
      <c r="R50" s="14">
        <f t="shared" si="10"/>
        <v>-812.7</v>
      </c>
      <c r="S50" s="14">
        <f t="shared" si="10"/>
        <v>-812.46</v>
      </c>
      <c r="T50" s="14">
        <f t="shared" si="10"/>
        <v>-810.62</v>
      </c>
      <c r="U50" s="14">
        <f t="shared" si="10"/>
        <v>-861.37</v>
      </c>
      <c r="V50" s="14">
        <f t="shared" si="10"/>
        <v>-1378.3</v>
      </c>
      <c r="W50" s="14">
        <f t="shared" si="10"/>
        <v>-971.14</v>
      </c>
      <c r="X50" s="14">
        <f t="shared" si="10"/>
        <v>-949.82999999999993</v>
      </c>
      <c r="Y50" s="14">
        <f t="shared" si="10"/>
        <v>-813.9</v>
      </c>
      <c r="Z50" s="14">
        <f t="shared" si="10"/>
        <v>-3238.7800000000007</v>
      </c>
      <c r="AA50" s="14">
        <f t="shared" si="10"/>
        <v>-1128.97</v>
      </c>
      <c r="AB50" s="14">
        <f t="shared" si="10"/>
        <v>-812.58</v>
      </c>
      <c r="AC50" s="14">
        <f t="shared" si="10"/>
        <v>-856.12</v>
      </c>
      <c r="AD50" s="14">
        <f t="shared" si="10"/>
        <v>-3308.84</v>
      </c>
      <c r="AE50" s="14">
        <f t="shared" si="10"/>
        <v>-846.02</v>
      </c>
      <c r="AF50" s="14">
        <f t="shared" si="10"/>
        <v>-815.24</v>
      </c>
      <c r="AG50" s="14">
        <f t="shared" si="10"/>
        <v>-1745.34</v>
      </c>
      <c r="AH50" s="14">
        <f t="shared" si="10"/>
        <v>-816.1</v>
      </c>
      <c r="AI50" s="14">
        <f t="shared" si="10"/>
        <v>-814.14</v>
      </c>
      <c r="AJ50" s="14">
        <f t="shared" si="10"/>
        <v>-812.94</v>
      </c>
      <c r="AK50" s="14">
        <f t="shared" si="10"/>
        <v>-1766.8999999999999</v>
      </c>
      <c r="AL50" s="14">
        <f t="shared" si="10"/>
        <v>-1714.65</v>
      </c>
      <c r="AM50" s="14">
        <f t="shared" si="10"/>
        <v>-812.93</v>
      </c>
      <c r="AN50" s="14">
        <f t="shared" si="10"/>
        <v>-724.34</v>
      </c>
      <c r="AO50" s="14">
        <f t="shared" si="10"/>
        <v>-2565.5500000000002</v>
      </c>
      <c r="AP50" s="14">
        <f t="shared" si="10"/>
        <v>-1188.1799999999998</v>
      </c>
      <c r="AQ50" s="14">
        <f t="shared" si="10"/>
        <v>-1288.1400000000001</v>
      </c>
      <c r="AR50" s="14">
        <f t="shared" si="10"/>
        <v>-535.82000000000005</v>
      </c>
      <c r="AS50" s="14">
        <f t="shared" si="10"/>
        <v>-948</v>
      </c>
      <c r="AT50" s="14">
        <f t="shared" si="10"/>
        <v>-57323.040000000001</v>
      </c>
    </row>
    <row r="51" spans="1:46" x14ac:dyDescent="0.2">
      <c r="A51" s="16" t="s">
        <v>95</v>
      </c>
      <c r="B51" s="14">
        <f t="shared" ref="B51:AT51" si="11">0+B39+B50</f>
        <v>-3590.33</v>
      </c>
      <c r="C51" s="14">
        <f t="shared" si="11"/>
        <v>-3708.8099999999995</v>
      </c>
      <c r="D51" s="14">
        <f t="shared" si="11"/>
        <v>-4019.24</v>
      </c>
      <c r="E51" s="14">
        <f t="shared" si="11"/>
        <v>-3344.48</v>
      </c>
      <c r="F51" s="14">
        <f t="shared" si="11"/>
        <v>-3251.58</v>
      </c>
      <c r="G51" s="14">
        <f t="shared" si="11"/>
        <v>-4764.9000000000005</v>
      </c>
      <c r="H51" s="14">
        <f t="shared" si="11"/>
        <v>-4520.83</v>
      </c>
      <c r="I51" s="14">
        <f t="shared" si="11"/>
        <v>-5103.6400000000003</v>
      </c>
      <c r="J51" s="14">
        <f t="shared" si="11"/>
        <v>-6865.19</v>
      </c>
      <c r="K51" s="14">
        <f t="shared" si="11"/>
        <v>-19470.150000000001</v>
      </c>
      <c r="L51" s="14">
        <f t="shared" si="11"/>
        <v>-5253.4400000000005</v>
      </c>
      <c r="M51" s="14">
        <f t="shared" si="11"/>
        <v>-7264.5300000000007</v>
      </c>
      <c r="N51" s="14">
        <f t="shared" si="11"/>
        <v>0</v>
      </c>
      <c r="O51" s="14">
        <f t="shared" si="11"/>
        <v>-2348.5500000000002</v>
      </c>
      <c r="P51" s="14">
        <f t="shared" si="11"/>
        <v>-5667.89</v>
      </c>
      <c r="Q51" s="14">
        <f t="shared" si="11"/>
        <v>-3153.5099999999998</v>
      </c>
      <c r="R51" s="14">
        <f t="shared" si="11"/>
        <v>-2614.79</v>
      </c>
      <c r="S51" s="14">
        <f t="shared" si="11"/>
        <v>-2591.1999999999998</v>
      </c>
      <c r="T51" s="14">
        <f t="shared" si="11"/>
        <v>-2589.46</v>
      </c>
      <c r="U51" s="14">
        <f t="shared" si="11"/>
        <v>-2640.11</v>
      </c>
      <c r="V51" s="14">
        <f t="shared" si="11"/>
        <v>-3895.1400000000003</v>
      </c>
      <c r="W51" s="14">
        <f t="shared" si="11"/>
        <v>-5375.05</v>
      </c>
      <c r="X51" s="14">
        <f t="shared" si="11"/>
        <v>-5966.87</v>
      </c>
      <c r="Y51" s="14">
        <f t="shared" si="11"/>
        <v>-2592.66</v>
      </c>
      <c r="Z51" s="14">
        <f t="shared" si="11"/>
        <v>-6373.9900000000007</v>
      </c>
      <c r="AA51" s="14">
        <f t="shared" si="11"/>
        <v>-3271.3500000000004</v>
      </c>
      <c r="AB51" s="14">
        <f t="shared" si="11"/>
        <v>-2528.04</v>
      </c>
      <c r="AC51" s="14">
        <f t="shared" si="11"/>
        <v>-2974.71</v>
      </c>
      <c r="AD51" s="14">
        <f t="shared" si="11"/>
        <v>-6064.25</v>
      </c>
      <c r="AE51" s="14">
        <f t="shared" si="11"/>
        <v>-5276.77</v>
      </c>
      <c r="AF51" s="14">
        <f t="shared" si="11"/>
        <v>-2897.8900000000003</v>
      </c>
      <c r="AG51" s="14">
        <f t="shared" si="11"/>
        <v>-4357.1000000000004</v>
      </c>
      <c r="AH51" s="14">
        <f t="shared" si="11"/>
        <v>-3427.95</v>
      </c>
      <c r="AI51" s="14">
        <f t="shared" si="11"/>
        <v>-5007.96</v>
      </c>
      <c r="AJ51" s="14">
        <f t="shared" si="11"/>
        <v>-3612.17</v>
      </c>
      <c r="AK51" s="14">
        <f t="shared" si="11"/>
        <v>-8926.36</v>
      </c>
      <c r="AL51" s="14">
        <f t="shared" si="11"/>
        <v>-4887.1299999999992</v>
      </c>
      <c r="AM51" s="14">
        <f t="shared" si="11"/>
        <v>-5950.38</v>
      </c>
      <c r="AN51" s="14">
        <f t="shared" si="11"/>
        <v>-5109.1100000000006</v>
      </c>
      <c r="AO51" s="14">
        <f t="shared" si="11"/>
        <v>-14393.43</v>
      </c>
      <c r="AP51" s="14">
        <f t="shared" si="11"/>
        <v>-7904.17</v>
      </c>
      <c r="AQ51" s="14">
        <f t="shared" si="11"/>
        <v>-5449.13</v>
      </c>
      <c r="AR51" s="14">
        <f t="shared" si="11"/>
        <v>-6142.2999999999993</v>
      </c>
      <c r="AS51" s="14">
        <f t="shared" si="11"/>
        <v>-8204.880000000001</v>
      </c>
      <c r="AT51" s="14">
        <f t="shared" si="11"/>
        <v>-223351.42000000004</v>
      </c>
    </row>
    <row r="52" spans="1:46" x14ac:dyDescent="0.2">
      <c r="A52" s="18" t="s">
        <v>96</v>
      </c>
      <c r="B52" s="14">
        <f t="shared" ref="B52:AT52" si="12">B32+B51</f>
        <v>-3562.24</v>
      </c>
      <c r="C52" s="14">
        <f t="shared" si="12"/>
        <v>4667.2800000000007</v>
      </c>
      <c r="D52" s="14">
        <f t="shared" si="12"/>
        <v>4566.1000000000004</v>
      </c>
      <c r="E52" s="14">
        <f t="shared" si="12"/>
        <v>-3484.89</v>
      </c>
      <c r="F52" s="14">
        <f t="shared" si="12"/>
        <v>5294.76</v>
      </c>
      <c r="G52" s="14">
        <f t="shared" si="12"/>
        <v>6784.8</v>
      </c>
      <c r="H52" s="14">
        <f t="shared" si="12"/>
        <v>-5072.6399999999994</v>
      </c>
      <c r="I52" s="14">
        <f t="shared" si="12"/>
        <v>3632.7200000000003</v>
      </c>
      <c r="J52" s="14">
        <f t="shared" si="12"/>
        <v>1560.3599999999997</v>
      </c>
      <c r="K52" s="14">
        <f t="shared" si="12"/>
        <v>-4219.9500000000007</v>
      </c>
      <c r="L52" s="14">
        <f t="shared" si="12"/>
        <v>2385.0299999999997</v>
      </c>
      <c r="M52" s="14">
        <f t="shared" si="12"/>
        <v>2662.6600000000035</v>
      </c>
      <c r="N52" s="14">
        <f t="shared" si="12"/>
        <v>0</v>
      </c>
      <c r="O52" s="14">
        <f t="shared" si="12"/>
        <v>-2943.1699999999992</v>
      </c>
      <c r="P52" s="14">
        <f t="shared" si="12"/>
        <v>2927.3900000000003</v>
      </c>
      <c r="Q52" s="14">
        <f t="shared" si="12"/>
        <v>9671.6</v>
      </c>
      <c r="R52" s="14">
        <f t="shared" si="12"/>
        <v>9071.18</v>
      </c>
      <c r="S52" s="14">
        <f t="shared" si="12"/>
        <v>8994.8499999999985</v>
      </c>
      <c r="T52" s="14">
        <f t="shared" si="12"/>
        <v>6110.2699999999995</v>
      </c>
      <c r="U52" s="14">
        <f t="shared" si="12"/>
        <v>3979.6099999999992</v>
      </c>
      <c r="V52" s="14">
        <f t="shared" si="12"/>
        <v>2746.0999999999995</v>
      </c>
      <c r="W52" s="14">
        <f t="shared" si="12"/>
        <v>-8830.6</v>
      </c>
      <c r="X52" s="14">
        <f t="shared" si="12"/>
        <v>-9366.380000000001</v>
      </c>
      <c r="Y52" s="14">
        <f t="shared" si="12"/>
        <v>-5919.45</v>
      </c>
      <c r="Z52" s="14">
        <f t="shared" si="12"/>
        <v>-8324.09</v>
      </c>
      <c r="AA52" s="14">
        <f t="shared" si="12"/>
        <v>301.46999999999935</v>
      </c>
      <c r="AB52" s="14">
        <f t="shared" si="12"/>
        <v>1847.8900000000003</v>
      </c>
      <c r="AC52" s="14">
        <f t="shared" si="12"/>
        <v>5247.1500000000005</v>
      </c>
      <c r="AD52" s="14">
        <f t="shared" si="12"/>
        <v>-1610.04</v>
      </c>
      <c r="AE52" s="14">
        <f t="shared" si="12"/>
        <v>-2565.2300000000005</v>
      </c>
      <c r="AF52" s="14">
        <f t="shared" si="12"/>
        <v>-70.429999999999382</v>
      </c>
      <c r="AG52" s="14">
        <f t="shared" si="12"/>
        <v>-1744.8100000000004</v>
      </c>
      <c r="AH52" s="14">
        <f t="shared" si="12"/>
        <v>-1095.0699999999997</v>
      </c>
      <c r="AI52" s="14">
        <f t="shared" si="12"/>
        <v>4468.6799999999994</v>
      </c>
      <c r="AJ52" s="14">
        <f t="shared" si="12"/>
        <v>3845.83</v>
      </c>
      <c r="AK52" s="14">
        <f t="shared" si="12"/>
        <v>-1385.0100000000002</v>
      </c>
      <c r="AL52" s="14">
        <f t="shared" si="12"/>
        <v>3972.6600000000017</v>
      </c>
      <c r="AM52" s="14">
        <f t="shared" si="12"/>
        <v>1366.4299999999994</v>
      </c>
      <c r="AN52" s="14">
        <f t="shared" si="12"/>
        <v>3023.1299999999992</v>
      </c>
      <c r="AO52" s="14">
        <f t="shared" si="12"/>
        <v>-3074.0099999999984</v>
      </c>
      <c r="AP52" s="14">
        <f t="shared" si="12"/>
        <v>1250.42</v>
      </c>
      <c r="AQ52" s="14">
        <f t="shared" si="12"/>
        <v>2130.6899999999996</v>
      </c>
      <c r="AR52" s="14">
        <f t="shared" si="12"/>
        <v>3260.3900000000012</v>
      </c>
      <c r="AS52" s="14">
        <f t="shared" si="12"/>
        <v>4681.619999999999</v>
      </c>
      <c r="AT52" s="14">
        <f t="shared" si="12"/>
        <v>47183.059999999939</v>
      </c>
    </row>
    <row r="53" spans="1:46" x14ac:dyDescent="0.2">
      <c r="A53" s="5" t="s">
        <v>97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spans="1:46" x14ac:dyDescent="0.2">
      <c r="A54" s="6" t="s">
        <v>98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spans="1:46" x14ac:dyDescent="0.2">
      <c r="A55" s="19" t="s">
        <v>99</v>
      </c>
      <c r="B55" s="10">
        <v>139.22</v>
      </c>
      <c r="C55" s="10">
        <v>138.65</v>
      </c>
      <c r="D55" s="10">
        <v>138.08000000000001</v>
      </c>
      <c r="E55" s="10">
        <v>274.43</v>
      </c>
      <c r="F55" s="10">
        <v>0</v>
      </c>
      <c r="G55" s="10">
        <v>136.35</v>
      </c>
      <c r="H55" s="10">
        <v>135.78</v>
      </c>
      <c r="I55" s="10">
        <v>135.19999999999999</v>
      </c>
      <c r="J55" s="10">
        <v>134.62</v>
      </c>
      <c r="K55" s="10">
        <v>134.05000000000001</v>
      </c>
      <c r="L55" s="10">
        <v>133.47</v>
      </c>
      <c r="M55" s="10">
        <v>265.19</v>
      </c>
      <c r="N55" s="10">
        <v>0</v>
      </c>
      <c r="O55" s="10">
        <v>0</v>
      </c>
      <c r="P55" s="10">
        <v>131.72</v>
      </c>
      <c r="Q55" s="10">
        <v>131.13999999999999</v>
      </c>
      <c r="R55" s="10">
        <v>130.56</v>
      </c>
      <c r="S55" s="10">
        <v>129.97</v>
      </c>
      <c r="T55" s="10">
        <v>129.38</v>
      </c>
      <c r="U55" s="10">
        <v>128.80000000000001</v>
      </c>
      <c r="V55" s="10">
        <v>128.21</v>
      </c>
      <c r="W55" s="10">
        <v>127.62</v>
      </c>
      <c r="X55" s="10">
        <v>127.03</v>
      </c>
      <c r="Y55" s="10">
        <v>126.44</v>
      </c>
      <c r="Z55" s="10">
        <v>251.11</v>
      </c>
      <c r="AA55" s="10">
        <v>0</v>
      </c>
      <c r="AB55" s="10">
        <v>124.66</v>
      </c>
      <c r="AC55" s="10">
        <v>124.07</v>
      </c>
      <c r="AD55" s="10">
        <v>122.68</v>
      </c>
      <c r="AE55" s="10">
        <v>121.29</v>
      </c>
      <c r="AF55" s="10">
        <v>119.9</v>
      </c>
      <c r="AG55" s="10">
        <v>118.51</v>
      </c>
      <c r="AH55" s="10">
        <v>117.11</v>
      </c>
      <c r="AI55" s="10">
        <v>230.03</v>
      </c>
      <c r="AJ55" s="10">
        <v>0</v>
      </c>
      <c r="AK55" s="10">
        <v>112.91</v>
      </c>
      <c r="AL55" s="10">
        <v>221.61</v>
      </c>
      <c r="AM55" s="10">
        <v>0</v>
      </c>
      <c r="AN55" s="10">
        <v>108.69</v>
      </c>
      <c r="AO55" s="10">
        <v>181.48</v>
      </c>
      <c r="AP55" s="10">
        <v>0</v>
      </c>
      <c r="AQ55" s="10">
        <v>0</v>
      </c>
      <c r="AR55" s="10">
        <v>0</v>
      </c>
      <c r="AS55" s="10">
        <v>0</v>
      </c>
      <c r="AT55" s="10">
        <f>SUM(B55:AS55)</f>
        <v>5009.9599999999991</v>
      </c>
    </row>
    <row r="56" spans="1:46" x14ac:dyDescent="0.2">
      <c r="A56" s="16" t="s">
        <v>100</v>
      </c>
      <c r="B56" s="14">
        <f t="shared" ref="B56:AT56" si="13">SUM(B55)</f>
        <v>139.22</v>
      </c>
      <c r="C56" s="14">
        <f t="shared" si="13"/>
        <v>138.65</v>
      </c>
      <c r="D56" s="14">
        <f t="shared" si="13"/>
        <v>138.08000000000001</v>
      </c>
      <c r="E56" s="14">
        <f t="shared" si="13"/>
        <v>274.43</v>
      </c>
      <c r="F56" s="14">
        <f t="shared" si="13"/>
        <v>0</v>
      </c>
      <c r="G56" s="14">
        <f t="shared" si="13"/>
        <v>136.35</v>
      </c>
      <c r="H56" s="14">
        <f t="shared" si="13"/>
        <v>135.78</v>
      </c>
      <c r="I56" s="14">
        <f t="shared" si="13"/>
        <v>135.19999999999999</v>
      </c>
      <c r="J56" s="14">
        <f t="shared" si="13"/>
        <v>134.62</v>
      </c>
      <c r="K56" s="14">
        <f t="shared" si="13"/>
        <v>134.05000000000001</v>
      </c>
      <c r="L56" s="14">
        <f t="shared" si="13"/>
        <v>133.47</v>
      </c>
      <c r="M56" s="14">
        <f t="shared" si="13"/>
        <v>265.19</v>
      </c>
      <c r="N56" s="14">
        <f t="shared" si="13"/>
        <v>0</v>
      </c>
      <c r="O56" s="14">
        <f t="shared" si="13"/>
        <v>0</v>
      </c>
      <c r="P56" s="14">
        <f t="shared" si="13"/>
        <v>131.72</v>
      </c>
      <c r="Q56" s="14">
        <f t="shared" si="13"/>
        <v>131.13999999999999</v>
      </c>
      <c r="R56" s="14">
        <f t="shared" si="13"/>
        <v>130.56</v>
      </c>
      <c r="S56" s="14">
        <f t="shared" si="13"/>
        <v>129.97</v>
      </c>
      <c r="T56" s="14">
        <f t="shared" si="13"/>
        <v>129.38</v>
      </c>
      <c r="U56" s="14">
        <f t="shared" si="13"/>
        <v>128.80000000000001</v>
      </c>
      <c r="V56" s="14">
        <f t="shared" si="13"/>
        <v>128.21</v>
      </c>
      <c r="W56" s="14">
        <f t="shared" si="13"/>
        <v>127.62</v>
      </c>
      <c r="X56" s="14">
        <f t="shared" si="13"/>
        <v>127.03</v>
      </c>
      <c r="Y56" s="14">
        <f t="shared" si="13"/>
        <v>126.44</v>
      </c>
      <c r="Z56" s="14">
        <f t="shared" si="13"/>
        <v>251.11</v>
      </c>
      <c r="AA56" s="14">
        <f t="shared" si="13"/>
        <v>0</v>
      </c>
      <c r="AB56" s="14">
        <f t="shared" si="13"/>
        <v>124.66</v>
      </c>
      <c r="AC56" s="14">
        <f t="shared" si="13"/>
        <v>124.07</v>
      </c>
      <c r="AD56" s="14">
        <f t="shared" si="13"/>
        <v>122.68</v>
      </c>
      <c r="AE56" s="14">
        <f t="shared" si="13"/>
        <v>121.29</v>
      </c>
      <c r="AF56" s="14">
        <f t="shared" si="13"/>
        <v>119.9</v>
      </c>
      <c r="AG56" s="14">
        <f t="shared" si="13"/>
        <v>118.51</v>
      </c>
      <c r="AH56" s="14">
        <f t="shared" si="13"/>
        <v>117.11</v>
      </c>
      <c r="AI56" s="14">
        <f t="shared" si="13"/>
        <v>230.03</v>
      </c>
      <c r="AJ56" s="14">
        <f t="shared" si="13"/>
        <v>0</v>
      </c>
      <c r="AK56" s="14">
        <f t="shared" si="13"/>
        <v>112.91</v>
      </c>
      <c r="AL56" s="14">
        <f t="shared" si="13"/>
        <v>221.61</v>
      </c>
      <c r="AM56" s="14">
        <f t="shared" si="13"/>
        <v>0</v>
      </c>
      <c r="AN56" s="14">
        <f t="shared" si="13"/>
        <v>108.69</v>
      </c>
      <c r="AO56" s="14">
        <f t="shared" si="13"/>
        <v>181.48</v>
      </c>
      <c r="AP56" s="14">
        <f t="shared" si="13"/>
        <v>0</v>
      </c>
      <c r="AQ56" s="14">
        <f t="shared" si="13"/>
        <v>0</v>
      </c>
      <c r="AR56" s="14">
        <f t="shared" si="13"/>
        <v>0</v>
      </c>
      <c r="AS56" s="14">
        <f t="shared" si="13"/>
        <v>0</v>
      </c>
      <c r="AT56" s="14">
        <f t="shared" si="13"/>
        <v>5009.9599999999991</v>
      </c>
    </row>
    <row r="57" spans="1:46" x14ac:dyDescent="0.2">
      <c r="A57" s="6" t="s">
        <v>101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spans="1:46" x14ac:dyDescent="0.2">
      <c r="A58" s="19" t="s">
        <v>102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119.06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73.91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34.24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f>SUM(B58:AS58)</f>
        <v>227.21</v>
      </c>
    </row>
    <row r="59" spans="1:46" x14ac:dyDescent="0.2">
      <c r="A59" s="16" t="s">
        <v>103</v>
      </c>
      <c r="B59" s="14">
        <f t="shared" ref="B59:AT59" si="14">SUM(B58)</f>
        <v>0</v>
      </c>
      <c r="C59" s="14">
        <f t="shared" si="14"/>
        <v>0</v>
      </c>
      <c r="D59" s="14">
        <f t="shared" si="14"/>
        <v>0</v>
      </c>
      <c r="E59" s="14">
        <f t="shared" si="14"/>
        <v>0</v>
      </c>
      <c r="F59" s="14">
        <f t="shared" si="14"/>
        <v>0</v>
      </c>
      <c r="G59" s="14">
        <f t="shared" si="14"/>
        <v>0</v>
      </c>
      <c r="H59" s="14">
        <f t="shared" si="14"/>
        <v>0</v>
      </c>
      <c r="I59" s="14">
        <f t="shared" si="14"/>
        <v>0</v>
      </c>
      <c r="J59" s="14">
        <f t="shared" si="14"/>
        <v>0</v>
      </c>
      <c r="K59" s="14">
        <f t="shared" si="14"/>
        <v>0</v>
      </c>
      <c r="L59" s="14">
        <f t="shared" si="14"/>
        <v>0</v>
      </c>
      <c r="M59" s="14">
        <f t="shared" si="14"/>
        <v>119.06</v>
      </c>
      <c r="N59" s="14">
        <f t="shared" si="14"/>
        <v>0</v>
      </c>
      <c r="O59" s="14">
        <f t="shared" si="14"/>
        <v>0</v>
      </c>
      <c r="P59" s="14">
        <f t="shared" si="14"/>
        <v>0</v>
      </c>
      <c r="Q59" s="14">
        <f t="shared" si="14"/>
        <v>0</v>
      </c>
      <c r="R59" s="14">
        <f t="shared" si="14"/>
        <v>0</v>
      </c>
      <c r="S59" s="14">
        <f t="shared" si="14"/>
        <v>0</v>
      </c>
      <c r="T59" s="14">
        <f t="shared" si="14"/>
        <v>0</v>
      </c>
      <c r="U59" s="14">
        <f t="shared" si="14"/>
        <v>0</v>
      </c>
      <c r="V59" s="14">
        <f t="shared" si="14"/>
        <v>0</v>
      </c>
      <c r="W59" s="14">
        <f t="shared" si="14"/>
        <v>0</v>
      </c>
      <c r="X59" s="14">
        <f t="shared" si="14"/>
        <v>0</v>
      </c>
      <c r="Y59" s="14">
        <f t="shared" si="14"/>
        <v>0</v>
      </c>
      <c r="Z59" s="14">
        <f t="shared" si="14"/>
        <v>73.91</v>
      </c>
      <c r="AA59" s="14">
        <f t="shared" si="14"/>
        <v>0</v>
      </c>
      <c r="AB59" s="14">
        <f t="shared" si="14"/>
        <v>0</v>
      </c>
      <c r="AC59" s="14">
        <f t="shared" si="14"/>
        <v>0</v>
      </c>
      <c r="AD59" s="14">
        <f t="shared" si="14"/>
        <v>0</v>
      </c>
      <c r="AE59" s="14">
        <f t="shared" si="14"/>
        <v>0</v>
      </c>
      <c r="AF59" s="14">
        <f t="shared" si="14"/>
        <v>0</v>
      </c>
      <c r="AG59" s="14">
        <f t="shared" si="14"/>
        <v>0</v>
      </c>
      <c r="AH59" s="14">
        <f t="shared" si="14"/>
        <v>0</v>
      </c>
      <c r="AI59" s="14">
        <f t="shared" si="14"/>
        <v>0</v>
      </c>
      <c r="AJ59" s="14">
        <f t="shared" si="14"/>
        <v>0</v>
      </c>
      <c r="AK59" s="14">
        <f t="shared" si="14"/>
        <v>0</v>
      </c>
      <c r="AL59" s="14">
        <f t="shared" si="14"/>
        <v>34.24</v>
      </c>
      <c r="AM59" s="14">
        <f t="shared" si="14"/>
        <v>0</v>
      </c>
      <c r="AN59" s="14">
        <f t="shared" si="14"/>
        <v>0</v>
      </c>
      <c r="AO59" s="14">
        <f t="shared" si="14"/>
        <v>0</v>
      </c>
      <c r="AP59" s="14">
        <f t="shared" si="14"/>
        <v>0</v>
      </c>
      <c r="AQ59" s="14">
        <f t="shared" si="14"/>
        <v>0</v>
      </c>
      <c r="AR59" s="14">
        <f t="shared" si="14"/>
        <v>0</v>
      </c>
      <c r="AS59" s="14">
        <f t="shared" si="14"/>
        <v>0</v>
      </c>
      <c r="AT59" s="14">
        <f t="shared" si="14"/>
        <v>227.21</v>
      </c>
    </row>
    <row r="60" spans="1:46" x14ac:dyDescent="0.2">
      <c r="A60" s="6" t="s">
        <v>104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spans="1:46" x14ac:dyDescent="0.2">
      <c r="A61" s="19" t="s">
        <v>105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-16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f>SUM(B61:AS61)</f>
        <v>-16</v>
      </c>
    </row>
    <row r="62" spans="1:46" x14ac:dyDescent="0.2">
      <c r="A62" s="19" t="s">
        <v>106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-1900.02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-1900.02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-1900.02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-1900.02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-1900.02</v>
      </c>
      <c r="AG62" s="10">
        <v>0</v>
      </c>
      <c r="AH62" s="10">
        <v>-316.67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f>SUM(B62:AS62)</f>
        <v>-9816.77</v>
      </c>
    </row>
    <row r="63" spans="1:46" x14ac:dyDescent="0.2">
      <c r="A63" s="16" t="s">
        <v>107</v>
      </c>
      <c r="B63" s="14">
        <f t="shared" ref="B63:AT63" si="15">SUM(B61:B62)</f>
        <v>0</v>
      </c>
      <c r="C63" s="14">
        <f t="shared" si="15"/>
        <v>0</v>
      </c>
      <c r="D63" s="14">
        <f t="shared" si="15"/>
        <v>0</v>
      </c>
      <c r="E63" s="14">
        <f t="shared" si="15"/>
        <v>0</v>
      </c>
      <c r="F63" s="14">
        <f t="shared" si="15"/>
        <v>0</v>
      </c>
      <c r="G63" s="14">
        <f t="shared" si="15"/>
        <v>-1916.02</v>
      </c>
      <c r="H63" s="14">
        <f t="shared" si="15"/>
        <v>0</v>
      </c>
      <c r="I63" s="14">
        <f t="shared" si="15"/>
        <v>0</v>
      </c>
      <c r="J63" s="14">
        <f t="shared" si="15"/>
        <v>0</v>
      </c>
      <c r="K63" s="14">
        <f t="shared" si="15"/>
        <v>0</v>
      </c>
      <c r="L63" s="14">
        <f t="shared" si="15"/>
        <v>0</v>
      </c>
      <c r="M63" s="14">
        <f t="shared" si="15"/>
        <v>-1900.02</v>
      </c>
      <c r="N63" s="14">
        <f t="shared" si="15"/>
        <v>0</v>
      </c>
      <c r="O63" s="14">
        <f t="shared" si="15"/>
        <v>0</v>
      </c>
      <c r="P63" s="14">
        <f t="shared" si="15"/>
        <v>0</v>
      </c>
      <c r="Q63" s="14">
        <f t="shared" si="15"/>
        <v>0</v>
      </c>
      <c r="R63" s="14">
        <f t="shared" si="15"/>
        <v>0</v>
      </c>
      <c r="S63" s="14">
        <f t="shared" si="15"/>
        <v>0</v>
      </c>
      <c r="T63" s="14">
        <f t="shared" si="15"/>
        <v>-1900.02</v>
      </c>
      <c r="U63" s="14">
        <f t="shared" si="15"/>
        <v>0</v>
      </c>
      <c r="V63" s="14">
        <f t="shared" si="15"/>
        <v>0</v>
      </c>
      <c r="W63" s="14">
        <f t="shared" si="15"/>
        <v>0</v>
      </c>
      <c r="X63" s="14">
        <f t="shared" si="15"/>
        <v>0</v>
      </c>
      <c r="Y63" s="14">
        <f t="shared" si="15"/>
        <v>0</v>
      </c>
      <c r="Z63" s="14">
        <f t="shared" si="15"/>
        <v>-1900.02</v>
      </c>
      <c r="AA63" s="14">
        <f t="shared" si="15"/>
        <v>0</v>
      </c>
      <c r="AB63" s="14">
        <f t="shared" si="15"/>
        <v>0</v>
      </c>
      <c r="AC63" s="14">
        <f t="shared" si="15"/>
        <v>0</v>
      </c>
      <c r="AD63" s="14">
        <f t="shared" si="15"/>
        <v>0</v>
      </c>
      <c r="AE63" s="14">
        <f t="shared" si="15"/>
        <v>0</v>
      </c>
      <c r="AF63" s="14">
        <f t="shared" si="15"/>
        <v>-1900.02</v>
      </c>
      <c r="AG63" s="14">
        <f t="shared" si="15"/>
        <v>0</v>
      </c>
      <c r="AH63" s="14">
        <f t="shared" si="15"/>
        <v>-316.67</v>
      </c>
      <c r="AI63" s="14">
        <f t="shared" si="15"/>
        <v>0</v>
      </c>
      <c r="AJ63" s="14">
        <f t="shared" si="15"/>
        <v>0</v>
      </c>
      <c r="AK63" s="14">
        <f t="shared" si="15"/>
        <v>0</v>
      </c>
      <c r="AL63" s="14">
        <f t="shared" si="15"/>
        <v>0</v>
      </c>
      <c r="AM63" s="14">
        <f t="shared" si="15"/>
        <v>0</v>
      </c>
      <c r="AN63" s="14">
        <f t="shared" si="15"/>
        <v>0</v>
      </c>
      <c r="AO63" s="14">
        <f t="shared" si="15"/>
        <v>0</v>
      </c>
      <c r="AP63" s="14">
        <f t="shared" si="15"/>
        <v>0</v>
      </c>
      <c r="AQ63" s="14">
        <f t="shared" si="15"/>
        <v>0</v>
      </c>
      <c r="AR63" s="14">
        <f t="shared" si="15"/>
        <v>0</v>
      </c>
      <c r="AS63" s="14">
        <f t="shared" si="15"/>
        <v>0</v>
      </c>
      <c r="AT63" s="14">
        <f t="shared" si="15"/>
        <v>-9832.77</v>
      </c>
    </row>
    <row r="64" spans="1:46" x14ac:dyDescent="0.2">
      <c r="A64" s="18" t="s">
        <v>108</v>
      </c>
      <c r="B64" s="14">
        <f t="shared" ref="B64:AT64" si="16">0+B56+B59+0+B63</f>
        <v>139.22</v>
      </c>
      <c r="C64" s="14">
        <f t="shared" si="16"/>
        <v>138.65</v>
      </c>
      <c r="D64" s="14">
        <f t="shared" si="16"/>
        <v>138.08000000000001</v>
      </c>
      <c r="E64" s="14">
        <f t="shared" si="16"/>
        <v>274.43</v>
      </c>
      <c r="F64" s="14">
        <f t="shared" si="16"/>
        <v>0</v>
      </c>
      <c r="G64" s="14">
        <f t="shared" si="16"/>
        <v>-1779.67</v>
      </c>
      <c r="H64" s="14">
        <f t="shared" si="16"/>
        <v>135.78</v>
      </c>
      <c r="I64" s="14">
        <f t="shared" si="16"/>
        <v>135.19999999999999</v>
      </c>
      <c r="J64" s="14">
        <f t="shared" si="16"/>
        <v>134.62</v>
      </c>
      <c r="K64" s="14">
        <f t="shared" si="16"/>
        <v>134.05000000000001</v>
      </c>
      <c r="L64" s="14">
        <f t="shared" si="16"/>
        <v>133.47</v>
      </c>
      <c r="M64" s="14">
        <f t="shared" si="16"/>
        <v>-1515.77</v>
      </c>
      <c r="N64" s="14">
        <f t="shared" si="16"/>
        <v>0</v>
      </c>
      <c r="O64" s="14">
        <f t="shared" si="16"/>
        <v>0</v>
      </c>
      <c r="P64" s="14">
        <f t="shared" si="16"/>
        <v>131.72</v>
      </c>
      <c r="Q64" s="14">
        <f t="shared" si="16"/>
        <v>131.13999999999999</v>
      </c>
      <c r="R64" s="14">
        <f t="shared" si="16"/>
        <v>130.56</v>
      </c>
      <c r="S64" s="14">
        <f t="shared" si="16"/>
        <v>129.97</v>
      </c>
      <c r="T64" s="14">
        <f t="shared" si="16"/>
        <v>-1770.6399999999999</v>
      </c>
      <c r="U64" s="14">
        <f t="shared" si="16"/>
        <v>128.80000000000001</v>
      </c>
      <c r="V64" s="14">
        <f t="shared" si="16"/>
        <v>128.21</v>
      </c>
      <c r="W64" s="14">
        <f t="shared" si="16"/>
        <v>127.62</v>
      </c>
      <c r="X64" s="14">
        <f t="shared" si="16"/>
        <v>127.03</v>
      </c>
      <c r="Y64" s="14">
        <f t="shared" si="16"/>
        <v>126.44</v>
      </c>
      <c r="Z64" s="14">
        <f t="shared" si="16"/>
        <v>-1575</v>
      </c>
      <c r="AA64" s="14">
        <f t="shared" si="16"/>
        <v>0</v>
      </c>
      <c r="AB64" s="14">
        <f t="shared" si="16"/>
        <v>124.66</v>
      </c>
      <c r="AC64" s="14">
        <f t="shared" si="16"/>
        <v>124.07</v>
      </c>
      <c r="AD64" s="14">
        <f t="shared" si="16"/>
        <v>122.68</v>
      </c>
      <c r="AE64" s="14">
        <f t="shared" si="16"/>
        <v>121.29</v>
      </c>
      <c r="AF64" s="14">
        <f t="shared" si="16"/>
        <v>-1780.12</v>
      </c>
      <c r="AG64" s="14">
        <f t="shared" si="16"/>
        <v>118.51</v>
      </c>
      <c r="AH64" s="14">
        <f t="shared" si="16"/>
        <v>-199.56</v>
      </c>
      <c r="AI64" s="14">
        <f t="shared" si="16"/>
        <v>230.03</v>
      </c>
      <c r="AJ64" s="14">
        <f t="shared" si="16"/>
        <v>0</v>
      </c>
      <c r="AK64" s="14">
        <f t="shared" si="16"/>
        <v>112.91</v>
      </c>
      <c r="AL64" s="14">
        <f t="shared" si="16"/>
        <v>255.85000000000002</v>
      </c>
      <c r="AM64" s="14">
        <f t="shared" si="16"/>
        <v>0</v>
      </c>
      <c r="AN64" s="14">
        <f t="shared" si="16"/>
        <v>108.69</v>
      </c>
      <c r="AO64" s="14">
        <f t="shared" si="16"/>
        <v>181.48</v>
      </c>
      <c r="AP64" s="14">
        <f t="shared" si="16"/>
        <v>0</v>
      </c>
      <c r="AQ64" s="14">
        <f t="shared" si="16"/>
        <v>0</v>
      </c>
      <c r="AR64" s="14">
        <f t="shared" si="16"/>
        <v>0</v>
      </c>
      <c r="AS64" s="14">
        <f t="shared" si="16"/>
        <v>0</v>
      </c>
      <c r="AT64" s="14">
        <f t="shared" si="16"/>
        <v>-4595.6000000000013</v>
      </c>
    </row>
    <row r="65" spans="1:46" x14ac:dyDescent="0.2">
      <c r="A65" s="5" t="s">
        <v>109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spans="1:46" x14ac:dyDescent="0.2">
      <c r="A66" s="20" t="s">
        <v>110</v>
      </c>
      <c r="B66" s="10">
        <v>0</v>
      </c>
      <c r="C66" s="10">
        <v>0</v>
      </c>
      <c r="D66" s="10">
        <v>-2590</v>
      </c>
      <c r="E66" s="10">
        <v>0</v>
      </c>
      <c r="F66" s="10">
        <v>0</v>
      </c>
      <c r="G66" s="10">
        <v>-2590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3218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-1034.95</v>
      </c>
      <c r="X66" s="10">
        <v>0</v>
      </c>
      <c r="Y66" s="10">
        <v>0</v>
      </c>
      <c r="Z66" s="10">
        <v>163.95</v>
      </c>
      <c r="AA66" s="10">
        <v>0</v>
      </c>
      <c r="AB66" s="10">
        <v>0</v>
      </c>
      <c r="AC66" s="10">
        <v>-490</v>
      </c>
      <c r="AD66" s="10">
        <v>0</v>
      </c>
      <c r="AE66" s="10">
        <v>0</v>
      </c>
      <c r="AF66" s="10">
        <v>-127</v>
      </c>
      <c r="AG66" s="10">
        <v>0</v>
      </c>
      <c r="AH66" s="10">
        <v>0</v>
      </c>
      <c r="AI66" s="10">
        <v>-127</v>
      </c>
      <c r="AJ66" s="10">
        <v>0</v>
      </c>
      <c r="AK66" s="10">
        <v>0</v>
      </c>
      <c r="AL66" s="10">
        <v>-813</v>
      </c>
      <c r="AM66" s="10">
        <v>0</v>
      </c>
      <c r="AN66" s="10">
        <v>0</v>
      </c>
      <c r="AO66" s="10">
        <v>-217</v>
      </c>
      <c r="AP66" s="10">
        <v>0</v>
      </c>
      <c r="AQ66" s="10">
        <v>0</v>
      </c>
      <c r="AR66" s="10">
        <v>-217</v>
      </c>
      <c r="AS66" s="10">
        <v>0</v>
      </c>
      <c r="AT66" s="10">
        <f>SUM(B66:AS66)</f>
        <v>-4824</v>
      </c>
    </row>
    <row r="67" spans="1:46" x14ac:dyDescent="0.2">
      <c r="A67" s="20" t="s">
        <v>111</v>
      </c>
      <c r="B67" s="10">
        <v>0</v>
      </c>
      <c r="C67" s="10">
        <v>0</v>
      </c>
      <c r="D67" s="10">
        <v>-142.44999999999999</v>
      </c>
      <c r="E67" s="10">
        <v>0</v>
      </c>
      <c r="F67" s="10">
        <v>0</v>
      </c>
      <c r="G67" s="10">
        <v>-142.44999999999999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176.97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-47.94</v>
      </c>
      <c r="AA67" s="10">
        <v>0</v>
      </c>
      <c r="AB67" s="10">
        <v>0</v>
      </c>
      <c r="AC67" s="10">
        <v>-26.95</v>
      </c>
      <c r="AD67" s="10">
        <v>0</v>
      </c>
      <c r="AE67" s="10">
        <v>0</v>
      </c>
      <c r="AF67" s="10">
        <v>-6.98</v>
      </c>
      <c r="AG67" s="10">
        <v>0</v>
      </c>
      <c r="AH67" s="10">
        <v>0</v>
      </c>
      <c r="AI67" s="10">
        <v>-6.98</v>
      </c>
      <c r="AJ67" s="10">
        <v>0</v>
      </c>
      <c r="AK67" s="10">
        <v>0</v>
      </c>
      <c r="AL67" s="10">
        <v>-44.75</v>
      </c>
      <c r="AM67" s="10">
        <v>0</v>
      </c>
      <c r="AN67" s="10">
        <v>0</v>
      </c>
      <c r="AO67" s="10">
        <v>-11.93</v>
      </c>
      <c r="AP67" s="10">
        <v>0</v>
      </c>
      <c r="AQ67" s="10">
        <v>0</v>
      </c>
      <c r="AR67" s="10">
        <v>-11.93</v>
      </c>
      <c r="AS67" s="10">
        <v>0</v>
      </c>
      <c r="AT67" s="10">
        <f>SUM(B67:AS67)</f>
        <v>-265.38999999999993</v>
      </c>
    </row>
    <row r="68" spans="1:46" x14ac:dyDescent="0.2">
      <c r="A68" s="20" t="s">
        <v>112</v>
      </c>
      <c r="B68" s="10">
        <v>0</v>
      </c>
      <c r="C68" s="10">
        <v>-2212</v>
      </c>
      <c r="D68" s="10">
        <v>0</v>
      </c>
      <c r="E68" s="10">
        <v>0</v>
      </c>
      <c r="F68" s="10">
        <v>-2212</v>
      </c>
      <c r="G68" s="10">
        <v>4092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-1354</v>
      </c>
      <c r="N68" s="10">
        <v>0</v>
      </c>
      <c r="O68" s="10">
        <v>0</v>
      </c>
      <c r="P68" s="10">
        <v>-83</v>
      </c>
      <c r="Q68" s="10">
        <v>0</v>
      </c>
      <c r="R68" s="10">
        <v>0</v>
      </c>
      <c r="S68" s="10">
        <v>-83</v>
      </c>
      <c r="T68" s="10">
        <v>0</v>
      </c>
      <c r="U68" s="10">
        <v>0</v>
      </c>
      <c r="V68" s="10">
        <v>-89</v>
      </c>
      <c r="W68" s="10">
        <v>0</v>
      </c>
      <c r="X68" s="10">
        <v>0</v>
      </c>
      <c r="Y68" s="10">
        <v>-1500</v>
      </c>
      <c r="Z68" s="10">
        <v>973</v>
      </c>
      <c r="AA68" s="10">
        <v>0</v>
      </c>
      <c r="AB68" s="10">
        <v>-438</v>
      </c>
      <c r="AC68" s="10">
        <v>0</v>
      </c>
      <c r="AD68" s="10">
        <v>0</v>
      </c>
      <c r="AE68" s="10">
        <v>-438</v>
      </c>
      <c r="AF68" s="10">
        <v>94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-601</v>
      </c>
      <c r="AM68" s="10">
        <v>0</v>
      </c>
      <c r="AN68" s="10">
        <v>-195</v>
      </c>
      <c r="AO68" s="10">
        <v>0</v>
      </c>
      <c r="AP68" s="10">
        <v>0</v>
      </c>
      <c r="AQ68" s="10">
        <v>-195</v>
      </c>
      <c r="AR68" s="10">
        <v>0</v>
      </c>
      <c r="AS68" s="10">
        <v>0</v>
      </c>
      <c r="AT68" s="10">
        <f>SUM(B68:AS68)</f>
        <v>-4241</v>
      </c>
    </row>
    <row r="69" spans="1:46" x14ac:dyDescent="0.2">
      <c r="A69" s="20" t="s">
        <v>113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-29.77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-18.48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-8.56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f>SUM(B69:AS69)</f>
        <v>-56.81</v>
      </c>
    </row>
    <row r="70" spans="1:46" x14ac:dyDescent="0.2">
      <c r="A70" s="20" t="s">
        <v>114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-1.63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-1.01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-0.47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f>SUM(B70:AS70)</f>
        <v>-3.1099999999999994</v>
      </c>
    </row>
    <row r="71" spans="1:46" x14ac:dyDescent="0.2">
      <c r="A71" s="18" t="s">
        <v>115</v>
      </c>
      <c r="B71" s="14">
        <f t="shared" ref="B71:AT71" si="17">SUM(B66:B70)</f>
        <v>0</v>
      </c>
      <c r="C71" s="14">
        <f t="shared" si="17"/>
        <v>-2212</v>
      </c>
      <c r="D71" s="14">
        <f t="shared" si="17"/>
        <v>-2732.45</v>
      </c>
      <c r="E71" s="14">
        <f t="shared" si="17"/>
        <v>0</v>
      </c>
      <c r="F71" s="14">
        <f t="shared" si="17"/>
        <v>-2212</v>
      </c>
      <c r="G71" s="14">
        <f t="shared" si="17"/>
        <v>1359.5500000000002</v>
      </c>
      <c r="H71" s="14">
        <f t="shared" si="17"/>
        <v>0</v>
      </c>
      <c r="I71" s="14">
        <f t="shared" si="17"/>
        <v>0</v>
      </c>
      <c r="J71" s="14">
        <f t="shared" si="17"/>
        <v>0</v>
      </c>
      <c r="K71" s="14">
        <f t="shared" si="17"/>
        <v>0</v>
      </c>
      <c r="L71" s="14">
        <f t="shared" si="17"/>
        <v>0</v>
      </c>
      <c r="M71" s="14">
        <f t="shared" si="17"/>
        <v>2009.5699999999997</v>
      </c>
      <c r="N71" s="14">
        <f t="shared" si="17"/>
        <v>0</v>
      </c>
      <c r="O71" s="14">
        <f t="shared" si="17"/>
        <v>0</v>
      </c>
      <c r="P71" s="14">
        <f t="shared" si="17"/>
        <v>-83</v>
      </c>
      <c r="Q71" s="14">
        <f t="shared" si="17"/>
        <v>0</v>
      </c>
      <c r="R71" s="14">
        <f t="shared" si="17"/>
        <v>0</v>
      </c>
      <c r="S71" s="14">
        <f t="shared" si="17"/>
        <v>-83</v>
      </c>
      <c r="T71" s="14">
        <f t="shared" si="17"/>
        <v>0</v>
      </c>
      <c r="U71" s="14">
        <f t="shared" si="17"/>
        <v>0</v>
      </c>
      <c r="V71" s="14">
        <f t="shared" si="17"/>
        <v>-89</v>
      </c>
      <c r="W71" s="14">
        <f t="shared" si="17"/>
        <v>-1034.95</v>
      </c>
      <c r="X71" s="14">
        <f t="shared" si="17"/>
        <v>0</v>
      </c>
      <c r="Y71" s="14">
        <f t="shared" si="17"/>
        <v>-1500</v>
      </c>
      <c r="Z71" s="14">
        <f t="shared" si="17"/>
        <v>1069.52</v>
      </c>
      <c r="AA71" s="14">
        <f t="shared" si="17"/>
        <v>0</v>
      </c>
      <c r="AB71" s="14">
        <f t="shared" si="17"/>
        <v>-438</v>
      </c>
      <c r="AC71" s="14">
        <f t="shared" si="17"/>
        <v>-516.95000000000005</v>
      </c>
      <c r="AD71" s="14">
        <f t="shared" si="17"/>
        <v>0</v>
      </c>
      <c r="AE71" s="14">
        <f t="shared" si="17"/>
        <v>-438</v>
      </c>
      <c r="AF71" s="14">
        <f t="shared" si="17"/>
        <v>-39.97999999999999</v>
      </c>
      <c r="AG71" s="14">
        <f t="shared" si="17"/>
        <v>0</v>
      </c>
      <c r="AH71" s="14">
        <f t="shared" si="17"/>
        <v>0</v>
      </c>
      <c r="AI71" s="14">
        <f t="shared" si="17"/>
        <v>-133.97999999999999</v>
      </c>
      <c r="AJ71" s="14">
        <f t="shared" si="17"/>
        <v>0</v>
      </c>
      <c r="AK71" s="14">
        <f t="shared" si="17"/>
        <v>0</v>
      </c>
      <c r="AL71" s="14">
        <f t="shared" si="17"/>
        <v>-1467.78</v>
      </c>
      <c r="AM71" s="14">
        <f t="shared" si="17"/>
        <v>0</v>
      </c>
      <c r="AN71" s="14">
        <f t="shared" si="17"/>
        <v>-195</v>
      </c>
      <c r="AO71" s="14">
        <f t="shared" si="17"/>
        <v>-228.93</v>
      </c>
      <c r="AP71" s="14">
        <f t="shared" si="17"/>
        <v>0</v>
      </c>
      <c r="AQ71" s="14">
        <f t="shared" si="17"/>
        <v>-195</v>
      </c>
      <c r="AR71" s="14">
        <f t="shared" si="17"/>
        <v>-228.93</v>
      </c>
      <c r="AS71" s="14">
        <f t="shared" si="17"/>
        <v>0</v>
      </c>
      <c r="AT71" s="14">
        <f t="shared" si="17"/>
        <v>-9390.31</v>
      </c>
    </row>
    <row r="72" spans="1:46" x14ac:dyDescent="0.2">
      <c r="A72" s="21" t="s">
        <v>116</v>
      </c>
      <c r="B72" s="14">
        <f t="shared" ref="B72:AT72" si="18">B52+B64+B71+0</f>
        <v>-3423.02</v>
      </c>
      <c r="C72" s="14">
        <f t="shared" si="18"/>
        <v>2593.9300000000003</v>
      </c>
      <c r="D72" s="14">
        <f t="shared" si="18"/>
        <v>1971.7300000000005</v>
      </c>
      <c r="E72" s="14">
        <f t="shared" si="18"/>
        <v>-3210.46</v>
      </c>
      <c r="F72" s="14">
        <f t="shared" si="18"/>
        <v>3082.76</v>
      </c>
      <c r="G72" s="14">
        <f t="shared" si="18"/>
        <v>6364.68</v>
      </c>
      <c r="H72" s="14">
        <f t="shared" si="18"/>
        <v>-4936.8599999999997</v>
      </c>
      <c r="I72" s="14">
        <f t="shared" si="18"/>
        <v>3767.92</v>
      </c>
      <c r="J72" s="14">
        <f t="shared" si="18"/>
        <v>1694.9799999999996</v>
      </c>
      <c r="K72" s="14">
        <f t="shared" si="18"/>
        <v>-4085.9000000000005</v>
      </c>
      <c r="L72" s="14">
        <f t="shared" si="18"/>
        <v>2518.4999999999995</v>
      </c>
      <c r="M72" s="14">
        <f t="shared" si="18"/>
        <v>3156.4600000000032</v>
      </c>
      <c r="N72" s="14">
        <f t="shared" si="18"/>
        <v>0</v>
      </c>
      <c r="O72" s="14">
        <f t="shared" si="18"/>
        <v>-2943.1699999999992</v>
      </c>
      <c r="P72" s="14">
        <f t="shared" si="18"/>
        <v>2976.11</v>
      </c>
      <c r="Q72" s="14">
        <f t="shared" si="18"/>
        <v>9802.74</v>
      </c>
      <c r="R72" s="14">
        <f t="shared" si="18"/>
        <v>9201.74</v>
      </c>
      <c r="S72" s="14">
        <f t="shared" si="18"/>
        <v>9041.8199999999979</v>
      </c>
      <c r="T72" s="14">
        <f t="shared" si="18"/>
        <v>4339.6299999999992</v>
      </c>
      <c r="U72" s="14">
        <f t="shared" si="18"/>
        <v>4108.4099999999989</v>
      </c>
      <c r="V72" s="14">
        <f t="shared" si="18"/>
        <v>2785.3099999999995</v>
      </c>
      <c r="W72" s="14">
        <f t="shared" si="18"/>
        <v>-9737.93</v>
      </c>
      <c r="X72" s="14">
        <f t="shared" si="18"/>
        <v>-9239.35</v>
      </c>
      <c r="Y72" s="14">
        <f t="shared" si="18"/>
        <v>-7293.01</v>
      </c>
      <c r="Z72" s="14">
        <f t="shared" si="18"/>
        <v>-8829.57</v>
      </c>
      <c r="AA72" s="14">
        <f t="shared" si="18"/>
        <v>301.46999999999935</v>
      </c>
      <c r="AB72" s="14">
        <f t="shared" si="18"/>
        <v>1534.5500000000004</v>
      </c>
      <c r="AC72" s="14">
        <f t="shared" si="18"/>
        <v>4854.2700000000004</v>
      </c>
      <c r="AD72" s="14">
        <f t="shared" si="18"/>
        <v>-1487.36</v>
      </c>
      <c r="AE72" s="14">
        <f t="shared" si="18"/>
        <v>-2881.9400000000005</v>
      </c>
      <c r="AF72" s="14">
        <f t="shared" si="18"/>
        <v>-1890.5299999999993</v>
      </c>
      <c r="AG72" s="14">
        <f t="shared" si="18"/>
        <v>-1626.3000000000004</v>
      </c>
      <c r="AH72" s="14">
        <f t="shared" si="18"/>
        <v>-1294.6299999999997</v>
      </c>
      <c r="AI72" s="14">
        <f t="shared" si="18"/>
        <v>4564.7299999999996</v>
      </c>
      <c r="AJ72" s="14">
        <f t="shared" si="18"/>
        <v>3845.83</v>
      </c>
      <c r="AK72" s="14">
        <f t="shared" si="18"/>
        <v>-1272.1000000000001</v>
      </c>
      <c r="AL72" s="14">
        <f t="shared" si="18"/>
        <v>2760.7300000000023</v>
      </c>
      <c r="AM72" s="14">
        <f t="shared" si="18"/>
        <v>1366.4299999999994</v>
      </c>
      <c r="AN72" s="14">
        <f t="shared" si="18"/>
        <v>2936.8199999999993</v>
      </c>
      <c r="AO72" s="14">
        <f t="shared" si="18"/>
        <v>-3121.4599999999982</v>
      </c>
      <c r="AP72" s="14">
        <f t="shared" si="18"/>
        <v>1250.42</v>
      </c>
      <c r="AQ72" s="14">
        <f t="shared" si="18"/>
        <v>1935.6899999999996</v>
      </c>
      <c r="AR72" s="14">
        <f t="shared" si="18"/>
        <v>3031.4600000000014</v>
      </c>
      <c r="AS72" s="14">
        <f t="shared" si="18"/>
        <v>4681.619999999999</v>
      </c>
      <c r="AT72" s="14">
        <f t="shared" si="18"/>
        <v>33197.149999999943</v>
      </c>
    </row>
  </sheetData>
  <mergeCells count="3">
    <mergeCell ref="A1:AT1"/>
    <mergeCell ref="A2:AT2"/>
    <mergeCell ref="A3:AT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PGPLbyEntityandMonthQuart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2023-08-08T18:41:53Z</dcterms:created>
  <dcterms:modified xsi:type="dcterms:W3CDTF">2023-08-08T18:44:43Z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